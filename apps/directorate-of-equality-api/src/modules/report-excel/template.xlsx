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ðbeiningar" sheetId="1" state="visible" r:id="rId3"/>
    <sheet name="Viðmið" sheetId="2" state="visible" r:id="rId4"/>
    <sheet name="Undirviðmið" sheetId="3" state="visible" r:id="rId5"/>
    <sheet name="Starfsmenn" sheetId="4" state="visible" r:id="rId6"/>
    <sheet name="Flokkun starfa" sheetId="5" state="visible" r:id="rId7"/>
    <sheet name="Flokkun starfsmanna" sheetId="6" state="visible" r:id="rId8"/>
    <sheet name="Yfirlit" sheetId="7" state="visible" r:id="rId9"/>
    <sheet name="Undirviðmiðalisti (Lýsigögn)" sheetId="8" state="visible" r:id="rId10"/>
  </sheets>
  <definedNames>
    <definedName function="false" hidden="true" localSheetId="6" name="_xlnm._FilterDatabase" vbProcedure="false">Yfirlit!$A$5:$N$55</definedName>
    <definedName function="false" hidden="false" name="EMP_JOB" vbProcedure="false">Starfsmenn!$C$6:$C$10005</definedName>
    <definedName function="false" hidden="false" name="EMP_KYN" vbProcedure="false">Starfsmenn!$D$6:$D$10005</definedName>
    <definedName function="false" hidden="false" name="EMP_NAME" vbProcedure="false">Starfsmenn!$B$6:$B$10005</definedName>
    <definedName function="false" hidden="false" name="EMP_NUM" vbProcedure="false">Starfsmenn!$A$6:$A$10005</definedName>
    <definedName function="false" hidden="false" name="EMP_STEP_INPUTS" vbProcedure="false">'Flokkun starfsmanna'!$D$7:$GT$10006</definedName>
    <definedName function="false" hidden="false" name="JOB_TITLES" vbProcedure="false">'Flokkun starfa'!$B$11:$B$110</definedName>
    <definedName function="false" hidden="false" name="JOB_TOTALS" vbProcedure="false">'Flokkun starfa'!$C$11:$C$110</definedName>
    <definedName function="false" hidden="false" name="KVARDI" vbProcedure="false">Leiðbeiningar!$C$48</definedName>
    <definedName function="false" hidden="false" name="ROLE_STEP_INPUTS" vbProcedure="false">'Flokkun starfa'!$G$11:$GX$110</definedName>
    <definedName function="false" hidden="false" name="SUB_NAME" vbProcedure="false">Undirviðmið!$C$6:$C$205</definedName>
    <definedName function="false" hidden="false" name="SUB_NSTEPS" vbProcedure="false">Undirviðmið!$F$6:$F$205</definedName>
    <definedName function="false" hidden="false" name="SUB_PARENT" vbProcedure="false">Undirviðmið!$B$6:$B$205</definedName>
    <definedName function="false" hidden="false" name="SUB_TYPE" vbProcedure="false">Undirviðmið!$G$6:$G$205</definedName>
    <definedName function="false" hidden="false" name="SUB_WEIGHT" vbProcedure="false">Undirviðmið!$E$6:$E$205</definedName>
    <definedName function="false" hidden="false" name="VIDMID_NAMES" vbProcedure="false">Viðmið!$C$6:$C$10</definedName>
    <definedName function="false" hidden="false" name="VIDMID_TABLE" vbProcedure="false">Viðmið!$C$6:$E$10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<sst xmlns="http://schemas.openxmlformats.org/spreadsheetml/2006/main" count="565" uniqueCount="451">
  <si>
    <t xml:space="preserve">Launagreiningar-sniðmát</t>
  </si>
  <si>
    <t xml:space="preserve">Jafnréttisstofa • Skýrsluferli – Innsláttarskjal</t>
  </si>
  <si>
    <t xml:space="preserve">Flipaskipan</t>
  </si>
  <si>
    <t xml:space="preserve">Viðmið</t>
  </si>
  <si>
    <t xml:space="preserve">Yfirflokkarnir (starfsbundnir og einstaklingsbundnir). Vægi verður að summast í 100%. Aðeins eitt einstaklingsbundið viðmið er leyft. Vægi eru auð í upphafi og þarf að fylla út.</t>
  </si>
  <si>
    <t xml:space="preserve">Undirviðmið</t>
  </si>
  <si>
    <t xml:space="preserve">Undirflokkar hvers viðmiðs. Veldu yfirviðmið og undirviðmið úr fellilistum; skilgreining, fjöldi þrepa og þrepalýsingar fyllast sjálfkrafa út frá Undirviðmiðalistanum (aftasti flipi) en má yfirskrifa. Listinn hefur bæði starfsbundna og einstaklingsbundna hluta; frjáls texti er líka leyfður. Vægi undirviðmiða verður að summast í vægi yfirviðmiðsins.</t>
  </si>
  <si>
    <t xml:space="preserve">Starfsmenn</t>
  </si>
  <si>
    <t xml:space="preserve">Listi yfir starfsfólk með laun, menntun og starfsupplýsingar.</t>
  </si>
  <si>
    <t xml:space="preserve">Flokkun starfa</t>
  </si>
  <si>
    <t xml:space="preserve">Stigagjöf per starfsheiti (línur) á starfsbundnum (skylda) undirviðmiðum (dálkar).</t>
  </si>
  <si>
    <t xml:space="preserve">Flokkun starfsmanna</t>
  </si>
  <si>
    <t xml:space="preserve">Stigagjöf per starfsmann á einstaklingsbundnum (valfrjálsum) undirviðmiðum.</t>
  </si>
  <si>
    <t xml:space="preserve">Yfirlit</t>
  </si>
  <si>
    <t xml:space="preserve">Samantekt: heildarstig á starfsmann (starfsbundið + einstaklingsbundið) og launatölur.</t>
  </si>
  <si>
    <t xml:space="preserve">Reiknilíkan – Stigagjöf</t>
  </si>
  <si>
    <t xml:space="preserve">Formúla</t>
  </si>
  <si>
    <t xml:space="preserve">stig = (þrep / fjöldi þrepa) × vægi × KVARÐI</t>
  </si>
  <si>
    <t xml:space="preserve">KVARÐI</t>
  </si>
  <si>
    <t xml:space="preserve">Sjálfgefið 10  →  hámark heildarstig = 1000 á starfsmann (100% × 10).</t>
  </si>
  <si>
    <t xml:space="preserve">Dæmi</t>
  </si>
  <si>
    <t xml:space="preserve">Undirviðmið með 10% vægi og 5 þrepum: hámark = 100 stig, þrep 3 = 60 stig.</t>
  </si>
  <si>
    <t xml:space="preserve">Dæmi 2</t>
  </si>
  <si>
    <t xml:space="preserve">Undirviðmið með 5% vægi og 5 þrepum: hámark = 50 stig, þrep 3 = 30 stig.</t>
  </si>
  <si>
    <t xml:space="preserve">Litakóðun</t>
  </si>
  <si>
    <t xml:space="preserve">Blátt letur</t>
  </si>
  <si>
    <t xml:space="preserve">Innsláttarreitir (notandi fyllir út).</t>
  </si>
  <si>
    <t xml:space="preserve">Svart letur</t>
  </si>
  <si>
    <t xml:space="preserve">Reiknaðir reitir (formúlur) – má ekki breyta.</t>
  </si>
  <si>
    <t xml:space="preserve">Grænt letur</t>
  </si>
  <si>
    <t xml:space="preserve">Tilvísanir í aðra flipa – má ekki breyta.</t>
  </si>
  <si>
    <t xml:space="preserve">Grár bakgrunnur</t>
  </si>
  <si>
    <t xml:space="preserve">Læstir reitir (t.d. lögboðnir flokkar sem ekki má endurnefna).</t>
  </si>
  <si>
    <t xml:space="preserve">Gulur bakgrunnur</t>
  </si>
  <si>
    <t xml:space="preserve">Reitir sem þurfa athygli eða eru sjálfvirkir villuvísar.</t>
  </si>
  <si>
    <t xml:space="preserve">Rauður bakgrunnur</t>
  </si>
  <si>
    <t xml:space="preserve">Villa – t.d. vægi summast ekki í 100%.</t>
  </si>
  <si>
    <t xml:space="preserve">Valideringsreglur</t>
  </si>
  <si>
    <t xml:space="preserve">Summa vægis (starfsbundið + einstaklingsbundið) = nákvæmlega 100%.</t>
  </si>
  <si>
    <t xml:space="preserve">Summa vægis undirviðmiða innan hvers yfirviðmiðs = vægi þess yfirviðmiðs.</t>
  </si>
  <si>
    <t xml:space="preserve">Þrep</t>
  </si>
  <si>
    <t xml:space="preserve">Aðeins heilar tölur 1…fjöldi_þrepa eru leyfðar.</t>
  </si>
  <si>
    <t xml:space="preserve">Starfshlutfall</t>
  </si>
  <si>
    <t xml:space="preserve">Gildi á bilinu 0–1 með aukastöfum: 1 = 100%, 0,55 = 55%. Gildið er geymt beint sem hlutfall (0–1) og samsvarar gagnagrunnsreitnum án umreiknings.</t>
  </si>
  <si>
    <t xml:space="preserve">Aukagreiðslur</t>
  </si>
  <si>
    <t xml:space="preserve">Má vera autt ef á ekki við — gagnagrunnsreiturinn er valfrjáls (nullable).</t>
  </si>
  <si>
    <t xml:space="preserve">Ráðningardagur</t>
  </si>
  <si>
    <t xml:space="preserve">Ein dagsetning (d.m.yyyy) — ekki tímabil. Samsvarar 'start_date' í gagnagrunni.</t>
  </si>
  <si>
    <t xml:space="preserve">Uppreiknuð laun v/ 100% starfshlutfall</t>
  </si>
  <si>
    <t xml:space="preserve">Tveir síðustu dálkar á Starfsmenn og Yfirlit reiknast sjálfvirkt út frá starfshlutfalli (0–1): Grunnlaun / starfshlutfall, og (Grunnlaun + Viðbótarlaun + Aukagreiðslur) / starfshlutfall. Þetta gefur samanburðarhæfa tölu óháð því hvort starfsmaðurinn er í fullu starfi eða hlutastarfi. Reitirnir eru læstir.</t>
  </si>
  <si>
    <t xml:space="preserve">Persónugreinanleg gögn</t>
  </si>
  <si>
    <t xml:space="preserve">Nafn</t>
  </si>
  <si>
    <t xml:space="preserve">Nafn er eingöngu til hægðarauka á þessu skjali. Það er EKKI sent til Jafnréttisstofu — gagnagrunnurinn geymir aðeins raðnúmer (ordinal) sem auðkenni starfsmanns.</t>
  </si>
  <si>
    <t xml:space="preserve">Kennitala</t>
  </si>
  <si>
    <t xml:space="preserve">Kennitala er ekki skráð í skjalið — kerfið býr til tímabundið auðkenni sjálfvirkt við innsendingu.</t>
  </si>
  <si>
    <t xml:space="preserve">Notkun</t>
  </si>
  <si>
    <t xml:space="preserve">1</t>
  </si>
  <si>
    <t xml:space="preserve">Fylltu út viðmið og stilltu vægi á Viðmið flipanum.</t>
  </si>
  <si>
    <t xml:space="preserve">2</t>
  </si>
  <si>
    <t xml:space="preserve">Skráðu undirviðmið með vægi, þrepafjölda og lýsingum á Undirviðmið flipanum.</t>
  </si>
  <si>
    <t xml:space="preserve">3</t>
  </si>
  <si>
    <t xml:space="preserve">Skráðu starfsmenn á Starfsmenn flipanum.</t>
  </si>
  <si>
    <t xml:space="preserve">4</t>
  </si>
  <si>
    <t xml:space="preserve">Gefðu hverju starfsheiti þrep á Flokkun starfa.</t>
  </si>
  <si>
    <t xml:space="preserve">5</t>
  </si>
  <si>
    <t xml:space="preserve">Gefðu hverjum starfsmanni þrep á einstaklingsbundnum undirviðmiðum á Flokkun starfsmanna.</t>
  </si>
  <si>
    <t xml:space="preserve">6</t>
  </si>
  <si>
    <t xml:space="preserve">Skoðaðu niðurstöður á Yfirlit flipanum.</t>
  </si>
  <si>
    <t xml:space="preserve">KVARÐI (stillanlegt):</t>
  </si>
  <si>
    <t xml:space="preserve">Stækkun sniðmátsins</t>
  </si>
  <si>
    <t xml:space="preserve">Skráðu einfaldlega fleiri línur á Starfsmenn – taflan og formúlurnar stækka sjálfkrafa (allt að 10.000 starfsmenn). Bættu línum við Flokkun starfsmanna og Yfirlit með því að skrifa í næstu línu fyrir neðan eða hægrismella &gt; Insert &gt; Table Rows.</t>
  </si>
  <si>
    <t xml:space="preserve">Skráðu fleiri undirviðmið beint í næstu auðu línu á Undirviðmið (allt að 200). Dálkar á Flokkun starfa fylgja sjálfkrafa (fyrstu 100 undirviðmið birtast þar).</t>
  </si>
  <si>
    <t xml:space="preserve">Störf (línur)</t>
  </si>
  <si>
    <t xml:space="preserve">Línur fyrir störf 9–100 eru þegar til staðar á Flokkun starfa en faldar í samanbrotnum línuhópi. Smelltu á „+" hnappinn vinstra megin (eða „2" í útlínustikunni efst til vinstri) til að opna þær. Allt að 100 störf. Starfsheiti raðast sjálfkrafa lóðrétt í B-dálk og viðmiðin liggja lárétt. Samtals stig hvers starfsheitis birtast í C-dálki.</t>
  </si>
  <si>
    <t xml:space="preserve">Persónub. undirviðmið (dálkar)</t>
  </si>
  <si>
    <t xml:space="preserve">Dálkar fyrir einstaklingsbundin undirviðmið 16–100 eru þegar til staðar á Flokkun starfsmanna en faldir í samanbrotnum dálkahópi. Smelltu á „+" hnappinn fyrir ofan samtölu-dálkinn (GV) til að opna þá. Allt að 100 undirviðmið.</t>
  </si>
  <si>
    <t xml:space="preserve">Skilgreindu viðmið og stilltu vægi. Heildarvægi allra viðmiða (bæði starfsbundinn og einstaklingsbundinn þáttur) þarf að summast í 100%. Aðeins má skilgreina eitt einstaklingsbundið viðmið.</t>
  </si>
  <si>
    <t xml:space="preserve">Tegund</t>
  </si>
  <si>
    <t xml:space="preserve">Lýsing</t>
  </si>
  <si>
    <t xml:space="preserve">Vægi (%)</t>
  </si>
  <si>
    <t xml:space="preserve">Læst?</t>
  </si>
  <si>
    <t xml:space="preserve">Starfsbundið</t>
  </si>
  <si>
    <t xml:space="preserve">Ábyrgð</t>
  </si>
  <si>
    <t xml:space="preserve">Metur ábyrgð starfsins á fólki, fjármálum, gæðum og öðrum þáttum.</t>
  </si>
  <si>
    <t xml:space="preserve">Já</t>
  </si>
  <si>
    <t xml:space="preserve">Álag</t>
  </si>
  <si>
    <t xml:space="preserve">Metur hraða, tímapressu, líkamlegt og tilfinningalegt álag.</t>
  </si>
  <si>
    <t xml:space="preserve">Vinnuaðstæður</t>
  </si>
  <si>
    <t xml:space="preserve">Metur vaktavinnu, ferðalög, áhættu og aðrar aðstæður starfsins.</t>
  </si>
  <si>
    <t xml:space="preserve">Hæfni</t>
  </si>
  <si>
    <t xml:space="preserve">Metur menntunarkröfur, reynslukröfur og sérhæfingu starfsins.</t>
  </si>
  <si>
    <t xml:space="preserve">Einstaklingsbundið</t>
  </si>
  <si>
    <t xml:space="preserve">Nei</t>
  </si>
  <si>
    <t xml:space="preserve">Heildarvægi:</t>
  </si>
  <si>
    <t xml:space="preserve">Fjöldi einstaklingsbundinna viðmiða:</t>
  </si>
  <si>
    <t xml:space="preserve">Veldu yfirviðmið og undirviðmið úr fellilistum. Skilgreining, fjöldi þrepa og þrepalýsingar fyllast sjálfkrafa út frá Undirviðmiðalistanum (aftasti flipi) en má yfirskrifa. Listinn inniheldur bæði starfsbundin og einstaklingsbundin undirviðmið; einnig má skrá undirviðmið sem frjálsan texta. Ef fjöldi þrepa fyllist ekki sjálfkrafa þarf að skrá hann handvirkt (2–8). Sláðu inn vægi (%) fyrir hvert undirviðmið; vægi allra undirviðmiða undir sama yfirviðmiði verður að jafngilda vægi þess.</t>
  </si>
  <si>
    <t xml:space="preserve">#</t>
  </si>
  <si>
    <t xml:space="preserve">Yfirviðmið</t>
  </si>
  <si>
    <t xml:space="preserve">Skilgreining</t>
  </si>
  <si>
    <t xml:space="preserve">Fjöldi þrepa</t>
  </si>
  <si>
    <t xml:space="preserve">Tegund (sjálfvirkt)</t>
  </si>
  <si>
    <t xml:space="preserve">Hámarksstig</t>
  </si>
  <si>
    <t xml:space="preserve">Samsumma OK?</t>
  </si>
  <si>
    <t xml:space="preserve">Þrep 1</t>
  </si>
  <si>
    <t xml:space="preserve">Þrep 2</t>
  </si>
  <si>
    <t xml:space="preserve">Þrep 3</t>
  </si>
  <si>
    <t xml:space="preserve">Þrep 4</t>
  </si>
  <si>
    <t xml:space="preserve">Þrep 5</t>
  </si>
  <si>
    <t xml:space="preserve">Þrep 6</t>
  </si>
  <si>
    <t xml:space="preserve">Þrep 7</t>
  </si>
  <si>
    <t xml:space="preserve">Þrep 8</t>
  </si>
  <si>
    <t xml:space="preserve">Skráðu alla starfsmenn. Númerið (A-dálkur) er sjálfvirkt og samsvarar 'ordinal' reitnum í gagnagrunni. Nafn er eingöngu innsláttarhjálp og er ekki sent til Jafnréttisstofu. Dálkarnir 'Viðbótarlaun (kr.)' og 'Aukagreiðslur (kr.)' reiknast sjálfvirkt sem summa undirdálkanna á undan þeim, og dálkarnir lengst til hægri (100% uppreiknað starfshlutfall) reiknast einnig sjálfvirkt — ekki breyta þessum reitum.</t>
  </si>
  <si>
    <t xml:space="preserve">Starf</t>
  </si>
  <si>
    <t xml:space="preserve">Kyn</t>
  </si>
  <si>
    <t xml:space="preserve">Starfshlutfall (0–1)</t>
  </si>
  <si>
    <t xml:space="preserve">Menntun</t>
  </si>
  <si>
    <t xml:space="preserve">Svið</t>
  </si>
  <si>
    <t xml:space="preserve">Deild</t>
  </si>
  <si>
    <t xml:space="preserve">Grunnlaun (kr.)</t>
  </si>
  <si>
    <t xml:space="preserve">Föst yfirvinna (kr.)</t>
  </si>
  <si>
    <t xml:space="preserve">Föst bifreiðahlunnindi (kr.)</t>
  </si>
  <si>
    <t xml:space="preserve">Tilfallandi / mældur bifreiðastyrkur (kr.)</t>
  </si>
  <si>
    <t xml:space="preserve">Tilfallandi / mæld yfirvinna (kr.)</t>
  </si>
  <si>
    <t xml:space="preserve">Bónusgreiðslur (kr.)</t>
  </si>
  <si>
    <t xml:space="preserve">Önnur hlunnindi eða greiðslur (kr.)</t>
  </si>
  <si>
    <t xml:space="preserve">Viðbótarlaun (kr.)</t>
  </si>
  <si>
    <t xml:space="preserve">Aukagreiðslur (kr.)</t>
  </si>
  <si>
    <t xml:space="preserve">Grunnlaun v/ 100% starfsh. (kr.)</t>
  </si>
  <si>
    <t xml:space="preserve">Heildarlaun v/ 100% starfsh. (kr.)</t>
  </si>
  <si>
    <t xml:space="preserve">Gefðu hverju starfsheiti (línur) þrep (1…fjöldi þrepa) fyrir hvert starfsbundið undirviðmið (dálkar). Stigafjöldi er reiknaður sjálfvirkt samkvæmt formúlunni: stig = (þrep / fjöldi þrepa) × vægi × KVARÐI.</t>
  </si>
  <si>
    <t xml:space="preserve">(Aðeins starfsbundin undirviðmið sýnd hér)</t>
  </si>
  <si>
    <t xml:space="preserve">Hámark stig</t>
  </si>
  <si>
    <t xml:space="preserve">Starfsheiti</t>
  </si>
  <si>
    <t xml:space="preserve">Samtals stig</t>
  </si>
  <si>
    <t xml:space="preserve">Gefðu hverjum starfsmanni þrep á einstaklingsbundnum undirviðmiðum. Stigafjöldi er reiknaður sjálfvirkt: stig = (þrep / fjöldi þrepa) × vægi × KVARÐI.</t>
  </si>
  <si>
    <t xml:space="preserve">Samtals einst. stig</t>
  </si>
  <si>
    <t xml:space="preserve">Yfirlit – Launagreining</t>
  </si>
  <si>
    <t xml:space="preserve">Samantekt per starfsmann: starfsbundið (frá starfsheiti) + einstaklingsbundið stig + launaupplýsingar. Heildarlaun = Grunnlaun + Viðbótarlaun + Aukagreiðslur. Tveir reitir lengst til hægri sýna launin uppreiknuð í 100% starfshlutfall — til samanburðar óháð vinnuhlutfalli.</t>
  </si>
  <si>
    <t xml:space="preserve">Hámark mögulegt →</t>
  </si>
  <si>
    <t xml:space="preserve">Starfsbundið stig</t>
  </si>
  <si>
    <t xml:space="preserve">Einstaklingsbundið stig</t>
  </si>
  <si>
    <t xml:space="preserve">Heildarstig</t>
  </si>
  <si>
    <t xml:space="preserve">Grunnlaun</t>
  </si>
  <si>
    <t xml:space="preserve">Viðbótarlaun</t>
  </si>
  <si>
    <t xml:space="preserve">Heildarlaun</t>
  </si>
  <si>
    <t xml:space="preserve">Grunnlaun v/ 100%</t>
  </si>
  <si>
    <t xml:space="preserve">Heildarlaun v/ 100%</t>
  </si>
  <si>
    <t xml:space="preserve">Tölfræði</t>
  </si>
  <si>
    <t xml:space="preserve">Meðalstig (allir):</t>
  </si>
  <si>
    <t xml:space="preserve">Meðalstig (konur):</t>
  </si>
  <si>
    <t xml:space="preserve">Meðalstig (karlar):</t>
  </si>
  <si>
    <t xml:space="preserve">Meðal-heildarlaun (allir):</t>
  </si>
  <si>
    <t xml:space="preserve">Meðal-heildarlaun (konur):</t>
  </si>
  <si>
    <t xml:space="preserve">Meðal-heildarlaun (karlar):</t>
  </si>
  <si>
    <t xml:space="preserve">Fjöldi starfsmanna (skráðir):</t>
  </si>
  <si>
    <t xml:space="preserve">Undirviðmiðalisti</t>
  </si>
  <si>
    <t xml:space="preserve">Listi yfir stöðluð undirviðmið sem birtast í fellilista á Undirviðmið-flipanum, í sömu röð og hér. Línur 6–41: starfsbundin undirviðmið. Línur 42–58: einstaklingsbundin undirviðmið. Skilgreining, fjöldi þrepa og þrepalýsingar fyllast sjálfkrafa út frá listanum en má yfirskrifa. Til að bæta við undirviðmiði: skjóttu inn línu innan viðkomandi hluta (fellilistinn og formúlur stækka þá sjálfkrafa).</t>
  </si>
  <si>
    <t xml:space="preserve">Almennur þrepakvarði →</t>
  </si>
  <si>
    <t xml:space="preserve">Aldrei, engin, takmörkuð, mjög lítið, mjög sjaldan, hóflegt, sjaldgæft</t>
  </si>
  <si>
    <t xml:space="preserve">Sjaldan, fremur lítið, öðru hverju, stundum, nokkuð</t>
  </si>
  <si>
    <t xml:space="preserve">Reglulega, í meðallagi, talsvert</t>
  </si>
  <si>
    <t xml:space="preserve">Fremur mikið, nokkuð oft, oft, umtalsvert, mikil</t>
  </si>
  <si>
    <t xml:space="preserve">Mjög mikið, mjög oft, viðvarandi</t>
  </si>
  <si>
    <t xml:space="preserve">Formleg menntun</t>
  </si>
  <si>
    <t xml:space="preserve">Starf krefst tiltekinnar formlegrar menntunar. Hér er metin sú fræðilega og verklega menntun sem starfið krefst frá viðurkenndri menntastofnun.</t>
  </si>
  <si>
    <t xml:space="preserve">Krafist er grunnskólaprófs eða engrar formlegrar menntunar</t>
  </si>
  <si>
    <t xml:space="preserve">Próf frá styttri starfsnámsbrautum, félagsliði, heilbrigðisritari, málmsuða og annað stigskipt nám.</t>
  </si>
  <si>
    <t xml:space="preserve">Stúdentspróf, iðnnám, fagmenntun, viðbótarnám (meirapróf, löggiltur bókari).</t>
  </si>
  <si>
    <t xml:space="preserve">Grunnám á háskólastigi, diplómanám eða BS/BA próf.</t>
  </si>
  <si>
    <t xml:space="preserve">Framhaldsnám á háskólastigi, MA/MS/Med próf/MPA/MBA eða viðbótarmenntun. (Doktorspróf fer á hærra þrep og ramminn teygður sem því nemur).</t>
  </si>
  <si>
    <t xml:space="preserve">Starfsreynsla</t>
  </si>
  <si>
    <t xml:space="preserve">Starf krefst tiltekinnar starfsreynslu.</t>
  </si>
  <si>
    <t xml:space="preserve">Starf krefst ekki starfsreynslu. Starfsþjálfun á vinnustað nægir til að öðlast þá þekkingu sem krafist er í starfi.</t>
  </si>
  <si>
    <t xml:space="preserve">Starf krefst nokkurar almennrar starfsreynslu (1-3 ár).</t>
  </si>
  <si>
    <t xml:space="preserve">Starf krefst lengri almennrar starfsreynslu (3 ár eða meira) eða sérhæfðrar starfsreynslu (1-5 ár) innan fag- eða starfssviðsins.</t>
  </si>
  <si>
    <t xml:space="preserve">Starf krefst langrar sérhæfðrar starfsreynslu (5-8 ár) innan fag- eða starfssviðsins.</t>
  </si>
  <si>
    <t xml:space="preserve">Starf krefst langrar sérhæfðrar starfsreynslu á tilteknu sérsviði (8 ár eða meira). Yfirgripsmikillar þekkingar og reynslu af viðkomandi starfi eða stjórnunarreynslu á viðkomandi sviði krafist.</t>
  </si>
  <si>
    <t xml:space="preserve">Starfsþjálfun á vinnustað/ starfsaldur</t>
  </si>
  <si>
    <t xml:space="preserve">Starf krefst starfsreynslu innan vinnustaðar.</t>
  </si>
  <si>
    <t xml:space="preserve">Starf krefst ekki starfsreynslu innan vinnustaðar. Starfsþjálfun á vinnustað nægir til að öðlast þá þekkingu sem krafist er í starfi.</t>
  </si>
  <si>
    <t xml:space="preserve">Starf krefst nokkurrar starfsreynslu innan vinnustaðar (1-3 ár).</t>
  </si>
  <si>
    <t xml:space="preserve">Starf krefst nokkuð mikillar starfsreynslu innan vinnustaðar (2-5 ár).</t>
  </si>
  <si>
    <t xml:space="preserve">Starf krefst mikillar starfsreynslu innan vinnustaðar (5-8 ár).</t>
  </si>
  <si>
    <t xml:space="preserve">Starf krefst mjög mikillar starfsreynslu innan vinnustaðar (8 ár eða meira) og getu til að leiðbeina.</t>
  </si>
  <si>
    <t xml:space="preserve">Hugræn færni</t>
  </si>
  <si>
    <t xml:space="preserve">Starf krefst færni til að þróa, greina og leysa vandamál og leggja mat á viðfangsefni hverju sinni. Krefst einnig færni í skipulags- eða áætlunargerð og að rýna til gagns.</t>
  </si>
  <si>
    <t xml:space="preserve">Starf felur í sér úrlausnir daglegra (endurtekinna) verkefna. Almenn grunnþekking sem nýtist í starfi.</t>
  </si>
  <si>
    <t xml:space="preserve">Starf krefst færni í að afla, túlka og meta upplýsingar til að leysa vandamál. Þekking á staðreyndum, reglum, verkferlum og almennum hugtökum.</t>
  </si>
  <si>
    <t xml:space="preserve">Starf krefst færni í að afla, greina, skapa eða þróa lausnir og túlka sérfræðilegar upplýsingar, ásamt færni í að móta áætlanir í afmörkuðum verkefnum. Sérhæfð og hagnýt þekking.</t>
  </si>
  <si>
    <t xml:space="preserve">Starf krefst færni í að greina, skapa eða þróa lausnir og túlka flóknar, sérfræðilegar upplýsingar, ásamt færni í að móta áætlanir í meira en ár. Sérhæfð og fagleg þekking.</t>
  </si>
  <si>
    <t xml:space="preserve">Starf krefst færni í að greina, skapa eða þróa lausnir og túlka sérlega flóknar sérfræðilegar upplýsingar, ásamt færni í að móta áætlanir til lengri tíma. Þátttaka í mótun þekkingarsviðs og skilningur á samspili þekkingar, starfs og ytra umhverfis.</t>
  </si>
  <si>
    <t xml:space="preserve">Félagsleg færni</t>
  </si>
  <si>
    <t xml:space="preserve">Starf krefst færni og getu til að vinna með öðrum á árangursríkan hátt og setja sig í spor annarra.</t>
  </si>
  <si>
    <t xml:space="preserve">Starf krefst almennrar færni til að vinna með öðrum og vinna eftir samskiptareglum vinnustaðar.</t>
  </si>
  <si>
    <t xml:space="preserve">Starf krefst stundum samskipta við vinnufélaga eða viðskiptavini og getu til að vinna sem hluti af heild.</t>
  </si>
  <si>
    <t xml:space="preserve">Starf krefst mjög mikillar lipurðar í samskiptum og mjög náins samstarfs við aðra. Starfsmaður sýnir sjálfstæði, sveigjanleika og getur aðlagað tjáskipti að ólíkum hópum. Getur stutt og hvatt aðra og eflt liðsheild.</t>
  </si>
  <si>
    <t xml:space="preserve">Starf krefst viðvarandi samstarfs og samskipti við ólíka og marga aðila, í innra og ytra umhverfi.  Færni til að vinna með öðrum, að lausn mála, leysa ágreining, þjálfa og þróa hópavinnuaðferðir.</t>
  </si>
  <si>
    <t xml:space="preserve">Líkamleg færni (eða lipurð og handlagni)</t>
  </si>
  <si>
    <t xml:space="preserve">Starf krefst sérstakrar líkamlegrar færni umfram það sem venjulegt er. Átt er við t.d. Líkamlegan styrk, handlagni, fingrafimi, lipurð, samhæfingu augna og handa og samhæfingu skynfæra.</t>
  </si>
  <si>
    <t xml:space="preserve">Starf krefst hóflegrar líkamlegrar færni, þó ekki umfram það sem eðlilegt getur talist.</t>
  </si>
  <si>
    <t xml:space="preserve">Starf krefst nokkurrar líkamlegrar færni.</t>
  </si>
  <si>
    <t xml:space="preserve">Starf krefst talsverðrar líkamlegrar færni.</t>
  </si>
  <si>
    <t xml:space="preserve">Starf krefst umtalsverðrar líkamlegrar færni.</t>
  </si>
  <si>
    <t xml:space="preserve">Starfið krefst mjög mikillar og viðvarandi líkamlegrar færni.</t>
  </si>
  <si>
    <t xml:space="preserve">Upplýsingatækni</t>
  </si>
  <si>
    <t xml:space="preserve">Starf krefst færni til að nota viðeigandi tölvutækni, tæki og forrit við öflun upplýsinga og þekkingar, upplýsinga- og gagnavinnslu og í samskiptum.</t>
  </si>
  <si>
    <t xml:space="preserve">Starf krefst þess að starfsmaður geti notað upplýsingatækni í einföldum verkefnum í samræmi við fyrirmæli.</t>
  </si>
  <si>
    <t xml:space="preserve">Starfið krefst þess að starfsmaður noti upplýsingatækni á hagnýtan og viðeigandi hátt. Gerð er krafa um að starfsmaður geti t.d. beitt einföldum aðgerðum í þeim forritum sem tengjast starfinu og notað ritvinnslu, Netið, innra net, sniðmát og tölvupóst í starfi sínu.</t>
  </si>
  <si>
    <t xml:space="preserve">Starf krefst þess að starfsmaður noti upplýsingatækni til að vinna úr upplýsingum og noti þær við nýjar aðstæður. Gerð er krafa um að starfsmaður geti t.d. unnið í algengum forritum, sérhæfðum gagnagrunnum, kerfum og forritum sem nauðsynleg eru til að sinna starfinu. Geta til að velja rafræn verkfæri eftir eðli verkefna.</t>
  </si>
  <si>
    <t xml:space="preserve">Starf krefst þess að starfsmaður skilji og noti fjölþætta upplýsingatækni til að draga eigin ályktanir og leysa fjölbreytt verkefni. Gerð er krafa um að starfsmaður geti t.d. unnið í öllum helstu forritum, sérhæfðum gagnagrunnum, kerfum og forritum til að finna lausnir og bæta árangur. Geta til að nota flóknar aðgerðir  til árangurs og leiðbeina öðrum.</t>
  </si>
  <si>
    <t xml:space="preserve">Starf krefst þess að starfsmaður hafi yfirgripsmikla þekkingu á upplýsingatækni og geti notað hana í nýjum og flóknum aðstæðum. Starfsmaður þarf einnig að geta leiðbeint öðrum sérfræðingum og tileinkað sér nýjustu upplýsingatækni sem er fyrirséð að muni gagnast til að ná markmiðum. Hefur umsjón með kerfisstillingum og tekur þátt í þróun og aðlögun hugbúnaðar að starfseminni og nýjum kröfum.</t>
  </si>
  <si>
    <t xml:space="preserve">Upplýsingalæsi</t>
  </si>
  <si>
    <t xml:space="preserve">Starf krefst færni til að vinna með fjölbreyttar upplýsingar og setja skilmerkilega fram s.s. með því að finna efni, greina, meta, vista, miðla og nýta.</t>
  </si>
  <si>
    <t xml:space="preserve">Starf krefst þess að starfsmaður afli afmarkaðra upplýsinga sem þörf er á hverju sinni og geti nýtt í samræmi við verklag og fyrirmæli.</t>
  </si>
  <si>
    <t xml:space="preserve">Starf krefst þess að starfsmaður noti viðeigandi tegundir heimilda, fyrirmæla eða verkferla (munnlegar, bækur, skjöl, net, tímarit) til að afla upplýsinga og vinna úr þeim.</t>
  </si>
  <si>
    <t xml:space="preserve">Starf krefst þess að starfsmaður afli fjölbreyttra upplýsinga með viðeigandi heimildum og á sjálfstæðan hátt og vinni úr þeim í samræmi við fyrirmæli og faglegan grunn.</t>
  </si>
  <si>
    <t xml:space="preserve">Tölvunotkun</t>
  </si>
  <si>
    <t xml:space="preserve">Starf krefst getu til að nýta þau forrit, gagnagrunna og kerfi sem nauðsynleg eru til að sinna starfinu.</t>
  </si>
  <si>
    <t xml:space="preserve">Starf krefst mjög lítillar eða engrar tölvunotkunar. Dæmi um kröfur er að fylgjast með tölvupósti og upplýsingum á innra neti og skrá viðveru eða vaktir.</t>
  </si>
  <si>
    <t xml:space="preserve">Starf krefst almennrar færni í algengum forritum, t.d. fyrir ritvinnslu, töflureikni og tölvupóst. Starfsmaður tileinkar sér þá tölvunotkun sem starfið krefst, t.d. beitir einföldum aðgerðum í forritum sem tengjast starfinu.</t>
  </si>
  <si>
    <t xml:space="preserve">Starf krefst nokkurar færni í algengum forritum, t.d. fyrir ritvinnslu, töflureikni, tölvupóst og glærugerð. Starfsmaður tileinkar sér þá færni sem starfið krefst, t.d. beitir sérhæfðum aðgerðum eins og að leita í gagnagrunnum og flytja gögn  milli algengra forrita.</t>
  </si>
  <si>
    <t xml:space="preserve">Starf krefst umtalsverðrar færni í algengum og sérhæfðum forritum og kerfum ásamt því að meta virkni.</t>
  </si>
  <si>
    <t xml:space="preserve">Starfið krefst mjög mikillar færni í algengum og sérhæfðum forritum og kerfum ásamt því að koma með tillögur að umbótum og innsetningu gagna.</t>
  </si>
  <si>
    <t xml:space="preserve">Íslenska</t>
  </si>
  <si>
    <t xml:space="preserve">Starf krefst þekkingar, skilnings og notkunar á íslensku máli.</t>
  </si>
  <si>
    <t xml:space="preserve">Starf krefst almennrar þekkingar, skilnings og notkunar á íslensku máli, ekki umfram það sem eðlilegt getur talist.</t>
  </si>
  <si>
    <t xml:space="preserve">Starf krefst nokkuð góðrar þekkingu, skilnings og notkunar á íslensku máli.</t>
  </si>
  <si>
    <t xml:space="preserve">Starf krefst góðrar þekkingu, skilnings og notkunar á íslensku máli.</t>
  </si>
  <si>
    <t xml:space="preserve">Starf krefst mjög góðrar þekkingu, skilnings og notkunar á íslensku máli.</t>
  </si>
  <si>
    <t xml:space="preserve">Starf krefst afburða þekkingar, skilnings og notkunar á íslensku máli.</t>
  </si>
  <si>
    <t xml:space="preserve">Erlend tungumál</t>
  </si>
  <si>
    <t xml:space="preserve">Starf krefst þekkingar, skilnings og notkunar á erlendu tungumáli.</t>
  </si>
  <si>
    <t xml:space="preserve">Starf krefst almennrar þekkingar, skilnings og notkunar á erlendu máli, ekki umfram það sem eðlilegt getur talist.</t>
  </si>
  <si>
    <t xml:space="preserve">Starf krefst nokkuð góðrar þekkingu, skilnings og notkunar á erlendu máli.</t>
  </si>
  <si>
    <t xml:space="preserve">Starf krefst góðrar þekkingu, skilnings og notkunar á erlendu máli.</t>
  </si>
  <si>
    <t xml:space="preserve">Starf krefst mjög góðrar þekkingu, skilnings og notkunar á erlendu máli.</t>
  </si>
  <si>
    <t xml:space="preserve">Starf krefst afburða þekkingar, skilnings og notkunar á erlendu máli.</t>
  </si>
  <si>
    <t xml:space="preserve">Talnalæsi</t>
  </si>
  <si>
    <t xml:space="preserve">Starf krefst færni til að vinna með tölur og beita viðeigandi reikniaðgerðum.</t>
  </si>
  <si>
    <t xml:space="preserve">Starf krefst skilnings á einföldum tölulegum upplýsingum og færni til að reikna einföld dæmi.</t>
  </si>
  <si>
    <t xml:space="preserve">Starf krefst færni til að gera útreikninga fyrir tiltekin verkefni og til að setja tölulegar upplýsingar fram á réttan hátt.</t>
  </si>
  <si>
    <t xml:space="preserve">Starf krefst þess að starfsmaður geti notað töluleg gögn til að rökstyðja og miðla upplýsingum.</t>
  </si>
  <si>
    <t xml:space="preserve">Starf krefst mikillar færni til að nota töluleg gögn í fjölbreyttum verkefnum. Meðhöndlun tölulegra upplýsinga er mikilvægur partur af starfinu.</t>
  </si>
  <si>
    <t xml:space="preserve">Starf krefst mjög mikillar færni og getu til að nota töluleg gögn í mjög fjölbreyttum verkefnum. Meðhöndlun mjög flókinna tölulegra upplýsinga er mjög viðamikill þáttur í starfinu.</t>
  </si>
  <si>
    <t xml:space="preserve">Lausn ágreinings</t>
  </si>
  <si>
    <t xml:space="preserve">Starfið krefst þess að starfsmaður komi í veg fyrir, spái fyrir um og leysi ágreining eða togstreitu af völdum innri eða ytri samskipta í vinnunni. Innri samskipti vísa til samskipta milli fólks sem starfa á sama vinnustað, óháð stöðu þeirra. Ytri samskipti vísa til samskipta starfsmanna við birgja, viðskiptavini eða aðra sem ekki starfa á vinnustaðnum.</t>
  </si>
  <si>
    <t xml:space="preserve">Starf krefst takmarkaðrar eða engrar hæfni í að leysa ágreining eða togstreitu. Þurfi starfsmaður að koma að lausn ágreinings telst það til undantekninga.</t>
  </si>
  <si>
    <t xml:space="preserve">Starf krefst nokkurrar hæfni í lausn ágreinings eða togstreitu af völdum innri samskipta.</t>
  </si>
  <si>
    <t xml:space="preserve">Starf krefst talsverðrar hæfni í lausn ágreinings eða togstreitu af völdum ytri samskipta. Gert er ráð fyrir að lausn ágreinings sé fyrirsjáanlegur hluti starfsins.</t>
  </si>
  <si>
    <t xml:space="preserve">Starf krefst mikillar hæfni í lausn ágreinings og togstreitu, bæði af völdum innri og ytri samskipta. Gert er rtáð fyrir að lausn ágreinings  sé reglulegur og fyrirsjáanlegur hluti starfsins.</t>
  </si>
  <si>
    <t xml:space="preserve">Starfið krefst mjög mikillar hæfni í lausn ágreinings eða togstreitu, bæði af völdum innri og ytri samskipta. Gert er ráð fyrir að lausn ágreinings sé óhjákvæmilegur hluti starfsins.</t>
  </si>
  <si>
    <t xml:space="preserve">Sjálfstæði</t>
  </si>
  <si>
    <t xml:space="preserve">Starf krefst færni til að grípa til sjálfstæðra aðgerða, skipuleggja og ljúka verkefnum í tíma, fylgja viðeigandi ferlum og nýta þau úrræði sem standa til boða.</t>
  </si>
  <si>
    <t xml:space="preserve">Starf krefst takmarkaðs sjálfstæðis. Starfið er unnið undir daglegri verkstjórn eða fyrirmælum og starfsmaður hefur ekkert eða lítið svigrúm til að breyta vinnuskipulagi.</t>
  </si>
  <si>
    <t xml:space="preserve">Starf krefst þess að starfsmaður vinni sjálfstætt eftir skipulagi vinnustaðar og ákveðnu tímaplani en leysir úr daglegum málum og forgangsraðar þeim eftir þörfum. Vandamálum er vísað til yfirmanns.</t>
  </si>
  <si>
    <t xml:space="preserve">Starf krefst þess að starfsmaður vinni töluvert sjálfstætt innan viðurkennds starfsramma en geti forgangsraðað verkefnum. Starfsmaður þarf reglulega að taka sjálfstæðar ákvarðanir en hefur samráð við yfirmann vegna stærri mála.</t>
  </si>
  <si>
    <t xml:space="preserve">Starf krefst mikils sjálfstæðis. Starfsmaður hefur umboð og vald til ákvarðanatöku gagnvart margskonar starfsemi. Starfsmaður nýtir þau úrræði sem standa til boða og er fær um að meta verðmæti verkefna. Starfsmaður hefur takmarkaðan aðgang að hærra settum yfirmönnum.</t>
  </si>
  <si>
    <t xml:space="preserve">Starf krefst mjög mikils og viðvarandi sjálfstæðis. Starfið lýtur lágmarksstjórnun og starfsmaður hefur skilgreint vald til ákvarðanatöku á víðtæku sviði.</t>
  </si>
  <si>
    <t xml:space="preserve">Frumkvæði</t>
  </si>
  <si>
    <t xml:space="preserve">Starf krefst frumkvæðis. Frumkvæði í starfi felur í sér að starfsmaður taki af skarið, leiti eftir og beri kennsl á tækifæri fyrir vinnustaðinn. Einnig að starfsmaður komi í veg fyrir áhrif mögulegra vandamála með því að sjá þau fyrir og vera undirbúinn.</t>
  </si>
  <si>
    <t xml:space="preserve">Starf krefst þess ekki að starfsmaður sýni sérstakt frumkvæði nema þar sem lítil eða engin hætta er á mistökum.</t>
  </si>
  <si>
    <t xml:space="preserve">Starf krefst þess að starfsmaður sýni frumkvæði öðru hvoru en fylgi að öðru leyti verkferlum. Leitar leiðsagnar þegar vafaatriði koma upp.</t>
  </si>
  <si>
    <t xml:space="preserve">Starf krefst þess að starfsmaður sýni töluvert frumkvæði í starfi og hafi svigrúm til sjálfstæðra vinnubragða og túlkunar og forgangsröðunar.</t>
  </si>
  <si>
    <t xml:space="preserve">Starf krefst þess að starfsmaður sýni mikið frumkvæði og sé sjálfstæður í vinnubrögðum. Geti unnið og þróað hugmyndir og verklag.</t>
  </si>
  <si>
    <t xml:space="preserve">Starf krefst þess að starfsmaður sýni mjög mikið frumkvæði í starfi og í þróun starfsvettvangs, umbótavinnu og uppsetningu verkefna. Leiðbeinir og leiðir vinnu. Sinnir nýsköpun markvisst og mati á árangri.</t>
  </si>
  <si>
    <t xml:space="preserve">Samskiptafærni</t>
  </si>
  <si>
    <t xml:space="preserve">Starf krefst færni í munnlegum og/eða skriflegum samskiptum. Taka þarf tillit til eðli samskiptanna.</t>
  </si>
  <si>
    <t xml:space="preserve">Starf krefst almennrar færni til að skiptast á almennum upplýsingum  við starfsfélaga og viðskiptavini.</t>
  </si>
  <si>
    <t xml:space="preserve">Starf krefst nokkurrar færni til að skiptast á almennum upplýsingum sem tengjast daglegum störfum við starfsfélaga og einstaka sinnum við t.d. almenning. Starf krefst þess að starfsmaður geti sýnt nærgætni þegar það á við.</t>
  </si>
  <si>
    <t xml:space="preserve">Starf krefst talsverðrar færni í samskiptum, sem er stór hluti starfsins. Þess er krafist að starfsmenn hafi einhvers konar þjálfun eða reynslu af slíkum samskiptum.</t>
  </si>
  <si>
    <t xml:space="preserve">Starf krefst mjög mikillar færni til að takast á við viðvarandi flókin eða erfið samskipti, sem er meginþáttur starfsins. Starf gæti krafist náms og/eða reynslu á sviði samskipta.</t>
  </si>
  <si>
    <t xml:space="preserve">Öryggisvitund</t>
  </si>
  <si>
    <t xml:space="preserve">Starf gerir tilteknar kröfur um öryggisvitund. Hér er átt við kröfur um færni til að framfylgja öruggum starfsháttum, koma auga á aðstæður sem geta skapað hættu á vinnustað og grípa til viðeigandi ráðstafana til að halda vinnuumhverfinu öruggu.</t>
  </si>
  <si>
    <t xml:space="preserve">Starf krefst þess að starfsmaður fari eftir leiðbeiningum og reglum um öryggi og hollustu, bregðist við augljósum hættum og viti hvert eigi að leita aðstoðar ef þörf er á.</t>
  </si>
  <si>
    <t xml:space="preserve">Starf krefst þess að starfsmaður fari eftir leiðbeiningum og reglum um öryggi og hollustu og leitist við að leiðrétta augljóslega hættulegar aðstæður á vinnustað.</t>
  </si>
  <si>
    <t xml:space="preserve">Starf krefst þess að starfsmaður fari eftir leiðbeiningum og reglum um öryggi og hollustu, miði að því að auka öryggi og setji fram tillögur sem stuðla að auknu öryggi og betri vinnuaðstæðum.</t>
  </si>
  <si>
    <t xml:space="preserve">Starf krefst þess að starfsmaður framfylgi ávallt öruggum starfsháttum, geri kröfu um að farið sé eftir reglum um öryggi og hollustu og stuðli að aukinni öryggisvitund í vinnuumhverfi sínu.</t>
  </si>
  <si>
    <t xml:space="preserve">Starf krefst þess að starfsmaður framfylgi ávallt öruggum starfsháttum, miðli reglulega upplýsingum um öruggt verklag og innleiði verklagsreglur um öryggi og hollustuhætti. Greinir mögulegar hættur í tíma og gerir viðeigandi ráðstafanir.</t>
  </si>
  <si>
    <t xml:space="preserve">Mannaforráð</t>
  </si>
  <si>
    <t xml:space="preserve">Metin er sú ábyrgð sem starfsmaður ber á vinnu annarra, þ.e. þeirra sem hann hefur formlega umsjón með og ber ábyrgð á, s.s. að ráða starfsmenn, veita hvatningu og móta starfsmannastefnu.</t>
  </si>
  <si>
    <t xml:space="preserve">Starfið felur í sér takmarkaða eða enga beina ábyrgð á verkstjórn, leiðsögn eða samræmingu á vinnu annarra.</t>
  </si>
  <si>
    <t xml:space="preserve">Starfið felur í sér einhverja beina ábyrgð á verkstjórn, samræmingu á vinnu annarra eða þjálfun annarra starfsmanna.</t>
  </si>
  <si>
    <t xml:space="preserve">Starfið felur í sér talsverða beina ábyrgð á stjórnun, leiðsögn, samræmingu eða þjálfun og þróun annarra starfsmanna.</t>
  </si>
  <si>
    <t xml:space="preserve">Starfið felur í sér mikla beina ábyrgð á stjórnun, leiðsögn, samræmingu og þróun töluverðs fjölda annarra starfsmanna.</t>
  </si>
  <si>
    <t xml:space="preserve">Starfið felur í sér mjög mikla beina ábyrgð á stjórnun, leiðsögn, samræmingu og þróun mikils fjölda annarra starfsmanna.</t>
  </si>
  <si>
    <t xml:space="preserve">Verkefnastjórnun</t>
  </si>
  <si>
    <t xml:space="preserve">Starf krefst stýringar og skipulags á notkun aðfanga í því skyni að verkefni, atburður eða ferli færist nær verkáfanga eða verklokum.</t>
  </si>
  <si>
    <t xml:space="preserve">Starfið felur í sér takmarkaða eða enga verkefnastjórnun. Auðlindir/aðföng (resources)eru notaðar í samræmi við starfsreglur.</t>
  </si>
  <si>
    <t xml:space="preserve">Starf krefst þess að starfsmaður geri tímaáætlanir og sér til þess að verkefni séu kláruð í tíma. Auðlindir, tæki og tól notuð á hagkvæman hátt.</t>
  </si>
  <si>
    <t xml:space="preserve">Starf krefst þess að starfsmaður sé fær um að skipuleggja og stýra verkefnateymi. Hefur umsjón með hagkvæmri nýtingu auðlinda.</t>
  </si>
  <si>
    <t xml:space="preserve">Starf krefst þess að starfsmaður skilgreini og nýti árangursmælikvarða með þarfir verkefnis og viðskiptavina í huga.Stýrir og metur notkun auðlinda verkefna/vinnustaðar</t>
  </si>
  <si>
    <t xml:space="preserve">Starf krefst þess að starfsmaður þekki til og hafi færni til að nota aðferðafræði verkefnastjórnunar. Starf gerir kröfu um góða yfirsýn yfir verkþætti, áætlanir, samstarfsaðila  og tök á fjölbreyttum vinnu- og matsaðferðum.</t>
  </si>
  <si>
    <t xml:space="preserve">Ábyrgð á fjármálum</t>
  </si>
  <si>
    <t xml:space="preserve">Metin er bein ábyrgð á fjármunum, s.s. reiðufé, beiðnum, ávísunum, reikningsfærslum, rafrænum bankafærslum, reikningum, fjárhagsáætlunum, tekjum og gjöldum.</t>
  </si>
  <si>
    <t xml:space="preserve">Starfið felur í sér takmarkaða eða enga beina ábyrgð á fjármunum.</t>
  </si>
  <si>
    <t xml:space="preserve">Starfið felur í sér nokkra beina ábyrgð á fjármunum.</t>
  </si>
  <si>
    <t xml:space="preserve">Starfið felur í sér mikla beina ábyrgð á fjármunum. Fylgist með kostnaði s.s. Gjöldum og tekjum í afmörkuðum verkefnum.</t>
  </si>
  <si>
    <t xml:space="preserve">Starfið felur í sér mjög mikla beina ábyrgð á fjármunum. Kemur að ákvörðunum um útgjöld og hagkvæmni.</t>
  </si>
  <si>
    <t xml:space="preserve">Starfið felur í sér mjög yfirgripsmikla beina ábyrgð á fjármunum. Felur í sér ábyrgð á reikningum og reikningsskilum og umsjón með framkvæmd, þróun og endurskoðun fjármála.</t>
  </si>
  <si>
    <t xml:space="preserve">Ábyrgð á þjónustu</t>
  </si>
  <si>
    <t xml:space="preserve">Metin er á bein ábyrgð á þjónustu.</t>
  </si>
  <si>
    <t xml:space="preserve">Starfið felur í sér takmarkaða eða enga beina ábyrgð á þjónustu.</t>
  </si>
  <si>
    <t xml:space="preserve">Starfið felur í sér nokkra beina ábyrgð á framkvæmd þjónustu.</t>
  </si>
  <si>
    <t xml:space="preserve">Starfið felur í sér mikla beina ábyrgð á þjónustu, s.s. Skipulag og mat á einstaka þjónustuþáttum.</t>
  </si>
  <si>
    <t xml:space="preserve">Starfið felur í sér mjög yfirgripsmikla beina ábyrgð á þjónustu s.s. skipulag, þróun, mat og umbætur á þjónustu ásamt innleiðingu á breytingum.</t>
  </si>
  <si>
    <t xml:space="preserve">Ábyrgð á upplýsingagjöf</t>
  </si>
  <si>
    <t xml:space="preserve">Metin er á bein ábyrgð á upplýsingagjöf.</t>
  </si>
  <si>
    <t xml:space="preserve">Starfið felur í sér takmarkaða eða enga beina ábyrgð á upplýsingagjöf.</t>
  </si>
  <si>
    <t xml:space="preserve">Starfið felur í sér nokkra beina ábyrgð á upplýsingagjöf.</t>
  </si>
  <si>
    <t xml:space="preserve">Starfið felur í sér mikla beina ábyrgð á upplýsingagjöf.</t>
  </si>
  <si>
    <t xml:space="preserve">Starfið felur í sér mjög mikla beina ábyrgð á upplýsingagjöf.</t>
  </si>
  <si>
    <t xml:space="preserve">Starfið felur í sér mjög yfirgripsmikla beina ábyrgð á upplýsingagjöf.</t>
  </si>
  <si>
    <t xml:space="preserve">Ábyrgð á fólki</t>
  </si>
  <si>
    <t xml:space="preserve">Metin er sú ábyrgð sem starfsmaður ber á einstaklingum eða hópum (t.d. almenningi, þjónustuþegum og/eða viðskiptavinum)</t>
  </si>
  <si>
    <t xml:space="preserve">Starfið felur í sér takmörkuð eða engin bein áhrif á velferð einstaklinga eða hópa.</t>
  </si>
  <si>
    <t xml:space="preserve">Starfið felur í sér einhver bein áhrif á velferð einstaklinga eða hópa vegna verkefna eða skyldna sem snúa beint að hag þeirra.</t>
  </si>
  <si>
    <t xml:space="preserve">Starfið felur í sér talsverð bein áhrif á velferð einstaklinga eða hópa, t.d. þegar  starfsmaður þarf að greina þarfir einstaklinga eða hópa eða ef hann þarf að framfylgja/innleiða lög sem hafa áhrif á þá.</t>
  </si>
  <si>
    <t xml:space="preserve">Starfið felur í sér mikil bein áhrif á velferð einstaklinga eða hópa, t.d. þegar starfsmaður þarf að greina/meta þörf fyrir þjónustu eða ef hann þarf að framfylgja/innleiða lög sem hafa áhrif á einstaklinga eða hópa.</t>
  </si>
  <si>
    <t xml:space="preserve">Starfið felur í sér mjög mikil bein áhrif á velferð einstaklinga eða hópa sem eru háðir þjónustu frá starfsmanninum. Starfsmaður vinnur úr og metur þarfir fólks og skipuleggur hvernig ákveðin umönnun, þjónusta eða stuðningur er veittur.</t>
  </si>
  <si>
    <t xml:space="preserve">Ábyrgð á öryggi og hreinlæti (þarf að skilgreina nánar) og umhverfi.</t>
  </si>
  <si>
    <t xml:space="preserve">Fólk, upplýsingaöryggi, slysahættur, umhverfið, öryggisvitund (hæfni), ræstingar, matvæli. Að stöðlum sé fylgt eftir.</t>
  </si>
  <si>
    <t xml:space="preserve">Starfið felur í sér takmarkaða eða enga beina ábyrgð á öryggi og/eða hreinlæti. Getur leyst og haldið utan um öryggi í afmörkuðu verkefni.</t>
  </si>
  <si>
    <t xml:space="preserve">Starfið felur í sér nokkra beina ábyrgð á öryggi og/eða hreinlæti. Getur haldið utan um algeng verkefni öryggismála.</t>
  </si>
  <si>
    <t xml:space="preserve">Starfið felur í sér mikla beina ábyrgð á öryggi og/eða hreinlæti. Hefur yfirsýn yfir öryggismál á ákveðnu sviði.</t>
  </si>
  <si>
    <t xml:space="preserve">Starfið felur í sér mjög mikla beina ábyrgð á öryggi og/eða hreinlæti. Hefur yfirsýn og ber ábyrgð á réttri framkvæmd öryggismála á sínu sviði.</t>
  </si>
  <si>
    <t xml:space="preserve">Starfið felur í sér mjög yfirgripsmikla beina ábyrgð á öryggi og/eða hreinlæti. Hefur sérþekkingu á öryggismálum og þróar nýja nálgun eða umbætur út frá mati. Stýrir prófunum, leiðréttir og leiðbeinir.</t>
  </si>
  <si>
    <t xml:space="preserve">Ábyrgð á gæðum</t>
  </si>
  <si>
    <t xml:space="preserve">Hér er metin ábyrgð á því hvernig efnisleg og huglæg gæði eru nýtt, hvernig þeirra er aflað og þeim skipt.</t>
  </si>
  <si>
    <t xml:space="preserve">Ábyrgð á gæðum er bundin við eðlilega aðgæslu á þeim verkefnum sem starfsmanninum eru falin.</t>
  </si>
  <si>
    <t xml:space="preserve">Starfsmaður ber ábyrgð á öflun verkefna og/eða úrlausn verkefna og/eða öflun tekna til sérverkefna.</t>
  </si>
  <si>
    <t xml:space="preserve">Starfsmaður ber ábyrgð á framkvæmd tillagna/ákvarðana um starfsemi. Fylgist með og tryggir hagkvæma notkun verðmæta.</t>
  </si>
  <si>
    <t xml:space="preserve">Starfsmaður ber ábyrgð á tillögum um ákvarðanir varðandi starfsemi. Stýrir og metur notkun verðmæta</t>
  </si>
  <si>
    <t xml:space="preserve">Starfsmaður ber ábyrgð á ákvörðunum sem ætlað er að hafa miklar breytingar í för með sér. Ábyrgð á skilgreiningum og forgangsröðun verkefna og mat á skilvirkni í notkun gæða.</t>
  </si>
  <si>
    <t xml:space="preserve">Ábyrgð á búnaði (eða auðlindum)</t>
  </si>
  <si>
    <t xml:space="preserve">Metin er sú beina ábyrgð sem starfsmaður ber á búnaði, s.s. hugbúnaði, upplýsingakerfum, gögnum eða skjölum, verkfærum, tækjum og vélum, vörubirgðum, byggingum, landareignum og öðrum svæðum.</t>
  </si>
  <si>
    <t xml:space="preserve">Starfið felur í sér takmarkaða eða enga beina ábyrgð á búnaði, tækjum og mannvirkjum.</t>
  </si>
  <si>
    <t xml:space="preserve">Starfið felur í sér nokkra beina ábyrgð á búnaði, tækjum og mannvirkjum.</t>
  </si>
  <si>
    <t xml:space="preserve">Starfið felur í sér talsverða beina ábyrgð á búnaði, tækjum og mannvirkjum.</t>
  </si>
  <si>
    <t xml:space="preserve">Starfið felur í sér mikla beina ábyrgð á búnaði, tækjum og mannvirkjum.</t>
  </si>
  <si>
    <t xml:space="preserve">Starfið felur í sér mjög mikla beina ábyrgð á búnaði, tækjum og mannvirkjum.</t>
  </si>
  <si>
    <t xml:space="preserve">Ábyrgð á trúnaðarupplýsingum</t>
  </si>
  <si>
    <t xml:space="preserve">Metin er á bein ábyrgð á trúnaðarupplýsingum.</t>
  </si>
  <si>
    <t xml:space="preserve">Starfið felur í sér takmarkaða eða enga beina ábyrgð á trúnaðarupplýsingum.</t>
  </si>
  <si>
    <t xml:space="preserve">Starfið felur í sér nokkra beina ábyrgð á trúnaðarupplýsingum.</t>
  </si>
  <si>
    <t xml:space="preserve">Starfið felur í sér mikla beina ábyrgð á trúnaðarupplýsingum.</t>
  </si>
  <si>
    <t xml:space="preserve">Starfið felur í sér mjög mikla beina ábyrgð á trúnaðarupplýsingum.</t>
  </si>
  <si>
    <t xml:space="preserve">Starfið felur í sér mjög yfirgripsmikla beina ábyrgð á trúnaðarupplýsingum.</t>
  </si>
  <si>
    <t xml:space="preserve">Tilfinningalegt álag</t>
  </si>
  <si>
    <t xml:space="preserve">Metið er það tilfinningalega álag sem í starfinu felst vegna eðli starfsins eða samkipta starfsmanns við aðra t.d. einstaklinga sem eru reiðir, ósamvinnuþýðir eða veikir. Getur einnig átt við um viðvarandi álag vegna tímapressu og ófyrirséðrar viðveru. Samskipti eða aðstæður hafa bein áhrif á líðan starfsmanns á þann hátt að það komi honum í tilfinningalegt uppnám, t.d. að hann finni fyrir streitu, vanmætti, sorg, spennu eða reiði.</t>
  </si>
  <si>
    <t xml:space="preserve">Starfið felur í sér lítið eða takmarkað tilfinningalegt álag. Samskipti við aðila sem gætu, vegna aðstæðna sinna eða hegðunar, valdið starfsmanni tilfinningalegu álagi eru sjaldgæf og teljast til undantekninga.</t>
  </si>
  <si>
    <t xml:space="preserve">Starfið felur í sér stundum tilfinningalegt álag. Starfsmaður er í samskiptum við aðila sem vegna aðstæðna sinna eða hegðunar geta öðru hverju valdið starfsmanni einhverju tilfinningalegu álagi.</t>
  </si>
  <si>
    <t xml:space="preserve">Starfið felur í sér nokkuð tilfinningalegt álag eða öðru hverju umtalsvert tilfinningalegt álag. Gert er ráð fyrir að tilfinningalegt álag sé fyrirsjáanlegur hluti starfsins.  Starfsmaður er í samskiptum við krefjandi aðila eða hópa eða vinnur náið með einstaklingum sem vegna aðstæðna sinna valda starfsmanninum tilfinningalegu álagi.</t>
  </si>
  <si>
    <t xml:space="preserve">Starfið felur í sér umtalsvert tilfinningalegt álag eða öðru hverju mjög mikið tilfinningalegt álag. Gert er ráð fyrir að tilfinningalegt álag sé reglulegur og fyrirsjáanlegur hluti starfsins. Starfsmaður er í samskiptum við krefjandi aðila eða hópa sem vegna aðstæðna sinna valda starfsmanninum reglulegu tilfinningalegu álagi. Starfsmaður þarf að taka ákvarðanir um úrræði fyrir krefjandi aðila og fylgja málum þeirra eftir. Starfinu fylgir umtalsverð tilfinningaleg áreynsla.</t>
  </si>
  <si>
    <t xml:space="preserve">Starfið felur í sér mjög mikið viðvarandi tilfinningalegt álag. Gert er ráð fyrir að mjög mikið tilfinningalegt álag sé óhjákvæmilegur hluti starfsins. Starfsmaður er í samskiptum við aðila eða hópa sem vegna aðstæðna sinna valda starfsmanninum mjög miklu viðvarandi tilfinningalegu álagi. Starfsmaður þarf að taka ákvarðanir um úrræði fyrir aðra og ber ábyrgð á ákvarðanatöku í málum sem hafa veruleg áhrif á aðstæður og velferð þeirra.</t>
  </si>
  <si>
    <t xml:space="preserve">Líkamlegt álag</t>
  </si>
  <si>
    <t xml:space="preserve">Metið er það líkamlega álag sem í starfinu felst, hvort starfsmaður þurfi úthald og líkamlegan styrk til að sinna verkefnum starfsins og hversu mikið reynir á slíkt. Tekið er tillit til mismunandi tegunda líkamlegs álags, t.d. líkamlegrar áreynslu vegna meðhöndlunar þungra byrða (lyfta, bera, færa úr stað), vinnustellinga og hreyfingar (standa, ganga, sitja, beygja sig, krjúpa, klifra), samhæfingar (fín- og grófhreyfingar) og líkamlegra viðbragða og stjórnar (vegna notkunar tækja og vélbúnaðar).</t>
  </si>
  <si>
    <t xml:space="preserve">Í starfinu felst lítið eða takmarkað líkamlegt álag. Starfið er að mestu unnið í sitjandi stöðu og auðvelt er að standa upp reglulega og hreyfa sig. Einhverjar kröfur kunna að vera gerðar um að standa, ganga, beygja sig eða teyja og stöku sinnum kann að vera þörf á að lyfta eða bera létta hluti.</t>
  </si>
  <si>
    <t xml:space="preserve">Starfinu fylgir eitthvert viðvarandi líkamlegt álag eða takmarkað líkamlegt álag að jafnaði. Til dæmis regluleg seta í þvingaðri stöðu, að standa eða ganga á eðlilegum hraða í lengri tíma, að lyfta, bera eða færa úr stað létta eða meðalþunga hluti eða að þrífa eða starfa í óþægilegri vinnustellingu.</t>
  </si>
  <si>
    <t xml:space="preserve">Í starfinu felst reglulegt líkamlegt álag eða öðru hverju umtalsvert líkamlegt álag. Til dæmis þegar reglulega þarf að lyfta, bera eða færa úr stað meðalþunga hluti eða skrúbba, starfa í óþægilegri vinnustellingu, meðhöndla reglubundið þungar byrðar eða starfa í mjög óþægilegri líkamsstellingu reglubundið.</t>
  </si>
  <si>
    <t xml:space="preserve">Áreiti og andlegt álag</t>
  </si>
  <si>
    <t xml:space="preserve">Metið er það andlega álag sem í starfinu felst, hvort starfið krefjist athygli, árverkni og einbeitingar og hversu mikið reynir á slíkt, m.a. vegna þess áreitis sem hlýst af aðgengi annarra að starfsmanni. Tekið er tillit til mismunandi tegunda andlegrar áreynslu, til dæmis að hugsa, horfa og hlusta.</t>
  </si>
  <si>
    <t xml:space="preserve">Í starfinu felst lítið eða takmarkað andlegt álag. Gerðar eru eðlilegar kröfur um andlega áreynslu, athygli, árverkni og einbeitingu. Starfið er yfirleitt unnið án þess að þörf sé á yfirvinnu, truflanir eru sjaldgæfar, starfsmenn stjórna eigin vinnuhraða og yfirleitt er lítill þrýstingur um að klára þurfi verkefni á ákveðnum tíma.</t>
  </si>
  <si>
    <t xml:space="preserve">Starfinu fylgir öðru hverju andlegt álag. Gerðar eru einhverjar kröfur um andlega áreynslu, athygli, árverkni og einbeitingu. Einstaka sinnum gæti starfsmaður þurft að vinna yfirvinnu til að ljúka verkefnum og truflanir eru hóflegar. Starfsmenn stjórna yfirleitt vinnuhraða sínum en stundum er þrýstingur um að klára þurfi verkefni á ákveðnum tíma.</t>
  </si>
  <si>
    <t xml:space="preserve">Í starfinu felst nokkuð andlegt álag. Gert er ráð fyrir að andleg áreynsla sé fyrirsjáanlegur hluti starfsins og gerðar eru þó nokkrar kröfur um athygli, árverkni og einbeitingu. Starfið krefst mikillar viðveru á vinnustöð og getur komið upp að frítími skerðist eða að þörf sé á að starfsmaður vinni yfirvinnu. Truflanir eða félagslegt áreiti er umtalsvert. Starfsmenn stjórna oftast vinnuhraða sínum en nokkur þrýstingur er á að klára verkefni á ákveðnum tíma.</t>
  </si>
  <si>
    <t xml:space="preserve">Vinnuumhverfi</t>
  </si>
  <si>
    <t xml:space="preserve">Í þessum þætti eru metnar vinnuaðstæður sem geta talist óæskilegar, óþægilegar eða hættulegar sökum umhverfisþátta eða vinnu með fólki. Þeir þættir sem taka þarf tillit til eru m.a. eiturefni, gufur, hávaði af öllum gerðum (vegna véla, umhverfis, manna), lýsing, glampi, hitastig, hitabreytingar. óhreinindi, ryk, loftræsting, raki, titringur, líkamsvessar, úrgangur, óþefur, reykur, fita, olía, skörp áhöld og verkfæri, veður, ónæði, umgangur og einangrun, Einnig er metin hætta á meiðslum, veikindum og heilsufarsvandamálum, s.s. vegna nálægðar við eiturefni, vélar og sjúkdóma. Einnig ef hætta er á einhverskonar ofbeldi eða ágengni. Tekið er tillit til hversu oft og hversu lengi starfsmaður þarf að vinna við óæskilegar, óþægilegar eða hættulegar aðstæður. Metnir eru þeir þættir sem eru óhjákvæmilegur hluti starfsins. Ávallt er gert ráð fyrir að farið sé að heilbrigðis- og öryggiskröfum og reglugerðum.</t>
  </si>
  <si>
    <t xml:space="preserve">Starfið krefst þess sjaldan að starfsmaður vinni við aðstæður sem geta talist óæskilegar, óþægilegar eða hættulegar. Lítil sem engin hætta er á ofbeldi, ágengni, meiðslum, sjúkdómum eða öðrum heilsufarsvandamálum.</t>
  </si>
  <si>
    <t xml:space="preserve">Starfið krefst þess að starfsmaður vinni stundum við aðstæður sem geta talist óæskilegar, óþægilegar eða hættulegar. Ekki er þörf á að starfsmaður noti sérstakan öryggisbúnað við störf sín eða að gripið sé til sérstakra varúðarráðstafana. Eða að hætta á ofbeldi, ágengni eða óviðeigandi hegðun annars fólks er stundum til staðar.</t>
  </si>
  <si>
    <t xml:space="preserve">Hávaði</t>
  </si>
  <si>
    <t xml:space="preserve">Metið er hvort starf geri kröfur um að starfsmaður starfi við hávaða. Hávaði telst vera óæskilegt hljóð og er styrkur þess mældur í desíbilum (dB). Sá tími sem unnið er í hávaða hefur einnig áhrif á skaðsemi hávaðans. Hávaði getur m.a. orsakast af margskonar vélarhljóðum, vinnuvélum, tækjum og fólki. Ávallt er gerð ráð fyrir að farið sé að heilbrigðis- og öryggiskröfum, lögum um aðbúnað, hollustuhætti og öryggi á vinnustöðum og reglugerðum.</t>
  </si>
  <si>
    <t xml:space="preserve">Starfið gerir sjaldan kröfur um að starfsmaður starfi við hávaða. Óæskilegur hávaði sem veldur starfsmanni óþægindum er sjaldgæfur og telst til undantekninga.</t>
  </si>
  <si>
    <t xml:space="preserve">Starfið gerir öðru hverju kröfur um að starfsmaður starfi við hávaða. Starfinu fylgir tímabundinn hávaði frá vélum, tækjum, búnaði og fólki.</t>
  </si>
  <si>
    <t xml:space="preserve">Starfið gerir þó nokkrar kröfur um að starfsmaður starfi við hávaða. Gert er ráð fyrir að hávaði sé fyrirsjáanlegur hluti starfsins. Starfinu fylgir tímabundinn hávaði frá vélum, tækjum og búnaði en stöðugur hávaði frá fólki.</t>
  </si>
  <si>
    <t xml:space="preserve">Starfið gerir umtalsverðar kröfur um að starfsmaður starfi við hávaði. Gert er ráð fyrir að hávaði sé reglulegur og fyrirsjáanlegur hluti starfsins. Starfinu fylgir tímabundinn hávaði frá fólki en stöðugur hávaði frá vélum, tækjum og búnaði.</t>
  </si>
  <si>
    <t xml:space="preserve">Starfið gerir mjög miklar kröfur um að starfsmaður starfi við hávaða. Gert er ráð fyrir að mikill hávaði sé óhjákvæmilegur hluti starfsins. Starfinu fylgir stöðugur hávaði frá vélum, tækjum, búnaði og fólki.</t>
  </si>
  <si>
    <t xml:space="preserve">Metið er hvort starf geri kröfur um að starfsmaður starfi við slæma lýsingu. Tekið er tillit til mismunandi ljósgjafa (dagsbirta, innilýsing) og dreifingar birtu. Of mikið eða of lítið birtugildi telst óæskilegt en þegar meta á áhrif lýsingarbúnaðar á starfsmann þarf þó einnig að taka tillit til annarra eiginleika lýsingarinnar og umhverfis, s.s. endurskin og ofbirtu. Ávallt er gert ráð fyrir að farið sé að heilbrigðis- og öryggiskröfum, lögum og reglugerðum.</t>
  </si>
  <si>
    <t xml:space="preserve">Starfið gerir sjaldan kröfur um að starfsmaður starfi við óæskilega lýsingu. Óæskileg lýsing sem veldur starfsmanni óþægindum er sjaldgæf og telst til undantekninga.</t>
  </si>
  <si>
    <t xml:space="preserve">Starfið gerir öðru hverju kröfur um að starfsmaður starfi við óæskilega lýsingu. Starfið er unnið í bæði náttúrulegri lýsingu og raflýsingu.</t>
  </si>
  <si>
    <t xml:space="preserve">Starfið gerir þó nokkrar kröfur um að starfsmaður starfi við óæskilega lýsingu. Gert er ráð fyrir að óæskileg lýsing sé fyrirsjáanlegur hluti starfsins. Starfið er unnið í náttúrulegri lýsingu en einnig á svæðum sem lýst eru upp með raflýsingu og birtuskilyrði eru sumstaðar slæm.</t>
  </si>
  <si>
    <t xml:space="preserve">Starfið gerir umtalsverðar kröfur um að starfsmaður starfi við óæskilega lýsingu. Gert er ráð fyrir að óæskileg lýsing sé reglulegur og fyrirsjáanlegur hluti starfsins. Starfið er eingöngu unnið á svæðum sem lýst eru upp með raflýsingu.</t>
  </si>
  <si>
    <t xml:space="preserve">Starfið gerir mjög miklar kröfur um að starfsmaður starfi við óæskilega lýsingu. Gert er ráð fyrir að óæskileg lýsing sé óhjákvæmilegur hluti starfsins. Starfið er unnið á svæðum sem eingöngu eru lýst upp með raflýsingu og þar eru einnig illa upplýst svæði.</t>
  </si>
  <si>
    <t xml:space="preserve">Gufur og eiturefni</t>
  </si>
  <si>
    <t xml:space="preserve">Metið er hvort starf geri kröfur um að starfsmaður starfi við áhættu vegna efnanotkunar, s.s. gas, gufur og leysiefni. Ávallt er gert ráð fyrir að farið sé að heilbrigðis- og öryggiskröfum, lögum og reglugerðum. Auk þess að farið sé eftir þeim öryggisblöðum sem fylgja efnunum hverju sinni.</t>
  </si>
  <si>
    <t xml:space="preserve">Starfið gerir sjaldan eða aldrei kröfur um að starfsmaður sé útsettur fyrir óæskilegum efnum. Nálægð við efni sem geta valdið starfsmanni óþægindum er sjaldgæf og telst til undantekninga.</t>
  </si>
  <si>
    <t xml:space="preserve">Starfið gerir öðru hverju kröfur um að starfsmaður sé útsettur fyrir óæskilegum efnum, eins og hreinsiefnum og gufu, en þó í litlu mæli.</t>
  </si>
  <si>
    <t xml:space="preserve">Starfið gerir þó nokkrar kröfur um að starfsmaður sé útsettur fyrir óæskilegum eða hættulegum efnum. Gert er ráð fyrir að vinna í eða með efni sem geta valdið starfsmanni óþægindum eða skaða sé fyrirsjáanlegur hluti starfsins.</t>
  </si>
  <si>
    <t xml:space="preserve">Starfið gerir umtalsverðar kröfur um að starfsmaður sé útsettur fyrir óæskilegum eða hættulegum efnum. Gert er ráð fyrir að slík efni, t.d. gufa, hreinsiefni, kolmónoxíð, reykur og eiturefni, séu reglulegur og fyrirsjáanlegur hluti starfsins.</t>
  </si>
  <si>
    <t xml:space="preserve">Starfið gerir mjög miklar kröfur um að starfsmaður sé útsettur fyrir óæskilegum eða hættulegum efnum. Gert er ráð fyrir að slík efni, t.d. gufa, hreinsiefni, kolmónoxíð, reykur og eiturefni, séu óhjákvæmilegur hluti starfsins.</t>
  </si>
  <si>
    <t xml:space="preserve">Vinnuhraði</t>
  </si>
  <si>
    <t xml:space="preserve">Metinn er sá vinnuhraði sem starfið krefst. Vinnuhraði vísar til þess hversu mikið starfsmaður þarf að vinna. Einnig er metið hvort í starfinu felist að starfsmaður lendi í tímapressu.</t>
  </si>
  <si>
    <t xml:space="preserve">Starfsmaður stýrir vinnuhraða sínum og tímapressa er sjaldgæf.</t>
  </si>
  <si>
    <t xml:space="preserve">Starfsmaður stýrir yfirleitt vinnuhraða sínum en einhver tímapressa kann að vera til staðar.</t>
  </si>
  <si>
    <t xml:space="preserve">Starfsmaður stýrir ekki alltaf vinnuhraða sínum og tímapressa er töluverð.</t>
  </si>
  <si>
    <t xml:space="preserve">Hætta á slysum og sjúkdómum</t>
  </si>
  <si>
    <t xml:space="preserve">Metin er hætta á slysum og sjúkdómum í starfi. Tekið er tillit til allra vinnuaðstæðna sem hugsanlega geta valdið starfsmanni skaða. Ávallt er gert ráð fyrir að farið sé að heilbrigðis- og öryggiskröfum, lögum og reglugerðum.  Dæmi um hættur og afleiðingar eru skurðir, bruni, að detta, eitranir, sprengingar, raflost, líkamleg meiðsl, heyrnarskemmdir, húðsjúkdómar, smitsjúkdómar, ofnæmi, streita, stoðkerfisvandamál og öndunarfærasjúkdómar. Ávallt er gert ráð fyrir að farið sé að heilbrigðis- og öryggiskröfum og reglugerðum.</t>
  </si>
  <si>
    <t xml:space="preserve">Í starfinu felst lítil eða takmörkuð hætta á slysum og sjúkdómum.</t>
  </si>
  <si>
    <t xml:space="preserve">í starfinu felst nokkur hætta á slysum og sjúkdómum, en hætta á alvarlegum sjúkdómum og slysum er mjög lítil og telst til undantekninga.</t>
  </si>
  <si>
    <t xml:space="preserve">Í starfinu felst þó nokkur hætta á slysum og sjúkdómum. Slík hætta er fyrirjáanlegur hluti starfsins.</t>
  </si>
  <si>
    <t xml:space="preserve">Í starfinu felst umtalsverð og viðvarandi hætta á slysum og sjúkdómum. Slík hætta er reglulegur og fyrirjáanlegur hluti starfsins.</t>
  </si>
  <si>
    <t xml:space="preserve">Í starfinu felst mjög mikil hætta á slysum og sjúkdómum. Slík hætta er óhjákvæmilegur hluti starfsins.</t>
  </si>
  <si>
    <t xml:space="preserve">Frammistöðumat</t>
  </si>
  <si>
    <t xml:space="preserve">Hér getur fyrirtæki skilgreint niðurstöður úr frammistöðumati. Ef einungis eru skráðar niðurstöður þá þarf að liggja fyrir upplýsingar, rekjanlegar og skjalfestar um hvernig komist var að umræddri niðurstöðu.</t>
  </si>
  <si>
    <t xml:space="preserve">Niðurstaða úr frammistöðumati 1. T.d. Undir væntingum</t>
  </si>
  <si>
    <t xml:space="preserve">Niðurstaða úr frammistöðumati 2. T.d. Stendur undir væntingum</t>
  </si>
  <si>
    <t xml:space="preserve">Niðurstaða úr frammistöðumati 3. T.d. Umfram væntingar</t>
  </si>
  <si>
    <t xml:space="preserve">Niðurstaða úr frammistöðumati 4. T.d. umfram væntingar og framúrskarandi á vissum sviðum.</t>
  </si>
  <si>
    <t xml:space="preserve">Niðurstaða úr frammistöðumati 5. T.d. Framúrskarandi</t>
  </si>
  <si>
    <t xml:space="preserve">Einstaklingsbundinn þáttur</t>
  </si>
  <si>
    <t xml:space="preserve">Þjálfun annars starfsfólks/handleiðsla</t>
  </si>
  <si>
    <t xml:space="preserve">Þátttaka starfsmanns í þjálfun nýs/annars starfsfólks sem metin er til launa.</t>
  </si>
  <si>
    <t xml:space="preserve">Starfsmaður tekur lítinn eða engan þátt í þjálfun nýs/annars starfsfólks</t>
  </si>
  <si>
    <t xml:space="preserve">Starfsmaður tekur þátt í þjálfun nýs/annars starfsfólks</t>
  </si>
  <si>
    <t xml:space="preserve">Starfsmaður tekur þátt í þjálfun nýs/annars starfsfólks og ber einhverja ábyrgð á henni.</t>
  </si>
  <si>
    <t xml:space="preserve">Starfsmaður skipuleggur og tekur mikinn þátt í þjálfun nýs/annars starfsfólks</t>
  </si>
  <si>
    <t xml:space="preserve">Starfsmaður ber ábyrgð á skipulagi og þjálfun nýs/annars starfsfólks</t>
  </si>
  <si>
    <t xml:space="preserve">Starfsreynsla / starfsaldur</t>
  </si>
  <si>
    <t xml:space="preserve">Starfsaldur/starfsþjálfun á vinnustað og/eða í sambærilegu starfi sem metin er til launa.</t>
  </si>
  <si>
    <t xml:space="preserve">Starfsmaður hefur ekki starfsreynslu.</t>
  </si>
  <si>
    <t xml:space="preserve">Starfsmaður hefur nokkra starfsreynslu (1-2 ár).</t>
  </si>
  <si>
    <t xml:space="preserve">Starfsmaður hefur nokkuð mikla starfsreynslu (2-5 ár).</t>
  </si>
  <si>
    <t xml:space="preserve">Starfsmaður hefur mikla starfsreynslu (5-8 ár).</t>
  </si>
  <si>
    <t xml:space="preserve">Starfsmaður hefur mjög mikla starfsreynslu (8 ár eða meira) og getu til að leiðbeina.</t>
  </si>
  <si>
    <t xml:space="preserve">Menntun umfram kröfur til starfs sem metin er til launa. T.d. krafa um iðnmenntun en starfsmaður hefur meistararéttindi, krafa um stúdentspróf en st.m. hefur háskólapróf. o.s.frv.</t>
  </si>
  <si>
    <t xml:space="preserve">Starfsmaður hefur ekki menntun umfram kröfur til starfs sem metin er til launa.</t>
  </si>
  <si>
    <t xml:space="preserve">Starfsmaður hefur menntun umfram kröfur til starfs, t.d. námskeið eða diplómu</t>
  </si>
  <si>
    <t xml:space="preserve">Starfsmaður hefur formlega menntun umfram kröfur til starfs sem nýtist vel í núverandi starfi</t>
  </si>
  <si>
    <t xml:space="preserve">Færni, umfram það sem starfið krefst, til að þróa, greina og leysa vandamál og leggja mat á viðfangsefni hverju sinni, og metin er til launa.</t>
  </si>
  <si>
    <t xml:space="preserve">Starfsmaður sýnir ekki hugræna færni, umfram það sem starfið krefst skv. Starfslýsingu.</t>
  </si>
  <si>
    <t xml:space="preserve">Færni og geta til að vinna með öðrum á árangursríkan hátt og setja sig í spor annarra umfram það sem starfið krefst og metin er til launa.</t>
  </si>
  <si>
    <t xml:space="preserve">Starfsmaður sýnir ekki félagslega færni, umfram það sem starfið krefst skv. Starfslýsingu.</t>
  </si>
  <si>
    <t xml:space="preserve">Sérstök líkamleg færni, umfram það sem venjulegt er, og metin er til launa. Átt er við t.d. líkamlegan styrk, handlagni, fingrafimi, lipurð, samhæfingu augna og handa og samhæfingu skynfæra.</t>
  </si>
  <si>
    <t xml:space="preserve">Færni starfsmanns, umfram það sem starfið krefst, til að nota tölvutækni, tæki og forrit við öflun upplýsinga og þekkingar, upplýsinga- og gagnavinnslu og í samskiptum, og metin er til launa.</t>
  </si>
  <si>
    <t xml:space="preserve">Starfsmaður sýnir ekki færni til að nota tölvutækni, tæki og forrit við öflun upplýsinga og þekkingar, upplýsinga- og gagnavinnslu og í samskiptum umfram það sem starfið krefst skv. Starfslýsingu.</t>
  </si>
  <si>
    <t xml:space="preserve">Færni, umfram það sem starfið krefst, til að vinna með fjölbreyttar upplýsingar og setja skilmerkilega fram (s.s. með því að finna efni, greina, meta, vista, miðla og nýta), og metin er til launa.</t>
  </si>
  <si>
    <t xml:space="preserve">Starfsmaður sýnir ekki færni til að vinna með fjölbreyttar upplýsingar og setja skilmerkilega fram umfram það sem starfið krefst skv. Starfslýsingu.</t>
  </si>
  <si>
    <t xml:space="preserve">Geta til að nýta forrit, gagnagrunna og kerfi umfram það sem starf krefst, og metin er til launa.</t>
  </si>
  <si>
    <t xml:space="preserve">Starfsmaður sýnir ekki getu til að nýta forrit, gagnagrunna og kerfi umfram það sem starfið krefst skv. Starfslýsingu.</t>
  </si>
  <si>
    <t xml:space="preserve">Þekking, skilningur og notkun á íslensku máli umfram það sem starfið krefst og metin er til launa. (T.d. prófarkalestur sem ekki er hluti af starfslýsingu starfsmanns).</t>
  </si>
  <si>
    <t xml:space="preserve">Þekking, skilningur og notkun starfsmanns á íslensku máli nýtist fyrirtæki/stofnun ekki umfram það sem starfið krefst skv. Starfslýsingu.</t>
  </si>
  <si>
    <t xml:space="preserve">Þekking, skilningur og notkun á erlendu tungumáli sem nýtist fyrirtæki/stofnun og metin er til launa. (T.d. skrif, þýðingar, túlkun og verkefni sem ekki eru hluti af starfslýsingu starfsmanns og annars væri útvistað).</t>
  </si>
  <si>
    <t xml:space="preserve">Þekking, skilningur og notkun starfsmanns á erlendu tungumáli nýtist fyrirtæki/stofnun ekki umfram það sem starfið krefst skv. Starfslýsingu.</t>
  </si>
  <si>
    <t xml:space="preserve">Færni og vilji starfsmanns til að grípa til sjálfstæðra aðgerða, og skipuleggja og ljúka verkefnum, umfram það sem starfið krefst, sem metin er til launa.</t>
  </si>
  <si>
    <t xml:space="preserve">Starfsmaður sýnir ekki sjálfstæði umfram það sem starfið krefst skv. Starfslýsingu.</t>
  </si>
  <si>
    <t xml:space="preserve">Frumkvæði og vilji starfsmanns, umfram það sem starfið krefst, sem metin eru til launa. (T.d. við að koma í veg fyrir og leysa vandamál, bæta verkferla, nýta tækifæri til hagræðingar og skilvirkni, og bera kennsl á tækifæri fyrir vinnustaðinn).</t>
  </si>
  <si>
    <t xml:space="preserve">Starfsmaður sýnir ekki frumkvæði umfram það sem starfið krefst skv. Starfslýsingu.</t>
  </si>
  <si>
    <t xml:space="preserve">Þekking og færni starfsmanns í munnlegum og/eða skriflegum samskiptum sem ekki er hluti af starfslýsingu og nýtist fyrirtæki/stofnun, og metin er til launa.</t>
  </si>
  <si>
    <t xml:space="preserve">Samskiptafærni starfsmanns nýtist fyrirtæki/stofnun ekki umfram það sem starfið krefst skv. Starfslýsingu.</t>
  </si>
  <si>
    <t xml:space="preserve">Ábyrgð á upplýsingagjöf umfram starfslýsingu sem metin er til launa.</t>
  </si>
  <si>
    <t xml:space="preserve">Starfsmaður ber ekki ábyrgð á upplýsingagjöf umfram það sem starfið krefst skv. Starfslýsingu.</t>
  </si>
  <si>
    <t xml:space="preserve">Ábyrgð á öryggi, hreinlæti og/eða umhverfi umfram það sem starfið krefst og metin er til launa.</t>
  </si>
  <si>
    <t xml:space="preserve">Starfsmaður ber ekki ábyrgð á öryggi, hreinlæti og/eða umhverfi umfram það sem starfið krefst skv. Starfslýsingu.</t>
  </si>
</sst>
</file>

<file path=xl/styles.xml><?xml version="1.0" encoding="utf-8"?>
<styleSheet xmlns="http://schemas.openxmlformats.org/spreadsheetml/2006/main">
  <numFmts count="9">
    <numFmt numFmtId="164" formatCode="General"/>
    <numFmt numFmtId="165" formatCode="0"/>
    <numFmt numFmtId="166" formatCode="General"/>
    <numFmt numFmtId="167" formatCode="0%"/>
    <numFmt numFmtId="168" formatCode="yyyy\-mm\-dd"/>
    <numFmt numFmtId="169" formatCode="#,##0&quot; kr.&quot;"/>
    <numFmt numFmtId="170" formatCode="0.##"/>
    <numFmt numFmtId="171" formatCode="&quot;hám: &quot;0&quot; stig&quot;"/>
    <numFmt numFmtId="172" formatCode="0.0"/>
  </numFmts>
  <fonts count="23">
    <font>
      <sz val="11"/>
      <color theme="1"/>
      <name val="Calibri"/>
      <family val="2"/>
      <charset val="1"/>
    </font>
    <font>
      <sz val="10"/>
      <name val="Arial"/>
      <family val="0"/>
    </font>
    <font>
      <sz val="10"/>
      <name val="Arial"/>
      <family val="0"/>
    </font>
    <font>
      <sz val="10"/>
      <name val="Arial"/>
      <family val="0"/>
    </font>
    <font>
      <b val="true"/>
      <sz val="20"/>
      <color rgb="FF1F3A68"/>
      <name val="Arial"/>
      <family val="0"/>
      <charset val="1"/>
    </font>
    <font>
      <i val="true"/>
      <sz val="11"/>
      <color rgb="FF666666"/>
      <name val="Arial"/>
      <family val="0"/>
      <charset val="1"/>
    </font>
    <font>
      <b val="true"/>
      <sz val="13"/>
      <color rgb="FF1F3A68"/>
      <name val="Arial"/>
      <family val="0"/>
      <charset val="1"/>
    </font>
    <font>
      <b val="true"/>
      <sz val="11"/>
      <name val="Arial"/>
      <family val="0"/>
      <charset val="1"/>
    </font>
    <font>
      <sz val="11"/>
      <name val="Arial"/>
      <family val="0"/>
      <charset val="1"/>
    </font>
    <font>
      <sz val="11"/>
      <color rgb="FF0000FF"/>
      <name val="Arial"/>
      <family val="0"/>
      <charset val="1"/>
    </font>
    <font>
      <b val="true"/>
      <sz val="16"/>
      <color rgb="FF1F3A68"/>
      <name val="Arial"/>
      <family val="0"/>
      <charset val="1"/>
    </font>
    <font>
      <i val="true"/>
      <sz val="10"/>
      <color rgb="FF666666"/>
      <name val="Arial"/>
      <family val="0"/>
      <charset val="1"/>
    </font>
    <font>
      <b val="true"/>
      <sz val="11"/>
      <color rgb="FFFFFFFF"/>
      <name val="Arial"/>
      <family val="0"/>
      <charset val="1"/>
    </font>
    <font>
      <sz val="11"/>
      <color rgb="FF666666"/>
      <name val="Arial"/>
      <family val="0"/>
      <charset val="1"/>
    </font>
    <font>
      <sz val="11"/>
      <name val="Cambria"/>
      <family val="0"/>
      <charset val="1"/>
    </font>
    <font>
      <sz val="11"/>
      <color rgb="FF008000"/>
      <name val="Arial"/>
      <family val="0"/>
      <charset val="1"/>
    </font>
    <font>
      <sz val="11"/>
      <color rgb="FF000000"/>
      <name val="Arial"/>
      <family val="0"/>
      <charset val="1"/>
    </font>
    <font>
      <b val="true"/>
      <sz val="11"/>
      <color rgb="FF1F3A68"/>
      <name val="Arial"/>
      <family val="0"/>
      <charset val="1"/>
    </font>
    <font>
      <b val="true"/>
      <sz val="11"/>
      <color rgb="FF000000"/>
      <name val="Arial"/>
      <family val="0"/>
      <charset val="1"/>
    </font>
    <font>
      <i val="true"/>
      <sz val="8"/>
      <color rgb="FFAAAAAA"/>
      <name val="Arial"/>
      <family val="0"/>
      <charset val="1"/>
    </font>
    <font>
      <b val="true"/>
      <sz val="10"/>
      <color rgb="FFFFFFFF"/>
      <name val="Arial"/>
      <family val="0"/>
      <charset val="1"/>
    </font>
    <font>
      <i val="true"/>
      <sz val="9"/>
      <color rgb="FF666666"/>
      <name val="Arial"/>
      <family val="0"/>
      <charset val="1"/>
    </font>
    <font>
      <i val="true"/>
      <sz val="9"/>
      <color rgb="FF808080"/>
      <name val="Arial"/>
      <family val="0"/>
      <charset val="1"/>
    </font>
  </fonts>
  <fills count="8">
    <fill>
      <patternFill patternType="none"/>
    </fill>
    <fill>
      <patternFill patternType="gray125"/>
    </fill>
    <fill>
      <patternFill patternType="solid">
        <fgColor rgb="FFFFF3CD"/>
        <bgColor rgb="FFF4F4F4"/>
      </patternFill>
    </fill>
    <fill>
      <patternFill patternType="solid">
        <fgColor rgb="FF1F3A68"/>
        <bgColor rgb="FF333399"/>
      </patternFill>
    </fill>
    <fill>
      <patternFill patternType="solid">
        <fgColor rgb="FFF4F4F4"/>
        <bgColor rgb="FFEDF3FA"/>
      </patternFill>
    </fill>
    <fill>
      <patternFill patternType="solid">
        <fgColor rgb="FFE4ECF7"/>
        <bgColor rgb="FFDCE6F1"/>
      </patternFill>
    </fill>
    <fill>
      <patternFill patternType="solid">
        <fgColor rgb="FFDCE6F1"/>
        <bgColor rgb="FFE4ECF7"/>
      </patternFill>
    </fill>
    <fill>
      <patternFill patternType="solid">
        <fgColor rgb="FFEDF3FA"/>
        <bgColor rgb="FFF4F4F4"/>
      </patternFill>
    </fill>
  </fills>
  <borders count="3">
    <border diagonalUp="false" diagonalDown="false">
      <left/>
      <right/>
      <top/>
      <bottom/>
      <diagonal/>
    </border>
    <border diagonalUp="false" diagonalDown="false">
      <left style="thin">
        <color rgb="FFB0B7C3"/>
      </left>
      <right style="thin">
        <color rgb="FFB0B7C3"/>
      </right>
      <top style="thin">
        <color rgb="FFB0B7C3"/>
      </top>
      <bottom style="thin">
        <color rgb="FFB0B7C3"/>
      </bottom>
      <diagonal/>
    </border>
    <border diagonalUp="false" diagonalDown="false">
      <left style="thin">
        <color rgb="FFB0B7C3"/>
      </left>
      <right style="thin">
        <color rgb="FFB0B7C3"/>
      </right>
      <top style="thin">
        <color rgb="FFB0B7C3"/>
      </top>
      <bottom style="thick">
        <color rgb="FF9E9E9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true">
      <alignment horizontal="center" vertical="center" textRotation="0" wrapText="true" indent="0" shrinkToFit="false"/>
      <protection locked="fals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true">
      <alignment horizontal="center" vertical="center" textRotation="0" wrapText="true" indent="0" shrinkToFit="false"/>
      <protection locked="false" hidden="false"/>
    </xf>
    <xf numFmtId="164" fontId="9" fillId="0" borderId="1" xfId="0" applyFont="true" applyBorder="true" applyAlignment="true" applyProtection="true">
      <alignment horizontal="left" vertical="center" textRotation="0" wrapText="true" indent="0" shrinkToFit="false"/>
      <protection locked="false" hidden="false"/>
    </xf>
    <xf numFmtId="164" fontId="9" fillId="0" borderId="1" xfId="0" applyFont="true" applyBorder="true" applyAlignment="true" applyProtection="true">
      <alignment horizontal="left" vertical="top" textRotation="0" wrapText="true" indent="0" shrinkToFit="false"/>
      <protection locked="false" hidden="false"/>
    </xf>
    <xf numFmtId="164" fontId="9" fillId="0" borderId="0" xfId="0" applyFont="true" applyBorder="false" applyAlignment="true" applyProtection="false">
      <alignment horizontal="left" vertical="top" textRotation="0" wrapText="tru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fals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true">
      <alignment horizontal="center" vertical="center" textRotation="0" wrapText="true" indent="0" shrinkToFit="false"/>
      <protection locked="false" hidden="false"/>
    </xf>
    <xf numFmtId="168" fontId="9" fillId="0" borderId="1" xfId="0" applyFont="true" applyBorder="true" applyAlignment="true" applyProtection="true">
      <alignment horizontal="left" vertical="center" textRotation="0" wrapText="true" indent="0" shrinkToFit="false"/>
      <protection locked="false" hidden="false"/>
    </xf>
    <xf numFmtId="169" fontId="9" fillId="0" borderId="1" xfId="0" applyFont="true" applyBorder="true" applyAlignment="true" applyProtection="true">
      <alignment horizontal="left" vertical="center" textRotation="0" wrapText="true" indent="0" shrinkToFit="false"/>
      <protection locked="false" hidden="false"/>
    </xf>
    <xf numFmtId="169" fontId="16" fillId="0"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left" vertical="bottom" textRotation="0" wrapText="false" indent="0" shrinkToFit="false"/>
      <protection locked="true" hidden="false"/>
    </xf>
    <xf numFmtId="164" fontId="17" fillId="6" borderId="1" xfId="0" applyFont="true" applyBorder="true" applyAlignment="true" applyProtection="false">
      <alignment horizontal="right" vertical="center" textRotation="0" wrapText="fals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right" vertical="center"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6" fontId="17" fillId="2" borderId="1" xfId="0" applyFont="true" applyBorder="true" applyAlignment="true" applyProtection="false">
      <alignment horizontal="center" vertical="center" textRotation="0" wrapText="true" indent="0" shrinkToFit="false"/>
      <protection locked="true" hidden="false"/>
    </xf>
    <xf numFmtId="165" fontId="18" fillId="5"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70" fontId="16" fillId="0" borderId="1" xfId="0" applyFont="true" applyBorder="true" applyAlignment="true" applyProtection="false">
      <alignment horizontal="center" vertical="center" textRotation="0" wrapText="tru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right" vertical="center" textRotation="0" wrapText="false" indent="0" shrinkToFit="false"/>
      <protection locked="true" hidden="false"/>
    </xf>
    <xf numFmtId="171" fontId="21" fillId="0" borderId="0" xfId="0" applyFont="true" applyBorder="fals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7" fontId="15" fillId="0" borderId="1" xfId="0" applyFont="true" applyBorder="true" applyAlignment="true" applyProtection="false">
      <alignment horizontal="center" vertical="center" textRotation="0" wrapText="true" indent="0" shrinkToFit="false"/>
      <protection locked="true" hidden="false"/>
    </xf>
    <xf numFmtId="169" fontId="15" fillId="0"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right" vertical="center" textRotation="0" wrapText="false" indent="0" shrinkToFit="false"/>
      <protection locked="true" hidden="false"/>
    </xf>
    <xf numFmtId="172" fontId="7" fillId="5" borderId="1" xfId="0" applyFont="true" applyBorder="true" applyAlignment="true" applyProtection="false">
      <alignment horizontal="center" vertical="center" textRotation="0" wrapText="true" indent="0" shrinkToFit="false"/>
      <protection locked="true" hidden="false"/>
    </xf>
    <xf numFmtId="169" fontId="7" fillId="5"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right"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D4EDDA"/>
        </patternFill>
      </fill>
    </dxf>
    <dxf>
      <fill>
        <patternFill>
          <bgColor rgb="FFF8D7DA"/>
        </patternFill>
      </fill>
    </dxf>
    <dxf>
      <fill>
        <patternFill>
          <bgColor rgb="FFF4F4F4"/>
        </patternFill>
      </fill>
    </dxf>
    <dxf>
      <fill>
        <patternFill patternType="solid">
          <fgColor rgb="FFF4F4F4"/>
          <bgColor rgb="FF000000"/>
        </patternFill>
      </fill>
    </dxf>
    <dxf>
      <fill>
        <patternFill patternType="solid">
          <fgColor rgb="FF666666"/>
          <bgColor rgb="FF000000"/>
        </patternFill>
      </fill>
    </dxf>
    <dxf>
      <fill>
        <patternFill patternType="solid">
          <bgColor rgb="FF000000"/>
        </patternFill>
      </fill>
    </dxf>
    <dxf>
      <fill>
        <patternFill patternType="solid">
          <fgColor rgb="FF0000FF"/>
          <bgColor rgb="FF000000"/>
        </patternFill>
      </fill>
    </dxf>
    <dxf>
      <fill>
        <patternFill patternType="solid">
          <fgColor rgb="FF000000"/>
          <bgColor rgb="FF000000"/>
        </patternFill>
      </fill>
    </dxf>
    <dxf>
      <fill>
        <patternFill patternType="solid">
          <fgColor rgb="FF008000"/>
          <bgColor rgb="FF000000"/>
        </patternFill>
      </fill>
    </dxf>
    <dxf>
      <fill>
        <patternFill patternType="solid">
          <fgColor rgb="FF1F3A6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C6C25"/>
      <rgbColor rgb="FF800080"/>
      <rgbColor rgb="FF008080"/>
      <rgbColor rgb="FFB0B7C3"/>
      <rgbColor rgb="FF808080"/>
      <rgbColor rgb="FFAAAAAA"/>
      <rgbColor rgb="FF6A4C93"/>
      <rgbColor rgb="FFFFF3CD"/>
      <rgbColor rgb="FFE4ECF7"/>
      <rgbColor rgb="FF660066"/>
      <rgbColor rgb="FFFF8080"/>
      <rgbColor rgb="FF2E5AA8"/>
      <rgbColor rgb="FFDCE6F1"/>
      <rgbColor rgb="FF000080"/>
      <rgbColor rgb="FFFF00FF"/>
      <rgbColor rgb="FFFFFF00"/>
      <rgbColor rgb="FF00FFFF"/>
      <rgbColor rgb="FF800080"/>
      <rgbColor rgb="FF800000"/>
      <rgbColor rgb="FF008080"/>
      <rgbColor rgb="FF0000FF"/>
      <rgbColor rgb="FF00CCFF"/>
      <rgbColor rgb="FFEDF3FA"/>
      <rgbColor rgb="FFD4EDDA"/>
      <rgbColor rgb="FFF4F4F4"/>
      <rgbColor rgb="FF99CCFF"/>
      <rgbColor rgb="FFFF99CC"/>
      <rgbColor rgb="FFCC99FF"/>
      <rgbColor rgb="FFF8D7DA"/>
      <rgbColor rgb="FF3366FF"/>
      <rgbColor rgb="FF33CCCC"/>
      <rgbColor rgb="FF99CC00"/>
      <rgbColor rgb="FFFFCC00"/>
      <rgbColor rgb="FFFF9900"/>
      <rgbColor rgb="FFFF6600"/>
      <rgbColor rgb="FF666666"/>
      <rgbColor rgb="FF9E9E9E"/>
      <rgbColor rgb="FF1F3A68"/>
      <rgbColor rgb="FF58815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_STARFSFOLK" displayName="TBL_STARFSFOLK" ref="A7:GV56" headerRowCount="0" totalsRowCount="0" totalsRowShown="0">
  <tableColumns count="20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 id="66" name="Column66"/>
    <tableColumn id="67" name="Column67"/>
    <tableColumn id="68" name="Column68"/>
    <tableColumn id="69" name="Column69"/>
    <tableColumn id="70" name="Column70"/>
    <tableColumn id="71" name="Column71"/>
    <tableColumn id="72" name="Column72"/>
    <tableColumn id="73" name="Column73"/>
    <tableColumn id="74" name="Column74"/>
    <tableColumn id="75" name="Column75"/>
    <tableColumn id="76" name="Column76"/>
    <tableColumn id="77" name="Column77"/>
    <tableColumn id="78" name="Column78"/>
    <tableColumn id="79" name="Column79"/>
    <tableColumn id="80" name="Column80"/>
    <tableColumn id="81" name="Column81"/>
    <tableColumn id="82" name="Column82"/>
    <tableColumn id="83" name="Column83"/>
    <tableColumn id="84" name="Column84"/>
    <tableColumn id="85" name="Column85"/>
    <tableColumn id="86" name="Column86"/>
    <tableColumn id="87" name="Column87"/>
    <tableColumn id="88" name="Column88"/>
    <tableColumn id="89" name="Column89"/>
    <tableColumn id="90" name="Column90"/>
    <tableColumn id="91" name="Column91"/>
    <tableColumn id="92" name="Column92"/>
    <tableColumn id="93" name="Column93"/>
    <tableColumn id="94" name="Column94"/>
    <tableColumn id="95" name="Column95"/>
    <tableColumn id="96" name="Column96"/>
    <tableColumn id="97" name="Column97"/>
    <tableColumn id="98" name="Column98"/>
    <tableColumn id="99" name="Column99"/>
    <tableColumn id="100" name="Column100"/>
    <tableColumn id="101" name="Column101"/>
    <tableColumn id="102" name="Column102"/>
    <tableColumn id="103" name="Column103"/>
    <tableColumn id="104" name="Column104"/>
    <tableColumn id="105" name="Column105"/>
    <tableColumn id="106" name="Column106"/>
    <tableColumn id="107" name="Column107"/>
    <tableColumn id="108" name="Column108"/>
    <tableColumn id="109" name="Column109"/>
    <tableColumn id="110" name="Column110"/>
    <tableColumn id="111" name="Column111"/>
    <tableColumn id="112" name="Column112"/>
    <tableColumn id="113" name="Column113"/>
    <tableColumn id="114" name="Column114"/>
    <tableColumn id="115" name="Column115"/>
    <tableColumn id="116" name="Column116"/>
    <tableColumn id="117" name="Column117"/>
    <tableColumn id="118" name="Column118"/>
    <tableColumn id="119" name="Column119"/>
    <tableColumn id="120" name="Column120"/>
    <tableColumn id="121" name="Column121"/>
    <tableColumn id="122" name="Column122"/>
    <tableColumn id="123" name="Column123"/>
    <tableColumn id="124" name="Column124"/>
    <tableColumn id="125" name="Column125"/>
    <tableColumn id="126" name="Column126"/>
    <tableColumn id="127" name="Column127"/>
    <tableColumn id="128" name="Column128"/>
    <tableColumn id="129" name="Column129"/>
    <tableColumn id="130" name="Column130"/>
    <tableColumn id="131" name="Column131"/>
    <tableColumn id="132" name="Column132"/>
    <tableColumn id="133" name="Column133"/>
    <tableColumn id="134" name="Column134"/>
    <tableColumn id="135" name="Column135"/>
    <tableColumn id="136" name="Column136"/>
    <tableColumn id="137" name="Column137"/>
    <tableColumn id="138" name="Column138"/>
    <tableColumn id="139" name="Column139"/>
    <tableColumn id="140" name="Column140"/>
    <tableColumn id="141" name="Column141"/>
    <tableColumn id="142" name="Column142"/>
    <tableColumn id="143" name="Column143"/>
    <tableColumn id="144" name="Column144"/>
    <tableColumn id="145" name="Column145"/>
    <tableColumn id="146" name="Column146"/>
    <tableColumn id="147" name="Column147"/>
    <tableColumn id="148" name="Column148"/>
    <tableColumn id="149" name="Column149"/>
    <tableColumn id="150" name="Column150"/>
    <tableColumn id="151" name="Column151"/>
    <tableColumn id="152" name="Column152"/>
    <tableColumn id="153" name="Column153"/>
    <tableColumn id="154" name="Column154"/>
    <tableColumn id="155" name="Column155"/>
    <tableColumn id="156" name="Column156"/>
    <tableColumn id="157" name="Column157"/>
    <tableColumn id="158" name="Column158"/>
    <tableColumn id="159" name="Column159"/>
    <tableColumn id="160" name="Column160"/>
    <tableColumn id="161" name="Column161"/>
    <tableColumn id="162" name="Column162"/>
    <tableColumn id="163" name="Column163"/>
    <tableColumn id="164" name="Column164"/>
    <tableColumn id="165" name="Column165"/>
    <tableColumn id="166" name="Column166"/>
    <tableColumn id="167" name="Column167"/>
    <tableColumn id="168" name="Column168"/>
    <tableColumn id="169" name="Column169"/>
    <tableColumn id="170" name="Column170"/>
    <tableColumn id="171" name="Column171"/>
    <tableColumn id="172" name="Column172"/>
    <tableColumn id="173" name="Column173"/>
    <tableColumn id="174" name="Column174"/>
    <tableColumn id="175" name="Column175"/>
    <tableColumn id="176" name="Column176"/>
    <tableColumn id="177" name="Column177"/>
    <tableColumn id="178" name="Column178"/>
    <tableColumn id="179" name="Column179"/>
    <tableColumn id="180" name="Column180"/>
    <tableColumn id="181" name="Column181"/>
    <tableColumn id="182" name="Column182"/>
    <tableColumn id="183" name="Column183"/>
    <tableColumn id="184" name="Column184"/>
    <tableColumn id="185" name="Column185"/>
    <tableColumn id="186" name="Column186"/>
    <tableColumn id="187" name="Column187"/>
    <tableColumn id="188" name="Column188"/>
    <tableColumn id="189" name="Column189"/>
    <tableColumn id="190" name="Column190"/>
    <tableColumn id="191" name="Column191"/>
    <tableColumn id="192" name="Column192"/>
    <tableColumn id="193" name="Column193"/>
    <tableColumn id="194" name="Column194"/>
    <tableColumn id="195" name="Column195"/>
    <tableColumn id="196" name="Column196"/>
    <tableColumn id="197" name="Column197"/>
    <tableColumn id="198" name="Column198"/>
    <tableColumn id="199" name="Column199"/>
    <tableColumn id="200" name="Column200"/>
    <tableColumn id="201" name="Column201"/>
    <tableColumn id="202" name="Column202"/>
    <tableColumn id="203" name="Column203"/>
    <tableColumn id="204" name="Column204"/>
  </tableColumns>
</table>
</file>

<file path=xl/tables/table2.xml><?xml version="1.0" encoding="utf-8"?>
<table xmlns="http://schemas.openxmlformats.org/spreadsheetml/2006/main" id="2" name="TBL_STARFSMENN" displayName="TBL_STARFSMENN" ref="A6:T55" headerRowCount="0" totalsRowCount="0" totalsRowShown="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
</file>

<file path=xl/tables/table3.xml><?xml version="1.0" encoding="utf-8"?>
<table xmlns="http://schemas.openxmlformats.org/spreadsheetml/2006/main" id="3" name="TBL_YFIRLIT" displayName="TBL_YFIRLIT" ref="A5:N55" headerRowCount="1" totalsRowCount="0" totalsRowShown="0">
  <autoFilter ref="A5:N55"/>
  <tableColumns count="14">
    <tableColumn id="1" name="#"/>
    <tableColumn id="2" name="Nafn"/>
    <tableColumn id="3" name="Starf"/>
    <tableColumn id="4" name="Kyn"/>
    <tableColumn id="5" name="Starfshlutfall"/>
    <tableColumn id="6" name="Starfsbundið stig"/>
    <tableColumn id="7" name="Einstaklingsbundið stig"/>
    <tableColumn id="8" name="Heildarstig"/>
    <tableColumn id="9" name="Grunnlaun"/>
    <tableColumn id="10" name="Viðbótarlaun"/>
    <tableColumn id="11" name="Aukagreiðslur"/>
    <tableColumn id="12" name="Heildarlaun"/>
    <tableColumn id="13" name="Grunnlaun v/ 100%"/>
    <tableColumn id="14" name="Heildarlaun v/ 100%"/>
  </tableColumns>
  <tableStyleInfo showFirstColumn="0" showLastColumn="0" showRowStripes="0"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68"/>
    <pageSetUpPr fitToPage="false"/>
  </sheetPr>
  <dimension ref="B2:C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80"/>
  </cols>
  <sheetData>
    <row r="2" customFormat="false" ht="24" hidden="false" customHeight="true" outlineLevel="0" collapsed="false">
      <c r="B2" s="2" t="s">
        <v>0</v>
      </c>
      <c r="C2" s="2"/>
    </row>
    <row r="3" customFormat="false" ht="15" hidden="false" customHeight="true" outlineLevel="0" collapsed="false">
      <c r="B3" s="3" t="s">
        <v>1</v>
      </c>
      <c r="C3" s="3"/>
    </row>
    <row r="5" customFormat="false" ht="15.75" hidden="false" customHeight="true" outlineLevel="0" collapsed="false">
      <c r="B5" s="4" t="s">
        <v>2</v>
      </c>
      <c r="C5" s="4"/>
    </row>
    <row r="6" customFormat="false" ht="15" hidden="false" customHeight="true" outlineLevel="0" collapsed="false">
      <c r="B6" s="5" t="s">
        <v>3</v>
      </c>
      <c r="C6" s="6" t="s">
        <v>4</v>
      </c>
    </row>
    <row r="7" customFormat="false" ht="26.25" hidden="false" customHeight="true" outlineLevel="0" collapsed="false">
      <c r="B7" s="5" t="s">
        <v>5</v>
      </c>
      <c r="C7" s="6" t="s">
        <v>6</v>
      </c>
    </row>
    <row r="8" customFormat="false" ht="15" hidden="false" customHeight="true" outlineLevel="0" collapsed="false">
      <c r="B8" s="5" t="s">
        <v>7</v>
      </c>
      <c r="C8" s="6" t="s">
        <v>8</v>
      </c>
    </row>
    <row r="9" customFormat="false" ht="15" hidden="false" customHeight="true" outlineLevel="0" collapsed="false">
      <c r="B9" s="5" t="s">
        <v>9</v>
      </c>
      <c r="C9" s="6" t="s">
        <v>10</v>
      </c>
    </row>
    <row r="10" customFormat="false" ht="15" hidden="false" customHeight="true" outlineLevel="0" collapsed="false">
      <c r="B10" s="5" t="s">
        <v>11</v>
      </c>
      <c r="C10" s="6" t="s">
        <v>12</v>
      </c>
    </row>
    <row r="11" customFormat="false" ht="15" hidden="false" customHeight="true" outlineLevel="0" collapsed="false">
      <c r="B11" s="5" t="s">
        <v>13</v>
      </c>
      <c r="C11" s="6" t="s">
        <v>14</v>
      </c>
    </row>
    <row r="13" customFormat="false" ht="15.75" hidden="false" customHeight="true" outlineLevel="0" collapsed="false">
      <c r="B13" s="4" t="s">
        <v>15</v>
      </c>
      <c r="C13" s="4"/>
    </row>
    <row r="14" customFormat="false" ht="15" hidden="false" customHeight="true" outlineLevel="0" collapsed="false">
      <c r="B14" s="5" t="s">
        <v>16</v>
      </c>
      <c r="C14" s="6" t="s">
        <v>17</v>
      </c>
    </row>
    <row r="15" customFormat="false" ht="15" hidden="false" customHeight="true" outlineLevel="0" collapsed="false">
      <c r="B15" s="5" t="s">
        <v>18</v>
      </c>
      <c r="C15" s="6" t="s">
        <v>19</v>
      </c>
    </row>
    <row r="16" customFormat="false" ht="15" hidden="false" customHeight="true" outlineLevel="0" collapsed="false">
      <c r="B16" s="5" t="s">
        <v>20</v>
      </c>
      <c r="C16" s="6" t="s">
        <v>21</v>
      </c>
    </row>
    <row r="17" customFormat="false" ht="15" hidden="false" customHeight="true" outlineLevel="0" collapsed="false">
      <c r="B17" s="5" t="s">
        <v>22</v>
      </c>
      <c r="C17" s="6" t="s">
        <v>23</v>
      </c>
    </row>
    <row r="19" customFormat="false" ht="15.75" hidden="false" customHeight="true" outlineLevel="0" collapsed="false">
      <c r="B19" s="4" t="s">
        <v>24</v>
      </c>
      <c r="C19" s="4"/>
    </row>
    <row r="20" customFormat="false" ht="15" hidden="false" customHeight="true" outlineLevel="0" collapsed="false">
      <c r="B20" s="5" t="s">
        <v>25</v>
      </c>
      <c r="C20" s="6" t="s">
        <v>26</v>
      </c>
    </row>
    <row r="21" customFormat="false" ht="15" hidden="false" customHeight="true" outlineLevel="0" collapsed="false">
      <c r="B21" s="5" t="s">
        <v>27</v>
      </c>
      <c r="C21" s="6" t="s">
        <v>28</v>
      </c>
    </row>
    <row r="22" customFormat="false" ht="15" hidden="false" customHeight="true" outlineLevel="0" collapsed="false">
      <c r="B22" s="5" t="s">
        <v>29</v>
      </c>
      <c r="C22" s="6" t="s">
        <v>30</v>
      </c>
    </row>
    <row r="23" customFormat="false" ht="15" hidden="false" customHeight="true" outlineLevel="0" collapsed="false">
      <c r="B23" s="5" t="s">
        <v>31</v>
      </c>
      <c r="C23" s="6" t="s">
        <v>32</v>
      </c>
    </row>
    <row r="24" customFormat="false" ht="15" hidden="false" customHeight="true" outlineLevel="0" collapsed="false">
      <c r="B24" s="5" t="s">
        <v>33</v>
      </c>
      <c r="C24" s="6" t="s">
        <v>34</v>
      </c>
    </row>
    <row r="25" customFormat="false" ht="15" hidden="false" customHeight="true" outlineLevel="0" collapsed="false">
      <c r="B25" s="5" t="s">
        <v>35</v>
      </c>
      <c r="C25" s="6" t="s">
        <v>36</v>
      </c>
    </row>
    <row r="27" customFormat="false" ht="15.75" hidden="false" customHeight="true" outlineLevel="0" collapsed="false">
      <c r="B27" s="4" t="s">
        <v>37</v>
      </c>
      <c r="C27" s="4"/>
    </row>
    <row r="28" customFormat="false" ht="15" hidden="false" customHeight="true" outlineLevel="0" collapsed="false">
      <c r="B28" s="5" t="s">
        <v>3</v>
      </c>
      <c r="C28" s="6" t="s">
        <v>38</v>
      </c>
    </row>
    <row r="29" customFormat="false" ht="15" hidden="false" customHeight="true" outlineLevel="0" collapsed="false">
      <c r="B29" s="5" t="s">
        <v>5</v>
      </c>
      <c r="C29" s="6" t="s">
        <v>39</v>
      </c>
    </row>
    <row r="30" customFormat="false" ht="15" hidden="false" customHeight="true" outlineLevel="0" collapsed="false">
      <c r="B30" s="5" t="s">
        <v>40</v>
      </c>
      <c r="C30" s="6" t="s">
        <v>41</v>
      </c>
    </row>
    <row r="31" customFormat="false" ht="26.25" hidden="false" customHeight="true" outlineLevel="0" collapsed="false">
      <c r="B31" s="5" t="s">
        <v>42</v>
      </c>
      <c r="C31" s="6" t="s">
        <v>43</v>
      </c>
    </row>
    <row r="32" customFormat="false" ht="15" hidden="false" customHeight="true" outlineLevel="0" collapsed="false">
      <c r="B32" s="5" t="s">
        <v>44</v>
      </c>
      <c r="C32" s="6" t="s">
        <v>45</v>
      </c>
    </row>
    <row r="33" customFormat="false" ht="15" hidden="false" customHeight="true" outlineLevel="0" collapsed="false">
      <c r="B33" s="5" t="s">
        <v>46</v>
      </c>
      <c r="C33" s="6" t="s">
        <v>47</v>
      </c>
    </row>
    <row r="34" customFormat="false" ht="51.75" hidden="false" customHeight="true" outlineLevel="0" collapsed="false">
      <c r="B34" s="5" t="s">
        <v>48</v>
      </c>
      <c r="C34" s="6" t="s">
        <v>49</v>
      </c>
    </row>
    <row r="36" customFormat="false" ht="15.75" hidden="false" customHeight="true" outlineLevel="0" collapsed="false">
      <c r="B36" s="4" t="s">
        <v>50</v>
      </c>
      <c r="C36" s="4"/>
    </row>
    <row r="37" customFormat="false" ht="26.25" hidden="false" customHeight="true" outlineLevel="0" collapsed="false">
      <c r="B37" s="5" t="s">
        <v>51</v>
      </c>
      <c r="C37" s="6" t="s">
        <v>52</v>
      </c>
    </row>
    <row r="38" customFormat="false" ht="26.25" hidden="false" customHeight="true" outlineLevel="0" collapsed="false">
      <c r="B38" s="5" t="s">
        <v>53</v>
      </c>
      <c r="C38" s="6" t="s">
        <v>54</v>
      </c>
    </row>
    <row r="40" customFormat="false" ht="15.75" hidden="false" customHeight="true" outlineLevel="0" collapsed="false">
      <c r="B40" s="4" t="s">
        <v>55</v>
      </c>
      <c r="C40" s="4"/>
    </row>
    <row r="41" customFormat="false" ht="15" hidden="false" customHeight="true" outlineLevel="0" collapsed="false">
      <c r="B41" s="5" t="s">
        <v>56</v>
      </c>
      <c r="C41" s="6" t="s">
        <v>57</v>
      </c>
    </row>
    <row r="42" customFormat="false" ht="15" hidden="false" customHeight="true" outlineLevel="0" collapsed="false">
      <c r="B42" s="5" t="s">
        <v>58</v>
      </c>
      <c r="C42" s="6" t="s">
        <v>59</v>
      </c>
    </row>
    <row r="43" customFormat="false" ht="15" hidden="false" customHeight="true" outlineLevel="0" collapsed="false">
      <c r="B43" s="5" t="s">
        <v>60</v>
      </c>
      <c r="C43" s="6" t="s">
        <v>61</v>
      </c>
    </row>
    <row r="44" customFormat="false" ht="15" hidden="false" customHeight="true" outlineLevel="0" collapsed="false">
      <c r="B44" s="5" t="s">
        <v>62</v>
      </c>
      <c r="C44" s="6" t="s">
        <v>63</v>
      </c>
    </row>
    <row r="45" customFormat="false" ht="26.25" hidden="false" customHeight="true" outlineLevel="0" collapsed="false">
      <c r="B45" s="5" t="s">
        <v>64</v>
      </c>
      <c r="C45" s="6" t="s">
        <v>65</v>
      </c>
    </row>
    <row r="46" customFormat="false" ht="15" hidden="false" customHeight="true" outlineLevel="0" collapsed="false">
      <c r="B46" s="5" t="s">
        <v>66</v>
      </c>
      <c r="C46" s="6" t="s">
        <v>67</v>
      </c>
    </row>
    <row r="48" customFormat="false" ht="15" hidden="false" customHeight="true" outlineLevel="0" collapsed="false">
      <c r="B48" s="7" t="s">
        <v>68</v>
      </c>
      <c r="C48" s="8" t="n">
        <v>10</v>
      </c>
    </row>
    <row r="50" customFormat="false" ht="15.75" hidden="false" customHeight="true" outlineLevel="0" collapsed="false">
      <c r="B50" s="9" t="s">
        <v>69</v>
      </c>
    </row>
    <row r="51" customFormat="false" ht="39" hidden="false" customHeight="true" outlineLevel="0" collapsed="false">
      <c r="B51" s="5" t="s">
        <v>7</v>
      </c>
      <c r="C51" s="6" t="s">
        <v>70</v>
      </c>
    </row>
    <row r="52" customFormat="false" ht="26.25" hidden="false" customHeight="true" outlineLevel="0" collapsed="false">
      <c r="B52" s="5" t="s">
        <v>5</v>
      </c>
      <c r="C52" s="6" t="s">
        <v>71</v>
      </c>
    </row>
    <row r="53" customFormat="false" ht="51.75" hidden="false" customHeight="true" outlineLevel="0" collapsed="false">
      <c r="B53" s="5" t="s">
        <v>72</v>
      </c>
      <c r="C53" s="6" t="s">
        <v>73</v>
      </c>
    </row>
    <row r="54" customFormat="false" ht="39" hidden="false" customHeight="true" outlineLevel="0" collapsed="false">
      <c r="B54" s="5" t="s">
        <v>74</v>
      </c>
      <c r="C54" s="6" t="s">
        <v>75</v>
      </c>
    </row>
  </sheetData>
  <mergeCells count="8">
    <mergeCell ref="B2:C2"/>
    <mergeCell ref="B3:C3"/>
    <mergeCell ref="B5:C5"/>
    <mergeCell ref="B13:C13"/>
    <mergeCell ref="B19:C19"/>
    <mergeCell ref="B27:C27"/>
    <mergeCell ref="B36:C36"/>
    <mergeCell ref="B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8"/>
    <pageSetUpPr fitToPage="false"/>
  </sheetPr>
  <dimension ref="A2: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30"/>
    <col collapsed="false" customWidth="true" hidden="false" outlineLevel="0" max="4" min="4" style="1" width="60"/>
    <col collapsed="false" customWidth="true" hidden="false" outlineLevel="0" max="5" min="5" style="1" width="14"/>
    <col collapsed="false" customWidth="true" hidden="false" outlineLevel="0" max="6" min="6" style="1" width="16"/>
  </cols>
  <sheetData>
    <row r="2" customFormat="false" ht="19.5" hidden="false" customHeight="true" outlineLevel="0" collapsed="false">
      <c r="B2" s="10" t="s">
        <v>3</v>
      </c>
      <c r="C2" s="10"/>
      <c r="D2" s="10"/>
      <c r="E2" s="10"/>
      <c r="F2" s="10"/>
    </row>
    <row r="3" customFormat="false" ht="15" hidden="false" customHeight="true" outlineLevel="0" collapsed="false">
      <c r="B3" s="11" t="s">
        <v>76</v>
      </c>
      <c r="C3" s="11"/>
      <c r="D3" s="11"/>
      <c r="E3" s="11"/>
      <c r="F3" s="11"/>
    </row>
    <row r="5" customFormat="false" ht="25.5" hidden="false" customHeight="true" outlineLevel="0" collapsed="false">
      <c r="B5" s="12" t="s">
        <v>77</v>
      </c>
      <c r="C5" s="12" t="s">
        <v>3</v>
      </c>
      <c r="D5" s="12" t="s">
        <v>78</v>
      </c>
      <c r="E5" s="12" t="s">
        <v>79</v>
      </c>
      <c r="F5" s="12" t="s">
        <v>80</v>
      </c>
    </row>
    <row r="6" customFormat="false" ht="26.25" hidden="false" customHeight="true" outlineLevel="0" collapsed="false">
      <c r="B6" s="13" t="s">
        <v>81</v>
      </c>
      <c r="C6" s="13" t="s">
        <v>82</v>
      </c>
      <c r="D6" s="13" t="s">
        <v>83</v>
      </c>
      <c r="E6" s="14"/>
      <c r="F6" s="13" t="s">
        <v>84</v>
      </c>
    </row>
    <row r="7" customFormat="false" ht="15" hidden="false" customHeight="true" outlineLevel="0" collapsed="false">
      <c r="B7" s="13" t="s">
        <v>81</v>
      </c>
      <c r="C7" s="13" t="s">
        <v>85</v>
      </c>
      <c r="D7" s="13" t="s">
        <v>86</v>
      </c>
      <c r="E7" s="14"/>
      <c r="F7" s="13" t="s">
        <v>84</v>
      </c>
    </row>
    <row r="8" customFormat="false" ht="15" hidden="false" customHeight="true" outlineLevel="0" collapsed="false">
      <c r="B8" s="13" t="s">
        <v>81</v>
      </c>
      <c r="C8" s="13" t="s">
        <v>87</v>
      </c>
      <c r="D8" s="13" t="s">
        <v>88</v>
      </c>
      <c r="E8" s="14"/>
      <c r="F8" s="13" t="s">
        <v>84</v>
      </c>
    </row>
    <row r="9" customFormat="false" ht="15" hidden="false" customHeight="true" outlineLevel="0" collapsed="false">
      <c r="B9" s="13" t="s">
        <v>81</v>
      </c>
      <c r="C9" s="13" t="s">
        <v>89</v>
      </c>
      <c r="D9" s="13" t="s">
        <v>90</v>
      </c>
      <c r="E9" s="14"/>
      <c r="F9" s="13" t="s">
        <v>84</v>
      </c>
    </row>
    <row r="10" customFormat="false" ht="15" hidden="false" customHeight="true" outlineLevel="0" collapsed="false">
      <c r="B10" s="13" t="s">
        <v>91</v>
      </c>
      <c r="C10" s="15"/>
      <c r="D10" s="16"/>
      <c r="E10" s="14"/>
      <c r="F10" s="13" t="s">
        <v>92</v>
      </c>
    </row>
    <row r="11" customFormat="false" ht="15" hidden="false" customHeight="true" outlineLevel="0" collapsed="false"/>
    <row r="12" customFormat="false" ht="15" hidden="false" customHeight="true" outlineLevel="0" collapsed="false">
      <c r="D12" s="16" t="s">
        <v>93</v>
      </c>
      <c r="E12" s="14" t="n">
        <f aca="false">SUM(E6:E10)</f>
        <v>0</v>
      </c>
      <c r="F12" s="13" t="str">
        <f aca="false">IF(ROUND(E12,4)=100,"✓ OK","✗ Þarf 100%")</f>
        <v>✗ Þarf 100%</v>
      </c>
    </row>
    <row r="13" customFormat="false" ht="15" hidden="false" customHeight="true" outlineLevel="0" collapsed="false">
      <c r="D13" s="17" t="s">
        <v>94</v>
      </c>
      <c r="E13" s="18" t="n">
        <f aca="false">COUNTIF(B6:B10,"Einstaklingsbundið")</f>
        <v>1</v>
      </c>
      <c r="F13" s="19" t="str">
        <f aca="false">IF(E13&lt;=1,"✓ OK","✗ Hámark er 1")</f>
        <v>✓ OK</v>
      </c>
    </row>
    <row r="14" customFormat="false" ht="15" hidden="false" customHeight="true" outlineLevel="0" collapsed="false">
      <c r="A14" s="20"/>
      <c r="B14" s="21"/>
      <c r="C14" s="20"/>
      <c r="D14" s="20"/>
      <c r="E14" s="20"/>
      <c r="F14" s="20"/>
      <c r="G14" s="20"/>
      <c r="H14" s="20"/>
    </row>
    <row r="15" customFormat="false" ht="15" hidden="false" customHeight="true" outlineLevel="0" collapsed="false">
      <c r="A15" s="20"/>
      <c r="B15" s="21"/>
      <c r="C15" s="20"/>
      <c r="D15" s="20"/>
      <c r="E15" s="20"/>
      <c r="F15" s="20"/>
      <c r="G15" s="20"/>
      <c r="H15" s="20"/>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sheetData>
  <mergeCells count="2">
    <mergeCell ref="B2:F2"/>
    <mergeCell ref="B3:F3"/>
  </mergeCells>
  <conditionalFormatting sqref="E12:F12">
    <cfRule type="expression" priority="2" aboveAverage="0" equalAverage="0" bottom="0" percent="0" rank="0" text="" dxfId="0">
      <formula>ROUND($E$12,4)=100</formula>
    </cfRule>
    <cfRule type="expression" priority="3" aboveAverage="0" equalAverage="0" bottom="0" percent="0" rank="0" text="" dxfId="1">
      <formula>ROUND($E$12,4)&lt;&gt;100</formula>
    </cfRule>
  </conditionalFormatting>
  <conditionalFormatting sqref="E13:F13">
    <cfRule type="expression" priority="4" aboveAverage="0" equalAverage="0" bottom="0" percent="0" rank="0" text="" dxfId="0">
      <formula>$E$13&lt;=1</formula>
    </cfRule>
    <cfRule type="expression" priority="5" aboveAverage="0" equalAverage="0" bottom="0" percent="0" rank="0" text="" dxfId="1">
      <formula>$E$13&gt;1</formula>
    </cfRule>
  </conditionalFormatting>
  <dataValidations count="1">
    <dataValidation allowBlank="true" error="Tegund er &quot;Starfsbundið&quot; eða &quot;Einstaklingsbundið&quot; og aðeins má skilgreina eitt einstaklingsbundið viðmið." errorStyle="stop" errorTitle="Ógild tegund" operator="between" showDropDown="false" showErrorMessage="true" showInputMessage="false" sqref="B6:B10" type="custom">
      <formula1>AND(OR($B6="Starfsbundið",$B6="Einstaklingsbundið"),COUNTIF($B$6:$B$10,"Einstaklingsbundið")&lt;=1)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8"/>
    <pageSetUpPr fitToPage="false"/>
  </sheetPr>
  <dimension ref="A2:Q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26"/>
    <col collapsed="false" customWidth="true" hidden="false" outlineLevel="0" max="4" min="4" style="1" width="44"/>
    <col collapsed="false" customWidth="true" hidden="false" outlineLevel="0" max="5" min="5" style="1" width="10"/>
    <col collapsed="false" customWidth="true" hidden="false" outlineLevel="0" max="6" min="6" style="1" width="12"/>
    <col collapsed="false" customWidth="true" hidden="false" outlineLevel="0" max="7" min="7" style="1" width="18"/>
    <col collapsed="false" customWidth="true" hidden="false" outlineLevel="0" max="8" min="8" style="1" width="12"/>
    <col collapsed="false" customWidth="true" hidden="false" outlineLevel="0" max="9" min="9" style="1" width="18"/>
    <col collapsed="false" customWidth="true" hidden="false" outlineLevel="0" max="19" min="10" style="1" width="32"/>
  </cols>
  <sheetData>
    <row r="2" customFormat="false" ht="19.5" hidden="false" customHeight="true" outlineLevel="0" collapsed="false">
      <c r="B2" s="10" t="s">
        <v>5</v>
      </c>
      <c r="C2" s="10"/>
      <c r="D2" s="10"/>
      <c r="E2" s="10"/>
      <c r="F2" s="10"/>
    </row>
    <row r="3" customFormat="false" ht="15" hidden="false" customHeight="true" outlineLevel="0" collapsed="false">
      <c r="B3" s="11" t="s">
        <v>95</v>
      </c>
      <c r="C3" s="11"/>
      <c r="D3" s="11"/>
      <c r="E3" s="11"/>
      <c r="F3" s="11"/>
      <c r="G3" s="11"/>
      <c r="H3" s="11"/>
      <c r="I3" s="11"/>
      <c r="J3" s="11"/>
      <c r="K3" s="11"/>
      <c r="L3" s="11"/>
      <c r="M3" s="11"/>
      <c r="N3" s="11"/>
      <c r="O3" s="11"/>
      <c r="P3" s="11"/>
      <c r="Q3" s="11"/>
    </row>
    <row r="5" customFormat="false" ht="30" hidden="false" customHeight="true" outlineLevel="0" collapsed="false">
      <c r="A5" s="12" t="s">
        <v>96</v>
      </c>
      <c r="B5" s="12" t="s">
        <v>97</v>
      </c>
      <c r="C5" s="12" t="s">
        <v>5</v>
      </c>
      <c r="D5" s="12" t="s">
        <v>98</v>
      </c>
      <c r="E5" s="12" t="s">
        <v>79</v>
      </c>
      <c r="F5" s="12" t="s">
        <v>99</v>
      </c>
      <c r="G5" s="12" t="s">
        <v>100</v>
      </c>
      <c r="H5" s="12" t="s">
        <v>101</v>
      </c>
      <c r="I5" s="12" t="s">
        <v>102</v>
      </c>
      <c r="J5" s="12" t="s">
        <v>103</v>
      </c>
      <c r="K5" s="12" t="s">
        <v>104</v>
      </c>
      <c r="L5" s="12" t="s">
        <v>105</v>
      </c>
      <c r="M5" s="12" t="s">
        <v>106</v>
      </c>
      <c r="N5" s="12" t="s">
        <v>107</v>
      </c>
      <c r="O5" s="12" t="s">
        <v>108</v>
      </c>
      <c r="P5" s="12" t="s">
        <v>109</v>
      </c>
      <c r="Q5" s="12" t="s">
        <v>110</v>
      </c>
    </row>
    <row r="6" customFormat="false" ht="26.25" hidden="false" customHeight="true" outlineLevel="0" collapsed="false">
      <c r="A6" s="22" t="str">
        <f aca="false">IF($B6="","",ROW()-5)</f>
        <v/>
      </c>
      <c r="B6" s="15"/>
      <c r="C6" s="15"/>
      <c r="D6" s="16" t="str">
        <f aca="false">IF($C6="","",IF($G6="Einstaklingsbundið",IFERROR(IF(INDEX('Undirviðmiðalisti (Lýsigögn)'!$D$42:$D$58,MATCH($C6,'Undirviðmiðalisti (Lýsigögn)'!$C$42:$C$58,0))="","",INDEX('Undirviðmiðalisti (Lýsigögn)'!$D$42:$D$58,MATCH($C6,'Undirviðmiðalisti (Lýsigögn)'!$C$42:$C$58,0))),""),IFERROR(IF(INDEX('Undirviðmiðalisti (Lýsigögn)'!$D$6:$D$41,MATCH($C6,'Undirviðmiðalisti (Lýsigögn)'!$C$6:$C$41,0))="","",INDEX('Undirviðmiðalisti (Lýsigögn)'!$D$6:$D$41,MATCH($C6,'Undirviðmiðalisti (Lýsigögn)'!$C$6:$C$41,0))),IFERROR(IF(INDEX('Undirviðmiðalisti (Lýsigögn)'!$D$42:$D$58,MATCH($C6,'Undirviðmiðalisti (Lýsigögn)'!$C$42:$C$58,0))="","",INDEX('Undirviðmiðalisti (Lýsigögn)'!$D$42:$D$58,MATCH($C6,'Undirviðmiðalisti (Lýsigögn)'!$C$42:$C$58,0))),""))))</f>
        <v/>
      </c>
      <c r="E6" s="14"/>
      <c r="F6" s="23" t="str">
        <f aca="false">IF($C6="","",IF($G6="Einstaklingsbundið",IFERROR(IF(INDEX('Undirviðmiðalisti (Lýsigögn)'!$E$42:$E$58,MATCH($C6,'Undirviðmiðalisti (Lýsigögn)'!$C$42:$C$58,0))="","",INDEX('Undirviðmiðalisti (Lýsigögn)'!$E$42:$E$58,MATCH($C6,'Undirviðmiðalisti (Lýsigögn)'!$C$42:$C$58,0))),""),IFERROR(IF(INDEX('Undirviðmiðalisti (Lýsigögn)'!$E$6:$E$41,MATCH($C6,'Undirviðmiðalisti (Lýsigögn)'!$C$6:$C$41,0))="","",INDEX('Undirviðmiðalisti (Lýsigögn)'!$E$6:$E$41,MATCH($C6,'Undirviðmiðalisti (Lýsigögn)'!$C$6:$C$41,0))),IFERROR(IF(INDEX('Undirviðmiðalisti (Lýsigögn)'!$E$42:$E$58,MATCH($C6,'Undirviðmiðalisti (Lýsigögn)'!$C$42:$C$58,0))="","",INDEX('Undirviðmiðalisti (Lýsigögn)'!$E$42:$E$58,MATCH($C6,'Undirviðmiðalisti (Lýsigögn)'!$C$42:$C$58,0))),""))))</f>
        <v/>
      </c>
      <c r="G6" s="24" t="str">
        <f aca="false">IFERROR(IF(B6="","",INDEX(Viðmið!$B$6:$B$10,MATCH(B6,Viðmið!$C$6:$C$10,0))),"")</f>
        <v/>
      </c>
      <c r="H6" s="25" t="str">
        <f aca="false">IF(OR(E6="",F6=""),"",E6*KVARDI)</f>
        <v/>
      </c>
      <c r="I6" s="26" t="str">
        <f aca="false">IF(B6="","",IF(ROUND(SUMIF($B$6:$B$205,B6,$E$6:$E$205),4)=ROUND(IFERROR(INDEX(Viðmið!$E$6:$E$10,MATCH(B6,Viðmið!$C$6:$C$10,0)),-1),4),"✓","✗"))</f>
        <v/>
      </c>
      <c r="J6" s="16" t="str">
        <f aca="false">IF($C6="","",IF($G6="Einstaklingsbundið",IFERROR(IF(INDEX('Undirviðmiðalisti (Lýsigögn)'!F$42:F$58,MATCH($C6,'Undirviðmiðalisti (Lýsigögn)'!$C$42:$C$58,0))="","",INDEX('Undirviðmiðalisti (Lýsigögn)'!F$42:F$58,MATCH($C6,'Undirviðmiðalisti (Lýsigögn)'!$C$42:$C$58,0))),""),IFERROR(IF(INDEX('Undirviðmiðalisti (Lýsigögn)'!F$6:F$41,MATCH($C6,'Undirviðmiðalisti (Lýsigögn)'!$C$6:$C$41,0))="","",INDEX('Undirviðmiðalisti (Lýsigögn)'!F$6:F$41,MATCH($C6,'Undirviðmiðalisti (Lýsigögn)'!$C$6:$C$41,0))),IFERROR(IF(INDEX('Undirviðmiðalisti (Lýsigögn)'!F$42:F$58,MATCH($C6,'Undirviðmiðalisti (Lýsigögn)'!$C$42:$C$58,0))="","",INDEX('Undirviðmiðalisti (Lýsigögn)'!F$42:F$58,MATCH($C6,'Undirviðmiðalisti (Lýsigögn)'!$C$42:$C$58,0))),""))))</f>
        <v/>
      </c>
      <c r="K6" s="16" t="str">
        <f aca="false">IF($C6="","",IF($G6="Einstaklingsbundið",IFERROR(IF(INDEX('Undirviðmiðalisti (Lýsigögn)'!G$42:G$58,MATCH($C6,'Undirviðmiðalisti (Lýsigögn)'!$C$42:$C$58,0))="","",INDEX('Undirviðmiðalisti (Lýsigögn)'!G$42:G$58,MATCH($C6,'Undirviðmiðalisti (Lýsigögn)'!$C$42:$C$58,0))),""),IFERROR(IF(INDEX('Undirviðmiðalisti (Lýsigögn)'!G$6:G$41,MATCH($C6,'Undirviðmiðalisti (Lýsigögn)'!$C$6:$C$41,0))="","",INDEX('Undirviðmiðalisti (Lýsigögn)'!G$6:G$41,MATCH($C6,'Undirviðmiðalisti (Lýsigögn)'!$C$6:$C$41,0))),IFERROR(IF(INDEX('Undirviðmiðalisti (Lýsigögn)'!G$42:G$58,MATCH($C6,'Undirviðmiðalisti (Lýsigögn)'!$C$42:$C$58,0))="","",INDEX('Undirviðmiðalisti (Lýsigögn)'!G$42:G$58,MATCH($C6,'Undirviðmiðalisti (Lýsigögn)'!$C$42:$C$58,0))),""))))</f>
        <v/>
      </c>
      <c r="L6" s="16" t="str">
        <f aca="false">IF($C6="","",IF($G6="Einstaklingsbundið",IFERROR(IF(INDEX('Undirviðmiðalisti (Lýsigögn)'!H$42:H$58,MATCH($C6,'Undirviðmiðalisti (Lýsigögn)'!$C$42:$C$58,0))="","",INDEX('Undirviðmiðalisti (Lýsigögn)'!H$42:H$58,MATCH($C6,'Undirviðmiðalisti (Lýsigögn)'!$C$42:$C$58,0))),""),IFERROR(IF(INDEX('Undirviðmiðalisti (Lýsigögn)'!H$6:H$41,MATCH($C6,'Undirviðmiðalisti (Lýsigögn)'!$C$6:$C$41,0))="","",INDEX('Undirviðmiðalisti (Lýsigögn)'!H$6:H$41,MATCH($C6,'Undirviðmiðalisti (Lýsigögn)'!$C$6:$C$41,0))),IFERROR(IF(INDEX('Undirviðmiðalisti (Lýsigögn)'!H$42:H$58,MATCH($C6,'Undirviðmiðalisti (Lýsigögn)'!$C$42:$C$58,0))="","",INDEX('Undirviðmiðalisti (Lýsigögn)'!H$42:H$58,MATCH($C6,'Undirviðmiðalisti (Lýsigögn)'!$C$42:$C$58,0))),""))))</f>
        <v/>
      </c>
      <c r="M6" s="16" t="str">
        <f aca="false">IF($C6="","",IF($G6="Einstaklingsbundið",IFERROR(IF(INDEX('Undirviðmiðalisti (Lýsigögn)'!I$42:I$58,MATCH($C6,'Undirviðmiðalisti (Lýsigögn)'!$C$42:$C$58,0))="","",INDEX('Undirviðmiðalisti (Lýsigögn)'!I$42:I$58,MATCH($C6,'Undirviðmiðalisti (Lýsigögn)'!$C$42:$C$58,0))),""),IFERROR(IF(INDEX('Undirviðmiðalisti (Lýsigögn)'!I$6:I$41,MATCH($C6,'Undirviðmiðalisti (Lýsigögn)'!$C$6:$C$41,0))="","",INDEX('Undirviðmiðalisti (Lýsigögn)'!I$6:I$41,MATCH($C6,'Undirviðmiðalisti (Lýsigögn)'!$C$6:$C$41,0))),IFERROR(IF(INDEX('Undirviðmiðalisti (Lýsigögn)'!I$42:I$58,MATCH($C6,'Undirviðmiðalisti (Lýsigögn)'!$C$42:$C$58,0))="","",INDEX('Undirviðmiðalisti (Lýsigögn)'!I$42:I$58,MATCH($C6,'Undirviðmiðalisti (Lýsigögn)'!$C$42:$C$58,0))),""))))</f>
        <v/>
      </c>
      <c r="N6" s="16" t="str">
        <f aca="false">IF($C6="","",IF($G6="Einstaklingsbundið",IFERROR(IF(INDEX('Undirviðmiðalisti (Lýsigögn)'!J$42:J$58,MATCH($C6,'Undirviðmiðalisti (Lýsigögn)'!$C$42:$C$58,0))="","",INDEX('Undirviðmiðalisti (Lýsigögn)'!J$42:J$58,MATCH($C6,'Undirviðmiðalisti (Lýsigögn)'!$C$42:$C$58,0))),""),IFERROR(IF(INDEX('Undirviðmiðalisti (Lýsigögn)'!J$6:J$41,MATCH($C6,'Undirviðmiðalisti (Lýsigögn)'!$C$6:$C$41,0))="","",INDEX('Undirviðmiðalisti (Lýsigögn)'!J$6:J$41,MATCH($C6,'Undirviðmiðalisti (Lýsigögn)'!$C$6:$C$41,0))),IFERROR(IF(INDEX('Undirviðmiðalisti (Lýsigögn)'!J$42:J$58,MATCH($C6,'Undirviðmiðalisti (Lýsigögn)'!$C$42:$C$58,0))="","",INDEX('Undirviðmiðalisti (Lýsigögn)'!J$42:J$58,MATCH($C6,'Undirviðmiðalisti (Lýsigögn)'!$C$42:$C$58,0))),""))))</f>
        <v/>
      </c>
      <c r="O6" s="16" t="str">
        <f aca="false">IF($C6="","",IF($G6="Einstaklingsbundið",IFERROR(IF(INDEX('Undirviðmiðalisti (Lýsigögn)'!K$42:K$58,MATCH($C6,'Undirviðmiðalisti (Lýsigögn)'!$C$42:$C$58,0))="","",INDEX('Undirviðmiðalisti (Lýsigögn)'!K$42:K$58,MATCH($C6,'Undirviðmiðalisti (Lýsigögn)'!$C$42:$C$58,0))),""),IFERROR(IF(INDEX('Undirviðmiðalisti (Lýsigögn)'!K$6:K$41,MATCH($C6,'Undirviðmiðalisti (Lýsigögn)'!$C$6:$C$41,0))="","",INDEX('Undirviðmiðalisti (Lýsigögn)'!K$6:K$41,MATCH($C6,'Undirviðmiðalisti (Lýsigögn)'!$C$6:$C$41,0))),IFERROR(IF(INDEX('Undirviðmiðalisti (Lýsigögn)'!K$42:K$58,MATCH($C6,'Undirviðmiðalisti (Lýsigögn)'!$C$42:$C$58,0))="","",INDEX('Undirviðmiðalisti (Lýsigögn)'!K$42:K$58,MATCH($C6,'Undirviðmiðalisti (Lýsigögn)'!$C$42:$C$58,0))),""))))</f>
        <v/>
      </c>
      <c r="P6" s="16" t="str">
        <f aca="false">IF($C6="","",IF($G6="Einstaklingsbundið",IFERROR(IF(INDEX('Undirviðmiðalisti (Lýsigögn)'!L$42:L$58,MATCH($C6,'Undirviðmiðalisti (Lýsigögn)'!$C$42:$C$58,0))="","",INDEX('Undirviðmiðalisti (Lýsigögn)'!L$42:L$58,MATCH($C6,'Undirviðmiðalisti (Lýsigögn)'!$C$42:$C$58,0))),""),IFERROR(IF(INDEX('Undirviðmiðalisti (Lýsigögn)'!L$6:L$41,MATCH($C6,'Undirviðmiðalisti (Lýsigögn)'!$C$6:$C$41,0))="","",INDEX('Undirviðmiðalisti (Lýsigögn)'!L$6:L$41,MATCH($C6,'Undirviðmiðalisti (Lýsigögn)'!$C$6:$C$41,0))),IFERROR(IF(INDEX('Undirviðmiðalisti (Lýsigögn)'!L$42:L$58,MATCH($C6,'Undirviðmiðalisti (Lýsigögn)'!$C$42:$C$58,0))="","",INDEX('Undirviðmiðalisti (Lýsigögn)'!L$42:L$58,MATCH($C6,'Undirviðmiðalisti (Lýsigögn)'!$C$42:$C$58,0))),""))))</f>
        <v/>
      </c>
      <c r="Q6" s="16" t="str">
        <f aca="false">IF($C6="","",IF($G6="Einstaklingsbundið",IFERROR(IF(INDEX('Undirviðmiðalisti (Lýsigögn)'!M$42:M$58,MATCH($C6,'Undirviðmiðalisti (Lýsigögn)'!$C$42:$C$58,0))="","",INDEX('Undirviðmiðalisti (Lýsigögn)'!M$42:M$58,MATCH($C6,'Undirviðmiðalisti (Lýsigögn)'!$C$42:$C$58,0))),""),IFERROR(IF(INDEX('Undirviðmiðalisti (Lýsigögn)'!M$6:M$41,MATCH($C6,'Undirviðmiðalisti (Lýsigögn)'!$C$6:$C$41,0))="","",INDEX('Undirviðmiðalisti (Lýsigögn)'!M$6:M$41,MATCH($C6,'Undirviðmiðalisti (Lýsigögn)'!$C$6:$C$41,0))),IFERROR(IF(INDEX('Undirviðmiðalisti (Lýsigögn)'!M$42:M$58,MATCH($C6,'Undirviðmiðalisti (Lýsigögn)'!$C$42:$C$58,0))="","",INDEX('Undirviðmiðalisti (Lýsigögn)'!M$42:M$58,MATCH($C6,'Undirviðmiðalisti (Lýsigögn)'!$C$42:$C$58,0))),""))))</f>
        <v/>
      </c>
    </row>
    <row r="7" customFormat="false" ht="26.25" hidden="false" customHeight="true" outlineLevel="0" collapsed="false">
      <c r="A7" s="22" t="str">
        <f aca="false">IF($B7="","",ROW()-5)</f>
        <v/>
      </c>
      <c r="B7" s="15"/>
      <c r="C7" s="15"/>
      <c r="D7" s="16" t="str">
        <f aca="false">IF($C7="","",IF($G7="Einstaklingsbundið",IFERROR(IF(INDEX('Undirviðmiðalisti (Lýsigögn)'!$D$42:$D$58,MATCH($C7,'Undirviðmiðalisti (Lýsigögn)'!$C$42:$C$58,0))="","",INDEX('Undirviðmiðalisti (Lýsigögn)'!$D$42:$D$58,MATCH($C7,'Undirviðmiðalisti (Lýsigögn)'!$C$42:$C$58,0))),""),IFERROR(IF(INDEX('Undirviðmiðalisti (Lýsigögn)'!$D$6:$D$41,MATCH($C7,'Undirviðmiðalisti (Lýsigögn)'!$C$6:$C$41,0))="","",INDEX('Undirviðmiðalisti (Lýsigögn)'!$D$6:$D$41,MATCH($C7,'Undirviðmiðalisti (Lýsigögn)'!$C$6:$C$41,0))),IFERROR(IF(INDEX('Undirviðmiðalisti (Lýsigögn)'!$D$42:$D$58,MATCH($C7,'Undirviðmiðalisti (Lýsigögn)'!$C$42:$C$58,0))="","",INDEX('Undirviðmiðalisti (Lýsigögn)'!$D$42:$D$58,MATCH($C7,'Undirviðmiðalisti (Lýsigögn)'!$C$42:$C$58,0))),""))))</f>
        <v/>
      </c>
      <c r="E7" s="14"/>
      <c r="F7" s="23" t="str">
        <f aca="false">IF($C7="","",IF($G7="Einstaklingsbundið",IFERROR(IF(INDEX('Undirviðmiðalisti (Lýsigögn)'!$E$42:$E$58,MATCH($C7,'Undirviðmiðalisti (Lýsigögn)'!$C$42:$C$58,0))="","",INDEX('Undirviðmiðalisti (Lýsigögn)'!$E$42:$E$58,MATCH($C7,'Undirviðmiðalisti (Lýsigögn)'!$C$42:$C$58,0))),""),IFERROR(IF(INDEX('Undirviðmiðalisti (Lýsigögn)'!$E$6:$E$41,MATCH($C7,'Undirviðmiðalisti (Lýsigögn)'!$C$6:$C$41,0))="","",INDEX('Undirviðmiðalisti (Lýsigögn)'!$E$6:$E$41,MATCH($C7,'Undirviðmiðalisti (Lýsigögn)'!$C$6:$C$41,0))),IFERROR(IF(INDEX('Undirviðmiðalisti (Lýsigögn)'!$E$42:$E$58,MATCH($C7,'Undirviðmiðalisti (Lýsigögn)'!$C$42:$C$58,0))="","",INDEX('Undirviðmiðalisti (Lýsigögn)'!$E$42:$E$58,MATCH($C7,'Undirviðmiðalisti (Lýsigögn)'!$C$42:$C$58,0))),""))))</f>
        <v/>
      </c>
      <c r="G7" s="24" t="str">
        <f aca="false">IFERROR(IF(B7="","",INDEX(Viðmið!$B$6:$B$10,MATCH(B7,Viðmið!$C$6:$C$10,0))),"")</f>
        <v/>
      </c>
      <c r="H7" s="25" t="str">
        <f aca="false">IF(OR(E7="",F7=""),"",E7*KVARDI)</f>
        <v/>
      </c>
      <c r="I7" s="26" t="str">
        <f aca="false">IF(B7="","",IF(ROUND(SUMIF($B$6:$B$205,B7,$E$6:$E$205),4)=ROUND(IFERROR(INDEX(Viðmið!$E$6:$E$10,MATCH(B7,Viðmið!$C$6:$C$10,0)),-1),4),"✓","✗"))</f>
        <v/>
      </c>
      <c r="J7" s="16" t="str">
        <f aca="false">IF($C7="","",IF($G7="Einstaklingsbundið",IFERROR(IF(INDEX('Undirviðmiðalisti (Lýsigögn)'!F$42:F$58,MATCH($C7,'Undirviðmiðalisti (Lýsigögn)'!$C$42:$C$58,0))="","",INDEX('Undirviðmiðalisti (Lýsigögn)'!F$42:F$58,MATCH($C7,'Undirviðmiðalisti (Lýsigögn)'!$C$42:$C$58,0))),""),IFERROR(IF(INDEX('Undirviðmiðalisti (Lýsigögn)'!F$6:F$41,MATCH($C7,'Undirviðmiðalisti (Lýsigögn)'!$C$6:$C$41,0))="","",INDEX('Undirviðmiðalisti (Lýsigögn)'!F$6:F$41,MATCH($C7,'Undirviðmiðalisti (Lýsigögn)'!$C$6:$C$41,0))),IFERROR(IF(INDEX('Undirviðmiðalisti (Lýsigögn)'!F$42:F$58,MATCH($C7,'Undirviðmiðalisti (Lýsigögn)'!$C$42:$C$58,0))="","",INDEX('Undirviðmiðalisti (Lýsigögn)'!F$42:F$58,MATCH($C7,'Undirviðmiðalisti (Lýsigögn)'!$C$42:$C$58,0))),""))))</f>
        <v/>
      </c>
      <c r="K7" s="16" t="str">
        <f aca="false">IF($C7="","",IF($G7="Einstaklingsbundið",IFERROR(IF(INDEX('Undirviðmiðalisti (Lýsigögn)'!G$42:G$58,MATCH($C7,'Undirviðmiðalisti (Lýsigögn)'!$C$42:$C$58,0))="","",INDEX('Undirviðmiðalisti (Lýsigögn)'!G$42:G$58,MATCH($C7,'Undirviðmiðalisti (Lýsigögn)'!$C$42:$C$58,0))),""),IFERROR(IF(INDEX('Undirviðmiðalisti (Lýsigögn)'!G$6:G$41,MATCH($C7,'Undirviðmiðalisti (Lýsigögn)'!$C$6:$C$41,0))="","",INDEX('Undirviðmiðalisti (Lýsigögn)'!G$6:G$41,MATCH($C7,'Undirviðmiðalisti (Lýsigögn)'!$C$6:$C$41,0))),IFERROR(IF(INDEX('Undirviðmiðalisti (Lýsigögn)'!G$42:G$58,MATCH($C7,'Undirviðmiðalisti (Lýsigögn)'!$C$42:$C$58,0))="","",INDEX('Undirviðmiðalisti (Lýsigögn)'!G$42:G$58,MATCH($C7,'Undirviðmiðalisti (Lýsigögn)'!$C$42:$C$58,0))),""))))</f>
        <v/>
      </c>
      <c r="L7" s="16" t="str">
        <f aca="false">IF($C7="","",IF($G7="Einstaklingsbundið",IFERROR(IF(INDEX('Undirviðmiðalisti (Lýsigögn)'!H$42:H$58,MATCH($C7,'Undirviðmiðalisti (Lýsigögn)'!$C$42:$C$58,0))="","",INDEX('Undirviðmiðalisti (Lýsigögn)'!H$42:H$58,MATCH($C7,'Undirviðmiðalisti (Lýsigögn)'!$C$42:$C$58,0))),""),IFERROR(IF(INDEX('Undirviðmiðalisti (Lýsigögn)'!H$6:H$41,MATCH($C7,'Undirviðmiðalisti (Lýsigögn)'!$C$6:$C$41,0))="","",INDEX('Undirviðmiðalisti (Lýsigögn)'!H$6:H$41,MATCH($C7,'Undirviðmiðalisti (Lýsigögn)'!$C$6:$C$41,0))),IFERROR(IF(INDEX('Undirviðmiðalisti (Lýsigögn)'!H$42:H$58,MATCH($C7,'Undirviðmiðalisti (Lýsigögn)'!$C$42:$C$58,0))="","",INDEX('Undirviðmiðalisti (Lýsigögn)'!H$42:H$58,MATCH($C7,'Undirviðmiðalisti (Lýsigögn)'!$C$42:$C$58,0))),""))))</f>
        <v/>
      </c>
      <c r="M7" s="16" t="str">
        <f aca="false">IF($C7="","",IF($G7="Einstaklingsbundið",IFERROR(IF(INDEX('Undirviðmiðalisti (Lýsigögn)'!I$42:I$58,MATCH($C7,'Undirviðmiðalisti (Lýsigögn)'!$C$42:$C$58,0))="","",INDEX('Undirviðmiðalisti (Lýsigögn)'!I$42:I$58,MATCH($C7,'Undirviðmiðalisti (Lýsigögn)'!$C$42:$C$58,0))),""),IFERROR(IF(INDEX('Undirviðmiðalisti (Lýsigögn)'!I$6:I$41,MATCH($C7,'Undirviðmiðalisti (Lýsigögn)'!$C$6:$C$41,0))="","",INDEX('Undirviðmiðalisti (Lýsigögn)'!I$6:I$41,MATCH($C7,'Undirviðmiðalisti (Lýsigögn)'!$C$6:$C$41,0))),IFERROR(IF(INDEX('Undirviðmiðalisti (Lýsigögn)'!I$42:I$58,MATCH($C7,'Undirviðmiðalisti (Lýsigögn)'!$C$42:$C$58,0))="","",INDEX('Undirviðmiðalisti (Lýsigögn)'!I$42:I$58,MATCH($C7,'Undirviðmiðalisti (Lýsigögn)'!$C$42:$C$58,0))),""))))</f>
        <v/>
      </c>
      <c r="N7" s="16" t="str">
        <f aca="false">IF($C7="","",IF($G7="Einstaklingsbundið",IFERROR(IF(INDEX('Undirviðmiðalisti (Lýsigögn)'!J$42:J$58,MATCH($C7,'Undirviðmiðalisti (Lýsigögn)'!$C$42:$C$58,0))="","",INDEX('Undirviðmiðalisti (Lýsigögn)'!J$42:J$58,MATCH($C7,'Undirviðmiðalisti (Lýsigögn)'!$C$42:$C$58,0))),""),IFERROR(IF(INDEX('Undirviðmiðalisti (Lýsigögn)'!J$6:J$41,MATCH($C7,'Undirviðmiðalisti (Lýsigögn)'!$C$6:$C$41,0))="","",INDEX('Undirviðmiðalisti (Lýsigögn)'!J$6:J$41,MATCH($C7,'Undirviðmiðalisti (Lýsigögn)'!$C$6:$C$41,0))),IFERROR(IF(INDEX('Undirviðmiðalisti (Lýsigögn)'!J$42:J$58,MATCH($C7,'Undirviðmiðalisti (Lýsigögn)'!$C$42:$C$58,0))="","",INDEX('Undirviðmiðalisti (Lýsigögn)'!J$42:J$58,MATCH($C7,'Undirviðmiðalisti (Lýsigögn)'!$C$42:$C$58,0))),""))))</f>
        <v/>
      </c>
      <c r="O7" s="16" t="str">
        <f aca="false">IF($C7="","",IF($G7="Einstaklingsbundið",IFERROR(IF(INDEX('Undirviðmiðalisti (Lýsigögn)'!K$42:K$58,MATCH($C7,'Undirviðmiðalisti (Lýsigögn)'!$C$42:$C$58,0))="","",INDEX('Undirviðmiðalisti (Lýsigögn)'!K$42:K$58,MATCH($C7,'Undirviðmiðalisti (Lýsigögn)'!$C$42:$C$58,0))),""),IFERROR(IF(INDEX('Undirviðmiðalisti (Lýsigögn)'!K$6:K$41,MATCH($C7,'Undirviðmiðalisti (Lýsigögn)'!$C$6:$C$41,0))="","",INDEX('Undirviðmiðalisti (Lýsigögn)'!K$6:K$41,MATCH($C7,'Undirviðmiðalisti (Lýsigögn)'!$C$6:$C$41,0))),IFERROR(IF(INDEX('Undirviðmiðalisti (Lýsigögn)'!K$42:K$58,MATCH($C7,'Undirviðmiðalisti (Lýsigögn)'!$C$42:$C$58,0))="","",INDEX('Undirviðmiðalisti (Lýsigögn)'!K$42:K$58,MATCH($C7,'Undirviðmiðalisti (Lýsigögn)'!$C$42:$C$58,0))),""))))</f>
        <v/>
      </c>
      <c r="P7" s="16" t="str">
        <f aca="false">IF($C7="","",IF($G7="Einstaklingsbundið",IFERROR(IF(INDEX('Undirviðmiðalisti (Lýsigögn)'!L$42:L$58,MATCH($C7,'Undirviðmiðalisti (Lýsigögn)'!$C$42:$C$58,0))="","",INDEX('Undirviðmiðalisti (Lýsigögn)'!L$42:L$58,MATCH($C7,'Undirviðmiðalisti (Lýsigögn)'!$C$42:$C$58,0))),""),IFERROR(IF(INDEX('Undirviðmiðalisti (Lýsigögn)'!L$6:L$41,MATCH($C7,'Undirviðmiðalisti (Lýsigögn)'!$C$6:$C$41,0))="","",INDEX('Undirviðmiðalisti (Lýsigögn)'!L$6:L$41,MATCH($C7,'Undirviðmiðalisti (Lýsigögn)'!$C$6:$C$41,0))),IFERROR(IF(INDEX('Undirviðmiðalisti (Lýsigögn)'!L$42:L$58,MATCH($C7,'Undirviðmiðalisti (Lýsigögn)'!$C$42:$C$58,0))="","",INDEX('Undirviðmiðalisti (Lýsigögn)'!L$42:L$58,MATCH($C7,'Undirviðmiðalisti (Lýsigögn)'!$C$42:$C$58,0))),""))))</f>
        <v/>
      </c>
      <c r="Q7" s="16" t="str">
        <f aca="false">IF($C7="","",IF($G7="Einstaklingsbundið",IFERROR(IF(INDEX('Undirviðmiðalisti (Lýsigögn)'!M$42:M$58,MATCH($C7,'Undirviðmiðalisti (Lýsigögn)'!$C$42:$C$58,0))="","",INDEX('Undirviðmiðalisti (Lýsigögn)'!M$42:M$58,MATCH($C7,'Undirviðmiðalisti (Lýsigögn)'!$C$42:$C$58,0))),""),IFERROR(IF(INDEX('Undirviðmiðalisti (Lýsigögn)'!M$6:M$41,MATCH($C7,'Undirviðmiðalisti (Lýsigögn)'!$C$6:$C$41,0))="","",INDEX('Undirviðmiðalisti (Lýsigögn)'!M$6:M$41,MATCH($C7,'Undirviðmiðalisti (Lýsigögn)'!$C$6:$C$41,0))),IFERROR(IF(INDEX('Undirviðmiðalisti (Lýsigögn)'!M$42:M$58,MATCH($C7,'Undirviðmiðalisti (Lýsigögn)'!$C$42:$C$58,0))="","",INDEX('Undirviðmiðalisti (Lýsigögn)'!M$42:M$58,MATCH($C7,'Undirviðmiðalisti (Lýsigögn)'!$C$42:$C$58,0))),""))))</f>
        <v/>
      </c>
    </row>
    <row r="8" customFormat="false" ht="39" hidden="false" customHeight="true" outlineLevel="0" collapsed="false">
      <c r="A8" s="22" t="str">
        <f aca="false">IF($B8="","",ROW()-5)</f>
        <v/>
      </c>
      <c r="B8" s="15"/>
      <c r="C8" s="15"/>
      <c r="D8" s="16" t="str">
        <f aca="false">IF($C8="","",IF($G8="Einstaklingsbundið",IFERROR(IF(INDEX('Undirviðmiðalisti (Lýsigögn)'!$D$42:$D$58,MATCH($C8,'Undirviðmiðalisti (Lýsigögn)'!$C$42:$C$58,0))="","",INDEX('Undirviðmiðalisti (Lýsigögn)'!$D$42:$D$58,MATCH($C8,'Undirviðmiðalisti (Lýsigögn)'!$C$42:$C$58,0))),""),IFERROR(IF(INDEX('Undirviðmiðalisti (Lýsigögn)'!$D$6:$D$41,MATCH($C8,'Undirviðmiðalisti (Lýsigögn)'!$C$6:$C$41,0))="","",INDEX('Undirviðmiðalisti (Lýsigögn)'!$D$6:$D$41,MATCH($C8,'Undirviðmiðalisti (Lýsigögn)'!$C$6:$C$41,0))),IFERROR(IF(INDEX('Undirviðmiðalisti (Lýsigögn)'!$D$42:$D$58,MATCH($C8,'Undirviðmiðalisti (Lýsigögn)'!$C$42:$C$58,0))="","",INDEX('Undirviðmiðalisti (Lýsigögn)'!$D$42:$D$58,MATCH($C8,'Undirviðmiðalisti (Lýsigögn)'!$C$42:$C$58,0))),""))))</f>
        <v/>
      </c>
      <c r="E8" s="14"/>
      <c r="F8" s="23" t="str">
        <f aca="false">IF($C8="","",IF($G8="Einstaklingsbundið",IFERROR(IF(INDEX('Undirviðmiðalisti (Lýsigögn)'!$E$42:$E$58,MATCH($C8,'Undirviðmiðalisti (Lýsigögn)'!$C$42:$C$58,0))="","",INDEX('Undirviðmiðalisti (Lýsigögn)'!$E$42:$E$58,MATCH($C8,'Undirviðmiðalisti (Lýsigögn)'!$C$42:$C$58,0))),""),IFERROR(IF(INDEX('Undirviðmiðalisti (Lýsigögn)'!$E$6:$E$41,MATCH($C8,'Undirviðmiðalisti (Lýsigögn)'!$C$6:$C$41,0))="","",INDEX('Undirviðmiðalisti (Lýsigögn)'!$E$6:$E$41,MATCH($C8,'Undirviðmiðalisti (Lýsigögn)'!$C$6:$C$41,0))),IFERROR(IF(INDEX('Undirviðmiðalisti (Lýsigögn)'!$E$42:$E$58,MATCH($C8,'Undirviðmiðalisti (Lýsigögn)'!$C$42:$C$58,0))="","",INDEX('Undirviðmiðalisti (Lýsigögn)'!$E$42:$E$58,MATCH($C8,'Undirviðmiðalisti (Lýsigögn)'!$C$42:$C$58,0))),""))))</f>
        <v/>
      </c>
      <c r="G8" s="24" t="str">
        <f aca="false">IFERROR(IF(B8="","",INDEX(Viðmið!$B$6:$B$10,MATCH(B8,Viðmið!$C$6:$C$10,0))),"")</f>
        <v/>
      </c>
      <c r="H8" s="25" t="str">
        <f aca="false">IF(OR(E8="",F8=""),"",E8*KVARDI)</f>
        <v/>
      </c>
      <c r="I8" s="26" t="str">
        <f aca="false">IF(B8="","",IF(ROUND(SUMIF($B$6:$B$205,B8,$E$6:$E$205),4)=ROUND(IFERROR(INDEX(Viðmið!$E$6:$E$10,MATCH(B8,Viðmið!$C$6:$C$10,0)),-1),4),"✓","✗"))</f>
        <v/>
      </c>
      <c r="J8" s="16" t="str">
        <f aca="false">IF($C8="","",IF($G8="Einstaklingsbundið",IFERROR(IF(INDEX('Undirviðmiðalisti (Lýsigögn)'!F$42:F$58,MATCH($C8,'Undirviðmiðalisti (Lýsigögn)'!$C$42:$C$58,0))="","",INDEX('Undirviðmiðalisti (Lýsigögn)'!F$42:F$58,MATCH($C8,'Undirviðmiðalisti (Lýsigögn)'!$C$42:$C$58,0))),""),IFERROR(IF(INDEX('Undirviðmiðalisti (Lýsigögn)'!F$6:F$41,MATCH($C8,'Undirviðmiðalisti (Lýsigögn)'!$C$6:$C$41,0))="","",INDEX('Undirviðmiðalisti (Lýsigögn)'!F$6:F$41,MATCH($C8,'Undirviðmiðalisti (Lýsigögn)'!$C$6:$C$41,0))),IFERROR(IF(INDEX('Undirviðmiðalisti (Lýsigögn)'!F$42:F$58,MATCH($C8,'Undirviðmiðalisti (Lýsigögn)'!$C$42:$C$58,0))="","",INDEX('Undirviðmiðalisti (Lýsigögn)'!F$42:F$58,MATCH($C8,'Undirviðmiðalisti (Lýsigögn)'!$C$42:$C$58,0))),""))))</f>
        <v/>
      </c>
      <c r="K8" s="16" t="str">
        <f aca="false">IF($C8="","",IF($G8="Einstaklingsbundið",IFERROR(IF(INDEX('Undirviðmiðalisti (Lýsigögn)'!G$42:G$58,MATCH($C8,'Undirviðmiðalisti (Lýsigögn)'!$C$42:$C$58,0))="","",INDEX('Undirviðmiðalisti (Lýsigögn)'!G$42:G$58,MATCH($C8,'Undirviðmiðalisti (Lýsigögn)'!$C$42:$C$58,0))),""),IFERROR(IF(INDEX('Undirviðmiðalisti (Lýsigögn)'!G$6:G$41,MATCH($C8,'Undirviðmiðalisti (Lýsigögn)'!$C$6:$C$41,0))="","",INDEX('Undirviðmiðalisti (Lýsigögn)'!G$6:G$41,MATCH($C8,'Undirviðmiðalisti (Lýsigögn)'!$C$6:$C$41,0))),IFERROR(IF(INDEX('Undirviðmiðalisti (Lýsigögn)'!G$42:G$58,MATCH($C8,'Undirviðmiðalisti (Lýsigögn)'!$C$42:$C$58,0))="","",INDEX('Undirviðmiðalisti (Lýsigögn)'!G$42:G$58,MATCH($C8,'Undirviðmiðalisti (Lýsigögn)'!$C$42:$C$58,0))),""))))</f>
        <v/>
      </c>
      <c r="L8" s="16" t="str">
        <f aca="false">IF($C8="","",IF($G8="Einstaklingsbundið",IFERROR(IF(INDEX('Undirviðmiðalisti (Lýsigögn)'!H$42:H$58,MATCH($C8,'Undirviðmiðalisti (Lýsigögn)'!$C$42:$C$58,0))="","",INDEX('Undirviðmiðalisti (Lýsigögn)'!H$42:H$58,MATCH($C8,'Undirviðmiðalisti (Lýsigögn)'!$C$42:$C$58,0))),""),IFERROR(IF(INDEX('Undirviðmiðalisti (Lýsigögn)'!H$6:H$41,MATCH($C8,'Undirviðmiðalisti (Lýsigögn)'!$C$6:$C$41,0))="","",INDEX('Undirviðmiðalisti (Lýsigögn)'!H$6:H$41,MATCH($C8,'Undirviðmiðalisti (Lýsigögn)'!$C$6:$C$41,0))),IFERROR(IF(INDEX('Undirviðmiðalisti (Lýsigögn)'!H$42:H$58,MATCH($C8,'Undirviðmiðalisti (Lýsigögn)'!$C$42:$C$58,0))="","",INDEX('Undirviðmiðalisti (Lýsigögn)'!H$42:H$58,MATCH($C8,'Undirviðmiðalisti (Lýsigögn)'!$C$42:$C$58,0))),""))))</f>
        <v/>
      </c>
      <c r="M8" s="16" t="str">
        <f aca="false">IF($C8="","",IF($G8="Einstaklingsbundið",IFERROR(IF(INDEX('Undirviðmiðalisti (Lýsigögn)'!I$42:I$58,MATCH($C8,'Undirviðmiðalisti (Lýsigögn)'!$C$42:$C$58,0))="","",INDEX('Undirviðmiðalisti (Lýsigögn)'!I$42:I$58,MATCH($C8,'Undirviðmiðalisti (Lýsigögn)'!$C$42:$C$58,0))),""),IFERROR(IF(INDEX('Undirviðmiðalisti (Lýsigögn)'!I$6:I$41,MATCH($C8,'Undirviðmiðalisti (Lýsigögn)'!$C$6:$C$41,0))="","",INDEX('Undirviðmiðalisti (Lýsigögn)'!I$6:I$41,MATCH($C8,'Undirviðmiðalisti (Lýsigögn)'!$C$6:$C$41,0))),IFERROR(IF(INDEX('Undirviðmiðalisti (Lýsigögn)'!I$42:I$58,MATCH($C8,'Undirviðmiðalisti (Lýsigögn)'!$C$42:$C$58,0))="","",INDEX('Undirviðmiðalisti (Lýsigögn)'!I$42:I$58,MATCH($C8,'Undirviðmiðalisti (Lýsigögn)'!$C$42:$C$58,0))),""))))</f>
        <v/>
      </c>
      <c r="N8" s="16" t="str">
        <f aca="false">IF($C8="","",IF($G8="Einstaklingsbundið",IFERROR(IF(INDEX('Undirviðmiðalisti (Lýsigögn)'!J$42:J$58,MATCH($C8,'Undirviðmiðalisti (Lýsigögn)'!$C$42:$C$58,0))="","",INDEX('Undirviðmiðalisti (Lýsigögn)'!J$42:J$58,MATCH($C8,'Undirviðmiðalisti (Lýsigögn)'!$C$42:$C$58,0))),""),IFERROR(IF(INDEX('Undirviðmiðalisti (Lýsigögn)'!J$6:J$41,MATCH($C8,'Undirviðmiðalisti (Lýsigögn)'!$C$6:$C$41,0))="","",INDEX('Undirviðmiðalisti (Lýsigögn)'!J$6:J$41,MATCH($C8,'Undirviðmiðalisti (Lýsigögn)'!$C$6:$C$41,0))),IFERROR(IF(INDEX('Undirviðmiðalisti (Lýsigögn)'!J$42:J$58,MATCH($C8,'Undirviðmiðalisti (Lýsigögn)'!$C$42:$C$58,0))="","",INDEX('Undirviðmiðalisti (Lýsigögn)'!J$42:J$58,MATCH($C8,'Undirviðmiðalisti (Lýsigögn)'!$C$42:$C$58,0))),""))))</f>
        <v/>
      </c>
      <c r="O8" s="16" t="str">
        <f aca="false">IF($C8="","",IF($G8="Einstaklingsbundið",IFERROR(IF(INDEX('Undirviðmiðalisti (Lýsigögn)'!K$42:K$58,MATCH($C8,'Undirviðmiðalisti (Lýsigögn)'!$C$42:$C$58,0))="","",INDEX('Undirviðmiðalisti (Lýsigögn)'!K$42:K$58,MATCH($C8,'Undirviðmiðalisti (Lýsigögn)'!$C$42:$C$58,0))),""),IFERROR(IF(INDEX('Undirviðmiðalisti (Lýsigögn)'!K$6:K$41,MATCH($C8,'Undirviðmiðalisti (Lýsigögn)'!$C$6:$C$41,0))="","",INDEX('Undirviðmiðalisti (Lýsigögn)'!K$6:K$41,MATCH($C8,'Undirviðmiðalisti (Lýsigögn)'!$C$6:$C$41,0))),IFERROR(IF(INDEX('Undirviðmiðalisti (Lýsigögn)'!K$42:K$58,MATCH($C8,'Undirviðmiðalisti (Lýsigögn)'!$C$42:$C$58,0))="","",INDEX('Undirviðmiðalisti (Lýsigögn)'!K$42:K$58,MATCH($C8,'Undirviðmiðalisti (Lýsigögn)'!$C$42:$C$58,0))),""))))</f>
        <v/>
      </c>
      <c r="P8" s="16" t="str">
        <f aca="false">IF($C8="","",IF($G8="Einstaklingsbundið",IFERROR(IF(INDEX('Undirviðmiðalisti (Lýsigögn)'!L$42:L$58,MATCH($C8,'Undirviðmiðalisti (Lýsigögn)'!$C$42:$C$58,0))="","",INDEX('Undirviðmiðalisti (Lýsigögn)'!L$42:L$58,MATCH($C8,'Undirviðmiðalisti (Lýsigögn)'!$C$42:$C$58,0))),""),IFERROR(IF(INDEX('Undirviðmiðalisti (Lýsigögn)'!L$6:L$41,MATCH($C8,'Undirviðmiðalisti (Lýsigögn)'!$C$6:$C$41,0))="","",INDEX('Undirviðmiðalisti (Lýsigögn)'!L$6:L$41,MATCH($C8,'Undirviðmiðalisti (Lýsigögn)'!$C$6:$C$41,0))),IFERROR(IF(INDEX('Undirviðmiðalisti (Lýsigögn)'!L$42:L$58,MATCH($C8,'Undirviðmiðalisti (Lýsigögn)'!$C$42:$C$58,0))="","",INDEX('Undirviðmiðalisti (Lýsigögn)'!L$42:L$58,MATCH($C8,'Undirviðmiðalisti (Lýsigögn)'!$C$42:$C$58,0))),""))))</f>
        <v/>
      </c>
      <c r="Q8" s="16" t="str">
        <f aca="false">IF($C8="","",IF($G8="Einstaklingsbundið",IFERROR(IF(INDEX('Undirviðmiðalisti (Lýsigögn)'!M$42:M$58,MATCH($C8,'Undirviðmiðalisti (Lýsigögn)'!$C$42:$C$58,0))="","",INDEX('Undirviðmiðalisti (Lýsigögn)'!M$42:M$58,MATCH($C8,'Undirviðmiðalisti (Lýsigögn)'!$C$42:$C$58,0))),""),IFERROR(IF(INDEX('Undirviðmiðalisti (Lýsigögn)'!M$6:M$41,MATCH($C8,'Undirviðmiðalisti (Lýsigögn)'!$C$6:$C$41,0))="","",INDEX('Undirviðmiðalisti (Lýsigögn)'!M$6:M$41,MATCH($C8,'Undirviðmiðalisti (Lýsigögn)'!$C$6:$C$41,0))),IFERROR(IF(INDEX('Undirviðmiðalisti (Lýsigögn)'!M$42:M$58,MATCH($C8,'Undirviðmiðalisti (Lýsigögn)'!$C$42:$C$58,0))="","",INDEX('Undirviðmiðalisti (Lýsigögn)'!M$42:M$58,MATCH($C8,'Undirviðmiðalisti (Lýsigögn)'!$C$42:$C$58,0))),""))))</f>
        <v/>
      </c>
    </row>
    <row r="9" customFormat="false" ht="39" hidden="false" customHeight="true" outlineLevel="0" collapsed="false">
      <c r="A9" s="22" t="str">
        <f aca="false">IF($B9="","",ROW()-5)</f>
        <v/>
      </c>
      <c r="B9" s="15"/>
      <c r="C9" s="15"/>
      <c r="D9" s="16" t="str">
        <f aca="false">IF($C9="","",IF($G9="Einstaklingsbundið",IFERROR(IF(INDEX('Undirviðmiðalisti (Lýsigögn)'!$D$42:$D$58,MATCH($C9,'Undirviðmiðalisti (Lýsigögn)'!$C$42:$C$58,0))="","",INDEX('Undirviðmiðalisti (Lýsigögn)'!$D$42:$D$58,MATCH($C9,'Undirviðmiðalisti (Lýsigögn)'!$C$42:$C$58,0))),""),IFERROR(IF(INDEX('Undirviðmiðalisti (Lýsigögn)'!$D$6:$D$41,MATCH($C9,'Undirviðmiðalisti (Lýsigögn)'!$C$6:$C$41,0))="","",INDEX('Undirviðmiðalisti (Lýsigögn)'!$D$6:$D$41,MATCH($C9,'Undirviðmiðalisti (Lýsigögn)'!$C$6:$C$41,0))),IFERROR(IF(INDEX('Undirviðmiðalisti (Lýsigögn)'!$D$42:$D$58,MATCH($C9,'Undirviðmiðalisti (Lýsigögn)'!$C$42:$C$58,0))="","",INDEX('Undirviðmiðalisti (Lýsigögn)'!$D$42:$D$58,MATCH($C9,'Undirviðmiðalisti (Lýsigögn)'!$C$42:$C$58,0))),""))))</f>
        <v/>
      </c>
      <c r="E9" s="14"/>
      <c r="F9" s="23" t="str">
        <f aca="false">IF($C9="","",IF($G9="Einstaklingsbundið",IFERROR(IF(INDEX('Undirviðmiðalisti (Lýsigögn)'!$E$42:$E$58,MATCH($C9,'Undirviðmiðalisti (Lýsigögn)'!$C$42:$C$58,0))="","",INDEX('Undirviðmiðalisti (Lýsigögn)'!$E$42:$E$58,MATCH($C9,'Undirviðmiðalisti (Lýsigögn)'!$C$42:$C$58,0))),""),IFERROR(IF(INDEX('Undirviðmiðalisti (Lýsigögn)'!$E$6:$E$41,MATCH($C9,'Undirviðmiðalisti (Lýsigögn)'!$C$6:$C$41,0))="","",INDEX('Undirviðmiðalisti (Lýsigögn)'!$E$6:$E$41,MATCH($C9,'Undirviðmiðalisti (Lýsigögn)'!$C$6:$C$41,0))),IFERROR(IF(INDEX('Undirviðmiðalisti (Lýsigögn)'!$E$42:$E$58,MATCH($C9,'Undirviðmiðalisti (Lýsigögn)'!$C$42:$C$58,0))="","",INDEX('Undirviðmiðalisti (Lýsigögn)'!$E$42:$E$58,MATCH($C9,'Undirviðmiðalisti (Lýsigögn)'!$C$42:$C$58,0))),""))))</f>
        <v/>
      </c>
      <c r="G9" s="24" t="str">
        <f aca="false">IFERROR(IF(B9="","",INDEX(Viðmið!$B$6:$B$10,MATCH(B9,Viðmið!$C$6:$C$10,0))),"")</f>
        <v/>
      </c>
      <c r="H9" s="25" t="str">
        <f aca="false">IF(OR(E9="",F9=""),"",E9*KVARDI)</f>
        <v/>
      </c>
      <c r="I9" s="26" t="str">
        <f aca="false">IF(B9="","",IF(ROUND(SUMIF($B$6:$B$205,B9,$E$6:$E$205),4)=ROUND(IFERROR(INDEX(Viðmið!$E$6:$E$10,MATCH(B9,Viðmið!$C$6:$C$10,0)),-1),4),"✓","✗"))</f>
        <v/>
      </c>
      <c r="J9" s="16" t="str">
        <f aca="false">IF($C9="","",IF($G9="Einstaklingsbundið",IFERROR(IF(INDEX('Undirviðmiðalisti (Lýsigögn)'!F$42:F$58,MATCH($C9,'Undirviðmiðalisti (Lýsigögn)'!$C$42:$C$58,0))="","",INDEX('Undirviðmiðalisti (Lýsigögn)'!F$42:F$58,MATCH($C9,'Undirviðmiðalisti (Lýsigögn)'!$C$42:$C$58,0))),""),IFERROR(IF(INDEX('Undirviðmiðalisti (Lýsigögn)'!F$6:F$41,MATCH($C9,'Undirviðmiðalisti (Lýsigögn)'!$C$6:$C$41,0))="","",INDEX('Undirviðmiðalisti (Lýsigögn)'!F$6:F$41,MATCH($C9,'Undirviðmiðalisti (Lýsigögn)'!$C$6:$C$41,0))),IFERROR(IF(INDEX('Undirviðmiðalisti (Lýsigögn)'!F$42:F$58,MATCH($C9,'Undirviðmiðalisti (Lýsigögn)'!$C$42:$C$58,0))="","",INDEX('Undirviðmiðalisti (Lýsigögn)'!F$42:F$58,MATCH($C9,'Undirviðmiðalisti (Lýsigögn)'!$C$42:$C$58,0))),""))))</f>
        <v/>
      </c>
      <c r="K9" s="16" t="str">
        <f aca="false">IF($C9="","",IF($G9="Einstaklingsbundið",IFERROR(IF(INDEX('Undirviðmiðalisti (Lýsigögn)'!G$42:G$58,MATCH($C9,'Undirviðmiðalisti (Lýsigögn)'!$C$42:$C$58,0))="","",INDEX('Undirviðmiðalisti (Lýsigögn)'!G$42:G$58,MATCH($C9,'Undirviðmiðalisti (Lýsigögn)'!$C$42:$C$58,0))),""),IFERROR(IF(INDEX('Undirviðmiðalisti (Lýsigögn)'!G$6:G$41,MATCH($C9,'Undirviðmiðalisti (Lýsigögn)'!$C$6:$C$41,0))="","",INDEX('Undirviðmiðalisti (Lýsigögn)'!G$6:G$41,MATCH($C9,'Undirviðmiðalisti (Lýsigögn)'!$C$6:$C$41,0))),IFERROR(IF(INDEX('Undirviðmiðalisti (Lýsigögn)'!G$42:G$58,MATCH($C9,'Undirviðmiðalisti (Lýsigögn)'!$C$42:$C$58,0))="","",INDEX('Undirviðmiðalisti (Lýsigögn)'!G$42:G$58,MATCH($C9,'Undirviðmiðalisti (Lýsigögn)'!$C$42:$C$58,0))),""))))</f>
        <v/>
      </c>
      <c r="L9" s="16" t="str">
        <f aca="false">IF($C9="","",IF($G9="Einstaklingsbundið",IFERROR(IF(INDEX('Undirviðmiðalisti (Lýsigögn)'!H$42:H$58,MATCH($C9,'Undirviðmiðalisti (Lýsigögn)'!$C$42:$C$58,0))="","",INDEX('Undirviðmiðalisti (Lýsigögn)'!H$42:H$58,MATCH($C9,'Undirviðmiðalisti (Lýsigögn)'!$C$42:$C$58,0))),""),IFERROR(IF(INDEX('Undirviðmiðalisti (Lýsigögn)'!H$6:H$41,MATCH($C9,'Undirviðmiðalisti (Lýsigögn)'!$C$6:$C$41,0))="","",INDEX('Undirviðmiðalisti (Lýsigögn)'!H$6:H$41,MATCH($C9,'Undirviðmiðalisti (Lýsigögn)'!$C$6:$C$41,0))),IFERROR(IF(INDEX('Undirviðmiðalisti (Lýsigögn)'!H$42:H$58,MATCH($C9,'Undirviðmiðalisti (Lýsigögn)'!$C$42:$C$58,0))="","",INDEX('Undirviðmiðalisti (Lýsigögn)'!H$42:H$58,MATCH($C9,'Undirviðmiðalisti (Lýsigögn)'!$C$42:$C$58,0))),""))))</f>
        <v/>
      </c>
      <c r="M9" s="16" t="str">
        <f aca="false">IF($C9="","",IF($G9="Einstaklingsbundið",IFERROR(IF(INDEX('Undirviðmiðalisti (Lýsigögn)'!I$42:I$58,MATCH($C9,'Undirviðmiðalisti (Lýsigögn)'!$C$42:$C$58,0))="","",INDEX('Undirviðmiðalisti (Lýsigögn)'!I$42:I$58,MATCH($C9,'Undirviðmiðalisti (Lýsigögn)'!$C$42:$C$58,0))),""),IFERROR(IF(INDEX('Undirviðmiðalisti (Lýsigögn)'!I$6:I$41,MATCH($C9,'Undirviðmiðalisti (Lýsigögn)'!$C$6:$C$41,0))="","",INDEX('Undirviðmiðalisti (Lýsigögn)'!I$6:I$41,MATCH($C9,'Undirviðmiðalisti (Lýsigögn)'!$C$6:$C$41,0))),IFERROR(IF(INDEX('Undirviðmiðalisti (Lýsigögn)'!I$42:I$58,MATCH($C9,'Undirviðmiðalisti (Lýsigögn)'!$C$42:$C$58,0))="","",INDEX('Undirviðmiðalisti (Lýsigögn)'!I$42:I$58,MATCH($C9,'Undirviðmiðalisti (Lýsigögn)'!$C$42:$C$58,0))),""))))</f>
        <v/>
      </c>
      <c r="N9" s="16" t="str">
        <f aca="false">IF($C9="","",IF($G9="Einstaklingsbundið",IFERROR(IF(INDEX('Undirviðmiðalisti (Lýsigögn)'!J$42:J$58,MATCH($C9,'Undirviðmiðalisti (Lýsigögn)'!$C$42:$C$58,0))="","",INDEX('Undirviðmiðalisti (Lýsigögn)'!J$42:J$58,MATCH($C9,'Undirviðmiðalisti (Lýsigögn)'!$C$42:$C$58,0))),""),IFERROR(IF(INDEX('Undirviðmiðalisti (Lýsigögn)'!J$6:J$41,MATCH($C9,'Undirviðmiðalisti (Lýsigögn)'!$C$6:$C$41,0))="","",INDEX('Undirviðmiðalisti (Lýsigögn)'!J$6:J$41,MATCH($C9,'Undirviðmiðalisti (Lýsigögn)'!$C$6:$C$41,0))),IFERROR(IF(INDEX('Undirviðmiðalisti (Lýsigögn)'!J$42:J$58,MATCH($C9,'Undirviðmiðalisti (Lýsigögn)'!$C$42:$C$58,0))="","",INDEX('Undirviðmiðalisti (Lýsigögn)'!J$42:J$58,MATCH($C9,'Undirviðmiðalisti (Lýsigögn)'!$C$42:$C$58,0))),""))))</f>
        <v/>
      </c>
      <c r="O9" s="16" t="str">
        <f aca="false">IF($C9="","",IF($G9="Einstaklingsbundið",IFERROR(IF(INDEX('Undirviðmiðalisti (Lýsigögn)'!K$42:K$58,MATCH($C9,'Undirviðmiðalisti (Lýsigögn)'!$C$42:$C$58,0))="","",INDEX('Undirviðmiðalisti (Lýsigögn)'!K$42:K$58,MATCH($C9,'Undirviðmiðalisti (Lýsigögn)'!$C$42:$C$58,0))),""),IFERROR(IF(INDEX('Undirviðmiðalisti (Lýsigögn)'!K$6:K$41,MATCH($C9,'Undirviðmiðalisti (Lýsigögn)'!$C$6:$C$41,0))="","",INDEX('Undirviðmiðalisti (Lýsigögn)'!K$6:K$41,MATCH($C9,'Undirviðmiðalisti (Lýsigögn)'!$C$6:$C$41,0))),IFERROR(IF(INDEX('Undirviðmiðalisti (Lýsigögn)'!K$42:K$58,MATCH($C9,'Undirviðmiðalisti (Lýsigögn)'!$C$42:$C$58,0))="","",INDEX('Undirviðmiðalisti (Lýsigögn)'!K$42:K$58,MATCH($C9,'Undirviðmiðalisti (Lýsigögn)'!$C$42:$C$58,0))),""))))</f>
        <v/>
      </c>
      <c r="P9" s="16" t="str">
        <f aca="false">IF($C9="","",IF($G9="Einstaklingsbundið",IFERROR(IF(INDEX('Undirviðmiðalisti (Lýsigögn)'!L$42:L$58,MATCH($C9,'Undirviðmiðalisti (Lýsigögn)'!$C$42:$C$58,0))="","",INDEX('Undirviðmiðalisti (Lýsigögn)'!L$42:L$58,MATCH($C9,'Undirviðmiðalisti (Lýsigögn)'!$C$42:$C$58,0))),""),IFERROR(IF(INDEX('Undirviðmiðalisti (Lýsigögn)'!L$6:L$41,MATCH($C9,'Undirviðmiðalisti (Lýsigögn)'!$C$6:$C$41,0))="","",INDEX('Undirviðmiðalisti (Lýsigögn)'!L$6:L$41,MATCH($C9,'Undirviðmiðalisti (Lýsigögn)'!$C$6:$C$41,0))),IFERROR(IF(INDEX('Undirviðmiðalisti (Lýsigögn)'!L$42:L$58,MATCH($C9,'Undirviðmiðalisti (Lýsigögn)'!$C$42:$C$58,0))="","",INDEX('Undirviðmiðalisti (Lýsigögn)'!L$42:L$58,MATCH($C9,'Undirviðmiðalisti (Lýsigögn)'!$C$42:$C$58,0))),""))))</f>
        <v/>
      </c>
      <c r="Q9" s="16" t="str">
        <f aca="false">IF($C9="","",IF($G9="Einstaklingsbundið",IFERROR(IF(INDEX('Undirviðmiðalisti (Lýsigögn)'!M$42:M$58,MATCH($C9,'Undirviðmiðalisti (Lýsigögn)'!$C$42:$C$58,0))="","",INDEX('Undirviðmiðalisti (Lýsigögn)'!M$42:M$58,MATCH($C9,'Undirviðmiðalisti (Lýsigögn)'!$C$42:$C$58,0))),""),IFERROR(IF(INDEX('Undirviðmiðalisti (Lýsigögn)'!M$6:M$41,MATCH($C9,'Undirviðmiðalisti (Lýsigögn)'!$C$6:$C$41,0))="","",INDEX('Undirviðmiðalisti (Lýsigögn)'!M$6:M$41,MATCH($C9,'Undirviðmiðalisti (Lýsigögn)'!$C$6:$C$41,0))),IFERROR(IF(INDEX('Undirviðmiðalisti (Lýsigögn)'!M$42:M$58,MATCH($C9,'Undirviðmiðalisti (Lýsigögn)'!$C$42:$C$58,0))="","",INDEX('Undirviðmiðalisti (Lýsigögn)'!M$42:M$58,MATCH($C9,'Undirviðmiðalisti (Lýsigögn)'!$C$42:$C$58,0))),""))))</f>
        <v/>
      </c>
    </row>
    <row r="10" customFormat="false" ht="26.25" hidden="false" customHeight="true" outlineLevel="0" collapsed="false">
      <c r="A10" s="22" t="str">
        <f aca="false">IF($B10="","",ROW()-5)</f>
        <v/>
      </c>
      <c r="B10" s="15"/>
      <c r="C10" s="15"/>
      <c r="D10" s="16" t="str">
        <f aca="false">IF($C10="","",IF($G10="Einstaklingsbundið",IFERROR(IF(INDEX('Undirviðmiðalisti (Lýsigögn)'!$D$42:$D$58,MATCH($C10,'Undirviðmiðalisti (Lýsigögn)'!$C$42:$C$58,0))="","",INDEX('Undirviðmiðalisti (Lýsigögn)'!$D$42:$D$58,MATCH($C10,'Undirviðmiðalisti (Lýsigögn)'!$C$42:$C$58,0))),""),IFERROR(IF(INDEX('Undirviðmiðalisti (Lýsigögn)'!$D$6:$D$41,MATCH($C10,'Undirviðmiðalisti (Lýsigögn)'!$C$6:$C$41,0))="","",INDEX('Undirviðmiðalisti (Lýsigögn)'!$D$6:$D$41,MATCH($C10,'Undirviðmiðalisti (Lýsigögn)'!$C$6:$C$41,0))),IFERROR(IF(INDEX('Undirviðmiðalisti (Lýsigögn)'!$D$42:$D$58,MATCH($C10,'Undirviðmiðalisti (Lýsigögn)'!$C$42:$C$58,0))="","",INDEX('Undirviðmiðalisti (Lýsigögn)'!$D$42:$D$58,MATCH($C10,'Undirviðmiðalisti (Lýsigögn)'!$C$42:$C$58,0))),""))))</f>
        <v/>
      </c>
      <c r="E10" s="14"/>
      <c r="F10" s="23" t="str">
        <f aca="false">IF($C10="","",IF($G10="Einstaklingsbundið",IFERROR(IF(INDEX('Undirviðmiðalisti (Lýsigögn)'!$E$42:$E$58,MATCH($C10,'Undirviðmiðalisti (Lýsigögn)'!$C$42:$C$58,0))="","",INDEX('Undirviðmiðalisti (Lýsigögn)'!$E$42:$E$58,MATCH($C10,'Undirviðmiðalisti (Lýsigögn)'!$C$42:$C$58,0))),""),IFERROR(IF(INDEX('Undirviðmiðalisti (Lýsigögn)'!$E$6:$E$41,MATCH($C10,'Undirviðmiðalisti (Lýsigögn)'!$C$6:$C$41,0))="","",INDEX('Undirviðmiðalisti (Lýsigögn)'!$E$6:$E$41,MATCH($C10,'Undirviðmiðalisti (Lýsigögn)'!$C$6:$C$41,0))),IFERROR(IF(INDEX('Undirviðmiðalisti (Lýsigögn)'!$E$42:$E$58,MATCH($C10,'Undirviðmiðalisti (Lýsigögn)'!$C$42:$C$58,0))="","",INDEX('Undirviðmiðalisti (Lýsigögn)'!$E$42:$E$58,MATCH($C10,'Undirviðmiðalisti (Lýsigögn)'!$C$42:$C$58,0))),""))))</f>
        <v/>
      </c>
      <c r="G10" s="24" t="str">
        <f aca="false">IFERROR(IF(B10="","",INDEX(Viðmið!$B$6:$B$10,MATCH(B10,Viðmið!$C$6:$C$10,0))),"")</f>
        <v/>
      </c>
      <c r="H10" s="25" t="str">
        <f aca="false">IF(OR(E10="",F10=""),"",E10*KVARDI)</f>
        <v/>
      </c>
      <c r="I10" s="26" t="str">
        <f aca="false">IF(B10="","",IF(ROUND(SUMIF($B$6:$B$205,B10,$E$6:$E$205),4)=ROUND(IFERROR(INDEX(Viðmið!$E$6:$E$10,MATCH(B10,Viðmið!$C$6:$C$10,0)),-1),4),"✓","✗"))</f>
        <v/>
      </c>
      <c r="J10" s="16" t="str">
        <f aca="false">IF($C10="","",IF($G10="Einstaklingsbundið",IFERROR(IF(INDEX('Undirviðmiðalisti (Lýsigögn)'!F$42:F$58,MATCH($C10,'Undirviðmiðalisti (Lýsigögn)'!$C$42:$C$58,0))="","",INDEX('Undirviðmiðalisti (Lýsigögn)'!F$42:F$58,MATCH($C10,'Undirviðmiðalisti (Lýsigögn)'!$C$42:$C$58,0))),""),IFERROR(IF(INDEX('Undirviðmiðalisti (Lýsigögn)'!F$6:F$41,MATCH($C10,'Undirviðmiðalisti (Lýsigögn)'!$C$6:$C$41,0))="","",INDEX('Undirviðmiðalisti (Lýsigögn)'!F$6:F$41,MATCH($C10,'Undirviðmiðalisti (Lýsigögn)'!$C$6:$C$41,0))),IFERROR(IF(INDEX('Undirviðmiðalisti (Lýsigögn)'!F$42:F$58,MATCH($C10,'Undirviðmiðalisti (Lýsigögn)'!$C$42:$C$58,0))="","",INDEX('Undirviðmiðalisti (Lýsigögn)'!F$42:F$58,MATCH($C10,'Undirviðmiðalisti (Lýsigögn)'!$C$42:$C$58,0))),""))))</f>
        <v/>
      </c>
      <c r="K10" s="16" t="str">
        <f aca="false">IF($C10="","",IF($G10="Einstaklingsbundið",IFERROR(IF(INDEX('Undirviðmiðalisti (Lýsigögn)'!G$42:G$58,MATCH($C10,'Undirviðmiðalisti (Lýsigögn)'!$C$42:$C$58,0))="","",INDEX('Undirviðmiðalisti (Lýsigögn)'!G$42:G$58,MATCH($C10,'Undirviðmiðalisti (Lýsigögn)'!$C$42:$C$58,0))),""),IFERROR(IF(INDEX('Undirviðmiðalisti (Lýsigögn)'!G$6:G$41,MATCH($C10,'Undirviðmiðalisti (Lýsigögn)'!$C$6:$C$41,0))="","",INDEX('Undirviðmiðalisti (Lýsigögn)'!G$6:G$41,MATCH($C10,'Undirviðmiðalisti (Lýsigögn)'!$C$6:$C$41,0))),IFERROR(IF(INDEX('Undirviðmiðalisti (Lýsigögn)'!G$42:G$58,MATCH($C10,'Undirviðmiðalisti (Lýsigögn)'!$C$42:$C$58,0))="","",INDEX('Undirviðmiðalisti (Lýsigögn)'!G$42:G$58,MATCH($C10,'Undirviðmiðalisti (Lýsigögn)'!$C$42:$C$58,0))),""))))</f>
        <v/>
      </c>
      <c r="L10" s="16" t="str">
        <f aca="false">IF($C10="","",IF($G10="Einstaklingsbundið",IFERROR(IF(INDEX('Undirviðmiðalisti (Lýsigögn)'!H$42:H$58,MATCH($C10,'Undirviðmiðalisti (Lýsigögn)'!$C$42:$C$58,0))="","",INDEX('Undirviðmiðalisti (Lýsigögn)'!H$42:H$58,MATCH($C10,'Undirviðmiðalisti (Lýsigögn)'!$C$42:$C$58,0))),""),IFERROR(IF(INDEX('Undirviðmiðalisti (Lýsigögn)'!H$6:H$41,MATCH($C10,'Undirviðmiðalisti (Lýsigögn)'!$C$6:$C$41,0))="","",INDEX('Undirviðmiðalisti (Lýsigögn)'!H$6:H$41,MATCH($C10,'Undirviðmiðalisti (Lýsigögn)'!$C$6:$C$41,0))),IFERROR(IF(INDEX('Undirviðmiðalisti (Lýsigögn)'!H$42:H$58,MATCH($C10,'Undirviðmiðalisti (Lýsigögn)'!$C$42:$C$58,0))="","",INDEX('Undirviðmiðalisti (Lýsigögn)'!H$42:H$58,MATCH($C10,'Undirviðmiðalisti (Lýsigögn)'!$C$42:$C$58,0))),""))))</f>
        <v/>
      </c>
      <c r="M10" s="16" t="str">
        <f aca="false">IF($C10="","",IF($G10="Einstaklingsbundið",IFERROR(IF(INDEX('Undirviðmiðalisti (Lýsigögn)'!I$42:I$58,MATCH($C10,'Undirviðmiðalisti (Lýsigögn)'!$C$42:$C$58,0))="","",INDEX('Undirviðmiðalisti (Lýsigögn)'!I$42:I$58,MATCH($C10,'Undirviðmiðalisti (Lýsigögn)'!$C$42:$C$58,0))),""),IFERROR(IF(INDEX('Undirviðmiðalisti (Lýsigögn)'!I$6:I$41,MATCH($C10,'Undirviðmiðalisti (Lýsigögn)'!$C$6:$C$41,0))="","",INDEX('Undirviðmiðalisti (Lýsigögn)'!I$6:I$41,MATCH($C10,'Undirviðmiðalisti (Lýsigögn)'!$C$6:$C$41,0))),IFERROR(IF(INDEX('Undirviðmiðalisti (Lýsigögn)'!I$42:I$58,MATCH($C10,'Undirviðmiðalisti (Lýsigögn)'!$C$42:$C$58,0))="","",INDEX('Undirviðmiðalisti (Lýsigögn)'!I$42:I$58,MATCH($C10,'Undirviðmiðalisti (Lýsigögn)'!$C$42:$C$58,0))),""))))</f>
        <v/>
      </c>
      <c r="N10" s="16" t="str">
        <f aca="false">IF($C10="","",IF($G10="Einstaklingsbundið",IFERROR(IF(INDEX('Undirviðmiðalisti (Lýsigögn)'!J$42:J$58,MATCH($C10,'Undirviðmiðalisti (Lýsigögn)'!$C$42:$C$58,0))="","",INDEX('Undirviðmiðalisti (Lýsigögn)'!J$42:J$58,MATCH($C10,'Undirviðmiðalisti (Lýsigögn)'!$C$42:$C$58,0))),""),IFERROR(IF(INDEX('Undirviðmiðalisti (Lýsigögn)'!J$6:J$41,MATCH($C10,'Undirviðmiðalisti (Lýsigögn)'!$C$6:$C$41,0))="","",INDEX('Undirviðmiðalisti (Lýsigögn)'!J$6:J$41,MATCH($C10,'Undirviðmiðalisti (Lýsigögn)'!$C$6:$C$41,0))),IFERROR(IF(INDEX('Undirviðmiðalisti (Lýsigögn)'!J$42:J$58,MATCH($C10,'Undirviðmiðalisti (Lýsigögn)'!$C$42:$C$58,0))="","",INDEX('Undirviðmiðalisti (Lýsigögn)'!J$42:J$58,MATCH($C10,'Undirviðmiðalisti (Lýsigögn)'!$C$42:$C$58,0))),""))))</f>
        <v/>
      </c>
      <c r="O10" s="16" t="str">
        <f aca="false">IF($C10="","",IF($G10="Einstaklingsbundið",IFERROR(IF(INDEX('Undirviðmiðalisti (Lýsigögn)'!K$42:K$58,MATCH($C10,'Undirviðmiðalisti (Lýsigögn)'!$C$42:$C$58,0))="","",INDEX('Undirviðmiðalisti (Lýsigögn)'!K$42:K$58,MATCH($C10,'Undirviðmiðalisti (Lýsigögn)'!$C$42:$C$58,0))),""),IFERROR(IF(INDEX('Undirviðmiðalisti (Lýsigögn)'!K$6:K$41,MATCH($C10,'Undirviðmiðalisti (Lýsigögn)'!$C$6:$C$41,0))="","",INDEX('Undirviðmiðalisti (Lýsigögn)'!K$6:K$41,MATCH($C10,'Undirviðmiðalisti (Lýsigögn)'!$C$6:$C$41,0))),IFERROR(IF(INDEX('Undirviðmiðalisti (Lýsigögn)'!K$42:K$58,MATCH($C10,'Undirviðmiðalisti (Lýsigögn)'!$C$42:$C$58,0))="","",INDEX('Undirviðmiðalisti (Lýsigögn)'!K$42:K$58,MATCH($C10,'Undirviðmiðalisti (Lýsigögn)'!$C$42:$C$58,0))),""))))</f>
        <v/>
      </c>
      <c r="P10" s="16" t="str">
        <f aca="false">IF($C10="","",IF($G10="Einstaklingsbundið",IFERROR(IF(INDEX('Undirviðmiðalisti (Lýsigögn)'!L$42:L$58,MATCH($C10,'Undirviðmiðalisti (Lýsigögn)'!$C$42:$C$58,0))="","",INDEX('Undirviðmiðalisti (Lýsigögn)'!L$42:L$58,MATCH($C10,'Undirviðmiðalisti (Lýsigögn)'!$C$42:$C$58,0))),""),IFERROR(IF(INDEX('Undirviðmiðalisti (Lýsigögn)'!L$6:L$41,MATCH($C10,'Undirviðmiðalisti (Lýsigögn)'!$C$6:$C$41,0))="","",INDEX('Undirviðmiðalisti (Lýsigögn)'!L$6:L$41,MATCH($C10,'Undirviðmiðalisti (Lýsigögn)'!$C$6:$C$41,0))),IFERROR(IF(INDEX('Undirviðmiðalisti (Lýsigögn)'!L$42:L$58,MATCH($C10,'Undirviðmiðalisti (Lýsigögn)'!$C$42:$C$58,0))="","",INDEX('Undirviðmiðalisti (Lýsigögn)'!L$42:L$58,MATCH($C10,'Undirviðmiðalisti (Lýsigögn)'!$C$42:$C$58,0))),""))))</f>
        <v/>
      </c>
      <c r="Q10" s="16" t="str">
        <f aca="false">IF($C10="","",IF($G10="Einstaklingsbundið",IFERROR(IF(INDEX('Undirviðmiðalisti (Lýsigögn)'!M$42:M$58,MATCH($C10,'Undirviðmiðalisti (Lýsigögn)'!$C$42:$C$58,0))="","",INDEX('Undirviðmiðalisti (Lýsigögn)'!M$42:M$58,MATCH($C10,'Undirviðmiðalisti (Lýsigögn)'!$C$42:$C$58,0))),""),IFERROR(IF(INDEX('Undirviðmiðalisti (Lýsigögn)'!M$6:M$41,MATCH($C10,'Undirviðmiðalisti (Lýsigögn)'!$C$6:$C$41,0))="","",INDEX('Undirviðmiðalisti (Lýsigögn)'!M$6:M$41,MATCH($C10,'Undirviðmiðalisti (Lýsigögn)'!$C$6:$C$41,0))),IFERROR(IF(INDEX('Undirviðmiðalisti (Lýsigögn)'!M$42:M$58,MATCH($C10,'Undirviðmiðalisti (Lýsigögn)'!$C$42:$C$58,0))="","",INDEX('Undirviðmiðalisti (Lýsigögn)'!M$42:M$58,MATCH($C10,'Undirviðmiðalisti (Lýsigögn)'!$C$42:$C$58,0))),""))))</f>
        <v/>
      </c>
    </row>
    <row r="11" customFormat="false" ht="26.25" hidden="false" customHeight="true" outlineLevel="0" collapsed="false">
      <c r="A11" s="22" t="str">
        <f aca="false">IF($B11="","",ROW()-5)</f>
        <v/>
      </c>
      <c r="B11" s="15"/>
      <c r="C11" s="15"/>
      <c r="D11" s="16" t="str">
        <f aca="false">IF($C11="","",IF($G11="Einstaklingsbundið",IFERROR(IF(INDEX('Undirviðmiðalisti (Lýsigögn)'!$D$42:$D$58,MATCH($C11,'Undirviðmiðalisti (Lýsigögn)'!$C$42:$C$58,0))="","",INDEX('Undirviðmiðalisti (Lýsigögn)'!$D$42:$D$58,MATCH($C11,'Undirviðmiðalisti (Lýsigögn)'!$C$42:$C$58,0))),""),IFERROR(IF(INDEX('Undirviðmiðalisti (Lýsigögn)'!$D$6:$D$41,MATCH($C11,'Undirviðmiðalisti (Lýsigögn)'!$C$6:$C$41,0))="","",INDEX('Undirviðmiðalisti (Lýsigögn)'!$D$6:$D$41,MATCH($C11,'Undirviðmiðalisti (Lýsigögn)'!$C$6:$C$41,0))),IFERROR(IF(INDEX('Undirviðmiðalisti (Lýsigögn)'!$D$42:$D$58,MATCH($C11,'Undirviðmiðalisti (Lýsigögn)'!$C$42:$C$58,0))="","",INDEX('Undirviðmiðalisti (Lýsigögn)'!$D$42:$D$58,MATCH($C11,'Undirviðmiðalisti (Lýsigögn)'!$C$42:$C$58,0))),""))))</f>
        <v/>
      </c>
      <c r="E11" s="14"/>
      <c r="F11" s="23" t="str">
        <f aca="false">IF($C11="","",IF($G11="Einstaklingsbundið",IFERROR(IF(INDEX('Undirviðmiðalisti (Lýsigögn)'!$E$42:$E$58,MATCH($C11,'Undirviðmiðalisti (Lýsigögn)'!$C$42:$C$58,0))="","",INDEX('Undirviðmiðalisti (Lýsigögn)'!$E$42:$E$58,MATCH($C11,'Undirviðmiðalisti (Lýsigögn)'!$C$42:$C$58,0))),""),IFERROR(IF(INDEX('Undirviðmiðalisti (Lýsigögn)'!$E$6:$E$41,MATCH($C11,'Undirviðmiðalisti (Lýsigögn)'!$C$6:$C$41,0))="","",INDEX('Undirviðmiðalisti (Lýsigögn)'!$E$6:$E$41,MATCH($C11,'Undirviðmiðalisti (Lýsigögn)'!$C$6:$C$41,0))),IFERROR(IF(INDEX('Undirviðmiðalisti (Lýsigögn)'!$E$42:$E$58,MATCH($C11,'Undirviðmiðalisti (Lýsigögn)'!$C$42:$C$58,0))="","",INDEX('Undirviðmiðalisti (Lýsigögn)'!$E$42:$E$58,MATCH($C11,'Undirviðmiðalisti (Lýsigögn)'!$C$42:$C$58,0))),""))))</f>
        <v/>
      </c>
      <c r="G11" s="24" t="str">
        <f aca="false">IFERROR(IF(B11="","",INDEX(Viðmið!$B$6:$B$10,MATCH(B11,Viðmið!$C$6:$C$10,0))),"")</f>
        <v/>
      </c>
      <c r="H11" s="25" t="str">
        <f aca="false">IF(OR(E11="",F11=""),"",E11*KVARDI)</f>
        <v/>
      </c>
      <c r="I11" s="26" t="str">
        <f aca="false">IF(B11="","",IF(ROUND(SUMIF($B$6:$B$205,B11,$E$6:$E$205),4)=ROUND(IFERROR(INDEX(Viðmið!$E$6:$E$10,MATCH(B11,Viðmið!$C$6:$C$10,0)),-1),4),"✓","✗"))</f>
        <v/>
      </c>
      <c r="J11" s="16" t="str">
        <f aca="false">IF($C11="","",IF($G11="Einstaklingsbundið",IFERROR(IF(INDEX('Undirviðmiðalisti (Lýsigögn)'!F$42:F$58,MATCH($C11,'Undirviðmiðalisti (Lýsigögn)'!$C$42:$C$58,0))="","",INDEX('Undirviðmiðalisti (Lýsigögn)'!F$42:F$58,MATCH($C11,'Undirviðmiðalisti (Lýsigögn)'!$C$42:$C$58,0))),""),IFERROR(IF(INDEX('Undirviðmiðalisti (Lýsigögn)'!F$6:F$41,MATCH($C11,'Undirviðmiðalisti (Lýsigögn)'!$C$6:$C$41,0))="","",INDEX('Undirviðmiðalisti (Lýsigögn)'!F$6:F$41,MATCH($C11,'Undirviðmiðalisti (Lýsigögn)'!$C$6:$C$41,0))),IFERROR(IF(INDEX('Undirviðmiðalisti (Lýsigögn)'!F$42:F$58,MATCH($C11,'Undirviðmiðalisti (Lýsigögn)'!$C$42:$C$58,0))="","",INDEX('Undirviðmiðalisti (Lýsigögn)'!F$42:F$58,MATCH($C11,'Undirviðmiðalisti (Lýsigögn)'!$C$42:$C$58,0))),""))))</f>
        <v/>
      </c>
      <c r="K11" s="16" t="str">
        <f aca="false">IF($C11="","",IF($G11="Einstaklingsbundið",IFERROR(IF(INDEX('Undirviðmiðalisti (Lýsigögn)'!G$42:G$58,MATCH($C11,'Undirviðmiðalisti (Lýsigögn)'!$C$42:$C$58,0))="","",INDEX('Undirviðmiðalisti (Lýsigögn)'!G$42:G$58,MATCH($C11,'Undirviðmiðalisti (Lýsigögn)'!$C$42:$C$58,0))),""),IFERROR(IF(INDEX('Undirviðmiðalisti (Lýsigögn)'!G$6:G$41,MATCH($C11,'Undirviðmiðalisti (Lýsigögn)'!$C$6:$C$41,0))="","",INDEX('Undirviðmiðalisti (Lýsigögn)'!G$6:G$41,MATCH($C11,'Undirviðmiðalisti (Lýsigögn)'!$C$6:$C$41,0))),IFERROR(IF(INDEX('Undirviðmiðalisti (Lýsigögn)'!G$42:G$58,MATCH($C11,'Undirviðmiðalisti (Lýsigögn)'!$C$42:$C$58,0))="","",INDEX('Undirviðmiðalisti (Lýsigögn)'!G$42:G$58,MATCH($C11,'Undirviðmiðalisti (Lýsigögn)'!$C$42:$C$58,0))),""))))</f>
        <v/>
      </c>
      <c r="L11" s="16" t="str">
        <f aca="false">IF($C11="","",IF($G11="Einstaklingsbundið",IFERROR(IF(INDEX('Undirviðmiðalisti (Lýsigögn)'!H$42:H$58,MATCH($C11,'Undirviðmiðalisti (Lýsigögn)'!$C$42:$C$58,0))="","",INDEX('Undirviðmiðalisti (Lýsigögn)'!H$42:H$58,MATCH($C11,'Undirviðmiðalisti (Lýsigögn)'!$C$42:$C$58,0))),""),IFERROR(IF(INDEX('Undirviðmiðalisti (Lýsigögn)'!H$6:H$41,MATCH($C11,'Undirviðmiðalisti (Lýsigögn)'!$C$6:$C$41,0))="","",INDEX('Undirviðmiðalisti (Lýsigögn)'!H$6:H$41,MATCH($C11,'Undirviðmiðalisti (Lýsigögn)'!$C$6:$C$41,0))),IFERROR(IF(INDEX('Undirviðmiðalisti (Lýsigögn)'!H$42:H$58,MATCH($C11,'Undirviðmiðalisti (Lýsigögn)'!$C$42:$C$58,0))="","",INDEX('Undirviðmiðalisti (Lýsigögn)'!H$42:H$58,MATCH($C11,'Undirviðmiðalisti (Lýsigögn)'!$C$42:$C$58,0))),""))))</f>
        <v/>
      </c>
      <c r="M11" s="16" t="str">
        <f aca="false">IF($C11="","",IF($G11="Einstaklingsbundið",IFERROR(IF(INDEX('Undirviðmiðalisti (Lýsigögn)'!I$42:I$58,MATCH($C11,'Undirviðmiðalisti (Lýsigögn)'!$C$42:$C$58,0))="","",INDEX('Undirviðmiðalisti (Lýsigögn)'!I$42:I$58,MATCH($C11,'Undirviðmiðalisti (Lýsigögn)'!$C$42:$C$58,0))),""),IFERROR(IF(INDEX('Undirviðmiðalisti (Lýsigögn)'!I$6:I$41,MATCH($C11,'Undirviðmiðalisti (Lýsigögn)'!$C$6:$C$41,0))="","",INDEX('Undirviðmiðalisti (Lýsigögn)'!I$6:I$41,MATCH($C11,'Undirviðmiðalisti (Lýsigögn)'!$C$6:$C$41,0))),IFERROR(IF(INDEX('Undirviðmiðalisti (Lýsigögn)'!I$42:I$58,MATCH($C11,'Undirviðmiðalisti (Lýsigögn)'!$C$42:$C$58,0))="","",INDEX('Undirviðmiðalisti (Lýsigögn)'!I$42:I$58,MATCH($C11,'Undirviðmiðalisti (Lýsigögn)'!$C$42:$C$58,0))),""))))</f>
        <v/>
      </c>
      <c r="N11" s="16" t="str">
        <f aca="false">IF($C11="","",IF($G11="Einstaklingsbundið",IFERROR(IF(INDEX('Undirviðmiðalisti (Lýsigögn)'!J$42:J$58,MATCH($C11,'Undirviðmiðalisti (Lýsigögn)'!$C$42:$C$58,0))="","",INDEX('Undirviðmiðalisti (Lýsigögn)'!J$42:J$58,MATCH($C11,'Undirviðmiðalisti (Lýsigögn)'!$C$42:$C$58,0))),""),IFERROR(IF(INDEX('Undirviðmiðalisti (Lýsigögn)'!J$6:J$41,MATCH($C11,'Undirviðmiðalisti (Lýsigögn)'!$C$6:$C$41,0))="","",INDEX('Undirviðmiðalisti (Lýsigögn)'!J$6:J$41,MATCH($C11,'Undirviðmiðalisti (Lýsigögn)'!$C$6:$C$41,0))),IFERROR(IF(INDEX('Undirviðmiðalisti (Lýsigögn)'!J$42:J$58,MATCH($C11,'Undirviðmiðalisti (Lýsigögn)'!$C$42:$C$58,0))="","",INDEX('Undirviðmiðalisti (Lýsigögn)'!J$42:J$58,MATCH($C11,'Undirviðmiðalisti (Lýsigögn)'!$C$42:$C$58,0))),""))))</f>
        <v/>
      </c>
      <c r="O11" s="16" t="str">
        <f aca="false">IF($C11="","",IF($G11="Einstaklingsbundið",IFERROR(IF(INDEX('Undirviðmiðalisti (Lýsigögn)'!K$42:K$58,MATCH($C11,'Undirviðmiðalisti (Lýsigögn)'!$C$42:$C$58,0))="","",INDEX('Undirviðmiðalisti (Lýsigögn)'!K$42:K$58,MATCH($C11,'Undirviðmiðalisti (Lýsigögn)'!$C$42:$C$58,0))),""),IFERROR(IF(INDEX('Undirviðmiðalisti (Lýsigögn)'!K$6:K$41,MATCH($C11,'Undirviðmiðalisti (Lýsigögn)'!$C$6:$C$41,0))="","",INDEX('Undirviðmiðalisti (Lýsigögn)'!K$6:K$41,MATCH($C11,'Undirviðmiðalisti (Lýsigögn)'!$C$6:$C$41,0))),IFERROR(IF(INDEX('Undirviðmiðalisti (Lýsigögn)'!K$42:K$58,MATCH($C11,'Undirviðmiðalisti (Lýsigögn)'!$C$42:$C$58,0))="","",INDEX('Undirviðmiðalisti (Lýsigögn)'!K$42:K$58,MATCH($C11,'Undirviðmiðalisti (Lýsigögn)'!$C$42:$C$58,0))),""))))</f>
        <v/>
      </c>
      <c r="P11" s="16" t="str">
        <f aca="false">IF($C11="","",IF($G11="Einstaklingsbundið",IFERROR(IF(INDEX('Undirviðmiðalisti (Lýsigögn)'!L$42:L$58,MATCH($C11,'Undirviðmiðalisti (Lýsigögn)'!$C$42:$C$58,0))="","",INDEX('Undirviðmiðalisti (Lýsigögn)'!L$42:L$58,MATCH($C11,'Undirviðmiðalisti (Lýsigögn)'!$C$42:$C$58,0))),""),IFERROR(IF(INDEX('Undirviðmiðalisti (Lýsigögn)'!L$6:L$41,MATCH($C11,'Undirviðmiðalisti (Lýsigögn)'!$C$6:$C$41,0))="","",INDEX('Undirviðmiðalisti (Lýsigögn)'!L$6:L$41,MATCH($C11,'Undirviðmiðalisti (Lýsigögn)'!$C$6:$C$41,0))),IFERROR(IF(INDEX('Undirviðmiðalisti (Lýsigögn)'!L$42:L$58,MATCH($C11,'Undirviðmiðalisti (Lýsigögn)'!$C$42:$C$58,0))="","",INDEX('Undirviðmiðalisti (Lýsigögn)'!L$42:L$58,MATCH($C11,'Undirviðmiðalisti (Lýsigögn)'!$C$42:$C$58,0))),""))))</f>
        <v/>
      </c>
      <c r="Q11" s="16" t="str">
        <f aca="false">IF($C11="","",IF($G11="Einstaklingsbundið",IFERROR(IF(INDEX('Undirviðmiðalisti (Lýsigögn)'!M$42:M$58,MATCH($C11,'Undirviðmiðalisti (Lýsigögn)'!$C$42:$C$58,0))="","",INDEX('Undirviðmiðalisti (Lýsigögn)'!M$42:M$58,MATCH($C11,'Undirviðmiðalisti (Lýsigögn)'!$C$42:$C$58,0))),""),IFERROR(IF(INDEX('Undirviðmiðalisti (Lýsigögn)'!M$6:M$41,MATCH($C11,'Undirviðmiðalisti (Lýsigögn)'!$C$6:$C$41,0))="","",INDEX('Undirviðmiðalisti (Lýsigögn)'!M$6:M$41,MATCH($C11,'Undirviðmiðalisti (Lýsigögn)'!$C$6:$C$41,0))),IFERROR(IF(INDEX('Undirviðmiðalisti (Lýsigögn)'!M$42:M$58,MATCH($C11,'Undirviðmiðalisti (Lýsigögn)'!$C$42:$C$58,0))="","",INDEX('Undirviðmiðalisti (Lýsigögn)'!M$42:M$58,MATCH($C11,'Undirviðmiðalisti (Lýsigögn)'!$C$42:$C$58,0))),""))))</f>
        <v/>
      </c>
    </row>
    <row r="12" customFormat="false" ht="15" hidden="false" customHeight="true" outlineLevel="0" collapsed="false">
      <c r="A12" s="22" t="str">
        <f aca="false">IF($B12="","",ROW()-5)</f>
        <v/>
      </c>
      <c r="B12" s="15"/>
      <c r="C12" s="15"/>
      <c r="D12" s="16" t="str">
        <f aca="false">IF($C12="","",IF($G12="Einstaklingsbundið",IFERROR(IF(INDEX('Undirviðmiðalisti (Lýsigögn)'!$D$42:$D$58,MATCH($C12,'Undirviðmiðalisti (Lýsigögn)'!$C$42:$C$58,0))="","",INDEX('Undirviðmiðalisti (Lýsigögn)'!$D$42:$D$58,MATCH($C12,'Undirviðmiðalisti (Lýsigögn)'!$C$42:$C$58,0))),""),IFERROR(IF(INDEX('Undirviðmiðalisti (Lýsigögn)'!$D$6:$D$41,MATCH($C12,'Undirviðmiðalisti (Lýsigögn)'!$C$6:$C$41,0))="","",INDEX('Undirviðmiðalisti (Lýsigögn)'!$D$6:$D$41,MATCH($C12,'Undirviðmiðalisti (Lýsigögn)'!$C$6:$C$41,0))),IFERROR(IF(INDEX('Undirviðmiðalisti (Lýsigögn)'!$D$42:$D$58,MATCH($C12,'Undirviðmiðalisti (Lýsigögn)'!$C$42:$C$58,0))="","",INDEX('Undirviðmiðalisti (Lýsigögn)'!$D$42:$D$58,MATCH($C12,'Undirviðmiðalisti (Lýsigögn)'!$C$42:$C$58,0))),""))))</f>
        <v/>
      </c>
      <c r="E12" s="14"/>
      <c r="F12" s="23" t="str">
        <f aca="false">IF($C12="","",IF($G12="Einstaklingsbundið",IFERROR(IF(INDEX('Undirviðmiðalisti (Lýsigögn)'!$E$42:$E$58,MATCH($C12,'Undirviðmiðalisti (Lýsigögn)'!$C$42:$C$58,0))="","",INDEX('Undirviðmiðalisti (Lýsigögn)'!$E$42:$E$58,MATCH($C12,'Undirviðmiðalisti (Lýsigögn)'!$C$42:$C$58,0))),""),IFERROR(IF(INDEX('Undirviðmiðalisti (Lýsigögn)'!$E$6:$E$41,MATCH($C12,'Undirviðmiðalisti (Lýsigögn)'!$C$6:$C$41,0))="","",INDEX('Undirviðmiðalisti (Lýsigögn)'!$E$6:$E$41,MATCH($C12,'Undirviðmiðalisti (Lýsigögn)'!$C$6:$C$41,0))),IFERROR(IF(INDEX('Undirviðmiðalisti (Lýsigögn)'!$E$42:$E$58,MATCH($C12,'Undirviðmiðalisti (Lýsigögn)'!$C$42:$C$58,0))="","",INDEX('Undirviðmiðalisti (Lýsigögn)'!$E$42:$E$58,MATCH($C12,'Undirviðmiðalisti (Lýsigögn)'!$C$42:$C$58,0))),""))))</f>
        <v/>
      </c>
      <c r="G12" s="24" t="str">
        <f aca="false">IFERROR(IF(B12="","",INDEX(Viðmið!$B$6:$B$10,MATCH(B12,Viðmið!$C$6:$C$10,0))),"")</f>
        <v/>
      </c>
      <c r="H12" s="25" t="str">
        <f aca="false">IF(OR(E12="",F12=""),"",E12*KVARDI)</f>
        <v/>
      </c>
      <c r="I12" s="26" t="str">
        <f aca="false">IF(B12="","",IF(ROUND(SUMIF($B$6:$B$205,B12,$E$6:$E$205),4)=ROUND(IFERROR(INDEX(Viðmið!$E$6:$E$10,MATCH(B12,Viðmið!$C$6:$C$10,0)),-1),4),"✓","✗"))</f>
        <v/>
      </c>
      <c r="J12" s="16" t="str">
        <f aca="false">IF($C12="","",IF($G12="Einstaklingsbundið",IFERROR(IF(INDEX('Undirviðmiðalisti (Lýsigögn)'!F$42:F$58,MATCH($C12,'Undirviðmiðalisti (Lýsigögn)'!$C$42:$C$58,0))="","",INDEX('Undirviðmiðalisti (Lýsigögn)'!F$42:F$58,MATCH($C12,'Undirviðmiðalisti (Lýsigögn)'!$C$42:$C$58,0))),""),IFERROR(IF(INDEX('Undirviðmiðalisti (Lýsigögn)'!F$6:F$41,MATCH($C12,'Undirviðmiðalisti (Lýsigögn)'!$C$6:$C$41,0))="","",INDEX('Undirviðmiðalisti (Lýsigögn)'!F$6:F$41,MATCH($C12,'Undirviðmiðalisti (Lýsigögn)'!$C$6:$C$41,0))),IFERROR(IF(INDEX('Undirviðmiðalisti (Lýsigögn)'!F$42:F$58,MATCH($C12,'Undirviðmiðalisti (Lýsigögn)'!$C$42:$C$58,0))="","",INDEX('Undirviðmiðalisti (Lýsigögn)'!F$42:F$58,MATCH($C12,'Undirviðmiðalisti (Lýsigögn)'!$C$42:$C$58,0))),""))))</f>
        <v/>
      </c>
      <c r="K12" s="16" t="str">
        <f aca="false">IF($C12="","",IF($G12="Einstaklingsbundið",IFERROR(IF(INDEX('Undirviðmiðalisti (Lýsigögn)'!G$42:G$58,MATCH($C12,'Undirviðmiðalisti (Lýsigögn)'!$C$42:$C$58,0))="","",INDEX('Undirviðmiðalisti (Lýsigögn)'!G$42:G$58,MATCH($C12,'Undirviðmiðalisti (Lýsigögn)'!$C$42:$C$58,0))),""),IFERROR(IF(INDEX('Undirviðmiðalisti (Lýsigögn)'!G$6:G$41,MATCH($C12,'Undirviðmiðalisti (Lýsigögn)'!$C$6:$C$41,0))="","",INDEX('Undirviðmiðalisti (Lýsigögn)'!G$6:G$41,MATCH($C12,'Undirviðmiðalisti (Lýsigögn)'!$C$6:$C$41,0))),IFERROR(IF(INDEX('Undirviðmiðalisti (Lýsigögn)'!G$42:G$58,MATCH($C12,'Undirviðmiðalisti (Lýsigögn)'!$C$42:$C$58,0))="","",INDEX('Undirviðmiðalisti (Lýsigögn)'!G$42:G$58,MATCH($C12,'Undirviðmiðalisti (Lýsigögn)'!$C$42:$C$58,0))),""))))</f>
        <v/>
      </c>
      <c r="L12" s="16" t="str">
        <f aca="false">IF($C12="","",IF($G12="Einstaklingsbundið",IFERROR(IF(INDEX('Undirviðmiðalisti (Lýsigögn)'!H$42:H$58,MATCH($C12,'Undirviðmiðalisti (Lýsigögn)'!$C$42:$C$58,0))="","",INDEX('Undirviðmiðalisti (Lýsigögn)'!H$42:H$58,MATCH($C12,'Undirviðmiðalisti (Lýsigögn)'!$C$42:$C$58,0))),""),IFERROR(IF(INDEX('Undirviðmiðalisti (Lýsigögn)'!H$6:H$41,MATCH($C12,'Undirviðmiðalisti (Lýsigögn)'!$C$6:$C$41,0))="","",INDEX('Undirviðmiðalisti (Lýsigögn)'!H$6:H$41,MATCH($C12,'Undirviðmiðalisti (Lýsigögn)'!$C$6:$C$41,0))),IFERROR(IF(INDEX('Undirviðmiðalisti (Lýsigögn)'!H$42:H$58,MATCH($C12,'Undirviðmiðalisti (Lýsigögn)'!$C$42:$C$58,0))="","",INDEX('Undirviðmiðalisti (Lýsigögn)'!H$42:H$58,MATCH($C12,'Undirviðmiðalisti (Lýsigögn)'!$C$42:$C$58,0))),""))))</f>
        <v/>
      </c>
      <c r="M12" s="16" t="str">
        <f aca="false">IF($C12="","",IF($G12="Einstaklingsbundið",IFERROR(IF(INDEX('Undirviðmiðalisti (Lýsigögn)'!I$42:I$58,MATCH($C12,'Undirviðmiðalisti (Lýsigögn)'!$C$42:$C$58,0))="","",INDEX('Undirviðmiðalisti (Lýsigögn)'!I$42:I$58,MATCH($C12,'Undirviðmiðalisti (Lýsigögn)'!$C$42:$C$58,0))),""),IFERROR(IF(INDEX('Undirviðmiðalisti (Lýsigögn)'!I$6:I$41,MATCH($C12,'Undirviðmiðalisti (Lýsigögn)'!$C$6:$C$41,0))="","",INDEX('Undirviðmiðalisti (Lýsigögn)'!I$6:I$41,MATCH($C12,'Undirviðmiðalisti (Lýsigögn)'!$C$6:$C$41,0))),IFERROR(IF(INDEX('Undirviðmiðalisti (Lýsigögn)'!I$42:I$58,MATCH($C12,'Undirviðmiðalisti (Lýsigögn)'!$C$42:$C$58,0))="","",INDEX('Undirviðmiðalisti (Lýsigögn)'!I$42:I$58,MATCH($C12,'Undirviðmiðalisti (Lýsigögn)'!$C$42:$C$58,0))),""))))</f>
        <v/>
      </c>
      <c r="N12" s="16" t="str">
        <f aca="false">IF($C12="","",IF($G12="Einstaklingsbundið",IFERROR(IF(INDEX('Undirviðmiðalisti (Lýsigögn)'!J$42:J$58,MATCH($C12,'Undirviðmiðalisti (Lýsigögn)'!$C$42:$C$58,0))="","",INDEX('Undirviðmiðalisti (Lýsigögn)'!J$42:J$58,MATCH($C12,'Undirviðmiðalisti (Lýsigögn)'!$C$42:$C$58,0))),""),IFERROR(IF(INDEX('Undirviðmiðalisti (Lýsigögn)'!J$6:J$41,MATCH($C12,'Undirviðmiðalisti (Lýsigögn)'!$C$6:$C$41,0))="","",INDEX('Undirviðmiðalisti (Lýsigögn)'!J$6:J$41,MATCH($C12,'Undirviðmiðalisti (Lýsigögn)'!$C$6:$C$41,0))),IFERROR(IF(INDEX('Undirviðmiðalisti (Lýsigögn)'!J$42:J$58,MATCH($C12,'Undirviðmiðalisti (Lýsigögn)'!$C$42:$C$58,0))="","",INDEX('Undirviðmiðalisti (Lýsigögn)'!J$42:J$58,MATCH($C12,'Undirviðmiðalisti (Lýsigögn)'!$C$42:$C$58,0))),""))))</f>
        <v/>
      </c>
      <c r="O12" s="16" t="str">
        <f aca="false">IF($C12="","",IF($G12="Einstaklingsbundið",IFERROR(IF(INDEX('Undirviðmiðalisti (Lýsigögn)'!K$42:K$58,MATCH($C12,'Undirviðmiðalisti (Lýsigögn)'!$C$42:$C$58,0))="","",INDEX('Undirviðmiðalisti (Lýsigögn)'!K$42:K$58,MATCH($C12,'Undirviðmiðalisti (Lýsigögn)'!$C$42:$C$58,0))),""),IFERROR(IF(INDEX('Undirviðmiðalisti (Lýsigögn)'!K$6:K$41,MATCH($C12,'Undirviðmiðalisti (Lýsigögn)'!$C$6:$C$41,0))="","",INDEX('Undirviðmiðalisti (Lýsigögn)'!K$6:K$41,MATCH($C12,'Undirviðmiðalisti (Lýsigögn)'!$C$6:$C$41,0))),IFERROR(IF(INDEX('Undirviðmiðalisti (Lýsigögn)'!K$42:K$58,MATCH($C12,'Undirviðmiðalisti (Lýsigögn)'!$C$42:$C$58,0))="","",INDEX('Undirviðmiðalisti (Lýsigögn)'!K$42:K$58,MATCH($C12,'Undirviðmiðalisti (Lýsigögn)'!$C$42:$C$58,0))),""))))</f>
        <v/>
      </c>
      <c r="P12" s="16" t="str">
        <f aca="false">IF($C12="","",IF($G12="Einstaklingsbundið",IFERROR(IF(INDEX('Undirviðmiðalisti (Lýsigögn)'!L$42:L$58,MATCH($C12,'Undirviðmiðalisti (Lýsigögn)'!$C$42:$C$58,0))="","",INDEX('Undirviðmiðalisti (Lýsigögn)'!L$42:L$58,MATCH($C12,'Undirviðmiðalisti (Lýsigögn)'!$C$42:$C$58,0))),""),IFERROR(IF(INDEX('Undirviðmiðalisti (Lýsigögn)'!L$6:L$41,MATCH($C12,'Undirviðmiðalisti (Lýsigögn)'!$C$6:$C$41,0))="","",INDEX('Undirviðmiðalisti (Lýsigögn)'!L$6:L$41,MATCH($C12,'Undirviðmiðalisti (Lýsigögn)'!$C$6:$C$41,0))),IFERROR(IF(INDEX('Undirviðmiðalisti (Lýsigögn)'!L$42:L$58,MATCH($C12,'Undirviðmiðalisti (Lýsigögn)'!$C$42:$C$58,0))="","",INDEX('Undirviðmiðalisti (Lýsigögn)'!L$42:L$58,MATCH($C12,'Undirviðmiðalisti (Lýsigögn)'!$C$42:$C$58,0))),""))))</f>
        <v/>
      </c>
      <c r="Q12" s="16" t="str">
        <f aca="false">IF($C12="","",IF($G12="Einstaklingsbundið",IFERROR(IF(INDEX('Undirviðmiðalisti (Lýsigögn)'!M$42:M$58,MATCH($C12,'Undirviðmiðalisti (Lýsigögn)'!$C$42:$C$58,0))="","",INDEX('Undirviðmiðalisti (Lýsigögn)'!M$42:M$58,MATCH($C12,'Undirviðmiðalisti (Lýsigögn)'!$C$42:$C$58,0))),""),IFERROR(IF(INDEX('Undirviðmiðalisti (Lýsigögn)'!M$6:M$41,MATCH($C12,'Undirviðmiðalisti (Lýsigögn)'!$C$6:$C$41,0))="","",INDEX('Undirviðmiðalisti (Lýsigögn)'!M$6:M$41,MATCH($C12,'Undirviðmiðalisti (Lýsigögn)'!$C$6:$C$41,0))),IFERROR(IF(INDEX('Undirviðmiðalisti (Lýsigögn)'!M$42:M$58,MATCH($C12,'Undirviðmiðalisti (Lýsigögn)'!$C$42:$C$58,0))="","",INDEX('Undirviðmiðalisti (Lýsigögn)'!M$42:M$58,MATCH($C12,'Undirviðmiðalisti (Lýsigögn)'!$C$42:$C$58,0))),""))))</f>
        <v/>
      </c>
    </row>
    <row r="13" customFormat="false" ht="15" hidden="false" customHeight="true" outlineLevel="0" collapsed="false">
      <c r="A13" s="22" t="str">
        <f aca="false">IF($B13="","",ROW()-5)</f>
        <v/>
      </c>
      <c r="B13" s="15"/>
      <c r="C13" s="15"/>
      <c r="D13" s="16" t="str">
        <f aca="false">IF($C13="","",IF($G13="Einstaklingsbundið",IFERROR(IF(INDEX('Undirviðmiðalisti (Lýsigögn)'!$D$42:$D$58,MATCH($C13,'Undirviðmiðalisti (Lýsigögn)'!$C$42:$C$58,0))="","",INDEX('Undirviðmiðalisti (Lýsigögn)'!$D$42:$D$58,MATCH($C13,'Undirviðmiðalisti (Lýsigögn)'!$C$42:$C$58,0))),""),IFERROR(IF(INDEX('Undirviðmiðalisti (Lýsigögn)'!$D$6:$D$41,MATCH($C13,'Undirviðmiðalisti (Lýsigögn)'!$C$6:$C$41,0))="","",INDEX('Undirviðmiðalisti (Lýsigögn)'!$D$6:$D$41,MATCH($C13,'Undirviðmiðalisti (Lýsigögn)'!$C$6:$C$41,0))),IFERROR(IF(INDEX('Undirviðmiðalisti (Lýsigögn)'!$D$42:$D$58,MATCH($C13,'Undirviðmiðalisti (Lýsigögn)'!$C$42:$C$58,0))="","",INDEX('Undirviðmiðalisti (Lýsigögn)'!$D$42:$D$58,MATCH($C13,'Undirviðmiðalisti (Lýsigögn)'!$C$42:$C$58,0))),""))))</f>
        <v/>
      </c>
      <c r="E13" s="14"/>
      <c r="F13" s="23" t="str">
        <f aca="false">IF($C13="","",IF($G13="Einstaklingsbundið",IFERROR(IF(INDEX('Undirviðmiðalisti (Lýsigögn)'!$E$42:$E$58,MATCH($C13,'Undirviðmiðalisti (Lýsigögn)'!$C$42:$C$58,0))="","",INDEX('Undirviðmiðalisti (Lýsigögn)'!$E$42:$E$58,MATCH($C13,'Undirviðmiðalisti (Lýsigögn)'!$C$42:$C$58,0))),""),IFERROR(IF(INDEX('Undirviðmiðalisti (Lýsigögn)'!$E$6:$E$41,MATCH($C13,'Undirviðmiðalisti (Lýsigögn)'!$C$6:$C$41,0))="","",INDEX('Undirviðmiðalisti (Lýsigögn)'!$E$6:$E$41,MATCH($C13,'Undirviðmiðalisti (Lýsigögn)'!$C$6:$C$41,0))),IFERROR(IF(INDEX('Undirviðmiðalisti (Lýsigögn)'!$E$42:$E$58,MATCH($C13,'Undirviðmiðalisti (Lýsigögn)'!$C$42:$C$58,0))="","",INDEX('Undirviðmiðalisti (Lýsigögn)'!$E$42:$E$58,MATCH($C13,'Undirviðmiðalisti (Lýsigögn)'!$C$42:$C$58,0))),""))))</f>
        <v/>
      </c>
      <c r="G13" s="24" t="str">
        <f aca="false">IFERROR(IF(B13="","",INDEX(Viðmið!$B$6:$B$10,MATCH(B13,Viðmið!$C$6:$C$10,0))),"")</f>
        <v/>
      </c>
      <c r="H13" s="25" t="str">
        <f aca="false">IF(OR(E13="",F13=""),"",E13*KVARDI)</f>
        <v/>
      </c>
      <c r="I13" s="26" t="str">
        <f aca="false">IF(B13="","",IF(ROUND(SUMIF($B$6:$B$205,B13,$E$6:$E$205),4)=ROUND(IFERROR(INDEX(Viðmið!$E$6:$E$10,MATCH(B13,Viðmið!$C$6:$C$10,0)),-1),4),"✓","✗"))</f>
        <v/>
      </c>
      <c r="J13" s="16" t="str">
        <f aca="false">IF($C13="","",IF($G13="Einstaklingsbundið",IFERROR(IF(INDEX('Undirviðmiðalisti (Lýsigögn)'!F$42:F$58,MATCH($C13,'Undirviðmiðalisti (Lýsigögn)'!$C$42:$C$58,0))="","",INDEX('Undirviðmiðalisti (Lýsigögn)'!F$42:F$58,MATCH($C13,'Undirviðmiðalisti (Lýsigögn)'!$C$42:$C$58,0))),""),IFERROR(IF(INDEX('Undirviðmiðalisti (Lýsigögn)'!F$6:F$41,MATCH($C13,'Undirviðmiðalisti (Lýsigögn)'!$C$6:$C$41,0))="","",INDEX('Undirviðmiðalisti (Lýsigögn)'!F$6:F$41,MATCH($C13,'Undirviðmiðalisti (Lýsigögn)'!$C$6:$C$41,0))),IFERROR(IF(INDEX('Undirviðmiðalisti (Lýsigögn)'!F$42:F$58,MATCH($C13,'Undirviðmiðalisti (Lýsigögn)'!$C$42:$C$58,0))="","",INDEX('Undirviðmiðalisti (Lýsigögn)'!F$42:F$58,MATCH($C13,'Undirviðmiðalisti (Lýsigögn)'!$C$42:$C$58,0))),""))))</f>
        <v/>
      </c>
      <c r="K13" s="16" t="str">
        <f aca="false">IF($C13="","",IF($G13="Einstaklingsbundið",IFERROR(IF(INDEX('Undirviðmiðalisti (Lýsigögn)'!G$42:G$58,MATCH($C13,'Undirviðmiðalisti (Lýsigögn)'!$C$42:$C$58,0))="","",INDEX('Undirviðmiðalisti (Lýsigögn)'!G$42:G$58,MATCH($C13,'Undirviðmiðalisti (Lýsigögn)'!$C$42:$C$58,0))),""),IFERROR(IF(INDEX('Undirviðmiðalisti (Lýsigögn)'!G$6:G$41,MATCH($C13,'Undirviðmiðalisti (Lýsigögn)'!$C$6:$C$41,0))="","",INDEX('Undirviðmiðalisti (Lýsigögn)'!G$6:G$41,MATCH($C13,'Undirviðmiðalisti (Lýsigögn)'!$C$6:$C$41,0))),IFERROR(IF(INDEX('Undirviðmiðalisti (Lýsigögn)'!G$42:G$58,MATCH($C13,'Undirviðmiðalisti (Lýsigögn)'!$C$42:$C$58,0))="","",INDEX('Undirviðmiðalisti (Lýsigögn)'!G$42:G$58,MATCH($C13,'Undirviðmiðalisti (Lýsigögn)'!$C$42:$C$58,0))),""))))</f>
        <v/>
      </c>
      <c r="L13" s="16" t="str">
        <f aca="false">IF($C13="","",IF($G13="Einstaklingsbundið",IFERROR(IF(INDEX('Undirviðmiðalisti (Lýsigögn)'!H$42:H$58,MATCH($C13,'Undirviðmiðalisti (Lýsigögn)'!$C$42:$C$58,0))="","",INDEX('Undirviðmiðalisti (Lýsigögn)'!H$42:H$58,MATCH($C13,'Undirviðmiðalisti (Lýsigögn)'!$C$42:$C$58,0))),""),IFERROR(IF(INDEX('Undirviðmiðalisti (Lýsigögn)'!H$6:H$41,MATCH($C13,'Undirviðmiðalisti (Lýsigögn)'!$C$6:$C$41,0))="","",INDEX('Undirviðmiðalisti (Lýsigögn)'!H$6:H$41,MATCH($C13,'Undirviðmiðalisti (Lýsigögn)'!$C$6:$C$41,0))),IFERROR(IF(INDEX('Undirviðmiðalisti (Lýsigögn)'!H$42:H$58,MATCH($C13,'Undirviðmiðalisti (Lýsigögn)'!$C$42:$C$58,0))="","",INDEX('Undirviðmiðalisti (Lýsigögn)'!H$42:H$58,MATCH($C13,'Undirviðmiðalisti (Lýsigögn)'!$C$42:$C$58,0))),""))))</f>
        <v/>
      </c>
      <c r="M13" s="16" t="str">
        <f aca="false">IF($C13="","",IF($G13="Einstaklingsbundið",IFERROR(IF(INDEX('Undirviðmiðalisti (Lýsigögn)'!I$42:I$58,MATCH($C13,'Undirviðmiðalisti (Lýsigögn)'!$C$42:$C$58,0))="","",INDEX('Undirviðmiðalisti (Lýsigögn)'!I$42:I$58,MATCH($C13,'Undirviðmiðalisti (Lýsigögn)'!$C$42:$C$58,0))),""),IFERROR(IF(INDEX('Undirviðmiðalisti (Lýsigögn)'!I$6:I$41,MATCH($C13,'Undirviðmiðalisti (Lýsigögn)'!$C$6:$C$41,0))="","",INDEX('Undirviðmiðalisti (Lýsigögn)'!I$6:I$41,MATCH($C13,'Undirviðmiðalisti (Lýsigögn)'!$C$6:$C$41,0))),IFERROR(IF(INDEX('Undirviðmiðalisti (Lýsigögn)'!I$42:I$58,MATCH($C13,'Undirviðmiðalisti (Lýsigögn)'!$C$42:$C$58,0))="","",INDEX('Undirviðmiðalisti (Lýsigögn)'!I$42:I$58,MATCH($C13,'Undirviðmiðalisti (Lýsigögn)'!$C$42:$C$58,0))),""))))</f>
        <v/>
      </c>
      <c r="N13" s="16" t="str">
        <f aca="false">IF($C13="","",IF($G13="Einstaklingsbundið",IFERROR(IF(INDEX('Undirviðmiðalisti (Lýsigögn)'!J$42:J$58,MATCH($C13,'Undirviðmiðalisti (Lýsigögn)'!$C$42:$C$58,0))="","",INDEX('Undirviðmiðalisti (Lýsigögn)'!J$42:J$58,MATCH($C13,'Undirviðmiðalisti (Lýsigögn)'!$C$42:$C$58,0))),""),IFERROR(IF(INDEX('Undirviðmiðalisti (Lýsigögn)'!J$6:J$41,MATCH($C13,'Undirviðmiðalisti (Lýsigögn)'!$C$6:$C$41,0))="","",INDEX('Undirviðmiðalisti (Lýsigögn)'!J$6:J$41,MATCH($C13,'Undirviðmiðalisti (Lýsigögn)'!$C$6:$C$41,0))),IFERROR(IF(INDEX('Undirviðmiðalisti (Lýsigögn)'!J$42:J$58,MATCH($C13,'Undirviðmiðalisti (Lýsigögn)'!$C$42:$C$58,0))="","",INDEX('Undirviðmiðalisti (Lýsigögn)'!J$42:J$58,MATCH($C13,'Undirviðmiðalisti (Lýsigögn)'!$C$42:$C$58,0))),""))))</f>
        <v/>
      </c>
      <c r="O13" s="16" t="str">
        <f aca="false">IF($C13="","",IF($G13="Einstaklingsbundið",IFERROR(IF(INDEX('Undirviðmiðalisti (Lýsigögn)'!K$42:K$58,MATCH($C13,'Undirviðmiðalisti (Lýsigögn)'!$C$42:$C$58,0))="","",INDEX('Undirviðmiðalisti (Lýsigögn)'!K$42:K$58,MATCH($C13,'Undirviðmiðalisti (Lýsigögn)'!$C$42:$C$58,0))),""),IFERROR(IF(INDEX('Undirviðmiðalisti (Lýsigögn)'!K$6:K$41,MATCH($C13,'Undirviðmiðalisti (Lýsigögn)'!$C$6:$C$41,0))="","",INDEX('Undirviðmiðalisti (Lýsigögn)'!K$6:K$41,MATCH($C13,'Undirviðmiðalisti (Lýsigögn)'!$C$6:$C$41,0))),IFERROR(IF(INDEX('Undirviðmiðalisti (Lýsigögn)'!K$42:K$58,MATCH($C13,'Undirviðmiðalisti (Lýsigögn)'!$C$42:$C$58,0))="","",INDEX('Undirviðmiðalisti (Lýsigögn)'!K$42:K$58,MATCH($C13,'Undirviðmiðalisti (Lýsigögn)'!$C$42:$C$58,0))),""))))</f>
        <v/>
      </c>
      <c r="P13" s="16" t="str">
        <f aca="false">IF($C13="","",IF($G13="Einstaklingsbundið",IFERROR(IF(INDEX('Undirviðmiðalisti (Lýsigögn)'!L$42:L$58,MATCH($C13,'Undirviðmiðalisti (Lýsigögn)'!$C$42:$C$58,0))="","",INDEX('Undirviðmiðalisti (Lýsigögn)'!L$42:L$58,MATCH($C13,'Undirviðmiðalisti (Lýsigögn)'!$C$42:$C$58,0))),""),IFERROR(IF(INDEX('Undirviðmiðalisti (Lýsigögn)'!L$6:L$41,MATCH($C13,'Undirviðmiðalisti (Lýsigögn)'!$C$6:$C$41,0))="","",INDEX('Undirviðmiðalisti (Lýsigögn)'!L$6:L$41,MATCH($C13,'Undirviðmiðalisti (Lýsigögn)'!$C$6:$C$41,0))),IFERROR(IF(INDEX('Undirviðmiðalisti (Lýsigögn)'!L$42:L$58,MATCH($C13,'Undirviðmiðalisti (Lýsigögn)'!$C$42:$C$58,0))="","",INDEX('Undirviðmiðalisti (Lýsigögn)'!L$42:L$58,MATCH($C13,'Undirviðmiðalisti (Lýsigögn)'!$C$42:$C$58,0))),""))))</f>
        <v/>
      </c>
      <c r="Q13" s="16" t="str">
        <f aca="false">IF($C13="","",IF($G13="Einstaklingsbundið",IFERROR(IF(INDEX('Undirviðmiðalisti (Lýsigögn)'!M$42:M$58,MATCH($C13,'Undirviðmiðalisti (Lýsigögn)'!$C$42:$C$58,0))="","",INDEX('Undirviðmiðalisti (Lýsigögn)'!M$42:M$58,MATCH($C13,'Undirviðmiðalisti (Lýsigögn)'!$C$42:$C$58,0))),""),IFERROR(IF(INDEX('Undirviðmiðalisti (Lýsigögn)'!M$6:M$41,MATCH($C13,'Undirviðmiðalisti (Lýsigögn)'!$C$6:$C$41,0))="","",INDEX('Undirviðmiðalisti (Lýsigögn)'!M$6:M$41,MATCH($C13,'Undirviðmiðalisti (Lýsigögn)'!$C$6:$C$41,0))),IFERROR(IF(INDEX('Undirviðmiðalisti (Lýsigögn)'!M$42:M$58,MATCH($C13,'Undirviðmiðalisti (Lýsigögn)'!$C$42:$C$58,0))="","",INDEX('Undirviðmiðalisti (Lýsigögn)'!M$42:M$58,MATCH($C13,'Undirviðmiðalisti (Lýsigögn)'!$C$42:$C$58,0))),""))))</f>
        <v/>
      </c>
    </row>
    <row r="14" customFormat="false" ht="15" hidden="false" customHeight="true" outlineLevel="0" collapsed="false">
      <c r="A14" s="22" t="str">
        <f aca="false">IF($B14="","",ROW()-5)</f>
        <v/>
      </c>
      <c r="B14" s="15"/>
      <c r="C14" s="15"/>
      <c r="D14" s="16" t="str">
        <f aca="false">IF($C14="","",IF($G14="Einstaklingsbundið",IFERROR(IF(INDEX('Undirviðmiðalisti (Lýsigögn)'!$D$42:$D$58,MATCH($C14,'Undirviðmiðalisti (Lýsigögn)'!$C$42:$C$58,0))="","",INDEX('Undirviðmiðalisti (Lýsigögn)'!$D$42:$D$58,MATCH($C14,'Undirviðmiðalisti (Lýsigögn)'!$C$42:$C$58,0))),""),IFERROR(IF(INDEX('Undirviðmiðalisti (Lýsigögn)'!$D$6:$D$41,MATCH($C14,'Undirviðmiðalisti (Lýsigögn)'!$C$6:$C$41,0))="","",INDEX('Undirviðmiðalisti (Lýsigögn)'!$D$6:$D$41,MATCH($C14,'Undirviðmiðalisti (Lýsigögn)'!$C$6:$C$41,0))),IFERROR(IF(INDEX('Undirviðmiðalisti (Lýsigögn)'!$D$42:$D$58,MATCH($C14,'Undirviðmiðalisti (Lýsigögn)'!$C$42:$C$58,0))="","",INDEX('Undirviðmiðalisti (Lýsigögn)'!$D$42:$D$58,MATCH($C14,'Undirviðmiðalisti (Lýsigögn)'!$C$42:$C$58,0))),""))))</f>
        <v/>
      </c>
      <c r="E14" s="14"/>
      <c r="F14" s="23" t="str">
        <f aca="false">IF($C14="","",IF($G14="Einstaklingsbundið",IFERROR(IF(INDEX('Undirviðmiðalisti (Lýsigögn)'!$E$42:$E$58,MATCH($C14,'Undirviðmiðalisti (Lýsigögn)'!$C$42:$C$58,0))="","",INDEX('Undirviðmiðalisti (Lýsigögn)'!$E$42:$E$58,MATCH($C14,'Undirviðmiðalisti (Lýsigögn)'!$C$42:$C$58,0))),""),IFERROR(IF(INDEX('Undirviðmiðalisti (Lýsigögn)'!$E$6:$E$41,MATCH($C14,'Undirviðmiðalisti (Lýsigögn)'!$C$6:$C$41,0))="","",INDEX('Undirviðmiðalisti (Lýsigögn)'!$E$6:$E$41,MATCH($C14,'Undirviðmiðalisti (Lýsigögn)'!$C$6:$C$41,0))),IFERROR(IF(INDEX('Undirviðmiðalisti (Lýsigögn)'!$E$42:$E$58,MATCH($C14,'Undirviðmiðalisti (Lýsigögn)'!$C$42:$C$58,0))="","",INDEX('Undirviðmiðalisti (Lýsigögn)'!$E$42:$E$58,MATCH($C14,'Undirviðmiðalisti (Lýsigögn)'!$C$42:$C$58,0))),""))))</f>
        <v/>
      </c>
      <c r="G14" s="24" t="str">
        <f aca="false">IFERROR(IF(B14="","",INDEX(Viðmið!$B$6:$B$10,MATCH(B14,Viðmið!$C$6:$C$10,0))),"")</f>
        <v/>
      </c>
      <c r="H14" s="25" t="str">
        <f aca="false">IF(OR(E14="",F14=""),"",E14*KVARDI)</f>
        <v/>
      </c>
      <c r="I14" s="26" t="str">
        <f aca="false">IF(B14="","",IF(ROUND(SUMIF($B$6:$B$205,B14,$E$6:$E$205),4)=ROUND(IFERROR(INDEX(Viðmið!$E$6:$E$10,MATCH(B14,Viðmið!$C$6:$C$10,0)),-1),4),"✓","✗"))</f>
        <v/>
      </c>
      <c r="J14" s="16" t="str">
        <f aca="false">IF($C14="","",IF($G14="Einstaklingsbundið",IFERROR(IF(INDEX('Undirviðmiðalisti (Lýsigögn)'!F$42:F$58,MATCH($C14,'Undirviðmiðalisti (Lýsigögn)'!$C$42:$C$58,0))="","",INDEX('Undirviðmiðalisti (Lýsigögn)'!F$42:F$58,MATCH($C14,'Undirviðmiðalisti (Lýsigögn)'!$C$42:$C$58,0))),""),IFERROR(IF(INDEX('Undirviðmiðalisti (Lýsigögn)'!F$6:F$41,MATCH($C14,'Undirviðmiðalisti (Lýsigögn)'!$C$6:$C$41,0))="","",INDEX('Undirviðmiðalisti (Lýsigögn)'!F$6:F$41,MATCH($C14,'Undirviðmiðalisti (Lýsigögn)'!$C$6:$C$41,0))),IFERROR(IF(INDEX('Undirviðmiðalisti (Lýsigögn)'!F$42:F$58,MATCH($C14,'Undirviðmiðalisti (Lýsigögn)'!$C$42:$C$58,0))="","",INDEX('Undirviðmiðalisti (Lýsigögn)'!F$42:F$58,MATCH($C14,'Undirviðmiðalisti (Lýsigögn)'!$C$42:$C$58,0))),""))))</f>
        <v/>
      </c>
      <c r="K14" s="16" t="str">
        <f aca="false">IF($C14="","",IF($G14="Einstaklingsbundið",IFERROR(IF(INDEX('Undirviðmiðalisti (Lýsigögn)'!G$42:G$58,MATCH($C14,'Undirviðmiðalisti (Lýsigögn)'!$C$42:$C$58,0))="","",INDEX('Undirviðmiðalisti (Lýsigögn)'!G$42:G$58,MATCH($C14,'Undirviðmiðalisti (Lýsigögn)'!$C$42:$C$58,0))),""),IFERROR(IF(INDEX('Undirviðmiðalisti (Lýsigögn)'!G$6:G$41,MATCH($C14,'Undirviðmiðalisti (Lýsigögn)'!$C$6:$C$41,0))="","",INDEX('Undirviðmiðalisti (Lýsigögn)'!G$6:G$41,MATCH($C14,'Undirviðmiðalisti (Lýsigögn)'!$C$6:$C$41,0))),IFERROR(IF(INDEX('Undirviðmiðalisti (Lýsigögn)'!G$42:G$58,MATCH($C14,'Undirviðmiðalisti (Lýsigögn)'!$C$42:$C$58,0))="","",INDEX('Undirviðmiðalisti (Lýsigögn)'!G$42:G$58,MATCH($C14,'Undirviðmiðalisti (Lýsigögn)'!$C$42:$C$58,0))),""))))</f>
        <v/>
      </c>
      <c r="L14" s="16" t="str">
        <f aca="false">IF($C14="","",IF($G14="Einstaklingsbundið",IFERROR(IF(INDEX('Undirviðmiðalisti (Lýsigögn)'!H$42:H$58,MATCH($C14,'Undirviðmiðalisti (Lýsigögn)'!$C$42:$C$58,0))="","",INDEX('Undirviðmiðalisti (Lýsigögn)'!H$42:H$58,MATCH($C14,'Undirviðmiðalisti (Lýsigögn)'!$C$42:$C$58,0))),""),IFERROR(IF(INDEX('Undirviðmiðalisti (Lýsigögn)'!H$6:H$41,MATCH($C14,'Undirviðmiðalisti (Lýsigögn)'!$C$6:$C$41,0))="","",INDEX('Undirviðmiðalisti (Lýsigögn)'!H$6:H$41,MATCH($C14,'Undirviðmiðalisti (Lýsigögn)'!$C$6:$C$41,0))),IFERROR(IF(INDEX('Undirviðmiðalisti (Lýsigögn)'!H$42:H$58,MATCH($C14,'Undirviðmiðalisti (Lýsigögn)'!$C$42:$C$58,0))="","",INDEX('Undirviðmiðalisti (Lýsigögn)'!H$42:H$58,MATCH($C14,'Undirviðmiðalisti (Lýsigögn)'!$C$42:$C$58,0))),""))))</f>
        <v/>
      </c>
      <c r="M14" s="16" t="str">
        <f aca="false">IF($C14="","",IF($G14="Einstaklingsbundið",IFERROR(IF(INDEX('Undirviðmiðalisti (Lýsigögn)'!I$42:I$58,MATCH($C14,'Undirviðmiðalisti (Lýsigögn)'!$C$42:$C$58,0))="","",INDEX('Undirviðmiðalisti (Lýsigögn)'!I$42:I$58,MATCH($C14,'Undirviðmiðalisti (Lýsigögn)'!$C$42:$C$58,0))),""),IFERROR(IF(INDEX('Undirviðmiðalisti (Lýsigögn)'!I$6:I$41,MATCH($C14,'Undirviðmiðalisti (Lýsigögn)'!$C$6:$C$41,0))="","",INDEX('Undirviðmiðalisti (Lýsigögn)'!I$6:I$41,MATCH($C14,'Undirviðmiðalisti (Lýsigögn)'!$C$6:$C$41,0))),IFERROR(IF(INDEX('Undirviðmiðalisti (Lýsigögn)'!I$42:I$58,MATCH($C14,'Undirviðmiðalisti (Lýsigögn)'!$C$42:$C$58,0))="","",INDEX('Undirviðmiðalisti (Lýsigögn)'!I$42:I$58,MATCH($C14,'Undirviðmiðalisti (Lýsigögn)'!$C$42:$C$58,0))),""))))</f>
        <v/>
      </c>
      <c r="N14" s="16" t="str">
        <f aca="false">IF($C14="","",IF($G14="Einstaklingsbundið",IFERROR(IF(INDEX('Undirviðmiðalisti (Lýsigögn)'!J$42:J$58,MATCH($C14,'Undirviðmiðalisti (Lýsigögn)'!$C$42:$C$58,0))="","",INDEX('Undirviðmiðalisti (Lýsigögn)'!J$42:J$58,MATCH($C14,'Undirviðmiðalisti (Lýsigögn)'!$C$42:$C$58,0))),""),IFERROR(IF(INDEX('Undirviðmiðalisti (Lýsigögn)'!J$6:J$41,MATCH($C14,'Undirviðmiðalisti (Lýsigögn)'!$C$6:$C$41,0))="","",INDEX('Undirviðmiðalisti (Lýsigögn)'!J$6:J$41,MATCH($C14,'Undirviðmiðalisti (Lýsigögn)'!$C$6:$C$41,0))),IFERROR(IF(INDEX('Undirviðmiðalisti (Lýsigögn)'!J$42:J$58,MATCH($C14,'Undirviðmiðalisti (Lýsigögn)'!$C$42:$C$58,0))="","",INDEX('Undirviðmiðalisti (Lýsigögn)'!J$42:J$58,MATCH($C14,'Undirviðmiðalisti (Lýsigögn)'!$C$42:$C$58,0))),""))))</f>
        <v/>
      </c>
      <c r="O14" s="16" t="str">
        <f aca="false">IF($C14="","",IF($G14="Einstaklingsbundið",IFERROR(IF(INDEX('Undirviðmiðalisti (Lýsigögn)'!K$42:K$58,MATCH($C14,'Undirviðmiðalisti (Lýsigögn)'!$C$42:$C$58,0))="","",INDEX('Undirviðmiðalisti (Lýsigögn)'!K$42:K$58,MATCH($C14,'Undirviðmiðalisti (Lýsigögn)'!$C$42:$C$58,0))),""),IFERROR(IF(INDEX('Undirviðmiðalisti (Lýsigögn)'!K$6:K$41,MATCH($C14,'Undirviðmiðalisti (Lýsigögn)'!$C$6:$C$41,0))="","",INDEX('Undirviðmiðalisti (Lýsigögn)'!K$6:K$41,MATCH($C14,'Undirviðmiðalisti (Lýsigögn)'!$C$6:$C$41,0))),IFERROR(IF(INDEX('Undirviðmiðalisti (Lýsigögn)'!K$42:K$58,MATCH($C14,'Undirviðmiðalisti (Lýsigögn)'!$C$42:$C$58,0))="","",INDEX('Undirviðmiðalisti (Lýsigögn)'!K$42:K$58,MATCH($C14,'Undirviðmiðalisti (Lýsigögn)'!$C$42:$C$58,0))),""))))</f>
        <v/>
      </c>
      <c r="P14" s="16" t="str">
        <f aca="false">IF($C14="","",IF($G14="Einstaklingsbundið",IFERROR(IF(INDEX('Undirviðmiðalisti (Lýsigögn)'!L$42:L$58,MATCH($C14,'Undirviðmiðalisti (Lýsigögn)'!$C$42:$C$58,0))="","",INDEX('Undirviðmiðalisti (Lýsigögn)'!L$42:L$58,MATCH($C14,'Undirviðmiðalisti (Lýsigögn)'!$C$42:$C$58,0))),""),IFERROR(IF(INDEX('Undirviðmiðalisti (Lýsigögn)'!L$6:L$41,MATCH($C14,'Undirviðmiðalisti (Lýsigögn)'!$C$6:$C$41,0))="","",INDEX('Undirviðmiðalisti (Lýsigögn)'!L$6:L$41,MATCH($C14,'Undirviðmiðalisti (Lýsigögn)'!$C$6:$C$41,0))),IFERROR(IF(INDEX('Undirviðmiðalisti (Lýsigögn)'!L$42:L$58,MATCH($C14,'Undirviðmiðalisti (Lýsigögn)'!$C$42:$C$58,0))="","",INDEX('Undirviðmiðalisti (Lýsigögn)'!L$42:L$58,MATCH($C14,'Undirviðmiðalisti (Lýsigögn)'!$C$42:$C$58,0))),""))))</f>
        <v/>
      </c>
      <c r="Q14" s="16" t="str">
        <f aca="false">IF($C14="","",IF($G14="Einstaklingsbundið",IFERROR(IF(INDEX('Undirviðmiðalisti (Lýsigögn)'!M$42:M$58,MATCH($C14,'Undirviðmiðalisti (Lýsigögn)'!$C$42:$C$58,0))="","",INDEX('Undirviðmiðalisti (Lýsigögn)'!M$42:M$58,MATCH($C14,'Undirviðmiðalisti (Lýsigögn)'!$C$42:$C$58,0))),""),IFERROR(IF(INDEX('Undirviðmiðalisti (Lýsigögn)'!M$6:M$41,MATCH($C14,'Undirviðmiðalisti (Lýsigögn)'!$C$6:$C$41,0))="","",INDEX('Undirviðmiðalisti (Lýsigögn)'!M$6:M$41,MATCH($C14,'Undirviðmiðalisti (Lýsigögn)'!$C$6:$C$41,0))),IFERROR(IF(INDEX('Undirviðmiðalisti (Lýsigögn)'!M$42:M$58,MATCH($C14,'Undirviðmiðalisti (Lýsigögn)'!$C$42:$C$58,0))="","",INDEX('Undirviðmiðalisti (Lýsigögn)'!M$42:M$58,MATCH($C14,'Undirviðmiðalisti (Lýsigögn)'!$C$42:$C$58,0))),""))))</f>
        <v/>
      </c>
    </row>
    <row r="15" customFormat="false" ht="15" hidden="false" customHeight="true" outlineLevel="0" collapsed="false">
      <c r="A15" s="22" t="str">
        <f aca="false">IF($B15="","",ROW()-5)</f>
        <v/>
      </c>
      <c r="B15" s="15"/>
      <c r="C15" s="15"/>
      <c r="D15" s="16" t="str">
        <f aca="false">IF($C15="","",IF($G15="Einstaklingsbundið",IFERROR(IF(INDEX('Undirviðmiðalisti (Lýsigögn)'!$D$42:$D$58,MATCH($C15,'Undirviðmiðalisti (Lýsigögn)'!$C$42:$C$58,0))="","",INDEX('Undirviðmiðalisti (Lýsigögn)'!$D$42:$D$58,MATCH($C15,'Undirviðmiðalisti (Lýsigögn)'!$C$42:$C$58,0))),""),IFERROR(IF(INDEX('Undirviðmiðalisti (Lýsigögn)'!$D$6:$D$41,MATCH($C15,'Undirviðmiðalisti (Lýsigögn)'!$C$6:$C$41,0))="","",INDEX('Undirviðmiðalisti (Lýsigögn)'!$D$6:$D$41,MATCH($C15,'Undirviðmiðalisti (Lýsigögn)'!$C$6:$C$41,0))),IFERROR(IF(INDEX('Undirviðmiðalisti (Lýsigögn)'!$D$42:$D$58,MATCH($C15,'Undirviðmiðalisti (Lýsigögn)'!$C$42:$C$58,0))="","",INDEX('Undirviðmiðalisti (Lýsigögn)'!$D$42:$D$58,MATCH($C15,'Undirviðmiðalisti (Lýsigögn)'!$C$42:$C$58,0))),""))))</f>
        <v/>
      </c>
      <c r="E15" s="14"/>
      <c r="F15" s="23" t="str">
        <f aca="false">IF($C15="","",IF($G15="Einstaklingsbundið",IFERROR(IF(INDEX('Undirviðmiðalisti (Lýsigögn)'!$E$42:$E$58,MATCH($C15,'Undirviðmiðalisti (Lýsigögn)'!$C$42:$C$58,0))="","",INDEX('Undirviðmiðalisti (Lýsigögn)'!$E$42:$E$58,MATCH($C15,'Undirviðmiðalisti (Lýsigögn)'!$C$42:$C$58,0))),""),IFERROR(IF(INDEX('Undirviðmiðalisti (Lýsigögn)'!$E$6:$E$41,MATCH($C15,'Undirviðmiðalisti (Lýsigögn)'!$C$6:$C$41,0))="","",INDEX('Undirviðmiðalisti (Lýsigögn)'!$E$6:$E$41,MATCH($C15,'Undirviðmiðalisti (Lýsigögn)'!$C$6:$C$41,0))),IFERROR(IF(INDEX('Undirviðmiðalisti (Lýsigögn)'!$E$42:$E$58,MATCH($C15,'Undirviðmiðalisti (Lýsigögn)'!$C$42:$C$58,0))="","",INDEX('Undirviðmiðalisti (Lýsigögn)'!$E$42:$E$58,MATCH($C15,'Undirviðmiðalisti (Lýsigögn)'!$C$42:$C$58,0))),""))))</f>
        <v/>
      </c>
      <c r="G15" s="24" t="str">
        <f aca="false">IFERROR(IF(B15="","",INDEX(Viðmið!$B$6:$B$10,MATCH(B15,Viðmið!$C$6:$C$10,0))),"")</f>
        <v/>
      </c>
      <c r="H15" s="25" t="str">
        <f aca="false">IF(OR(E15="",F15=""),"",E15*KVARDI)</f>
        <v/>
      </c>
      <c r="I15" s="26" t="str">
        <f aca="false">IF(B15="","",IF(ROUND(SUMIF($B$6:$B$205,B15,$E$6:$E$205),4)=ROUND(IFERROR(INDEX(Viðmið!$E$6:$E$10,MATCH(B15,Viðmið!$C$6:$C$10,0)),-1),4),"✓","✗"))</f>
        <v/>
      </c>
      <c r="J15" s="16" t="str">
        <f aca="false">IF($C15="","",IF($G15="Einstaklingsbundið",IFERROR(IF(INDEX('Undirviðmiðalisti (Lýsigögn)'!F$42:F$58,MATCH($C15,'Undirviðmiðalisti (Lýsigögn)'!$C$42:$C$58,0))="","",INDEX('Undirviðmiðalisti (Lýsigögn)'!F$42:F$58,MATCH($C15,'Undirviðmiðalisti (Lýsigögn)'!$C$42:$C$58,0))),""),IFERROR(IF(INDEX('Undirviðmiðalisti (Lýsigögn)'!F$6:F$41,MATCH($C15,'Undirviðmiðalisti (Lýsigögn)'!$C$6:$C$41,0))="","",INDEX('Undirviðmiðalisti (Lýsigögn)'!F$6:F$41,MATCH($C15,'Undirviðmiðalisti (Lýsigögn)'!$C$6:$C$41,0))),IFERROR(IF(INDEX('Undirviðmiðalisti (Lýsigögn)'!F$42:F$58,MATCH($C15,'Undirviðmiðalisti (Lýsigögn)'!$C$42:$C$58,0))="","",INDEX('Undirviðmiðalisti (Lýsigögn)'!F$42:F$58,MATCH($C15,'Undirviðmiðalisti (Lýsigögn)'!$C$42:$C$58,0))),""))))</f>
        <v/>
      </c>
      <c r="K15" s="16" t="str">
        <f aca="false">IF($C15="","",IF($G15="Einstaklingsbundið",IFERROR(IF(INDEX('Undirviðmiðalisti (Lýsigögn)'!G$42:G$58,MATCH($C15,'Undirviðmiðalisti (Lýsigögn)'!$C$42:$C$58,0))="","",INDEX('Undirviðmiðalisti (Lýsigögn)'!G$42:G$58,MATCH($C15,'Undirviðmiðalisti (Lýsigögn)'!$C$42:$C$58,0))),""),IFERROR(IF(INDEX('Undirviðmiðalisti (Lýsigögn)'!G$6:G$41,MATCH($C15,'Undirviðmiðalisti (Lýsigögn)'!$C$6:$C$41,0))="","",INDEX('Undirviðmiðalisti (Lýsigögn)'!G$6:G$41,MATCH($C15,'Undirviðmiðalisti (Lýsigögn)'!$C$6:$C$41,0))),IFERROR(IF(INDEX('Undirviðmiðalisti (Lýsigögn)'!G$42:G$58,MATCH($C15,'Undirviðmiðalisti (Lýsigögn)'!$C$42:$C$58,0))="","",INDEX('Undirviðmiðalisti (Lýsigögn)'!G$42:G$58,MATCH($C15,'Undirviðmiðalisti (Lýsigögn)'!$C$42:$C$58,0))),""))))</f>
        <v/>
      </c>
      <c r="L15" s="16" t="str">
        <f aca="false">IF($C15="","",IF($G15="Einstaklingsbundið",IFERROR(IF(INDEX('Undirviðmiðalisti (Lýsigögn)'!H$42:H$58,MATCH($C15,'Undirviðmiðalisti (Lýsigögn)'!$C$42:$C$58,0))="","",INDEX('Undirviðmiðalisti (Lýsigögn)'!H$42:H$58,MATCH($C15,'Undirviðmiðalisti (Lýsigögn)'!$C$42:$C$58,0))),""),IFERROR(IF(INDEX('Undirviðmiðalisti (Lýsigögn)'!H$6:H$41,MATCH($C15,'Undirviðmiðalisti (Lýsigögn)'!$C$6:$C$41,0))="","",INDEX('Undirviðmiðalisti (Lýsigögn)'!H$6:H$41,MATCH($C15,'Undirviðmiðalisti (Lýsigögn)'!$C$6:$C$41,0))),IFERROR(IF(INDEX('Undirviðmiðalisti (Lýsigögn)'!H$42:H$58,MATCH($C15,'Undirviðmiðalisti (Lýsigögn)'!$C$42:$C$58,0))="","",INDEX('Undirviðmiðalisti (Lýsigögn)'!H$42:H$58,MATCH($C15,'Undirviðmiðalisti (Lýsigögn)'!$C$42:$C$58,0))),""))))</f>
        <v/>
      </c>
      <c r="M15" s="16" t="str">
        <f aca="false">IF($C15="","",IF($G15="Einstaklingsbundið",IFERROR(IF(INDEX('Undirviðmiðalisti (Lýsigögn)'!I$42:I$58,MATCH($C15,'Undirviðmiðalisti (Lýsigögn)'!$C$42:$C$58,0))="","",INDEX('Undirviðmiðalisti (Lýsigögn)'!I$42:I$58,MATCH($C15,'Undirviðmiðalisti (Lýsigögn)'!$C$42:$C$58,0))),""),IFERROR(IF(INDEX('Undirviðmiðalisti (Lýsigögn)'!I$6:I$41,MATCH($C15,'Undirviðmiðalisti (Lýsigögn)'!$C$6:$C$41,0))="","",INDEX('Undirviðmiðalisti (Lýsigögn)'!I$6:I$41,MATCH($C15,'Undirviðmiðalisti (Lýsigögn)'!$C$6:$C$41,0))),IFERROR(IF(INDEX('Undirviðmiðalisti (Lýsigögn)'!I$42:I$58,MATCH($C15,'Undirviðmiðalisti (Lýsigögn)'!$C$42:$C$58,0))="","",INDEX('Undirviðmiðalisti (Lýsigögn)'!I$42:I$58,MATCH($C15,'Undirviðmiðalisti (Lýsigögn)'!$C$42:$C$58,0))),""))))</f>
        <v/>
      </c>
      <c r="N15" s="16" t="str">
        <f aca="false">IF($C15="","",IF($G15="Einstaklingsbundið",IFERROR(IF(INDEX('Undirviðmiðalisti (Lýsigögn)'!J$42:J$58,MATCH($C15,'Undirviðmiðalisti (Lýsigögn)'!$C$42:$C$58,0))="","",INDEX('Undirviðmiðalisti (Lýsigögn)'!J$42:J$58,MATCH($C15,'Undirviðmiðalisti (Lýsigögn)'!$C$42:$C$58,0))),""),IFERROR(IF(INDEX('Undirviðmiðalisti (Lýsigögn)'!J$6:J$41,MATCH($C15,'Undirviðmiðalisti (Lýsigögn)'!$C$6:$C$41,0))="","",INDEX('Undirviðmiðalisti (Lýsigögn)'!J$6:J$41,MATCH($C15,'Undirviðmiðalisti (Lýsigögn)'!$C$6:$C$41,0))),IFERROR(IF(INDEX('Undirviðmiðalisti (Lýsigögn)'!J$42:J$58,MATCH($C15,'Undirviðmiðalisti (Lýsigögn)'!$C$42:$C$58,0))="","",INDEX('Undirviðmiðalisti (Lýsigögn)'!J$42:J$58,MATCH($C15,'Undirviðmiðalisti (Lýsigögn)'!$C$42:$C$58,0))),""))))</f>
        <v/>
      </c>
      <c r="O15" s="16" t="str">
        <f aca="false">IF($C15="","",IF($G15="Einstaklingsbundið",IFERROR(IF(INDEX('Undirviðmiðalisti (Lýsigögn)'!K$42:K$58,MATCH($C15,'Undirviðmiðalisti (Lýsigögn)'!$C$42:$C$58,0))="","",INDEX('Undirviðmiðalisti (Lýsigögn)'!K$42:K$58,MATCH($C15,'Undirviðmiðalisti (Lýsigögn)'!$C$42:$C$58,0))),""),IFERROR(IF(INDEX('Undirviðmiðalisti (Lýsigögn)'!K$6:K$41,MATCH($C15,'Undirviðmiðalisti (Lýsigögn)'!$C$6:$C$41,0))="","",INDEX('Undirviðmiðalisti (Lýsigögn)'!K$6:K$41,MATCH($C15,'Undirviðmiðalisti (Lýsigögn)'!$C$6:$C$41,0))),IFERROR(IF(INDEX('Undirviðmiðalisti (Lýsigögn)'!K$42:K$58,MATCH($C15,'Undirviðmiðalisti (Lýsigögn)'!$C$42:$C$58,0))="","",INDEX('Undirviðmiðalisti (Lýsigögn)'!K$42:K$58,MATCH($C15,'Undirviðmiðalisti (Lýsigögn)'!$C$42:$C$58,0))),""))))</f>
        <v/>
      </c>
      <c r="P15" s="16" t="str">
        <f aca="false">IF($C15="","",IF($G15="Einstaklingsbundið",IFERROR(IF(INDEX('Undirviðmiðalisti (Lýsigögn)'!L$42:L$58,MATCH($C15,'Undirviðmiðalisti (Lýsigögn)'!$C$42:$C$58,0))="","",INDEX('Undirviðmiðalisti (Lýsigögn)'!L$42:L$58,MATCH($C15,'Undirviðmiðalisti (Lýsigögn)'!$C$42:$C$58,0))),""),IFERROR(IF(INDEX('Undirviðmiðalisti (Lýsigögn)'!L$6:L$41,MATCH($C15,'Undirviðmiðalisti (Lýsigögn)'!$C$6:$C$41,0))="","",INDEX('Undirviðmiðalisti (Lýsigögn)'!L$6:L$41,MATCH($C15,'Undirviðmiðalisti (Lýsigögn)'!$C$6:$C$41,0))),IFERROR(IF(INDEX('Undirviðmiðalisti (Lýsigögn)'!L$42:L$58,MATCH($C15,'Undirviðmiðalisti (Lýsigögn)'!$C$42:$C$58,0))="","",INDEX('Undirviðmiðalisti (Lýsigögn)'!L$42:L$58,MATCH($C15,'Undirviðmiðalisti (Lýsigögn)'!$C$42:$C$58,0))),""))))</f>
        <v/>
      </c>
      <c r="Q15" s="16" t="str">
        <f aca="false">IF($C15="","",IF($G15="Einstaklingsbundið",IFERROR(IF(INDEX('Undirviðmiðalisti (Lýsigögn)'!M$42:M$58,MATCH($C15,'Undirviðmiðalisti (Lýsigögn)'!$C$42:$C$58,0))="","",INDEX('Undirviðmiðalisti (Lýsigögn)'!M$42:M$58,MATCH($C15,'Undirviðmiðalisti (Lýsigögn)'!$C$42:$C$58,0))),""),IFERROR(IF(INDEX('Undirviðmiðalisti (Lýsigögn)'!M$6:M$41,MATCH($C15,'Undirviðmiðalisti (Lýsigögn)'!$C$6:$C$41,0))="","",INDEX('Undirviðmiðalisti (Lýsigögn)'!M$6:M$41,MATCH($C15,'Undirviðmiðalisti (Lýsigögn)'!$C$6:$C$41,0))),IFERROR(IF(INDEX('Undirviðmiðalisti (Lýsigögn)'!M$42:M$58,MATCH($C15,'Undirviðmiðalisti (Lýsigögn)'!$C$42:$C$58,0))="","",INDEX('Undirviðmiðalisti (Lýsigögn)'!M$42:M$58,MATCH($C15,'Undirviðmiðalisti (Lýsigögn)'!$C$42:$C$58,0))),""))))</f>
        <v/>
      </c>
    </row>
    <row r="16" customFormat="false" ht="15" hidden="false" customHeight="true" outlineLevel="0" collapsed="false">
      <c r="A16" s="22" t="str">
        <f aca="false">IF($B16="","",ROW()-5)</f>
        <v/>
      </c>
      <c r="B16" s="15"/>
      <c r="C16" s="15"/>
      <c r="D16" s="16" t="str">
        <f aca="false">IF($C16="","",IF($G16="Einstaklingsbundið",IFERROR(IF(INDEX('Undirviðmiðalisti (Lýsigögn)'!$D$42:$D$58,MATCH($C16,'Undirviðmiðalisti (Lýsigögn)'!$C$42:$C$58,0))="","",INDEX('Undirviðmiðalisti (Lýsigögn)'!$D$42:$D$58,MATCH($C16,'Undirviðmiðalisti (Lýsigögn)'!$C$42:$C$58,0))),""),IFERROR(IF(INDEX('Undirviðmiðalisti (Lýsigögn)'!$D$6:$D$41,MATCH($C16,'Undirviðmiðalisti (Lýsigögn)'!$C$6:$C$41,0))="","",INDEX('Undirviðmiðalisti (Lýsigögn)'!$D$6:$D$41,MATCH($C16,'Undirviðmiðalisti (Lýsigögn)'!$C$6:$C$41,0))),IFERROR(IF(INDEX('Undirviðmiðalisti (Lýsigögn)'!$D$42:$D$58,MATCH($C16,'Undirviðmiðalisti (Lýsigögn)'!$C$42:$C$58,0))="","",INDEX('Undirviðmiðalisti (Lýsigögn)'!$D$42:$D$58,MATCH($C16,'Undirviðmiðalisti (Lýsigögn)'!$C$42:$C$58,0))),""))))</f>
        <v/>
      </c>
      <c r="E16" s="14"/>
      <c r="F16" s="23" t="str">
        <f aca="false">IF($C16="","",IF($G16="Einstaklingsbundið",IFERROR(IF(INDEX('Undirviðmiðalisti (Lýsigögn)'!$E$42:$E$58,MATCH($C16,'Undirviðmiðalisti (Lýsigögn)'!$C$42:$C$58,0))="","",INDEX('Undirviðmiðalisti (Lýsigögn)'!$E$42:$E$58,MATCH($C16,'Undirviðmiðalisti (Lýsigögn)'!$C$42:$C$58,0))),""),IFERROR(IF(INDEX('Undirviðmiðalisti (Lýsigögn)'!$E$6:$E$41,MATCH($C16,'Undirviðmiðalisti (Lýsigögn)'!$C$6:$C$41,0))="","",INDEX('Undirviðmiðalisti (Lýsigögn)'!$E$6:$E$41,MATCH($C16,'Undirviðmiðalisti (Lýsigögn)'!$C$6:$C$41,0))),IFERROR(IF(INDEX('Undirviðmiðalisti (Lýsigögn)'!$E$42:$E$58,MATCH($C16,'Undirviðmiðalisti (Lýsigögn)'!$C$42:$C$58,0))="","",INDEX('Undirviðmiðalisti (Lýsigögn)'!$E$42:$E$58,MATCH($C16,'Undirviðmiðalisti (Lýsigögn)'!$C$42:$C$58,0))),""))))</f>
        <v/>
      </c>
      <c r="G16" s="24" t="str">
        <f aca="false">IFERROR(IF(B16="","",INDEX(Viðmið!$B$6:$B$10,MATCH(B16,Viðmið!$C$6:$C$10,0))),"")</f>
        <v/>
      </c>
      <c r="H16" s="25" t="str">
        <f aca="false">IF(OR(E16="",F16=""),"",E16*KVARDI)</f>
        <v/>
      </c>
      <c r="I16" s="26" t="str">
        <f aca="false">IF(B16="","",IF(ROUND(SUMIF($B$6:$B$205,B16,$E$6:$E$205),4)=ROUND(IFERROR(INDEX(Viðmið!$E$6:$E$10,MATCH(B16,Viðmið!$C$6:$C$10,0)),-1),4),"✓","✗"))</f>
        <v/>
      </c>
      <c r="J16" s="16" t="str">
        <f aca="false">IF($C16="","",IF($G16="Einstaklingsbundið",IFERROR(IF(INDEX('Undirviðmiðalisti (Lýsigögn)'!F$42:F$58,MATCH($C16,'Undirviðmiðalisti (Lýsigögn)'!$C$42:$C$58,0))="","",INDEX('Undirviðmiðalisti (Lýsigögn)'!F$42:F$58,MATCH($C16,'Undirviðmiðalisti (Lýsigögn)'!$C$42:$C$58,0))),""),IFERROR(IF(INDEX('Undirviðmiðalisti (Lýsigögn)'!F$6:F$41,MATCH($C16,'Undirviðmiðalisti (Lýsigögn)'!$C$6:$C$41,0))="","",INDEX('Undirviðmiðalisti (Lýsigögn)'!F$6:F$41,MATCH($C16,'Undirviðmiðalisti (Lýsigögn)'!$C$6:$C$41,0))),IFERROR(IF(INDEX('Undirviðmiðalisti (Lýsigögn)'!F$42:F$58,MATCH($C16,'Undirviðmiðalisti (Lýsigögn)'!$C$42:$C$58,0))="","",INDEX('Undirviðmiðalisti (Lýsigögn)'!F$42:F$58,MATCH($C16,'Undirviðmiðalisti (Lýsigögn)'!$C$42:$C$58,0))),""))))</f>
        <v/>
      </c>
      <c r="K16" s="16" t="str">
        <f aca="false">IF($C16="","",IF($G16="Einstaklingsbundið",IFERROR(IF(INDEX('Undirviðmiðalisti (Lýsigögn)'!G$42:G$58,MATCH($C16,'Undirviðmiðalisti (Lýsigögn)'!$C$42:$C$58,0))="","",INDEX('Undirviðmiðalisti (Lýsigögn)'!G$42:G$58,MATCH($C16,'Undirviðmiðalisti (Lýsigögn)'!$C$42:$C$58,0))),""),IFERROR(IF(INDEX('Undirviðmiðalisti (Lýsigögn)'!G$6:G$41,MATCH($C16,'Undirviðmiðalisti (Lýsigögn)'!$C$6:$C$41,0))="","",INDEX('Undirviðmiðalisti (Lýsigögn)'!G$6:G$41,MATCH($C16,'Undirviðmiðalisti (Lýsigögn)'!$C$6:$C$41,0))),IFERROR(IF(INDEX('Undirviðmiðalisti (Lýsigögn)'!G$42:G$58,MATCH($C16,'Undirviðmiðalisti (Lýsigögn)'!$C$42:$C$58,0))="","",INDEX('Undirviðmiðalisti (Lýsigögn)'!G$42:G$58,MATCH($C16,'Undirviðmiðalisti (Lýsigögn)'!$C$42:$C$58,0))),""))))</f>
        <v/>
      </c>
      <c r="L16" s="16" t="str">
        <f aca="false">IF($C16="","",IF($G16="Einstaklingsbundið",IFERROR(IF(INDEX('Undirviðmiðalisti (Lýsigögn)'!H$42:H$58,MATCH($C16,'Undirviðmiðalisti (Lýsigögn)'!$C$42:$C$58,0))="","",INDEX('Undirviðmiðalisti (Lýsigögn)'!H$42:H$58,MATCH($C16,'Undirviðmiðalisti (Lýsigögn)'!$C$42:$C$58,0))),""),IFERROR(IF(INDEX('Undirviðmiðalisti (Lýsigögn)'!H$6:H$41,MATCH($C16,'Undirviðmiðalisti (Lýsigögn)'!$C$6:$C$41,0))="","",INDEX('Undirviðmiðalisti (Lýsigögn)'!H$6:H$41,MATCH($C16,'Undirviðmiðalisti (Lýsigögn)'!$C$6:$C$41,0))),IFERROR(IF(INDEX('Undirviðmiðalisti (Lýsigögn)'!H$42:H$58,MATCH($C16,'Undirviðmiðalisti (Lýsigögn)'!$C$42:$C$58,0))="","",INDEX('Undirviðmiðalisti (Lýsigögn)'!H$42:H$58,MATCH($C16,'Undirviðmiðalisti (Lýsigögn)'!$C$42:$C$58,0))),""))))</f>
        <v/>
      </c>
      <c r="M16" s="16" t="str">
        <f aca="false">IF($C16="","",IF($G16="Einstaklingsbundið",IFERROR(IF(INDEX('Undirviðmiðalisti (Lýsigögn)'!I$42:I$58,MATCH($C16,'Undirviðmiðalisti (Lýsigögn)'!$C$42:$C$58,0))="","",INDEX('Undirviðmiðalisti (Lýsigögn)'!I$42:I$58,MATCH($C16,'Undirviðmiðalisti (Lýsigögn)'!$C$42:$C$58,0))),""),IFERROR(IF(INDEX('Undirviðmiðalisti (Lýsigögn)'!I$6:I$41,MATCH($C16,'Undirviðmiðalisti (Lýsigögn)'!$C$6:$C$41,0))="","",INDEX('Undirviðmiðalisti (Lýsigögn)'!I$6:I$41,MATCH($C16,'Undirviðmiðalisti (Lýsigögn)'!$C$6:$C$41,0))),IFERROR(IF(INDEX('Undirviðmiðalisti (Lýsigögn)'!I$42:I$58,MATCH($C16,'Undirviðmiðalisti (Lýsigögn)'!$C$42:$C$58,0))="","",INDEX('Undirviðmiðalisti (Lýsigögn)'!I$42:I$58,MATCH($C16,'Undirviðmiðalisti (Lýsigögn)'!$C$42:$C$58,0))),""))))</f>
        <v/>
      </c>
      <c r="N16" s="16" t="str">
        <f aca="false">IF($C16="","",IF($G16="Einstaklingsbundið",IFERROR(IF(INDEX('Undirviðmiðalisti (Lýsigögn)'!J$42:J$58,MATCH($C16,'Undirviðmiðalisti (Lýsigögn)'!$C$42:$C$58,0))="","",INDEX('Undirviðmiðalisti (Lýsigögn)'!J$42:J$58,MATCH($C16,'Undirviðmiðalisti (Lýsigögn)'!$C$42:$C$58,0))),""),IFERROR(IF(INDEX('Undirviðmiðalisti (Lýsigögn)'!J$6:J$41,MATCH($C16,'Undirviðmiðalisti (Lýsigögn)'!$C$6:$C$41,0))="","",INDEX('Undirviðmiðalisti (Lýsigögn)'!J$6:J$41,MATCH($C16,'Undirviðmiðalisti (Lýsigögn)'!$C$6:$C$41,0))),IFERROR(IF(INDEX('Undirviðmiðalisti (Lýsigögn)'!J$42:J$58,MATCH($C16,'Undirviðmiðalisti (Lýsigögn)'!$C$42:$C$58,0))="","",INDEX('Undirviðmiðalisti (Lýsigögn)'!J$42:J$58,MATCH($C16,'Undirviðmiðalisti (Lýsigögn)'!$C$42:$C$58,0))),""))))</f>
        <v/>
      </c>
      <c r="O16" s="16" t="str">
        <f aca="false">IF($C16="","",IF($G16="Einstaklingsbundið",IFERROR(IF(INDEX('Undirviðmiðalisti (Lýsigögn)'!K$42:K$58,MATCH($C16,'Undirviðmiðalisti (Lýsigögn)'!$C$42:$C$58,0))="","",INDEX('Undirviðmiðalisti (Lýsigögn)'!K$42:K$58,MATCH($C16,'Undirviðmiðalisti (Lýsigögn)'!$C$42:$C$58,0))),""),IFERROR(IF(INDEX('Undirviðmiðalisti (Lýsigögn)'!K$6:K$41,MATCH($C16,'Undirviðmiðalisti (Lýsigögn)'!$C$6:$C$41,0))="","",INDEX('Undirviðmiðalisti (Lýsigögn)'!K$6:K$41,MATCH($C16,'Undirviðmiðalisti (Lýsigögn)'!$C$6:$C$41,0))),IFERROR(IF(INDEX('Undirviðmiðalisti (Lýsigögn)'!K$42:K$58,MATCH($C16,'Undirviðmiðalisti (Lýsigögn)'!$C$42:$C$58,0))="","",INDEX('Undirviðmiðalisti (Lýsigögn)'!K$42:K$58,MATCH($C16,'Undirviðmiðalisti (Lýsigögn)'!$C$42:$C$58,0))),""))))</f>
        <v/>
      </c>
      <c r="P16" s="16" t="str">
        <f aca="false">IF($C16="","",IF($G16="Einstaklingsbundið",IFERROR(IF(INDEX('Undirviðmiðalisti (Lýsigögn)'!L$42:L$58,MATCH($C16,'Undirviðmiðalisti (Lýsigögn)'!$C$42:$C$58,0))="","",INDEX('Undirviðmiðalisti (Lýsigögn)'!L$42:L$58,MATCH($C16,'Undirviðmiðalisti (Lýsigögn)'!$C$42:$C$58,0))),""),IFERROR(IF(INDEX('Undirviðmiðalisti (Lýsigögn)'!L$6:L$41,MATCH($C16,'Undirviðmiðalisti (Lýsigögn)'!$C$6:$C$41,0))="","",INDEX('Undirviðmiðalisti (Lýsigögn)'!L$6:L$41,MATCH($C16,'Undirviðmiðalisti (Lýsigögn)'!$C$6:$C$41,0))),IFERROR(IF(INDEX('Undirviðmiðalisti (Lýsigögn)'!L$42:L$58,MATCH($C16,'Undirviðmiðalisti (Lýsigögn)'!$C$42:$C$58,0))="","",INDEX('Undirviðmiðalisti (Lýsigögn)'!L$42:L$58,MATCH($C16,'Undirviðmiðalisti (Lýsigögn)'!$C$42:$C$58,0))),""))))</f>
        <v/>
      </c>
      <c r="Q16" s="16" t="str">
        <f aca="false">IF($C16="","",IF($G16="Einstaklingsbundið",IFERROR(IF(INDEX('Undirviðmiðalisti (Lýsigögn)'!M$42:M$58,MATCH($C16,'Undirviðmiðalisti (Lýsigögn)'!$C$42:$C$58,0))="","",INDEX('Undirviðmiðalisti (Lýsigögn)'!M$42:M$58,MATCH($C16,'Undirviðmiðalisti (Lýsigögn)'!$C$42:$C$58,0))),""),IFERROR(IF(INDEX('Undirviðmiðalisti (Lýsigögn)'!M$6:M$41,MATCH($C16,'Undirviðmiðalisti (Lýsigögn)'!$C$6:$C$41,0))="","",INDEX('Undirviðmiðalisti (Lýsigögn)'!M$6:M$41,MATCH($C16,'Undirviðmiðalisti (Lýsigögn)'!$C$6:$C$41,0))),IFERROR(IF(INDEX('Undirviðmiðalisti (Lýsigögn)'!M$42:M$58,MATCH($C16,'Undirviðmiðalisti (Lýsigögn)'!$C$42:$C$58,0))="","",INDEX('Undirviðmiðalisti (Lýsigögn)'!M$42:M$58,MATCH($C16,'Undirviðmiðalisti (Lýsigögn)'!$C$42:$C$58,0))),""))))</f>
        <v/>
      </c>
    </row>
    <row r="17" customFormat="false" ht="15" hidden="false" customHeight="true" outlineLevel="0" collapsed="false">
      <c r="A17" s="22" t="str">
        <f aca="false">IF($B17="","",ROW()-5)</f>
        <v/>
      </c>
      <c r="B17" s="15"/>
      <c r="C17" s="15"/>
      <c r="D17" s="16" t="str">
        <f aca="false">IF($C17="","",IF($G17="Einstaklingsbundið",IFERROR(IF(INDEX('Undirviðmiðalisti (Lýsigögn)'!$D$42:$D$58,MATCH($C17,'Undirviðmiðalisti (Lýsigögn)'!$C$42:$C$58,0))="","",INDEX('Undirviðmiðalisti (Lýsigögn)'!$D$42:$D$58,MATCH($C17,'Undirviðmiðalisti (Lýsigögn)'!$C$42:$C$58,0))),""),IFERROR(IF(INDEX('Undirviðmiðalisti (Lýsigögn)'!$D$6:$D$41,MATCH($C17,'Undirviðmiðalisti (Lýsigögn)'!$C$6:$C$41,0))="","",INDEX('Undirviðmiðalisti (Lýsigögn)'!$D$6:$D$41,MATCH($C17,'Undirviðmiðalisti (Lýsigögn)'!$C$6:$C$41,0))),IFERROR(IF(INDEX('Undirviðmiðalisti (Lýsigögn)'!$D$42:$D$58,MATCH($C17,'Undirviðmiðalisti (Lýsigögn)'!$C$42:$C$58,0))="","",INDEX('Undirviðmiðalisti (Lýsigögn)'!$D$42:$D$58,MATCH($C17,'Undirviðmiðalisti (Lýsigögn)'!$C$42:$C$58,0))),""))))</f>
        <v/>
      </c>
      <c r="E17" s="14"/>
      <c r="F17" s="23" t="str">
        <f aca="false">IF($C17="","",IF($G17="Einstaklingsbundið",IFERROR(IF(INDEX('Undirviðmiðalisti (Lýsigögn)'!$E$42:$E$58,MATCH($C17,'Undirviðmiðalisti (Lýsigögn)'!$C$42:$C$58,0))="","",INDEX('Undirviðmiðalisti (Lýsigögn)'!$E$42:$E$58,MATCH($C17,'Undirviðmiðalisti (Lýsigögn)'!$C$42:$C$58,0))),""),IFERROR(IF(INDEX('Undirviðmiðalisti (Lýsigögn)'!$E$6:$E$41,MATCH($C17,'Undirviðmiðalisti (Lýsigögn)'!$C$6:$C$41,0))="","",INDEX('Undirviðmiðalisti (Lýsigögn)'!$E$6:$E$41,MATCH($C17,'Undirviðmiðalisti (Lýsigögn)'!$C$6:$C$41,0))),IFERROR(IF(INDEX('Undirviðmiðalisti (Lýsigögn)'!$E$42:$E$58,MATCH($C17,'Undirviðmiðalisti (Lýsigögn)'!$C$42:$C$58,0))="","",INDEX('Undirviðmiðalisti (Lýsigögn)'!$E$42:$E$58,MATCH($C17,'Undirviðmiðalisti (Lýsigögn)'!$C$42:$C$58,0))),""))))</f>
        <v/>
      </c>
      <c r="G17" s="24" t="str">
        <f aca="false">IFERROR(IF(B17="","",INDEX(Viðmið!$B$6:$B$10,MATCH(B17,Viðmið!$C$6:$C$10,0))),"")</f>
        <v/>
      </c>
      <c r="H17" s="25" t="str">
        <f aca="false">IF(OR(E17="",F17=""),"",E17*KVARDI)</f>
        <v/>
      </c>
      <c r="I17" s="26" t="str">
        <f aca="false">IF(B17="","",IF(ROUND(SUMIF($B$6:$B$205,B17,$E$6:$E$205),4)=ROUND(IFERROR(INDEX(Viðmið!$E$6:$E$10,MATCH(B17,Viðmið!$C$6:$C$10,0)),-1),4),"✓","✗"))</f>
        <v/>
      </c>
      <c r="J17" s="16" t="str">
        <f aca="false">IF($C17="","",IF($G17="Einstaklingsbundið",IFERROR(IF(INDEX('Undirviðmiðalisti (Lýsigögn)'!F$42:F$58,MATCH($C17,'Undirviðmiðalisti (Lýsigögn)'!$C$42:$C$58,0))="","",INDEX('Undirviðmiðalisti (Lýsigögn)'!F$42:F$58,MATCH($C17,'Undirviðmiðalisti (Lýsigögn)'!$C$42:$C$58,0))),""),IFERROR(IF(INDEX('Undirviðmiðalisti (Lýsigögn)'!F$6:F$41,MATCH($C17,'Undirviðmiðalisti (Lýsigögn)'!$C$6:$C$41,0))="","",INDEX('Undirviðmiðalisti (Lýsigögn)'!F$6:F$41,MATCH($C17,'Undirviðmiðalisti (Lýsigögn)'!$C$6:$C$41,0))),IFERROR(IF(INDEX('Undirviðmiðalisti (Lýsigögn)'!F$42:F$58,MATCH($C17,'Undirviðmiðalisti (Lýsigögn)'!$C$42:$C$58,0))="","",INDEX('Undirviðmiðalisti (Lýsigögn)'!F$42:F$58,MATCH($C17,'Undirviðmiðalisti (Lýsigögn)'!$C$42:$C$58,0))),""))))</f>
        <v/>
      </c>
      <c r="K17" s="16" t="str">
        <f aca="false">IF($C17="","",IF($G17="Einstaklingsbundið",IFERROR(IF(INDEX('Undirviðmiðalisti (Lýsigögn)'!G$42:G$58,MATCH($C17,'Undirviðmiðalisti (Lýsigögn)'!$C$42:$C$58,0))="","",INDEX('Undirviðmiðalisti (Lýsigögn)'!G$42:G$58,MATCH($C17,'Undirviðmiðalisti (Lýsigögn)'!$C$42:$C$58,0))),""),IFERROR(IF(INDEX('Undirviðmiðalisti (Lýsigögn)'!G$6:G$41,MATCH($C17,'Undirviðmiðalisti (Lýsigögn)'!$C$6:$C$41,0))="","",INDEX('Undirviðmiðalisti (Lýsigögn)'!G$6:G$41,MATCH($C17,'Undirviðmiðalisti (Lýsigögn)'!$C$6:$C$41,0))),IFERROR(IF(INDEX('Undirviðmiðalisti (Lýsigögn)'!G$42:G$58,MATCH($C17,'Undirviðmiðalisti (Lýsigögn)'!$C$42:$C$58,0))="","",INDEX('Undirviðmiðalisti (Lýsigögn)'!G$42:G$58,MATCH($C17,'Undirviðmiðalisti (Lýsigögn)'!$C$42:$C$58,0))),""))))</f>
        <v/>
      </c>
      <c r="L17" s="16" t="str">
        <f aca="false">IF($C17="","",IF($G17="Einstaklingsbundið",IFERROR(IF(INDEX('Undirviðmiðalisti (Lýsigögn)'!H$42:H$58,MATCH($C17,'Undirviðmiðalisti (Lýsigögn)'!$C$42:$C$58,0))="","",INDEX('Undirviðmiðalisti (Lýsigögn)'!H$42:H$58,MATCH($C17,'Undirviðmiðalisti (Lýsigögn)'!$C$42:$C$58,0))),""),IFERROR(IF(INDEX('Undirviðmiðalisti (Lýsigögn)'!H$6:H$41,MATCH($C17,'Undirviðmiðalisti (Lýsigögn)'!$C$6:$C$41,0))="","",INDEX('Undirviðmiðalisti (Lýsigögn)'!H$6:H$41,MATCH($C17,'Undirviðmiðalisti (Lýsigögn)'!$C$6:$C$41,0))),IFERROR(IF(INDEX('Undirviðmiðalisti (Lýsigögn)'!H$42:H$58,MATCH($C17,'Undirviðmiðalisti (Lýsigögn)'!$C$42:$C$58,0))="","",INDEX('Undirviðmiðalisti (Lýsigögn)'!H$42:H$58,MATCH($C17,'Undirviðmiðalisti (Lýsigögn)'!$C$42:$C$58,0))),""))))</f>
        <v/>
      </c>
      <c r="M17" s="16" t="str">
        <f aca="false">IF($C17="","",IF($G17="Einstaklingsbundið",IFERROR(IF(INDEX('Undirviðmiðalisti (Lýsigögn)'!I$42:I$58,MATCH($C17,'Undirviðmiðalisti (Lýsigögn)'!$C$42:$C$58,0))="","",INDEX('Undirviðmiðalisti (Lýsigögn)'!I$42:I$58,MATCH($C17,'Undirviðmiðalisti (Lýsigögn)'!$C$42:$C$58,0))),""),IFERROR(IF(INDEX('Undirviðmiðalisti (Lýsigögn)'!I$6:I$41,MATCH($C17,'Undirviðmiðalisti (Lýsigögn)'!$C$6:$C$41,0))="","",INDEX('Undirviðmiðalisti (Lýsigögn)'!I$6:I$41,MATCH($C17,'Undirviðmiðalisti (Lýsigögn)'!$C$6:$C$41,0))),IFERROR(IF(INDEX('Undirviðmiðalisti (Lýsigögn)'!I$42:I$58,MATCH($C17,'Undirviðmiðalisti (Lýsigögn)'!$C$42:$C$58,0))="","",INDEX('Undirviðmiðalisti (Lýsigögn)'!I$42:I$58,MATCH($C17,'Undirviðmiðalisti (Lýsigögn)'!$C$42:$C$58,0))),""))))</f>
        <v/>
      </c>
      <c r="N17" s="16" t="str">
        <f aca="false">IF($C17="","",IF($G17="Einstaklingsbundið",IFERROR(IF(INDEX('Undirviðmiðalisti (Lýsigögn)'!J$42:J$58,MATCH($C17,'Undirviðmiðalisti (Lýsigögn)'!$C$42:$C$58,0))="","",INDEX('Undirviðmiðalisti (Lýsigögn)'!J$42:J$58,MATCH($C17,'Undirviðmiðalisti (Lýsigögn)'!$C$42:$C$58,0))),""),IFERROR(IF(INDEX('Undirviðmiðalisti (Lýsigögn)'!J$6:J$41,MATCH($C17,'Undirviðmiðalisti (Lýsigögn)'!$C$6:$C$41,0))="","",INDEX('Undirviðmiðalisti (Lýsigögn)'!J$6:J$41,MATCH($C17,'Undirviðmiðalisti (Lýsigögn)'!$C$6:$C$41,0))),IFERROR(IF(INDEX('Undirviðmiðalisti (Lýsigögn)'!J$42:J$58,MATCH($C17,'Undirviðmiðalisti (Lýsigögn)'!$C$42:$C$58,0))="","",INDEX('Undirviðmiðalisti (Lýsigögn)'!J$42:J$58,MATCH($C17,'Undirviðmiðalisti (Lýsigögn)'!$C$42:$C$58,0))),""))))</f>
        <v/>
      </c>
      <c r="O17" s="16" t="str">
        <f aca="false">IF($C17="","",IF($G17="Einstaklingsbundið",IFERROR(IF(INDEX('Undirviðmiðalisti (Lýsigögn)'!K$42:K$58,MATCH($C17,'Undirviðmiðalisti (Lýsigögn)'!$C$42:$C$58,0))="","",INDEX('Undirviðmiðalisti (Lýsigögn)'!K$42:K$58,MATCH($C17,'Undirviðmiðalisti (Lýsigögn)'!$C$42:$C$58,0))),""),IFERROR(IF(INDEX('Undirviðmiðalisti (Lýsigögn)'!K$6:K$41,MATCH($C17,'Undirviðmiðalisti (Lýsigögn)'!$C$6:$C$41,0))="","",INDEX('Undirviðmiðalisti (Lýsigögn)'!K$6:K$41,MATCH($C17,'Undirviðmiðalisti (Lýsigögn)'!$C$6:$C$41,0))),IFERROR(IF(INDEX('Undirviðmiðalisti (Lýsigögn)'!K$42:K$58,MATCH($C17,'Undirviðmiðalisti (Lýsigögn)'!$C$42:$C$58,0))="","",INDEX('Undirviðmiðalisti (Lýsigögn)'!K$42:K$58,MATCH($C17,'Undirviðmiðalisti (Lýsigögn)'!$C$42:$C$58,0))),""))))</f>
        <v/>
      </c>
      <c r="P17" s="16" t="str">
        <f aca="false">IF($C17="","",IF($G17="Einstaklingsbundið",IFERROR(IF(INDEX('Undirviðmiðalisti (Lýsigögn)'!L$42:L$58,MATCH($C17,'Undirviðmiðalisti (Lýsigögn)'!$C$42:$C$58,0))="","",INDEX('Undirviðmiðalisti (Lýsigögn)'!L$42:L$58,MATCH($C17,'Undirviðmiðalisti (Lýsigögn)'!$C$42:$C$58,0))),""),IFERROR(IF(INDEX('Undirviðmiðalisti (Lýsigögn)'!L$6:L$41,MATCH($C17,'Undirviðmiðalisti (Lýsigögn)'!$C$6:$C$41,0))="","",INDEX('Undirviðmiðalisti (Lýsigögn)'!L$6:L$41,MATCH($C17,'Undirviðmiðalisti (Lýsigögn)'!$C$6:$C$41,0))),IFERROR(IF(INDEX('Undirviðmiðalisti (Lýsigögn)'!L$42:L$58,MATCH($C17,'Undirviðmiðalisti (Lýsigögn)'!$C$42:$C$58,0))="","",INDEX('Undirviðmiðalisti (Lýsigögn)'!L$42:L$58,MATCH($C17,'Undirviðmiðalisti (Lýsigögn)'!$C$42:$C$58,0))),""))))</f>
        <v/>
      </c>
      <c r="Q17" s="16" t="str">
        <f aca="false">IF($C17="","",IF($G17="Einstaklingsbundið",IFERROR(IF(INDEX('Undirviðmiðalisti (Lýsigögn)'!M$42:M$58,MATCH($C17,'Undirviðmiðalisti (Lýsigögn)'!$C$42:$C$58,0))="","",INDEX('Undirviðmiðalisti (Lýsigögn)'!M$42:M$58,MATCH($C17,'Undirviðmiðalisti (Lýsigögn)'!$C$42:$C$58,0))),""),IFERROR(IF(INDEX('Undirviðmiðalisti (Lýsigögn)'!M$6:M$41,MATCH($C17,'Undirviðmiðalisti (Lýsigögn)'!$C$6:$C$41,0))="","",INDEX('Undirviðmiðalisti (Lýsigögn)'!M$6:M$41,MATCH($C17,'Undirviðmiðalisti (Lýsigögn)'!$C$6:$C$41,0))),IFERROR(IF(INDEX('Undirviðmiðalisti (Lýsigögn)'!M$42:M$58,MATCH($C17,'Undirviðmiðalisti (Lýsigögn)'!$C$42:$C$58,0))="","",INDEX('Undirviðmiðalisti (Lýsigögn)'!M$42:M$58,MATCH($C17,'Undirviðmiðalisti (Lýsigögn)'!$C$42:$C$58,0))),""))))</f>
        <v/>
      </c>
    </row>
    <row r="18" customFormat="false" ht="15" hidden="false" customHeight="true" outlineLevel="0" collapsed="false">
      <c r="A18" s="22" t="str">
        <f aca="false">IF($B18="","",ROW()-5)</f>
        <v/>
      </c>
      <c r="B18" s="15"/>
      <c r="C18" s="15"/>
      <c r="D18" s="16" t="str">
        <f aca="false">IF($C18="","",IF($G18="Einstaklingsbundið",IFERROR(IF(INDEX('Undirviðmiðalisti (Lýsigögn)'!$D$42:$D$58,MATCH($C18,'Undirviðmiðalisti (Lýsigögn)'!$C$42:$C$58,0))="","",INDEX('Undirviðmiðalisti (Lýsigögn)'!$D$42:$D$58,MATCH($C18,'Undirviðmiðalisti (Lýsigögn)'!$C$42:$C$58,0))),""),IFERROR(IF(INDEX('Undirviðmiðalisti (Lýsigögn)'!$D$6:$D$41,MATCH($C18,'Undirviðmiðalisti (Lýsigögn)'!$C$6:$C$41,0))="","",INDEX('Undirviðmiðalisti (Lýsigögn)'!$D$6:$D$41,MATCH($C18,'Undirviðmiðalisti (Lýsigögn)'!$C$6:$C$41,0))),IFERROR(IF(INDEX('Undirviðmiðalisti (Lýsigögn)'!$D$42:$D$58,MATCH($C18,'Undirviðmiðalisti (Lýsigögn)'!$C$42:$C$58,0))="","",INDEX('Undirviðmiðalisti (Lýsigögn)'!$D$42:$D$58,MATCH($C18,'Undirviðmiðalisti (Lýsigögn)'!$C$42:$C$58,0))),""))))</f>
        <v/>
      </c>
      <c r="E18" s="14"/>
      <c r="F18" s="23" t="str">
        <f aca="false">IF($C18="","",IF($G18="Einstaklingsbundið",IFERROR(IF(INDEX('Undirviðmiðalisti (Lýsigögn)'!$E$42:$E$58,MATCH($C18,'Undirviðmiðalisti (Lýsigögn)'!$C$42:$C$58,0))="","",INDEX('Undirviðmiðalisti (Lýsigögn)'!$E$42:$E$58,MATCH($C18,'Undirviðmiðalisti (Lýsigögn)'!$C$42:$C$58,0))),""),IFERROR(IF(INDEX('Undirviðmiðalisti (Lýsigögn)'!$E$6:$E$41,MATCH($C18,'Undirviðmiðalisti (Lýsigögn)'!$C$6:$C$41,0))="","",INDEX('Undirviðmiðalisti (Lýsigögn)'!$E$6:$E$41,MATCH($C18,'Undirviðmiðalisti (Lýsigögn)'!$C$6:$C$41,0))),IFERROR(IF(INDEX('Undirviðmiðalisti (Lýsigögn)'!$E$42:$E$58,MATCH($C18,'Undirviðmiðalisti (Lýsigögn)'!$C$42:$C$58,0))="","",INDEX('Undirviðmiðalisti (Lýsigögn)'!$E$42:$E$58,MATCH($C18,'Undirviðmiðalisti (Lýsigögn)'!$C$42:$C$58,0))),""))))</f>
        <v/>
      </c>
      <c r="G18" s="24" t="str">
        <f aca="false">IFERROR(IF(B18="","",INDEX(Viðmið!$B$6:$B$10,MATCH(B18,Viðmið!$C$6:$C$10,0))),"")</f>
        <v/>
      </c>
      <c r="H18" s="25" t="str">
        <f aca="false">IF(OR(E18="",F18=""),"",E18*KVARDI)</f>
        <v/>
      </c>
      <c r="I18" s="26" t="str">
        <f aca="false">IF(B18="","",IF(ROUND(SUMIF($B$6:$B$205,B18,$E$6:$E$205),4)=ROUND(IFERROR(INDEX(Viðmið!$E$6:$E$10,MATCH(B18,Viðmið!$C$6:$C$10,0)),-1),4),"✓","✗"))</f>
        <v/>
      </c>
      <c r="J18" s="16" t="str">
        <f aca="false">IF($C18="","",IF($G18="Einstaklingsbundið",IFERROR(IF(INDEX('Undirviðmiðalisti (Lýsigögn)'!F$42:F$58,MATCH($C18,'Undirviðmiðalisti (Lýsigögn)'!$C$42:$C$58,0))="","",INDEX('Undirviðmiðalisti (Lýsigögn)'!F$42:F$58,MATCH($C18,'Undirviðmiðalisti (Lýsigögn)'!$C$42:$C$58,0))),""),IFERROR(IF(INDEX('Undirviðmiðalisti (Lýsigögn)'!F$6:F$41,MATCH($C18,'Undirviðmiðalisti (Lýsigögn)'!$C$6:$C$41,0))="","",INDEX('Undirviðmiðalisti (Lýsigögn)'!F$6:F$41,MATCH($C18,'Undirviðmiðalisti (Lýsigögn)'!$C$6:$C$41,0))),IFERROR(IF(INDEX('Undirviðmiðalisti (Lýsigögn)'!F$42:F$58,MATCH($C18,'Undirviðmiðalisti (Lýsigögn)'!$C$42:$C$58,0))="","",INDEX('Undirviðmiðalisti (Lýsigögn)'!F$42:F$58,MATCH($C18,'Undirviðmiðalisti (Lýsigögn)'!$C$42:$C$58,0))),""))))</f>
        <v/>
      </c>
      <c r="K18" s="16" t="str">
        <f aca="false">IF($C18="","",IF($G18="Einstaklingsbundið",IFERROR(IF(INDEX('Undirviðmiðalisti (Lýsigögn)'!G$42:G$58,MATCH($C18,'Undirviðmiðalisti (Lýsigögn)'!$C$42:$C$58,0))="","",INDEX('Undirviðmiðalisti (Lýsigögn)'!G$42:G$58,MATCH($C18,'Undirviðmiðalisti (Lýsigögn)'!$C$42:$C$58,0))),""),IFERROR(IF(INDEX('Undirviðmiðalisti (Lýsigögn)'!G$6:G$41,MATCH($C18,'Undirviðmiðalisti (Lýsigögn)'!$C$6:$C$41,0))="","",INDEX('Undirviðmiðalisti (Lýsigögn)'!G$6:G$41,MATCH($C18,'Undirviðmiðalisti (Lýsigögn)'!$C$6:$C$41,0))),IFERROR(IF(INDEX('Undirviðmiðalisti (Lýsigögn)'!G$42:G$58,MATCH($C18,'Undirviðmiðalisti (Lýsigögn)'!$C$42:$C$58,0))="","",INDEX('Undirviðmiðalisti (Lýsigögn)'!G$42:G$58,MATCH($C18,'Undirviðmiðalisti (Lýsigögn)'!$C$42:$C$58,0))),""))))</f>
        <v/>
      </c>
      <c r="L18" s="16" t="str">
        <f aca="false">IF($C18="","",IF($G18="Einstaklingsbundið",IFERROR(IF(INDEX('Undirviðmiðalisti (Lýsigögn)'!H$42:H$58,MATCH($C18,'Undirviðmiðalisti (Lýsigögn)'!$C$42:$C$58,0))="","",INDEX('Undirviðmiðalisti (Lýsigögn)'!H$42:H$58,MATCH($C18,'Undirviðmiðalisti (Lýsigögn)'!$C$42:$C$58,0))),""),IFERROR(IF(INDEX('Undirviðmiðalisti (Lýsigögn)'!H$6:H$41,MATCH($C18,'Undirviðmiðalisti (Lýsigögn)'!$C$6:$C$41,0))="","",INDEX('Undirviðmiðalisti (Lýsigögn)'!H$6:H$41,MATCH($C18,'Undirviðmiðalisti (Lýsigögn)'!$C$6:$C$41,0))),IFERROR(IF(INDEX('Undirviðmiðalisti (Lýsigögn)'!H$42:H$58,MATCH($C18,'Undirviðmiðalisti (Lýsigögn)'!$C$42:$C$58,0))="","",INDEX('Undirviðmiðalisti (Lýsigögn)'!H$42:H$58,MATCH($C18,'Undirviðmiðalisti (Lýsigögn)'!$C$42:$C$58,0))),""))))</f>
        <v/>
      </c>
      <c r="M18" s="16" t="str">
        <f aca="false">IF($C18="","",IF($G18="Einstaklingsbundið",IFERROR(IF(INDEX('Undirviðmiðalisti (Lýsigögn)'!I$42:I$58,MATCH($C18,'Undirviðmiðalisti (Lýsigögn)'!$C$42:$C$58,0))="","",INDEX('Undirviðmiðalisti (Lýsigögn)'!I$42:I$58,MATCH($C18,'Undirviðmiðalisti (Lýsigögn)'!$C$42:$C$58,0))),""),IFERROR(IF(INDEX('Undirviðmiðalisti (Lýsigögn)'!I$6:I$41,MATCH($C18,'Undirviðmiðalisti (Lýsigögn)'!$C$6:$C$41,0))="","",INDEX('Undirviðmiðalisti (Lýsigögn)'!I$6:I$41,MATCH($C18,'Undirviðmiðalisti (Lýsigögn)'!$C$6:$C$41,0))),IFERROR(IF(INDEX('Undirviðmiðalisti (Lýsigögn)'!I$42:I$58,MATCH($C18,'Undirviðmiðalisti (Lýsigögn)'!$C$42:$C$58,0))="","",INDEX('Undirviðmiðalisti (Lýsigögn)'!I$42:I$58,MATCH($C18,'Undirviðmiðalisti (Lýsigögn)'!$C$42:$C$58,0))),""))))</f>
        <v/>
      </c>
      <c r="N18" s="16" t="str">
        <f aca="false">IF($C18="","",IF($G18="Einstaklingsbundið",IFERROR(IF(INDEX('Undirviðmiðalisti (Lýsigögn)'!J$42:J$58,MATCH($C18,'Undirviðmiðalisti (Lýsigögn)'!$C$42:$C$58,0))="","",INDEX('Undirviðmiðalisti (Lýsigögn)'!J$42:J$58,MATCH($C18,'Undirviðmiðalisti (Lýsigögn)'!$C$42:$C$58,0))),""),IFERROR(IF(INDEX('Undirviðmiðalisti (Lýsigögn)'!J$6:J$41,MATCH($C18,'Undirviðmiðalisti (Lýsigögn)'!$C$6:$C$41,0))="","",INDEX('Undirviðmiðalisti (Lýsigögn)'!J$6:J$41,MATCH($C18,'Undirviðmiðalisti (Lýsigögn)'!$C$6:$C$41,0))),IFERROR(IF(INDEX('Undirviðmiðalisti (Lýsigögn)'!J$42:J$58,MATCH($C18,'Undirviðmiðalisti (Lýsigögn)'!$C$42:$C$58,0))="","",INDEX('Undirviðmiðalisti (Lýsigögn)'!J$42:J$58,MATCH($C18,'Undirviðmiðalisti (Lýsigögn)'!$C$42:$C$58,0))),""))))</f>
        <v/>
      </c>
      <c r="O18" s="16" t="str">
        <f aca="false">IF($C18="","",IF($G18="Einstaklingsbundið",IFERROR(IF(INDEX('Undirviðmiðalisti (Lýsigögn)'!K$42:K$58,MATCH($C18,'Undirviðmiðalisti (Lýsigögn)'!$C$42:$C$58,0))="","",INDEX('Undirviðmiðalisti (Lýsigögn)'!K$42:K$58,MATCH($C18,'Undirviðmiðalisti (Lýsigögn)'!$C$42:$C$58,0))),""),IFERROR(IF(INDEX('Undirviðmiðalisti (Lýsigögn)'!K$6:K$41,MATCH($C18,'Undirviðmiðalisti (Lýsigögn)'!$C$6:$C$41,0))="","",INDEX('Undirviðmiðalisti (Lýsigögn)'!K$6:K$41,MATCH($C18,'Undirviðmiðalisti (Lýsigögn)'!$C$6:$C$41,0))),IFERROR(IF(INDEX('Undirviðmiðalisti (Lýsigögn)'!K$42:K$58,MATCH($C18,'Undirviðmiðalisti (Lýsigögn)'!$C$42:$C$58,0))="","",INDEX('Undirviðmiðalisti (Lýsigögn)'!K$42:K$58,MATCH($C18,'Undirviðmiðalisti (Lýsigögn)'!$C$42:$C$58,0))),""))))</f>
        <v/>
      </c>
      <c r="P18" s="16" t="str">
        <f aca="false">IF($C18="","",IF($G18="Einstaklingsbundið",IFERROR(IF(INDEX('Undirviðmiðalisti (Lýsigögn)'!L$42:L$58,MATCH($C18,'Undirviðmiðalisti (Lýsigögn)'!$C$42:$C$58,0))="","",INDEX('Undirviðmiðalisti (Lýsigögn)'!L$42:L$58,MATCH($C18,'Undirviðmiðalisti (Lýsigögn)'!$C$42:$C$58,0))),""),IFERROR(IF(INDEX('Undirviðmiðalisti (Lýsigögn)'!L$6:L$41,MATCH($C18,'Undirviðmiðalisti (Lýsigögn)'!$C$6:$C$41,0))="","",INDEX('Undirviðmiðalisti (Lýsigögn)'!L$6:L$41,MATCH($C18,'Undirviðmiðalisti (Lýsigögn)'!$C$6:$C$41,0))),IFERROR(IF(INDEX('Undirviðmiðalisti (Lýsigögn)'!L$42:L$58,MATCH($C18,'Undirviðmiðalisti (Lýsigögn)'!$C$42:$C$58,0))="","",INDEX('Undirviðmiðalisti (Lýsigögn)'!L$42:L$58,MATCH($C18,'Undirviðmiðalisti (Lýsigögn)'!$C$42:$C$58,0))),""))))</f>
        <v/>
      </c>
      <c r="Q18" s="16" t="str">
        <f aca="false">IF($C18="","",IF($G18="Einstaklingsbundið",IFERROR(IF(INDEX('Undirviðmiðalisti (Lýsigögn)'!M$42:M$58,MATCH($C18,'Undirviðmiðalisti (Lýsigögn)'!$C$42:$C$58,0))="","",INDEX('Undirviðmiðalisti (Lýsigögn)'!M$42:M$58,MATCH($C18,'Undirviðmiðalisti (Lýsigögn)'!$C$42:$C$58,0))),""),IFERROR(IF(INDEX('Undirviðmiðalisti (Lýsigögn)'!M$6:M$41,MATCH($C18,'Undirviðmiðalisti (Lýsigögn)'!$C$6:$C$41,0))="","",INDEX('Undirviðmiðalisti (Lýsigögn)'!M$6:M$41,MATCH($C18,'Undirviðmiðalisti (Lýsigögn)'!$C$6:$C$41,0))),IFERROR(IF(INDEX('Undirviðmiðalisti (Lýsigögn)'!M$42:M$58,MATCH($C18,'Undirviðmiðalisti (Lýsigögn)'!$C$42:$C$58,0))="","",INDEX('Undirviðmiðalisti (Lýsigögn)'!M$42:M$58,MATCH($C18,'Undirviðmiðalisti (Lýsigögn)'!$C$42:$C$58,0))),""))))</f>
        <v/>
      </c>
    </row>
    <row r="19" customFormat="false" ht="15" hidden="false" customHeight="true" outlineLevel="0" collapsed="false">
      <c r="A19" s="22" t="str">
        <f aca="false">IF($B19="","",ROW()-5)</f>
        <v/>
      </c>
      <c r="B19" s="15"/>
      <c r="C19" s="15"/>
      <c r="D19" s="16" t="str">
        <f aca="false">IF($C19="","",IF($G19="Einstaklingsbundið",IFERROR(IF(INDEX('Undirviðmiðalisti (Lýsigögn)'!$D$42:$D$58,MATCH($C19,'Undirviðmiðalisti (Lýsigögn)'!$C$42:$C$58,0))="","",INDEX('Undirviðmiðalisti (Lýsigögn)'!$D$42:$D$58,MATCH($C19,'Undirviðmiðalisti (Lýsigögn)'!$C$42:$C$58,0))),""),IFERROR(IF(INDEX('Undirviðmiðalisti (Lýsigögn)'!$D$6:$D$41,MATCH($C19,'Undirviðmiðalisti (Lýsigögn)'!$C$6:$C$41,0))="","",INDEX('Undirviðmiðalisti (Lýsigögn)'!$D$6:$D$41,MATCH($C19,'Undirviðmiðalisti (Lýsigögn)'!$C$6:$C$41,0))),IFERROR(IF(INDEX('Undirviðmiðalisti (Lýsigögn)'!$D$42:$D$58,MATCH($C19,'Undirviðmiðalisti (Lýsigögn)'!$C$42:$C$58,0))="","",INDEX('Undirviðmiðalisti (Lýsigögn)'!$D$42:$D$58,MATCH($C19,'Undirviðmiðalisti (Lýsigögn)'!$C$42:$C$58,0))),""))))</f>
        <v/>
      </c>
      <c r="E19" s="14"/>
      <c r="F19" s="23" t="str">
        <f aca="false">IF($C19="","",IF($G19="Einstaklingsbundið",IFERROR(IF(INDEX('Undirviðmiðalisti (Lýsigögn)'!$E$42:$E$58,MATCH($C19,'Undirviðmiðalisti (Lýsigögn)'!$C$42:$C$58,0))="","",INDEX('Undirviðmiðalisti (Lýsigögn)'!$E$42:$E$58,MATCH($C19,'Undirviðmiðalisti (Lýsigögn)'!$C$42:$C$58,0))),""),IFERROR(IF(INDEX('Undirviðmiðalisti (Lýsigögn)'!$E$6:$E$41,MATCH($C19,'Undirviðmiðalisti (Lýsigögn)'!$C$6:$C$41,0))="","",INDEX('Undirviðmiðalisti (Lýsigögn)'!$E$6:$E$41,MATCH($C19,'Undirviðmiðalisti (Lýsigögn)'!$C$6:$C$41,0))),IFERROR(IF(INDEX('Undirviðmiðalisti (Lýsigögn)'!$E$42:$E$58,MATCH($C19,'Undirviðmiðalisti (Lýsigögn)'!$C$42:$C$58,0))="","",INDEX('Undirviðmiðalisti (Lýsigögn)'!$E$42:$E$58,MATCH($C19,'Undirviðmiðalisti (Lýsigögn)'!$C$42:$C$58,0))),""))))</f>
        <v/>
      </c>
      <c r="G19" s="24" t="str">
        <f aca="false">IFERROR(IF(B19="","",INDEX(Viðmið!$B$6:$B$10,MATCH(B19,Viðmið!$C$6:$C$10,0))),"")</f>
        <v/>
      </c>
      <c r="H19" s="25" t="str">
        <f aca="false">IF(OR(E19="",F19=""),"",E19*KVARDI)</f>
        <v/>
      </c>
      <c r="I19" s="26" t="str">
        <f aca="false">IF(B19="","",IF(ROUND(SUMIF($B$6:$B$205,B19,$E$6:$E$205),4)=ROUND(IFERROR(INDEX(Viðmið!$E$6:$E$10,MATCH(B19,Viðmið!$C$6:$C$10,0)),-1),4),"✓","✗"))</f>
        <v/>
      </c>
      <c r="J19" s="16" t="str">
        <f aca="false">IF($C19="","",IF($G19="Einstaklingsbundið",IFERROR(IF(INDEX('Undirviðmiðalisti (Lýsigögn)'!F$42:F$58,MATCH($C19,'Undirviðmiðalisti (Lýsigögn)'!$C$42:$C$58,0))="","",INDEX('Undirviðmiðalisti (Lýsigögn)'!F$42:F$58,MATCH($C19,'Undirviðmiðalisti (Lýsigögn)'!$C$42:$C$58,0))),""),IFERROR(IF(INDEX('Undirviðmiðalisti (Lýsigögn)'!F$6:F$41,MATCH($C19,'Undirviðmiðalisti (Lýsigögn)'!$C$6:$C$41,0))="","",INDEX('Undirviðmiðalisti (Lýsigögn)'!F$6:F$41,MATCH($C19,'Undirviðmiðalisti (Lýsigögn)'!$C$6:$C$41,0))),IFERROR(IF(INDEX('Undirviðmiðalisti (Lýsigögn)'!F$42:F$58,MATCH($C19,'Undirviðmiðalisti (Lýsigögn)'!$C$42:$C$58,0))="","",INDEX('Undirviðmiðalisti (Lýsigögn)'!F$42:F$58,MATCH($C19,'Undirviðmiðalisti (Lýsigögn)'!$C$42:$C$58,0))),""))))</f>
        <v/>
      </c>
      <c r="K19" s="16" t="str">
        <f aca="false">IF($C19="","",IF($G19="Einstaklingsbundið",IFERROR(IF(INDEX('Undirviðmiðalisti (Lýsigögn)'!G$42:G$58,MATCH($C19,'Undirviðmiðalisti (Lýsigögn)'!$C$42:$C$58,0))="","",INDEX('Undirviðmiðalisti (Lýsigögn)'!G$42:G$58,MATCH($C19,'Undirviðmiðalisti (Lýsigögn)'!$C$42:$C$58,0))),""),IFERROR(IF(INDEX('Undirviðmiðalisti (Lýsigögn)'!G$6:G$41,MATCH($C19,'Undirviðmiðalisti (Lýsigögn)'!$C$6:$C$41,0))="","",INDEX('Undirviðmiðalisti (Lýsigögn)'!G$6:G$41,MATCH($C19,'Undirviðmiðalisti (Lýsigögn)'!$C$6:$C$41,0))),IFERROR(IF(INDEX('Undirviðmiðalisti (Lýsigögn)'!G$42:G$58,MATCH($C19,'Undirviðmiðalisti (Lýsigögn)'!$C$42:$C$58,0))="","",INDEX('Undirviðmiðalisti (Lýsigögn)'!G$42:G$58,MATCH($C19,'Undirviðmiðalisti (Lýsigögn)'!$C$42:$C$58,0))),""))))</f>
        <v/>
      </c>
      <c r="L19" s="16" t="str">
        <f aca="false">IF($C19="","",IF($G19="Einstaklingsbundið",IFERROR(IF(INDEX('Undirviðmiðalisti (Lýsigögn)'!H$42:H$58,MATCH($C19,'Undirviðmiðalisti (Lýsigögn)'!$C$42:$C$58,0))="","",INDEX('Undirviðmiðalisti (Lýsigögn)'!H$42:H$58,MATCH($C19,'Undirviðmiðalisti (Lýsigögn)'!$C$42:$C$58,0))),""),IFERROR(IF(INDEX('Undirviðmiðalisti (Lýsigögn)'!H$6:H$41,MATCH($C19,'Undirviðmiðalisti (Lýsigögn)'!$C$6:$C$41,0))="","",INDEX('Undirviðmiðalisti (Lýsigögn)'!H$6:H$41,MATCH($C19,'Undirviðmiðalisti (Lýsigögn)'!$C$6:$C$41,0))),IFERROR(IF(INDEX('Undirviðmiðalisti (Lýsigögn)'!H$42:H$58,MATCH($C19,'Undirviðmiðalisti (Lýsigögn)'!$C$42:$C$58,0))="","",INDEX('Undirviðmiðalisti (Lýsigögn)'!H$42:H$58,MATCH($C19,'Undirviðmiðalisti (Lýsigögn)'!$C$42:$C$58,0))),""))))</f>
        <v/>
      </c>
      <c r="M19" s="16" t="str">
        <f aca="false">IF($C19="","",IF($G19="Einstaklingsbundið",IFERROR(IF(INDEX('Undirviðmiðalisti (Lýsigögn)'!I$42:I$58,MATCH($C19,'Undirviðmiðalisti (Lýsigögn)'!$C$42:$C$58,0))="","",INDEX('Undirviðmiðalisti (Lýsigögn)'!I$42:I$58,MATCH($C19,'Undirviðmiðalisti (Lýsigögn)'!$C$42:$C$58,0))),""),IFERROR(IF(INDEX('Undirviðmiðalisti (Lýsigögn)'!I$6:I$41,MATCH($C19,'Undirviðmiðalisti (Lýsigögn)'!$C$6:$C$41,0))="","",INDEX('Undirviðmiðalisti (Lýsigögn)'!I$6:I$41,MATCH($C19,'Undirviðmiðalisti (Lýsigögn)'!$C$6:$C$41,0))),IFERROR(IF(INDEX('Undirviðmiðalisti (Lýsigögn)'!I$42:I$58,MATCH($C19,'Undirviðmiðalisti (Lýsigögn)'!$C$42:$C$58,0))="","",INDEX('Undirviðmiðalisti (Lýsigögn)'!I$42:I$58,MATCH($C19,'Undirviðmiðalisti (Lýsigögn)'!$C$42:$C$58,0))),""))))</f>
        <v/>
      </c>
      <c r="N19" s="16" t="str">
        <f aca="false">IF($C19="","",IF($G19="Einstaklingsbundið",IFERROR(IF(INDEX('Undirviðmiðalisti (Lýsigögn)'!J$42:J$58,MATCH($C19,'Undirviðmiðalisti (Lýsigögn)'!$C$42:$C$58,0))="","",INDEX('Undirviðmiðalisti (Lýsigögn)'!J$42:J$58,MATCH($C19,'Undirviðmiðalisti (Lýsigögn)'!$C$42:$C$58,0))),""),IFERROR(IF(INDEX('Undirviðmiðalisti (Lýsigögn)'!J$6:J$41,MATCH($C19,'Undirviðmiðalisti (Lýsigögn)'!$C$6:$C$41,0))="","",INDEX('Undirviðmiðalisti (Lýsigögn)'!J$6:J$41,MATCH($C19,'Undirviðmiðalisti (Lýsigögn)'!$C$6:$C$41,0))),IFERROR(IF(INDEX('Undirviðmiðalisti (Lýsigögn)'!J$42:J$58,MATCH($C19,'Undirviðmiðalisti (Lýsigögn)'!$C$42:$C$58,0))="","",INDEX('Undirviðmiðalisti (Lýsigögn)'!J$42:J$58,MATCH($C19,'Undirviðmiðalisti (Lýsigögn)'!$C$42:$C$58,0))),""))))</f>
        <v/>
      </c>
      <c r="O19" s="16" t="str">
        <f aca="false">IF($C19="","",IF($G19="Einstaklingsbundið",IFERROR(IF(INDEX('Undirviðmiðalisti (Lýsigögn)'!K$42:K$58,MATCH($C19,'Undirviðmiðalisti (Lýsigögn)'!$C$42:$C$58,0))="","",INDEX('Undirviðmiðalisti (Lýsigögn)'!K$42:K$58,MATCH($C19,'Undirviðmiðalisti (Lýsigögn)'!$C$42:$C$58,0))),""),IFERROR(IF(INDEX('Undirviðmiðalisti (Lýsigögn)'!K$6:K$41,MATCH($C19,'Undirviðmiðalisti (Lýsigögn)'!$C$6:$C$41,0))="","",INDEX('Undirviðmiðalisti (Lýsigögn)'!K$6:K$41,MATCH($C19,'Undirviðmiðalisti (Lýsigögn)'!$C$6:$C$41,0))),IFERROR(IF(INDEX('Undirviðmiðalisti (Lýsigögn)'!K$42:K$58,MATCH($C19,'Undirviðmiðalisti (Lýsigögn)'!$C$42:$C$58,0))="","",INDEX('Undirviðmiðalisti (Lýsigögn)'!K$42:K$58,MATCH($C19,'Undirviðmiðalisti (Lýsigögn)'!$C$42:$C$58,0))),""))))</f>
        <v/>
      </c>
      <c r="P19" s="16" t="str">
        <f aca="false">IF($C19="","",IF($G19="Einstaklingsbundið",IFERROR(IF(INDEX('Undirviðmiðalisti (Lýsigögn)'!L$42:L$58,MATCH($C19,'Undirviðmiðalisti (Lýsigögn)'!$C$42:$C$58,0))="","",INDEX('Undirviðmiðalisti (Lýsigögn)'!L$42:L$58,MATCH($C19,'Undirviðmiðalisti (Lýsigögn)'!$C$42:$C$58,0))),""),IFERROR(IF(INDEX('Undirviðmiðalisti (Lýsigögn)'!L$6:L$41,MATCH($C19,'Undirviðmiðalisti (Lýsigögn)'!$C$6:$C$41,0))="","",INDEX('Undirviðmiðalisti (Lýsigögn)'!L$6:L$41,MATCH($C19,'Undirviðmiðalisti (Lýsigögn)'!$C$6:$C$41,0))),IFERROR(IF(INDEX('Undirviðmiðalisti (Lýsigögn)'!L$42:L$58,MATCH($C19,'Undirviðmiðalisti (Lýsigögn)'!$C$42:$C$58,0))="","",INDEX('Undirviðmiðalisti (Lýsigögn)'!L$42:L$58,MATCH($C19,'Undirviðmiðalisti (Lýsigögn)'!$C$42:$C$58,0))),""))))</f>
        <v/>
      </c>
      <c r="Q19" s="16" t="str">
        <f aca="false">IF($C19="","",IF($G19="Einstaklingsbundið",IFERROR(IF(INDEX('Undirviðmiðalisti (Lýsigögn)'!M$42:M$58,MATCH($C19,'Undirviðmiðalisti (Lýsigögn)'!$C$42:$C$58,0))="","",INDEX('Undirviðmiðalisti (Lýsigögn)'!M$42:M$58,MATCH($C19,'Undirviðmiðalisti (Lýsigögn)'!$C$42:$C$58,0))),""),IFERROR(IF(INDEX('Undirviðmiðalisti (Lýsigögn)'!M$6:M$41,MATCH($C19,'Undirviðmiðalisti (Lýsigögn)'!$C$6:$C$41,0))="","",INDEX('Undirviðmiðalisti (Lýsigögn)'!M$6:M$41,MATCH($C19,'Undirviðmiðalisti (Lýsigögn)'!$C$6:$C$41,0))),IFERROR(IF(INDEX('Undirviðmiðalisti (Lýsigögn)'!M$42:M$58,MATCH($C19,'Undirviðmiðalisti (Lýsigögn)'!$C$42:$C$58,0))="","",INDEX('Undirviðmiðalisti (Lýsigögn)'!M$42:M$58,MATCH($C19,'Undirviðmiðalisti (Lýsigögn)'!$C$42:$C$58,0))),""))))</f>
        <v/>
      </c>
    </row>
    <row r="20" customFormat="false" ht="15" hidden="false" customHeight="true" outlineLevel="0" collapsed="false">
      <c r="A20" s="22" t="str">
        <f aca="false">IF($B20="","",ROW()-5)</f>
        <v/>
      </c>
      <c r="B20" s="15"/>
      <c r="C20" s="15"/>
      <c r="D20" s="16" t="str">
        <f aca="false">IF($C20="","",IF($G20="Einstaklingsbundið",IFERROR(IF(INDEX('Undirviðmiðalisti (Lýsigögn)'!$D$42:$D$58,MATCH($C20,'Undirviðmiðalisti (Lýsigögn)'!$C$42:$C$58,0))="","",INDEX('Undirviðmiðalisti (Lýsigögn)'!$D$42:$D$58,MATCH($C20,'Undirviðmiðalisti (Lýsigögn)'!$C$42:$C$58,0))),""),IFERROR(IF(INDEX('Undirviðmiðalisti (Lýsigögn)'!$D$6:$D$41,MATCH($C20,'Undirviðmiðalisti (Lýsigögn)'!$C$6:$C$41,0))="","",INDEX('Undirviðmiðalisti (Lýsigögn)'!$D$6:$D$41,MATCH($C20,'Undirviðmiðalisti (Lýsigögn)'!$C$6:$C$41,0))),IFERROR(IF(INDEX('Undirviðmiðalisti (Lýsigögn)'!$D$42:$D$58,MATCH($C20,'Undirviðmiðalisti (Lýsigögn)'!$C$42:$C$58,0))="","",INDEX('Undirviðmiðalisti (Lýsigögn)'!$D$42:$D$58,MATCH($C20,'Undirviðmiðalisti (Lýsigögn)'!$C$42:$C$58,0))),""))))</f>
        <v/>
      </c>
      <c r="E20" s="14"/>
      <c r="F20" s="23" t="str">
        <f aca="false">IF($C20="","",IF($G20="Einstaklingsbundið",IFERROR(IF(INDEX('Undirviðmiðalisti (Lýsigögn)'!$E$42:$E$58,MATCH($C20,'Undirviðmiðalisti (Lýsigögn)'!$C$42:$C$58,0))="","",INDEX('Undirviðmiðalisti (Lýsigögn)'!$E$42:$E$58,MATCH($C20,'Undirviðmiðalisti (Lýsigögn)'!$C$42:$C$58,0))),""),IFERROR(IF(INDEX('Undirviðmiðalisti (Lýsigögn)'!$E$6:$E$41,MATCH($C20,'Undirviðmiðalisti (Lýsigögn)'!$C$6:$C$41,0))="","",INDEX('Undirviðmiðalisti (Lýsigögn)'!$E$6:$E$41,MATCH($C20,'Undirviðmiðalisti (Lýsigögn)'!$C$6:$C$41,0))),IFERROR(IF(INDEX('Undirviðmiðalisti (Lýsigögn)'!$E$42:$E$58,MATCH($C20,'Undirviðmiðalisti (Lýsigögn)'!$C$42:$C$58,0))="","",INDEX('Undirviðmiðalisti (Lýsigögn)'!$E$42:$E$58,MATCH($C20,'Undirviðmiðalisti (Lýsigögn)'!$C$42:$C$58,0))),""))))</f>
        <v/>
      </c>
      <c r="G20" s="24" t="str">
        <f aca="false">IFERROR(IF(B20="","",INDEX(Viðmið!$B$6:$B$10,MATCH(B20,Viðmið!$C$6:$C$10,0))),"")</f>
        <v/>
      </c>
      <c r="H20" s="25" t="str">
        <f aca="false">IF(OR(E20="",F20=""),"",E20*KVARDI)</f>
        <v/>
      </c>
      <c r="I20" s="26" t="str">
        <f aca="false">IF(B20="","",IF(ROUND(SUMIF($B$6:$B$205,B20,$E$6:$E$205),4)=ROUND(IFERROR(INDEX(Viðmið!$E$6:$E$10,MATCH(B20,Viðmið!$C$6:$C$10,0)),-1),4),"✓","✗"))</f>
        <v/>
      </c>
      <c r="J20" s="16" t="str">
        <f aca="false">IF($C20="","",IF($G20="Einstaklingsbundið",IFERROR(IF(INDEX('Undirviðmiðalisti (Lýsigögn)'!F$42:F$58,MATCH($C20,'Undirviðmiðalisti (Lýsigögn)'!$C$42:$C$58,0))="","",INDEX('Undirviðmiðalisti (Lýsigögn)'!F$42:F$58,MATCH($C20,'Undirviðmiðalisti (Lýsigögn)'!$C$42:$C$58,0))),""),IFERROR(IF(INDEX('Undirviðmiðalisti (Lýsigögn)'!F$6:F$41,MATCH($C20,'Undirviðmiðalisti (Lýsigögn)'!$C$6:$C$41,0))="","",INDEX('Undirviðmiðalisti (Lýsigögn)'!F$6:F$41,MATCH($C20,'Undirviðmiðalisti (Lýsigögn)'!$C$6:$C$41,0))),IFERROR(IF(INDEX('Undirviðmiðalisti (Lýsigögn)'!F$42:F$58,MATCH($C20,'Undirviðmiðalisti (Lýsigögn)'!$C$42:$C$58,0))="","",INDEX('Undirviðmiðalisti (Lýsigögn)'!F$42:F$58,MATCH($C20,'Undirviðmiðalisti (Lýsigögn)'!$C$42:$C$58,0))),""))))</f>
        <v/>
      </c>
      <c r="K20" s="16" t="str">
        <f aca="false">IF($C20="","",IF($G20="Einstaklingsbundið",IFERROR(IF(INDEX('Undirviðmiðalisti (Lýsigögn)'!G$42:G$58,MATCH($C20,'Undirviðmiðalisti (Lýsigögn)'!$C$42:$C$58,0))="","",INDEX('Undirviðmiðalisti (Lýsigögn)'!G$42:G$58,MATCH($C20,'Undirviðmiðalisti (Lýsigögn)'!$C$42:$C$58,0))),""),IFERROR(IF(INDEX('Undirviðmiðalisti (Lýsigögn)'!G$6:G$41,MATCH($C20,'Undirviðmiðalisti (Lýsigögn)'!$C$6:$C$41,0))="","",INDEX('Undirviðmiðalisti (Lýsigögn)'!G$6:G$41,MATCH($C20,'Undirviðmiðalisti (Lýsigögn)'!$C$6:$C$41,0))),IFERROR(IF(INDEX('Undirviðmiðalisti (Lýsigögn)'!G$42:G$58,MATCH($C20,'Undirviðmiðalisti (Lýsigögn)'!$C$42:$C$58,0))="","",INDEX('Undirviðmiðalisti (Lýsigögn)'!G$42:G$58,MATCH($C20,'Undirviðmiðalisti (Lýsigögn)'!$C$42:$C$58,0))),""))))</f>
        <v/>
      </c>
      <c r="L20" s="16" t="str">
        <f aca="false">IF($C20="","",IF($G20="Einstaklingsbundið",IFERROR(IF(INDEX('Undirviðmiðalisti (Lýsigögn)'!H$42:H$58,MATCH($C20,'Undirviðmiðalisti (Lýsigögn)'!$C$42:$C$58,0))="","",INDEX('Undirviðmiðalisti (Lýsigögn)'!H$42:H$58,MATCH($C20,'Undirviðmiðalisti (Lýsigögn)'!$C$42:$C$58,0))),""),IFERROR(IF(INDEX('Undirviðmiðalisti (Lýsigögn)'!H$6:H$41,MATCH($C20,'Undirviðmiðalisti (Lýsigögn)'!$C$6:$C$41,0))="","",INDEX('Undirviðmiðalisti (Lýsigögn)'!H$6:H$41,MATCH($C20,'Undirviðmiðalisti (Lýsigögn)'!$C$6:$C$41,0))),IFERROR(IF(INDEX('Undirviðmiðalisti (Lýsigögn)'!H$42:H$58,MATCH($C20,'Undirviðmiðalisti (Lýsigögn)'!$C$42:$C$58,0))="","",INDEX('Undirviðmiðalisti (Lýsigögn)'!H$42:H$58,MATCH($C20,'Undirviðmiðalisti (Lýsigögn)'!$C$42:$C$58,0))),""))))</f>
        <v/>
      </c>
      <c r="M20" s="16" t="str">
        <f aca="false">IF($C20="","",IF($G20="Einstaklingsbundið",IFERROR(IF(INDEX('Undirviðmiðalisti (Lýsigögn)'!I$42:I$58,MATCH($C20,'Undirviðmiðalisti (Lýsigögn)'!$C$42:$C$58,0))="","",INDEX('Undirviðmiðalisti (Lýsigögn)'!I$42:I$58,MATCH($C20,'Undirviðmiðalisti (Lýsigögn)'!$C$42:$C$58,0))),""),IFERROR(IF(INDEX('Undirviðmiðalisti (Lýsigögn)'!I$6:I$41,MATCH($C20,'Undirviðmiðalisti (Lýsigögn)'!$C$6:$C$41,0))="","",INDEX('Undirviðmiðalisti (Lýsigögn)'!I$6:I$41,MATCH($C20,'Undirviðmiðalisti (Lýsigögn)'!$C$6:$C$41,0))),IFERROR(IF(INDEX('Undirviðmiðalisti (Lýsigögn)'!I$42:I$58,MATCH($C20,'Undirviðmiðalisti (Lýsigögn)'!$C$42:$C$58,0))="","",INDEX('Undirviðmiðalisti (Lýsigögn)'!I$42:I$58,MATCH($C20,'Undirviðmiðalisti (Lýsigögn)'!$C$42:$C$58,0))),""))))</f>
        <v/>
      </c>
      <c r="N20" s="16" t="str">
        <f aca="false">IF($C20="","",IF($G20="Einstaklingsbundið",IFERROR(IF(INDEX('Undirviðmiðalisti (Lýsigögn)'!J$42:J$58,MATCH($C20,'Undirviðmiðalisti (Lýsigögn)'!$C$42:$C$58,0))="","",INDEX('Undirviðmiðalisti (Lýsigögn)'!J$42:J$58,MATCH($C20,'Undirviðmiðalisti (Lýsigögn)'!$C$42:$C$58,0))),""),IFERROR(IF(INDEX('Undirviðmiðalisti (Lýsigögn)'!J$6:J$41,MATCH($C20,'Undirviðmiðalisti (Lýsigögn)'!$C$6:$C$41,0))="","",INDEX('Undirviðmiðalisti (Lýsigögn)'!J$6:J$41,MATCH($C20,'Undirviðmiðalisti (Lýsigögn)'!$C$6:$C$41,0))),IFERROR(IF(INDEX('Undirviðmiðalisti (Lýsigögn)'!J$42:J$58,MATCH($C20,'Undirviðmiðalisti (Lýsigögn)'!$C$42:$C$58,0))="","",INDEX('Undirviðmiðalisti (Lýsigögn)'!J$42:J$58,MATCH($C20,'Undirviðmiðalisti (Lýsigögn)'!$C$42:$C$58,0))),""))))</f>
        <v/>
      </c>
      <c r="O20" s="16" t="str">
        <f aca="false">IF($C20="","",IF($G20="Einstaklingsbundið",IFERROR(IF(INDEX('Undirviðmiðalisti (Lýsigögn)'!K$42:K$58,MATCH($C20,'Undirviðmiðalisti (Lýsigögn)'!$C$42:$C$58,0))="","",INDEX('Undirviðmiðalisti (Lýsigögn)'!K$42:K$58,MATCH($C20,'Undirviðmiðalisti (Lýsigögn)'!$C$42:$C$58,0))),""),IFERROR(IF(INDEX('Undirviðmiðalisti (Lýsigögn)'!K$6:K$41,MATCH($C20,'Undirviðmiðalisti (Lýsigögn)'!$C$6:$C$41,0))="","",INDEX('Undirviðmiðalisti (Lýsigögn)'!K$6:K$41,MATCH($C20,'Undirviðmiðalisti (Lýsigögn)'!$C$6:$C$41,0))),IFERROR(IF(INDEX('Undirviðmiðalisti (Lýsigögn)'!K$42:K$58,MATCH($C20,'Undirviðmiðalisti (Lýsigögn)'!$C$42:$C$58,0))="","",INDEX('Undirviðmiðalisti (Lýsigögn)'!K$42:K$58,MATCH($C20,'Undirviðmiðalisti (Lýsigögn)'!$C$42:$C$58,0))),""))))</f>
        <v/>
      </c>
      <c r="P20" s="16" t="str">
        <f aca="false">IF($C20="","",IF($G20="Einstaklingsbundið",IFERROR(IF(INDEX('Undirviðmiðalisti (Lýsigögn)'!L$42:L$58,MATCH($C20,'Undirviðmiðalisti (Lýsigögn)'!$C$42:$C$58,0))="","",INDEX('Undirviðmiðalisti (Lýsigögn)'!L$42:L$58,MATCH($C20,'Undirviðmiðalisti (Lýsigögn)'!$C$42:$C$58,0))),""),IFERROR(IF(INDEX('Undirviðmiðalisti (Lýsigögn)'!L$6:L$41,MATCH($C20,'Undirviðmiðalisti (Lýsigögn)'!$C$6:$C$41,0))="","",INDEX('Undirviðmiðalisti (Lýsigögn)'!L$6:L$41,MATCH($C20,'Undirviðmiðalisti (Lýsigögn)'!$C$6:$C$41,0))),IFERROR(IF(INDEX('Undirviðmiðalisti (Lýsigögn)'!L$42:L$58,MATCH($C20,'Undirviðmiðalisti (Lýsigögn)'!$C$42:$C$58,0))="","",INDEX('Undirviðmiðalisti (Lýsigögn)'!L$42:L$58,MATCH($C20,'Undirviðmiðalisti (Lýsigögn)'!$C$42:$C$58,0))),""))))</f>
        <v/>
      </c>
      <c r="Q20" s="16" t="str">
        <f aca="false">IF($C20="","",IF($G20="Einstaklingsbundið",IFERROR(IF(INDEX('Undirviðmiðalisti (Lýsigögn)'!M$42:M$58,MATCH($C20,'Undirviðmiðalisti (Lýsigögn)'!$C$42:$C$58,0))="","",INDEX('Undirviðmiðalisti (Lýsigögn)'!M$42:M$58,MATCH($C20,'Undirviðmiðalisti (Lýsigögn)'!$C$42:$C$58,0))),""),IFERROR(IF(INDEX('Undirviðmiðalisti (Lýsigögn)'!M$6:M$41,MATCH($C20,'Undirviðmiðalisti (Lýsigögn)'!$C$6:$C$41,0))="","",INDEX('Undirviðmiðalisti (Lýsigögn)'!M$6:M$41,MATCH($C20,'Undirviðmiðalisti (Lýsigögn)'!$C$6:$C$41,0))),IFERROR(IF(INDEX('Undirviðmiðalisti (Lýsigögn)'!M$42:M$58,MATCH($C20,'Undirviðmiðalisti (Lýsigögn)'!$C$42:$C$58,0))="","",INDEX('Undirviðmiðalisti (Lýsigögn)'!M$42:M$58,MATCH($C20,'Undirviðmiðalisti (Lýsigögn)'!$C$42:$C$58,0))),""))))</f>
        <v/>
      </c>
    </row>
    <row r="21" customFormat="false" ht="15" hidden="false" customHeight="true" outlineLevel="0" collapsed="false">
      <c r="A21" s="22" t="str">
        <f aca="false">IF($B21="","",ROW()-5)</f>
        <v/>
      </c>
      <c r="B21" s="15"/>
      <c r="C21" s="15"/>
      <c r="D21" s="16" t="str">
        <f aca="false">IF($C21="","",IF($G21="Einstaklingsbundið",IFERROR(IF(INDEX('Undirviðmiðalisti (Lýsigögn)'!$D$42:$D$58,MATCH($C21,'Undirviðmiðalisti (Lýsigögn)'!$C$42:$C$58,0))="","",INDEX('Undirviðmiðalisti (Lýsigögn)'!$D$42:$D$58,MATCH($C21,'Undirviðmiðalisti (Lýsigögn)'!$C$42:$C$58,0))),""),IFERROR(IF(INDEX('Undirviðmiðalisti (Lýsigögn)'!$D$6:$D$41,MATCH($C21,'Undirviðmiðalisti (Lýsigögn)'!$C$6:$C$41,0))="","",INDEX('Undirviðmiðalisti (Lýsigögn)'!$D$6:$D$41,MATCH($C21,'Undirviðmiðalisti (Lýsigögn)'!$C$6:$C$41,0))),IFERROR(IF(INDEX('Undirviðmiðalisti (Lýsigögn)'!$D$42:$D$58,MATCH($C21,'Undirviðmiðalisti (Lýsigögn)'!$C$42:$C$58,0))="","",INDEX('Undirviðmiðalisti (Lýsigögn)'!$D$42:$D$58,MATCH($C21,'Undirviðmiðalisti (Lýsigögn)'!$C$42:$C$58,0))),""))))</f>
        <v/>
      </c>
      <c r="E21" s="14"/>
      <c r="F21" s="23" t="str">
        <f aca="false">IF($C21="","",IF($G21="Einstaklingsbundið",IFERROR(IF(INDEX('Undirviðmiðalisti (Lýsigögn)'!$E$42:$E$58,MATCH($C21,'Undirviðmiðalisti (Lýsigögn)'!$C$42:$C$58,0))="","",INDEX('Undirviðmiðalisti (Lýsigögn)'!$E$42:$E$58,MATCH($C21,'Undirviðmiðalisti (Lýsigögn)'!$C$42:$C$58,0))),""),IFERROR(IF(INDEX('Undirviðmiðalisti (Lýsigögn)'!$E$6:$E$41,MATCH($C21,'Undirviðmiðalisti (Lýsigögn)'!$C$6:$C$41,0))="","",INDEX('Undirviðmiðalisti (Lýsigögn)'!$E$6:$E$41,MATCH($C21,'Undirviðmiðalisti (Lýsigögn)'!$C$6:$C$41,0))),IFERROR(IF(INDEX('Undirviðmiðalisti (Lýsigögn)'!$E$42:$E$58,MATCH($C21,'Undirviðmiðalisti (Lýsigögn)'!$C$42:$C$58,0))="","",INDEX('Undirviðmiðalisti (Lýsigögn)'!$E$42:$E$58,MATCH($C21,'Undirviðmiðalisti (Lýsigögn)'!$C$42:$C$58,0))),""))))</f>
        <v/>
      </c>
      <c r="G21" s="24" t="str">
        <f aca="false">IFERROR(IF(B21="","",INDEX(Viðmið!$B$6:$B$10,MATCH(B21,Viðmið!$C$6:$C$10,0))),"")</f>
        <v/>
      </c>
      <c r="H21" s="25" t="str">
        <f aca="false">IF(OR(E21="",F21=""),"",E21*KVARDI)</f>
        <v/>
      </c>
      <c r="I21" s="26" t="str">
        <f aca="false">IF(B21="","",IF(ROUND(SUMIF($B$6:$B$205,B21,$E$6:$E$205),4)=ROUND(IFERROR(INDEX(Viðmið!$E$6:$E$10,MATCH(B21,Viðmið!$C$6:$C$10,0)),-1),4),"✓","✗"))</f>
        <v/>
      </c>
      <c r="J21" s="16" t="str">
        <f aca="false">IF($C21="","",IF($G21="Einstaklingsbundið",IFERROR(IF(INDEX('Undirviðmiðalisti (Lýsigögn)'!F$42:F$58,MATCH($C21,'Undirviðmiðalisti (Lýsigögn)'!$C$42:$C$58,0))="","",INDEX('Undirviðmiðalisti (Lýsigögn)'!F$42:F$58,MATCH($C21,'Undirviðmiðalisti (Lýsigögn)'!$C$42:$C$58,0))),""),IFERROR(IF(INDEX('Undirviðmiðalisti (Lýsigögn)'!F$6:F$41,MATCH($C21,'Undirviðmiðalisti (Lýsigögn)'!$C$6:$C$41,0))="","",INDEX('Undirviðmiðalisti (Lýsigögn)'!F$6:F$41,MATCH($C21,'Undirviðmiðalisti (Lýsigögn)'!$C$6:$C$41,0))),IFERROR(IF(INDEX('Undirviðmiðalisti (Lýsigögn)'!F$42:F$58,MATCH($C21,'Undirviðmiðalisti (Lýsigögn)'!$C$42:$C$58,0))="","",INDEX('Undirviðmiðalisti (Lýsigögn)'!F$42:F$58,MATCH($C21,'Undirviðmiðalisti (Lýsigögn)'!$C$42:$C$58,0))),""))))</f>
        <v/>
      </c>
      <c r="K21" s="16" t="str">
        <f aca="false">IF($C21="","",IF($G21="Einstaklingsbundið",IFERROR(IF(INDEX('Undirviðmiðalisti (Lýsigögn)'!G$42:G$58,MATCH($C21,'Undirviðmiðalisti (Lýsigögn)'!$C$42:$C$58,0))="","",INDEX('Undirviðmiðalisti (Lýsigögn)'!G$42:G$58,MATCH($C21,'Undirviðmiðalisti (Lýsigögn)'!$C$42:$C$58,0))),""),IFERROR(IF(INDEX('Undirviðmiðalisti (Lýsigögn)'!G$6:G$41,MATCH($C21,'Undirviðmiðalisti (Lýsigögn)'!$C$6:$C$41,0))="","",INDEX('Undirviðmiðalisti (Lýsigögn)'!G$6:G$41,MATCH($C21,'Undirviðmiðalisti (Lýsigögn)'!$C$6:$C$41,0))),IFERROR(IF(INDEX('Undirviðmiðalisti (Lýsigögn)'!G$42:G$58,MATCH($C21,'Undirviðmiðalisti (Lýsigögn)'!$C$42:$C$58,0))="","",INDEX('Undirviðmiðalisti (Lýsigögn)'!G$42:G$58,MATCH($C21,'Undirviðmiðalisti (Lýsigögn)'!$C$42:$C$58,0))),""))))</f>
        <v/>
      </c>
      <c r="L21" s="16" t="str">
        <f aca="false">IF($C21="","",IF($G21="Einstaklingsbundið",IFERROR(IF(INDEX('Undirviðmiðalisti (Lýsigögn)'!H$42:H$58,MATCH($C21,'Undirviðmiðalisti (Lýsigögn)'!$C$42:$C$58,0))="","",INDEX('Undirviðmiðalisti (Lýsigögn)'!H$42:H$58,MATCH($C21,'Undirviðmiðalisti (Lýsigögn)'!$C$42:$C$58,0))),""),IFERROR(IF(INDEX('Undirviðmiðalisti (Lýsigögn)'!H$6:H$41,MATCH($C21,'Undirviðmiðalisti (Lýsigögn)'!$C$6:$C$41,0))="","",INDEX('Undirviðmiðalisti (Lýsigögn)'!H$6:H$41,MATCH($C21,'Undirviðmiðalisti (Lýsigögn)'!$C$6:$C$41,0))),IFERROR(IF(INDEX('Undirviðmiðalisti (Lýsigögn)'!H$42:H$58,MATCH($C21,'Undirviðmiðalisti (Lýsigögn)'!$C$42:$C$58,0))="","",INDEX('Undirviðmiðalisti (Lýsigögn)'!H$42:H$58,MATCH($C21,'Undirviðmiðalisti (Lýsigögn)'!$C$42:$C$58,0))),""))))</f>
        <v/>
      </c>
      <c r="M21" s="16" t="str">
        <f aca="false">IF($C21="","",IF($G21="Einstaklingsbundið",IFERROR(IF(INDEX('Undirviðmiðalisti (Lýsigögn)'!I$42:I$58,MATCH($C21,'Undirviðmiðalisti (Lýsigögn)'!$C$42:$C$58,0))="","",INDEX('Undirviðmiðalisti (Lýsigögn)'!I$42:I$58,MATCH($C21,'Undirviðmiðalisti (Lýsigögn)'!$C$42:$C$58,0))),""),IFERROR(IF(INDEX('Undirviðmiðalisti (Lýsigögn)'!I$6:I$41,MATCH($C21,'Undirviðmiðalisti (Lýsigögn)'!$C$6:$C$41,0))="","",INDEX('Undirviðmiðalisti (Lýsigögn)'!I$6:I$41,MATCH($C21,'Undirviðmiðalisti (Lýsigögn)'!$C$6:$C$41,0))),IFERROR(IF(INDEX('Undirviðmiðalisti (Lýsigögn)'!I$42:I$58,MATCH($C21,'Undirviðmiðalisti (Lýsigögn)'!$C$42:$C$58,0))="","",INDEX('Undirviðmiðalisti (Lýsigögn)'!I$42:I$58,MATCH($C21,'Undirviðmiðalisti (Lýsigögn)'!$C$42:$C$58,0))),""))))</f>
        <v/>
      </c>
      <c r="N21" s="16" t="str">
        <f aca="false">IF($C21="","",IF($G21="Einstaklingsbundið",IFERROR(IF(INDEX('Undirviðmiðalisti (Lýsigögn)'!J$42:J$58,MATCH($C21,'Undirviðmiðalisti (Lýsigögn)'!$C$42:$C$58,0))="","",INDEX('Undirviðmiðalisti (Lýsigögn)'!J$42:J$58,MATCH($C21,'Undirviðmiðalisti (Lýsigögn)'!$C$42:$C$58,0))),""),IFERROR(IF(INDEX('Undirviðmiðalisti (Lýsigögn)'!J$6:J$41,MATCH($C21,'Undirviðmiðalisti (Lýsigögn)'!$C$6:$C$41,0))="","",INDEX('Undirviðmiðalisti (Lýsigögn)'!J$6:J$41,MATCH($C21,'Undirviðmiðalisti (Lýsigögn)'!$C$6:$C$41,0))),IFERROR(IF(INDEX('Undirviðmiðalisti (Lýsigögn)'!J$42:J$58,MATCH($C21,'Undirviðmiðalisti (Lýsigögn)'!$C$42:$C$58,0))="","",INDEX('Undirviðmiðalisti (Lýsigögn)'!J$42:J$58,MATCH($C21,'Undirviðmiðalisti (Lýsigögn)'!$C$42:$C$58,0))),""))))</f>
        <v/>
      </c>
      <c r="O21" s="16" t="str">
        <f aca="false">IF($C21="","",IF($G21="Einstaklingsbundið",IFERROR(IF(INDEX('Undirviðmiðalisti (Lýsigögn)'!K$42:K$58,MATCH($C21,'Undirviðmiðalisti (Lýsigögn)'!$C$42:$C$58,0))="","",INDEX('Undirviðmiðalisti (Lýsigögn)'!K$42:K$58,MATCH($C21,'Undirviðmiðalisti (Lýsigögn)'!$C$42:$C$58,0))),""),IFERROR(IF(INDEX('Undirviðmiðalisti (Lýsigögn)'!K$6:K$41,MATCH($C21,'Undirviðmiðalisti (Lýsigögn)'!$C$6:$C$41,0))="","",INDEX('Undirviðmiðalisti (Lýsigögn)'!K$6:K$41,MATCH($C21,'Undirviðmiðalisti (Lýsigögn)'!$C$6:$C$41,0))),IFERROR(IF(INDEX('Undirviðmiðalisti (Lýsigögn)'!K$42:K$58,MATCH($C21,'Undirviðmiðalisti (Lýsigögn)'!$C$42:$C$58,0))="","",INDEX('Undirviðmiðalisti (Lýsigögn)'!K$42:K$58,MATCH($C21,'Undirviðmiðalisti (Lýsigögn)'!$C$42:$C$58,0))),""))))</f>
        <v/>
      </c>
      <c r="P21" s="16" t="str">
        <f aca="false">IF($C21="","",IF($G21="Einstaklingsbundið",IFERROR(IF(INDEX('Undirviðmiðalisti (Lýsigögn)'!L$42:L$58,MATCH($C21,'Undirviðmiðalisti (Lýsigögn)'!$C$42:$C$58,0))="","",INDEX('Undirviðmiðalisti (Lýsigögn)'!L$42:L$58,MATCH($C21,'Undirviðmiðalisti (Lýsigögn)'!$C$42:$C$58,0))),""),IFERROR(IF(INDEX('Undirviðmiðalisti (Lýsigögn)'!L$6:L$41,MATCH($C21,'Undirviðmiðalisti (Lýsigögn)'!$C$6:$C$41,0))="","",INDEX('Undirviðmiðalisti (Lýsigögn)'!L$6:L$41,MATCH($C21,'Undirviðmiðalisti (Lýsigögn)'!$C$6:$C$41,0))),IFERROR(IF(INDEX('Undirviðmiðalisti (Lýsigögn)'!L$42:L$58,MATCH($C21,'Undirviðmiðalisti (Lýsigögn)'!$C$42:$C$58,0))="","",INDEX('Undirviðmiðalisti (Lýsigögn)'!L$42:L$58,MATCH($C21,'Undirviðmiðalisti (Lýsigögn)'!$C$42:$C$58,0))),""))))</f>
        <v/>
      </c>
      <c r="Q21" s="16" t="str">
        <f aca="false">IF($C21="","",IF($G21="Einstaklingsbundið",IFERROR(IF(INDEX('Undirviðmiðalisti (Lýsigögn)'!M$42:M$58,MATCH($C21,'Undirviðmiðalisti (Lýsigögn)'!$C$42:$C$58,0))="","",INDEX('Undirviðmiðalisti (Lýsigögn)'!M$42:M$58,MATCH($C21,'Undirviðmiðalisti (Lýsigögn)'!$C$42:$C$58,0))),""),IFERROR(IF(INDEX('Undirviðmiðalisti (Lýsigögn)'!M$6:M$41,MATCH($C21,'Undirviðmiðalisti (Lýsigögn)'!$C$6:$C$41,0))="","",INDEX('Undirviðmiðalisti (Lýsigögn)'!M$6:M$41,MATCH($C21,'Undirviðmiðalisti (Lýsigögn)'!$C$6:$C$41,0))),IFERROR(IF(INDEX('Undirviðmiðalisti (Lýsigögn)'!M$42:M$58,MATCH($C21,'Undirviðmiðalisti (Lýsigögn)'!$C$42:$C$58,0))="","",INDEX('Undirviðmiðalisti (Lýsigögn)'!M$42:M$58,MATCH($C21,'Undirviðmiðalisti (Lýsigögn)'!$C$42:$C$58,0))),""))))</f>
        <v/>
      </c>
    </row>
    <row r="22" customFormat="false" ht="15" hidden="false" customHeight="true" outlineLevel="0" collapsed="false">
      <c r="A22" s="22" t="str">
        <f aca="false">IF($B22="","",ROW()-5)</f>
        <v/>
      </c>
      <c r="B22" s="15"/>
      <c r="C22" s="15"/>
      <c r="D22" s="16" t="str">
        <f aca="false">IF($C22="","",IF($G22="Einstaklingsbundið",IFERROR(IF(INDEX('Undirviðmiðalisti (Lýsigögn)'!$D$42:$D$58,MATCH($C22,'Undirviðmiðalisti (Lýsigögn)'!$C$42:$C$58,0))="","",INDEX('Undirviðmiðalisti (Lýsigögn)'!$D$42:$D$58,MATCH($C22,'Undirviðmiðalisti (Lýsigögn)'!$C$42:$C$58,0))),""),IFERROR(IF(INDEX('Undirviðmiðalisti (Lýsigögn)'!$D$6:$D$41,MATCH($C22,'Undirviðmiðalisti (Lýsigögn)'!$C$6:$C$41,0))="","",INDEX('Undirviðmiðalisti (Lýsigögn)'!$D$6:$D$41,MATCH($C22,'Undirviðmiðalisti (Lýsigögn)'!$C$6:$C$41,0))),IFERROR(IF(INDEX('Undirviðmiðalisti (Lýsigögn)'!$D$42:$D$58,MATCH($C22,'Undirviðmiðalisti (Lýsigögn)'!$C$42:$C$58,0))="","",INDEX('Undirviðmiðalisti (Lýsigögn)'!$D$42:$D$58,MATCH($C22,'Undirviðmiðalisti (Lýsigögn)'!$C$42:$C$58,0))),""))))</f>
        <v/>
      </c>
      <c r="E22" s="14"/>
      <c r="F22" s="23" t="str">
        <f aca="false">IF($C22="","",IF($G22="Einstaklingsbundið",IFERROR(IF(INDEX('Undirviðmiðalisti (Lýsigögn)'!$E$42:$E$58,MATCH($C22,'Undirviðmiðalisti (Lýsigögn)'!$C$42:$C$58,0))="","",INDEX('Undirviðmiðalisti (Lýsigögn)'!$E$42:$E$58,MATCH($C22,'Undirviðmiðalisti (Lýsigögn)'!$C$42:$C$58,0))),""),IFERROR(IF(INDEX('Undirviðmiðalisti (Lýsigögn)'!$E$6:$E$41,MATCH($C22,'Undirviðmiðalisti (Lýsigögn)'!$C$6:$C$41,0))="","",INDEX('Undirviðmiðalisti (Lýsigögn)'!$E$6:$E$41,MATCH($C22,'Undirviðmiðalisti (Lýsigögn)'!$C$6:$C$41,0))),IFERROR(IF(INDEX('Undirviðmiðalisti (Lýsigögn)'!$E$42:$E$58,MATCH($C22,'Undirviðmiðalisti (Lýsigögn)'!$C$42:$C$58,0))="","",INDEX('Undirviðmiðalisti (Lýsigögn)'!$E$42:$E$58,MATCH($C22,'Undirviðmiðalisti (Lýsigögn)'!$C$42:$C$58,0))),""))))</f>
        <v/>
      </c>
      <c r="G22" s="24" t="str">
        <f aca="false">IFERROR(IF(B22="","",INDEX(Viðmið!$B$6:$B$10,MATCH(B22,Viðmið!$C$6:$C$10,0))),"")</f>
        <v/>
      </c>
      <c r="H22" s="25" t="str">
        <f aca="false">IF(OR(E22="",F22=""),"",E22*KVARDI)</f>
        <v/>
      </c>
      <c r="I22" s="26" t="str">
        <f aca="false">IF(B22="","",IF(ROUND(SUMIF($B$6:$B$205,B22,$E$6:$E$205),4)=ROUND(IFERROR(INDEX(Viðmið!$E$6:$E$10,MATCH(B22,Viðmið!$C$6:$C$10,0)),-1),4),"✓","✗"))</f>
        <v/>
      </c>
      <c r="J22" s="16" t="str">
        <f aca="false">IF($C22="","",IF($G22="Einstaklingsbundið",IFERROR(IF(INDEX('Undirviðmiðalisti (Lýsigögn)'!F$42:F$58,MATCH($C22,'Undirviðmiðalisti (Lýsigögn)'!$C$42:$C$58,0))="","",INDEX('Undirviðmiðalisti (Lýsigögn)'!F$42:F$58,MATCH($C22,'Undirviðmiðalisti (Lýsigögn)'!$C$42:$C$58,0))),""),IFERROR(IF(INDEX('Undirviðmiðalisti (Lýsigögn)'!F$6:F$41,MATCH($C22,'Undirviðmiðalisti (Lýsigögn)'!$C$6:$C$41,0))="","",INDEX('Undirviðmiðalisti (Lýsigögn)'!F$6:F$41,MATCH($C22,'Undirviðmiðalisti (Lýsigögn)'!$C$6:$C$41,0))),IFERROR(IF(INDEX('Undirviðmiðalisti (Lýsigögn)'!F$42:F$58,MATCH($C22,'Undirviðmiðalisti (Lýsigögn)'!$C$42:$C$58,0))="","",INDEX('Undirviðmiðalisti (Lýsigögn)'!F$42:F$58,MATCH($C22,'Undirviðmiðalisti (Lýsigögn)'!$C$42:$C$58,0))),""))))</f>
        <v/>
      </c>
      <c r="K22" s="16" t="str">
        <f aca="false">IF($C22="","",IF($G22="Einstaklingsbundið",IFERROR(IF(INDEX('Undirviðmiðalisti (Lýsigögn)'!G$42:G$58,MATCH($C22,'Undirviðmiðalisti (Lýsigögn)'!$C$42:$C$58,0))="","",INDEX('Undirviðmiðalisti (Lýsigögn)'!G$42:G$58,MATCH($C22,'Undirviðmiðalisti (Lýsigögn)'!$C$42:$C$58,0))),""),IFERROR(IF(INDEX('Undirviðmiðalisti (Lýsigögn)'!G$6:G$41,MATCH($C22,'Undirviðmiðalisti (Lýsigögn)'!$C$6:$C$41,0))="","",INDEX('Undirviðmiðalisti (Lýsigögn)'!G$6:G$41,MATCH($C22,'Undirviðmiðalisti (Lýsigögn)'!$C$6:$C$41,0))),IFERROR(IF(INDEX('Undirviðmiðalisti (Lýsigögn)'!G$42:G$58,MATCH($C22,'Undirviðmiðalisti (Lýsigögn)'!$C$42:$C$58,0))="","",INDEX('Undirviðmiðalisti (Lýsigögn)'!G$42:G$58,MATCH($C22,'Undirviðmiðalisti (Lýsigögn)'!$C$42:$C$58,0))),""))))</f>
        <v/>
      </c>
      <c r="L22" s="16" t="str">
        <f aca="false">IF($C22="","",IF($G22="Einstaklingsbundið",IFERROR(IF(INDEX('Undirviðmiðalisti (Lýsigögn)'!H$42:H$58,MATCH($C22,'Undirviðmiðalisti (Lýsigögn)'!$C$42:$C$58,0))="","",INDEX('Undirviðmiðalisti (Lýsigögn)'!H$42:H$58,MATCH($C22,'Undirviðmiðalisti (Lýsigögn)'!$C$42:$C$58,0))),""),IFERROR(IF(INDEX('Undirviðmiðalisti (Lýsigögn)'!H$6:H$41,MATCH($C22,'Undirviðmiðalisti (Lýsigögn)'!$C$6:$C$41,0))="","",INDEX('Undirviðmiðalisti (Lýsigögn)'!H$6:H$41,MATCH($C22,'Undirviðmiðalisti (Lýsigögn)'!$C$6:$C$41,0))),IFERROR(IF(INDEX('Undirviðmiðalisti (Lýsigögn)'!H$42:H$58,MATCH($C22,'Undirviðmiðalisti (Lýsigögn)'!$C$42:$C$58,0))="","",INDEX('Undirviðmiðalisti (Lýsigögn)'!H$42:H$58,MATCH($C22,'Undirviðmiðalisti (Lýsigögn)'!$C$42:$C$58,0))),""))))</f>
        <v/>
      </c>
      <c r="M22" s="16" t="str">
        <f aca="false">IF($C22="","",IF($G22="Einstaklingsbundið",IFERROR(IF(INDEX('Undirviðmiðalisti (Lýsigögn)'!I$42:I$58,MATCH($C22,'Undirviðmiðalisti (Lýsigögn)'!$C$42:$C$58,0))="","",INDEX('Undirviðmiðalisti (Lýsigögn)'!I$42:I$58,MATCH($C22,'Undirviðmiðalisti (Lýsigögn)'!$C$42:$C$58,0))),""),IFERROR(IF(INDEX('Undirviðmiðalisti (Lýsigögn)'!I$6:I$41,MATCH($C22,'Undirviðmiðalisti (Lýsigögn)'!$C$6:$C$41,0))="","",INDEX('Undirviðmiðalisti (Lýsigögn)'!I$6:I$41,MATCH($C22,'Undirviðmiðalisti (Lýsigögn)'!$C$6:$C$41,0))),IFERROR(IF(INDEX('Undirviðmiðalisti (Lýsigögn)'!I$42:I$58,MATCH($C22,'Undirviðmiðalisti (Lýsigögn)'!$C$42:$C$58,0))="","",INDEX('Undirviðmiðalisti (Lýsigögn)'!I$42:I$58,MATCH($C22,'Undirviðmiðalisti (Lýsigögn)'!$C$42:$C$58,0))),""))))</f>
        <v/>
      </c>
      <c r="N22" s="16" t="str">
        <f aca="false">IF($C22="","",IF($G22="Einstaklingsbundið",IFERROR(IF(INDEX('Undirviðmiðalisti (Lýsigögn)'!J$42:J$58,MATCH($C22,'Undirviðmiðalisti (Lýsigögn)'!$C$42:$C$58,0))="","",INDEX('Undirviðmiðalisti (Lýsigögn)'!J$42:J$58,MATCH($C22,'Undirviðmiðalisti (Lýsigögn)'!$C$42:$C$58,0))),""),IFERROR(IF(INDEX('Undirviðmiðalisti (Lýsigögn)'!J$6:J$41,MATCH($C22,'Undirviðmiðalisti (Lýsigögn)'!$C$6:$C$41,0))="","",INDEX('Undirviðmiðalisti (Lýsigögn)'!J$6:J$41,MATCH($C22,'Undirviðmiðalisti (Lýsigögn)'!$C$6:$C$41,0))),IFERROR(IF(INDEX('Undirviðmiðalisti (Lýsigögn)'!J$42:J$58,MATCH($C22,'Undirviðmiðalisti (Lýsigögn)'!$C$42:$C$58,0))="","",INDEX('Undirviðmiðalisti (Lýsigögn)'!J$42:J$58,MATCH($C22,'Undirviðmiðalisti (Lýsigögn)'!$C$42:$C$58,0))),""))))</f>
        <v/>
      </c>
      <c r="O22" s="16" t="str">
        <f aca="false">IF($C22="","",IF($G22="Einstaklingsbundið",IFERROR(IF(INDEX('Undirviðmiðalisti (Lýsigögn)'!K$42:K$58,MATCH($C22,'Undirviðmiðalisti (Lýsigögn)'!$C$42:$C$58,0))="","",INDEX('Undirviðmiðalisti (Lýsigögn)'!K$42:K$58,MATCH($C22,'Undirviðmiðalisti (Lýsigögn)'!$C$42:$C$58,0))),""),IFERROR(IF(INDEX('Undirviðmiðalisti (Lýsigögn)'!K$6:K$41,MATCH($C22,'Undirviðmiðalisti (Lýsigögn)'!$C$6:$C$41,0))="","",INDEX('Undirviðmiðalisti (Lýsigögn)'!K$6:K$41,MATCH($C22,'Undirviðmiðalisti (Lýsigögn)'!$C$6:$C$41,0))),IFERROR(IF(INDEX('Undirviðmiðalisti (Lýsigögn)'!K$42:K$58,MATCH($C22,'Undirviðmiðalisti (Lýsigögn)'!$C$42:$C$58,0))="","",INDEX('Undirviðmiðalisti (Lýsigögn)'!K$42:K$58,MATCH($C22,'Undirviðmiðalisti (Lýsigögn)'!$C$42:$C$58,0))),""))))</f>
        <v/>
      </c>
      <c r="P22" s="16" t="str">
        <f aca="false">IF($C22="","",IF($G22="Einstaklingsbundið",IFERROR(IF(INDEX('Undirviðmiðalisti (Lýsigögn)'!L$42:L$58,MATCH($C22,'Undirviðmiðalisti (Lýsigögn)'!$C$42:$C$58,0))="","",INDEX('Undirviðmiðalisti (Lýsigögn)'!L$42:L$58,MATCH($C22,'Undirviðmiðalisti (Lýsigögn)'!$C$42:$C$58,0))),""),IFERROR(IF(INDEX('Undirviðmiðalisti (Lýsigögn)'!L$6:L$41,MATCH($C22,'Undirviðmiðalisti (Lýsigögn)'!$C$6:$C$41,0))="","",INDEX('Undirviðmiðalisti (Lýsigögn)'!L$6:L$41,MATCH($C22,'Undirviðmiðalisti (Lýsigögn)'!$C$6:$C$41,0))),IFERROR(IF(INDEX('Undirviðmiðalisti (Lýsigögn)'!L$42:L$58,MATCH($C22,'Undirviðmiðalisti (Lýsigögn)'!$C$42:$C$58,0))="","",INDEX('Undirviðmiðalisti (Lýsigögn)'!L$42:L$58,MATCH($C22,'Undirviðmiðalisti (Lýsigögn)'!$C$42:$C$58,0))),""))))</f>
        <v/>
      </c>
      <c r="Q22" s="16" t="str">
        <f aca="false">IF($C22="","",IF($G22="Einstaklingsbundið",IFERROR(IF(INDEX('Undirviðmiðalisti (Lýsigögn)'!M$42:M$58,MATCH($C22,'Undirviðmiðalisti (Lýsigögn)'!$C$42:$C$58,0))="","",INDEX('Undirviðmiðalisti (Lýsigögn)'!M$42:M$58,MATCH($C22,'Undirviðmiðalisti (Lýsigögn)'!$C$42:$C$58,0))),""),IFERROR(IF(INDEX('Undirviðmiðalisti (Lýsigögn)'!M$6:M$41,MATCH($C22,'Undirviðmiðalisti (Lýsigögn)'!$C$6:$C$41,0))="","",INDEX('Undirviðmiðalisti (Lýsigögn)'!M$6:M$41,MATCH($C22,'Undirviðmiðalisti (Lýsigögn)'!$C$6:$C$41,0))),IFERROR(IF(INDEX('Undirviðmiðalisti (Lýsigögn)'!M$42:M$58,MATCH($C22,'Undirviðmiðalisti (Lýsigögn)'!$C$42:$C$58,0))="","",INDEX('Undirviðmiðalisti (Lýsigögn)'!M$42:M$58,MATCH($C22,'Undirviðmiðalisti (Lýsigögn)'!$C$42:$C$58,0))),""))))</f>
        <v/>
      </c>
    </row>
    <row r="23" customFormat="false" ht="15" hidden="false" customHeight="true" outlineLevel="0" collapsed="false">
      <c r="A23" s="22" t="str">
        <f aca="false">IF($B23="","",ROW()-5)</f>
        <v/>
      </c>
      <c r="B23" s="15"/>
      <c r="C23" s="15"/>
      <c r="D23" s="16" t="str">
        <f aca="false">IF($C23="","",IF($G23="Einstaklingsbundið",IFERROR(IF(INDEX('Undirviðmiðalisti (Lýsigögn)'!$D$42:$D$58,MATCH($C23,'Undirviðmiðalisti (Lýsigögn)'!$C$42:$C$58,0))="","",INDEX('Undirviðmiðalisti (Lýsigögn)'!$D$42:$D$58,MATCH($C23,'Undirviðmiðalisti (Lýsigögn)'!$C$42:$C$58,0))),""),IFERROR(IF(INDEX('Undirviðmiðalisti (Lýsigögn)'!$D$6:$D$41,MATCH($C23,'Undirviðmiðalisti (Lýsigögn)'!$C$6:$C$41,0))="","",INDEX('Undirviðmiðalisti (Lýsigögn)'!$D$6:$D$41,MATCH($C23,'Undirviðmiðalisti (Lýsigögn)'!$C$6:$C$41,0))),IFERROR(IF(INDEX('Undirviðmiðalisti (Lýsigögn)'!$D$42:$D$58,MATCH($C23,'Undirviðmiðalisti (Lýsigögn)'!$C$42:$C$58,0))="","",INDEX('Undirviðmiðalisti (Lýsigögn)'!$D$42:$D$58,MATCH($C23,'Undirviðmiðalisti (Lýsigögn)'!$C$42:$C$58,0))),""))))</f>
        <v/>
      </c>
      <c r="E23" s="14"/>
      <c r="F23" s="23" t="str">
        <f aca="false">IF($C23="","",IF($G23="Einstaklingsbundið",IFERROR(IF(INDEX('Undirviðmiðalisti (Lýsigögn)'!$E$42:$E$58,MATCH($C23,'Undirviðmiðalisti (Lýsigögn)'!$C$42:$C$58,0))="","",INDEX('Undirviðmiðalisti (Lýsigögn)'!$E$42:$E$58,MATCH($C23,'Undirviðmiðalisti (Lýsigögn)'!$C$42:$C$58,0))),""),IFERROR(IF(INDEX('Undirviðmiðalisti (Lýsigögn)'!$E$6:$E$41,MATCH($C23,'Undirviðmiðalisti (Lýsigögn)'!$C$6:$C$41,0))="","",INDEX('Undirviðmiðalisti (Lýsigögn)'!$E$6:$E$41,MATCH($C23,'Undirviðmiðalisti (Lýsigögn)'!$C$6:$C$41,0))),IFERROR(IF(INDEX('Undirviðmiðalisti (Lýsigögn)'!$E$42:$E$58,MATCH($C23,'Undirviðmiðalisti (Lýsigögn)'!$C$42:$C$58,0))="","",INDEX('Undirviðmiðalisti (Lýsigögn)'!$E$42:$E$58,MATCH($C23,'Undirviðmiðalisti (Lýsigögn)'!$C$42:$C$58,0))),""))))</f>
        <v/>
      </c>
      <c r="G23" s="24" t="str">
        <f aca="false">IFERROR(IF(B23="","",INDEX(Viðmið!$B$6:$B$10,MATCH(B23,Viðmið!$C$6:$C$10,0))),"")</f>
        <v/>
      </c>
      <c r="H23" s="25" t="str">
        <f aca="false">IF(OR(E23="",F23=""),"",E23*KVARDI)</f>
        <v/>
      </c>
      <c r="I23" s="26" t="str">
        <f aca="false">IF(B23="","",IF(ROUND(SUMIF($B$6:$B$205,B23,$E$6:$E$205),4)=ROUND(IFERROR(INDEX(Viðmið!$E$6:$E$10,MATCH(B23,Viðmið!$C$6:$C$10,0)),-1),4),"✓","✗"))</f>
        <v/>
      </c>
      <c r="J23" s="16" t="str">
        <f aca="false">IF($C23="","",IF($G23="Einstaklingsbundið",IFERROR(IF(INDEX('Undirviðmiðalisti (Lýsigögn)'!F$42:F$58,MATCH($C23,'Undirviðmiðalisti (Lýsigögn)'!$C$42:$C$58,0))="","",INDEX('Undirviðmiðalisti (Lýsigögn)'!F$42:F$58,MATCH($C23,'Undirviðmiðalisti (Lýsigögn)'!$C$42:$C$58,0))),""),IFERROR(IF(INDEX('Undirviðmiðalisti (Lýsigögn)'!F$6:F$41,MATCH($C23,'Undirviðmiðalisti (Lýsigögn)'!$C$6:$C$41,0))="","",INDEX('Undirviðmiðalisti (Lýsigögn)'!F$6:F$41,MATCH($C23,'Undirviðmiðalisti (Lýsigögn)'!$C$6:$C$41,0))),IFERROR(IF(INDEX('Undirviðmiðalisti (Lýsigögn)'!F$42:F$58,MATCH($C23,'Undirviðmiðalisti (Lýsigögn)'!$C$42:$C$58,0))="","",INDEX('Undirviðmiðalisti (Lýsigögn)'!F$42:F$58,MATCH($C23,'Undirviðmiðalisti (Lýsigögn)'!$C$42:$C$58,0))),""))))</f>
        <v/>
      </c>
      <c r="K23" s="16" t="str">
        <f aca="false">IF($C23="","",IF($G23="Einstaklingsbundið",IFERROR(IF(INDEX('Undirviðmiðalisti (Lýsigögn)'!G$42:G$58,MATCH($C23,'Undirviðmiðalisti (Lýsigögn)'!$C$42:$C$58,0))="","",INDEX('Undirviðmiðalisti (Lýsigögn)'!G$42:G$58,MATCH($C23,'Undirviðmiðalisti (Lýsigögn)'!$C$42:$C$58,0))),""),IFERROR(IF(INDEX('Undirviðmiðalisti (Lýsigögn)'!G$6:G$41,MATCH($C23,'Undirviðmiðalisti (Lýsigögn)'!$C$6:$C$41,0))="","",INDEX('Undirviðmiðalisti (Lýsigögn)'!G$6:G$41,MATCH($C23,'Undirviðmiðalisti (Lýsigögn)'!$C$6:$C$41,0))),IFERROR(IF(INDEX('Undirviðmiðalisti (Lýsigögn)'!G$42:G$58,MATCH($C23,'Undirviðmiðalisti (Lýsigögn)'!$C$42:$C$58,0))="","",INDEX('Undirviðmiðalisti (Lýsigögn)'!G$42:G$58,MATCH($C23,'Undirviðmiðalisti (Lýsigögn)'!$C$42:$C$58,0))),""))))</f>
        <v/>
      </c>
      <c r="L23" s="16" t="str">
        <f aca="false">IF($C23="","",IF($G23="Einstaklingsbundið",IFERROR(IF(INDEX('Undirviðmiðalisti (Lýsigögn)'!H$42:H$58,MATCH($C23,'Undirviðmiðalisti (Lýsigögn)'!$C$42:$C$58,0))="","",INDEX('Undirviðmiðalisti (Lýsigögn)'!H$42:H$58,MATCH($C23,'Undirviðmiðalisti (Lýsigögn)'!$C$42:$C$58,0))),""),IFERROR(IF(INDEX('Undirviðmiðalisti (Lýsigögn)'!H$6:H$41,MATCH($C23,'Undirviðmiðalisti (Lýsigögn)'!$C$6:$C$41,0))="","",INDEX('Undirviðmiðalisti (Lýsigögn)'!H$6:H$41,MATCH($C23,'Undirviðmiðalisti (Lýsigögn)'!$C$6:$C$41,0))),IFERROR(IF(INDEX('Undirviðmiðalisti (Lýsigögn)'!H$42:H$58,MATCH($C23,'Undirviðmiðalisti (Lýsigögn)'!$C$42:$C$58,0))="","",INDEX('Undirviðmiðalisti (Lýsigögn)'!H$42:H$58,MATCH($C23,'Undirviðmiðalisti (Lýsigögn)'!$C$42:$C$58,0))),""))))</f>
        <v/>
      </c>
      <c r="M23" s="16" t="str">
        <f aca="false">IF($C23="","",IF($G23="Einstaklingsbundið",IFERROR(IF(INDEX('Undirviðmiðalisti (Lýsigögn)'!I$42:I$58,MATCH($C23,'Undirviðmiðalisti (Lýsigögn)'!$C$42:$C$58,0))="","",INDEX('Undirviðmiðalisti (Lýsigögn)'!I$42:I$58,MATCH($C23,'Undirviðmiðalisti (Lýsigögn)'!$C$42:$C$58,0))),""),IFERROR(IF(INDEX('Undirviðmiðalisti (Lýsigögn)'!I$6:I$41,MATCH($C23,'Undirviðmiðalisti (Lýsigögn)'!$C$6:$C$41,0))="","",INDEX('Undirviðmiðalisti (Lýsigögn)'!I$6:I$41,MATCH($C23,'Undirviðmiðalisti (Lýsigögn)'!$C$6:$C$41,0))),IFERROR(IF(INDEX('Undirviðmiðalisti (Lýsigögn)'!I$42:I$58,MATCH($C23,'Undirviðmiðalisti (Lýsigögn)'!$C$42:$C$58,0))="","",INDEX('Undirviðmiðalisti (Lýsigögn)'!I$42:I$58,MATCH($C23,'Undirviðmiðalisti (Lýsigögn)'!$C$42:$C$58,0))),""))))</f>
        <v/>
      </c>
      <c r="N23" s="16" t="str">
        <f aca="false">IF($C23="","",IF($G23="Einstaklingsbundið",IFERROR(IF(INDEX('Undirviðmiðalisti (Lýsigögn)'!J$42:J$58,MATCH($C23,'Undirviðmiðalisti (Lýsigögn)'!$C$42:$C$58,0))="","",INDEX('Undirviðmiðalisti (Lýsigögn)'!J$42:J$58,MATCH($C23,'Undirviðmiðalisti (Lýsigögn)'!$C$42:$C$58,0))),""),IFERROR(IF(INDEX('Undirviðmiðalisti (Lýsigögn)'!J$6:J$41,MATCH($C23,'Undirviðmiðalisti (Lýsigögn)'!$C$6:$C$41,0))="","",INDEX('Undirviðmiðalisti (Lýsigögn)'!J$6:J$41,MATCH($C23,'Undirviðmiðalisti (Lýsigögn)'!$C$6:$C$41,0))),IFERROR(IF(INDEX('Undirviðmiðalisti (Lýsigögn)'!J$42:J$58,MATCH($C23,'Undirviðmiðalisti (Lýsigögn)'!$C$42:$C$58,0))="","",INDEX('Undirviðmiðalisti (Lýsigögn)'!J$42:J$58,MATCH($C23,'Undirviðmiðalisti (Lýsigögn)'!$C$42:$C$58,0))),""))))</f>
        <v/>
      </c>
      <c r="O23" s="16" t="str">
        <f aca="false">IF($C23="","",IF($G23="Einstaklingsbundið",IFERROR(IF(INDEX('Undirviðmiðalisti (Lýsigögn)'!K$42:K$58,MATCH($C23,'Undirviðmiðalisti (Lýsigögn)'!$C$42:$C$58,0))="","",INDEX('Undirviðmiðalisti (Lýsigögn)'!K$42:K$58,MATCH($C23,'Undirviðmiðalisti (Lýsigögn)'!$C$42:$C$58,0))),""),IFERROR(IF(INDEX('Undirviðmiðalisti (Lýsigögn)'!K$6:K$41,MATCH($C23,'Undirviðmiðalisti (Lýsigögn)'!$C$6:$C$41,0))="","",INDEX('Undirviðmiðalisti (Lýsigögn)'!K$6:K$41,MATCH($C23,'Undirviðmiðalisti (Lýsigögn)'!$C$6:$C$41,0))),IFERROR(IF(INDEX('Undirviðmiðalisti (Lýsigögn)'!K$42:K$58,MATCH($C23,'Undirviðmiðalisti (Lýsigögn)'!$C$42:$C$58,0))="","",INDEX('Undirviðmiðalisti (Lýsigögn)'!K$42:K$58,MATCH($C23,'Undirviðmiðalisti (Lýsigögn)'!$C$42:$C$58,0))),""))))</f>
        <v/>
      </c>
      <c r="P23" s="16" t="str">
        <f aca="false">IF($C23="","",IF($G23="Einstaklingsbundið",IFERROR(IF(INDEX('Undirviðmiðalisti (Lýsigögn)'!L$42:L$58,MATCH($C23,'Undirviðmiðalisti (Lýsigögn)'!$C$42:$C$58,0))="","",INDEX('Undirviðmiðalisti (Lýsigögn)'!L$42:L$58,MATCH($C23,'Undirviðmiðalisti (Lýsigögn)'!$C$42:$C$58,0))),""),IFERROR(IF(INDEX('Undirviðmiðalisti (Lýsigögn)'!L$6:L$41,MATCH($C23,'Undirviðmiðalisti (Lýsigögn)'!$C$6:$C$41,0))="","",INDEX('Undirviðmiðalisti (Lýsigögn)'!L$6:L$41,MATCH($C23,'Undirviðmiðalisti (Lýsigögn)'!$C$6:$C$41,0))),IFERROR(IF(INDEX('Undirviðmiðalisti (Lýsigögn)'!L$42:L$58,MATCH($C23,'Undirviðmiðalisti (Lýsigögn)'!$C$42:$C$58,0))="","",INDEX('Undirviðmiðalisti (Lýsigögn)'!L$42:L$58,MATCH($C23,'Undirviðmiðalisti (Lýsigögn)'!$C$42:$C$58,0))),""))))</f>
        <v/>
      </c>
      <c r="Q23" s="16" t="str">
        <f aca="false">IF($C23="","",IF($G23="Einstaklingsbundið",IFERROR(IF(INDEX('Undirviðmiðalisti (Lýsigögn)'!M$42:M$58,MATCH($C23,'Undirviðmiðalisti (Lýsigögn)'!$C$42:$C$58,0))="","",INDEX('Undirviðmiðalisti (Lýsigögn)'!M$42:M$58,MATCH($C23,'Undirviðmiðalisti (Lýsigögn)'!$C$42:$C$58,0))),""),IFERROR(IF(INDEX('Undirviðmiðalisti (Lýsigögn)'!M$6:M$41,MATCH($C23,'Undirviðmiðalisti (Lýsigögn)'!$C$6:$C$41,0))="","",INDEX('Undirviðmiðalisti (Lýsigögn)'!M$6:M$41,MATCH($C23,'Undirviðmiðalisti (Lýsigögn)'!$C$6:$C$41,0))),IFERROR(IF(INDEX('Undirviðmiðalisti (Lýsigögn)'!M$42:M$58,MATCH($C23,'Undirviðmiðalisti (Lýsigögn)'!$C$42:$C$58,0))="","",INDEX('Undirviðmiðalisti (Lýsigögn)'!M$42:M$58,MATCH($C23,'Undirviðmiðalisti (Lýsigögn)'!$C$42:$C$58,0))),""))))</f>
        <v/>
      </c>
    </row>
    <row r="24" customFormat="false" ht="15" hidden="false" customHeight="true" outlineLevel="0" collapsed="false">
      <c r="A24" s="22" t="str">
        <f aca="false">IF($B24="","",ROW()-5)</f>
        <v/>
      </c>
      <c r="B24" s="15"/>
      <c r="C24" s="15"/>
      <c r="D24" s="16" t="str">
        <f aca="false">IF($C24="","",IF($G24="Einstaklingsbundið",IFERROR(IF(INDEX('Undirviðmiðalisti (Lýsigögn)'!$D$42:$D$58,MATCH($C24,'Undirviðmiðalisti (Lýsigögn)'!$C$42:$C$58,0))="","",INDEX('Undirviðmiðalisti (Lýsigögn)'!$D$42:$D$58,MATCH($C24,'Undirviðmiðalisti (Lýsigögn)'!$C$42:$C$58,0))),""),IFERROR(IF(INDEX('Undirviðmiðalisti (Lýsigögn)'!$D$6:$D$41,MATCH($C24,'Undirviðmiðalisti (Lýsigögn)'!$C$6:$C$41,0))="","",INDEX('Undirviðmiðalisti (Lýsigögn)'!$D$6:$D$41,MATCH($C24,'Undirviðmiðalisti (Lýsigögn)'!$C$6:$C$41,0))),IFERROR(IF(INDEX('Undirviðmiðalisti (Lýsigögn)'!$D$42:$D$58,MATCH($C24,'Undirviðmiðalisti (Lýsigögn)'!$C$42:$C$58,0))="","",INDEX('Undirviðmiðalisti (Lýsigögn)'!$D$42:$D$58,MATCH($C24,'Undirviðmiðalisti (Lýsigögn)'!$C$42:$C$58,0))),""))))</f>
        <v/>
      </c>
      <c r="E24" s="14"/>
      <c r="F24" s="23" t="str">
        <f aca="false">IF($C24="","",IF($G24="Einstaklingsbundið",IFERROR(IF(INDEX('Undirviðmiðalisti (Lýsigögn)'!$E$42:$E$58,MATCH($C24,'Undirviðmiðalisti (Lýsigögn)'!$C$42:$C$58,0))="","",INDEX('Undirviðmiðalisti (Lýsigögn)'!$E$42:$E$58,MATCH($C24,'Undirviðmiðalisti (Lýsigögn)'!$C$42:$C$58,0))),""),IFERROR(IF(INDEX('Undirviðmiðalisti (Lýsigögn)'!$E$6:$E$41,MATCH($C24,'Undirviðmiðalisti (Lýsigögn)'!$C$6:$C$41,0))="","",INDEX('Undirviðmiðalisti (Lýsigögn)'!$E$6:$E$41,MATCH($C24,'Undirviðmiðalisti (Lýsigögn)'!$C$6:$C$41,0))),IFERROR(IF(INDEX('Undirviðmiðalisti (Lýsigögn)'!$E$42:$E$58,MATCH($C24,'Undirviðmiðalisti (Lýsigögn)'!$C$42:$C$58,0))="","",INDEX('Undirviðmiðalisti (Lýsigögn)'!$E$42:$E$58,MATCH($C24,'Undirviðmiðalisti (Lýsigögn)'!$C$42:$C$58,0))),""))))</f>
        <v/>
      </c>
      <c r="G24" s="24" t="str">
        <f aca="false">IFERROR(IF(B24="","",INDEX(Viðmið!$B$6:$B$10,MATCH(B24,Viðmið!$C$6:$C$10,0))),"")</f>
        <v/>
      </c>
      <c r="H24" s="25" t="str">
        <f aca="false">IF(OR(E24="",F24=""),"",E24*KVARDI)</f>
        <v/>
      </c>
      <c r="I24" s="26" t="str">
        <f aca="false">IF(B24="","",IF(ROUND(SUMIF($B$6:$B$205,B24,$E$6:$E$205),4)=ROUND(IFERROR(INDEX(Viðmið!$E$6:$E$10,MATCH(B24,Viðmið!$C$6:$C$10,0)),-1),4),"✓","✗"))</f>
        <v/>
      </c>
      <c r="J24" s="16" t="str">
        <f aca="false">IF($C24="","",IF($G24="Einstaklingsbundið",IFERROR(IF(INDEX('Undirviðmiðalisti (Lýsigögn)'!F$42:F$58,MATCH($C24,'Undirviðmiðalisti (Lýsigögn)'!$C$42:$C$58,0))="","",INDEX('Undirviðmiðalisti (Lýsigögn)'!F$42:F$58,MATCH($C24,'Undirviðmiðalisti (Lýsigögn)'!$C$42:$C$58,0))),""),IFERROR(IF(INDEX('Undirviðmiðalisti (Lýsigögn)'!F$6:F$41,MATCH($C24,'Undirviðmiðalisti (Lýsigögn)'!$C$6:$C$41,0))="","",INDEX('Undirviðmiðalisti (Lýsigögn)'!F$6:F$41,MATCH($C24,'Undirviðmiðalisti (Lýsigögn)'!$C$6:$C$41,0))),IFERROR(IF(INDEX('Undirviðmiðalisti (Lýsigögn)'!F$42:F$58,MATCH($C24,'Undirviðmiðalisti (Lýsigögn)'!$C$42:$C$58,0))="","",INDEX('Undirviðmiðalisti (Lýsigögn)'!F$42:F$58,MATCH($C24,'Undirviðmiðalisti (Lýsigögn)'!$C$42:$C$58,0))),""))))</f>
        <v/>
      </c>
      <c r="K24" s="16" t="str">
        <f aca="false">IF($C24="","",IF($G24="Einstaklingsbundið",IFERROR(IF(INDEX('Undirviðmiðalisti (Lýsigögn)'!G$42:G$58,MATCH($C24,'Undirviðmiðalisti (Lýsigögn)'!$C$42:$C$58,0))="","",INDEX('Undirviðmiðalisti (Lýsigögn)'!G$42:G$58,MATCH($C24,'Undirviðmiðalisti (Lýsigögn)'!$C$42:$C$58,0))),""),IFERROR(IF(INDEX('Undirviðmiðalisti (Lýsigögn)'!G$6:G$41,MATCH($C24,'Undirviðmiðalisti (Lýsigögn)'!$C$6:$C$41,0))="","",INDEX('Undirviðmiðalisti (Lýsigögn)'!G$6:G$41,MATCH($C24,'Undirviðmiðalisti (Lýsigögn)'!$C$6:$C$41,0))),IFERROR(IF(INDEX('Undirviðmiðalisti (Lýsigögn)'!G$42:G$58,MATCH($C24,'Undirviðmiðalisti (Lýsigögn)'!$C$42:$C$58,0))="","",INDEX('Undirviðmiðalisti (Lýsigögn)'!G$42:G$58,MATCH($C24,'Undirviðmiðalisti (Lýsigögn)'!$C$42:$C$58,0))),""))))</f>
        <v/>
      </c>
      <c r="L24" s="16" t="str">
        <f aca="false">IF($C24="","",IF($G24="Einstaklingsbundið",IFERROR(IF(INDEX('Undirviðmiðalisti (Lýsigögn)'!H$42:H$58,MATCH($C24,'Undirviðmiðalisti (Lýsigögn)'!$C$42:$C$58,0))="","",INDEX('Undirviðmiðalisti (Lýsigögn)'!H$42:H$58,MATCH($C24,'Undirviðmiðalisti (Lýsigögn)'!$C$42:$C$58,0))),""),IFERROR(IF(INDEX('Undirviðmiðalisti (Lýsigögn)'!H$6:H$41,MATCH($C24,'Undirviðmiðalisti (Lýsigögn)'!$C$6:$C$41,0))="","",INDEX('Undirviðmiðalisti (Lýsigögn)'!H$6:H$41,MATCH($C24,'Undirviðmiðalisti (Lýsigögn)'!$C$6:$C$41,0))),IFERROR(IF(INDEX('Undirviðmiðalisti (Lýsigögn)'!H$42:H$58,MATCH($C24,'Undirviðmiðalisti (Lýsigögn)'!$C$42:$C$58,0))="","",INDEX('Undirviðmiðalisti (Lýsigögn)'!H$42:H$58,MATCH($C24,'Undirviðmiðalisti (Lýsigögn)'!$C$42:$C$58,0))),""))))</f>
        <v/>
      </c>
      <c r="M24" s="16" t="str">
        <f aca="false">IF($C24="","",IF($G24="Einstaklingsbundið",IFERROR(IF(INDEX('Undirviðmiðalisti (Lýsigögn)'!I$42:I$58,MATCH($C24,'Undirviðmiðalisti (Lýsigögn)'!$C$42:$C$58,0))="","",INDEX('Undirviðmiðalisti (Lýsigögn)'!I$42:I$58,MATCH($C24,'Undirviðmiðalisti (Lýsigögn)'!$C$42:$C$58,0))),""),IFERROR(IF(INDEX('Undirviðmiðalisti (Lýsigögn)'!I$6:I$41,MATCH($C24,'Undirviðmiðalisti (Lýsigögn)'!$C$6:$C$41,0))="","",INDEX('Undirviðmiðalisti (Lýsigögn)'!I$6:I$41,MATCH($C24,'Undirviðmiðalisti (Lýsigögn)'!$C$6:$C$41,0))),IFERROR(IF(INDEX('Undirviðmiðalisti (Lýsigögn)'!I$42:I$58,MATCH($C24,'Undirviðmiðalisti (Lýsigögn)'!$C$42:$C$58,0))="","",INDEX('Undirviðmiðalisti (Lýsigögn)'!I$42:I$58,MATCH($C24,'Undirviðmiðalisti (Lýsigögn)'!$C$42:$C$58,0))),""))))</f>
        <v/>
      </c>
      <c r="N24" s="16" t="str">
        <f aca="false">IF($C24="","",IF($G24="Einstaklingsbundið",IFERROR(IF(INDEX('Undirviðmiðalisti (Lýsigögn)'!J$42:J$58,MATCH($C24,'Undirviðmiðalisti (Lýsigögn)'!$C$42:$C$58,0))="","",INDEX('Undirviðmiðalisti (Lýsigögn)'!J$42:J$58,MATCH($C24,'Undirviðmiðalisti (Lýsigögn)'!$C$42:$C$58,0))),""),IFERROR(IF(INDEX('Undirviðmiðalisti (Lýsigögn)'!J$6:J$41,MATCH($C24,'Undirviðmiðalisti (Lýsigögn)'!$C$6:$C$41,0))="","",INDEX('Undirviðmiðalisti (Lýsigögn)'!J$6:J$41,MATCH($C24,'Undirviðmiðalisti (Lýsigögn)'!$C$6:$C$41,0))),IFERROR(IF(INDEX('Undirviðmiðalisti (Lýsigögn)'!J$42:J$58,MATCH($C24,'Undirviðmiðalisti (Lýsigögn)'!$C$42:$C$58,0))="","",INDEX('Undirviðmiðalisti (Lýsigögn)'!J$42:J$58,MATCH($C24,'Undirviðmiðalisti (Lýsigögn)'!$C$42:$C$58,0))),""))))</f>
        <v/>
      </c>
      <c r="O24" s="16" t="str">
        <f aca="false">IF($C24="","",IF($G24="Einstaklingsbundið",IFERROR(IF(INDEX('Undirviðmiðalisti (Lýsigögn)'!K$42:K$58,MATCH($C24,'Undirviðmiðalisti (Lýsigögn)'!$C$42:$C$58,0))="","",INDEX('Undirviðmiðalisti (Lýsigögn)'!K$42:K$58,MATCH($C24,'Undirviðmiðalisti (Lýsigögn)'!$C$42:$C$58,0))),""),IFERROR(IF(INDEX('Undirviðmiðalisti (Lýsigögn)'!K$6:K$41,MATCH($C24,'Undirviðmiðalisti (Lýsigögn)'!$C$6:$C$41,0))="","",INDEX('Undirviðmiðalisti (Lýsigögn)'!K$6:K$41,MATCH($C24,'Undirviðmiðalisti (Lýsigögn)'!$C$6:$C$41,0))),IFERROR(IF(INDEX('Undirviðmiðalisti (Lýsigögn)'!K$42:K$58,MATCH($C24,'Undirviðmiðalisti (Lýsigögn)'!$C$42:$C$58,0))="","",INDEX('Undirviðmiðalisti (Lýsigögn)'!K$42:K$58,MATCH($C24,'Undirviðmiðalisti (Lýsigögn)'!$C$42:$C$58,0))),""))))</f>
        <v/>
      </c>
      <c r="P24" s="16" t="str">
        <f aca="false">IF($C24="","",IF($G24="Einstaklingsbundið",IFERROR(IF(INDEX('Undirviðmiðalisti (Lýsigögn)'!L$42:L$58,MATCH($C24,'Undirviðmiðalisti (Lýsigögn)'!$C$42:$C$58,0))="","",INDEX('Undirviðmiðalisti (Lýsigögn)'!L$42:L$58,MATCH($C24,'Undirviðmiðalisti (Lýsigögn)'!$C$42:$C$58,0))),""),IFERROR(IF(INDEX('Undirviðmiðalisti (Lýsigögn)'!L$6:L$41,MATCH($C24,'Undirviðmiðalisti (Lýsigögn)'!$C$6:$C$41,0))="","",INDEX('Undirviðmiðalisti (Lýsigögn)'!L$6:L$41,MATCH($C24,'Undirviðmiðalisti (Lýsigögn)'!$C$6:$C$41,0))),IFERROR(IF(INDEX('Undirviðmiðalisti (Lýsigögn)'!L$42:L$58,MATCH($C24,'Undirviðmiðalisti (Lýsigögn)'!$C$42:$C$58,0))="","",INDEX('Undirviðmiðalisti (Lýsigögn)'!L$42:L$58,MATCH($C24,'Undirviðmiðalisti (Lýsigögn)'!$C$42:$C$58,0))),""))))</f>
        <v/>
      </c>
      <c r="Q24" s="16" t="str">
        <f aca="false">IF($C24="","",IF($G24="Einstaklingsbundið",IFERROR(IF(INDEX('Undirviðmiðalisti (Lýsigögn)'!M$42:M$58,MATCH($C24,'Undirviðmiðalisti (Lýsigögn)'!$C$42:$C$58,0))="","",INDEX('Undirviðmiðalisti (Lýsigögn)'!M$42:M$58,MATCH($C24,'Undirviðmiðalisti (Lýsigögn)'!$C$42:$C$58,0))),""),IFERROR(IF(INDEX('Undirviðmiðalisti (Lýsigögn)'!M$6:M$41,MATCH($C24,'Undirviðmiðalisti (Lýsigögn)'!$C$6:$C$41,0))="","",INDEX('Undirviðmiðalisti (Lýsigögn)'!M$6:M$41,MATCH($C24,'Undirviðmiðalisti (Lýsigögn)'!$C$6:$C$41,0))),IFERROR(IF(INDEX('Undirviðmiðalisti (Lýsigögn)'!M$42:M$58,MATCH($C24,'Undirviðmiðalisti (Lýsigögn)'!$C$42:$C$58,0))="","",INDEX('Undirviðmiðalisti (Lýsigögn)'!M$42:M$58,MATCH($C24,'Undirviðmiðalisti (Lýsigögn)'!$C$42:$C$58,0))),""))))</f>
        <v/>
      </c>
    </row>
    <row r="25" customFormat="false" ht="15" hidden="false" customHeight="true" outlineLevel="0" collapsed="false">
      <c r="A25" s="22" t="str">
        <f aca="false">IF($B25="","",ROW()-5)</f>
        <v/>
      </c>
      <c r="B25" s="15"/>
      <c r="C25" s="15"/>
      <c r="D25" s="16" t="str">
        <f aca="false">IF($C25="","",IF($G25="Einstaklingsbundið",IFERROR(IF(INDEX('Undirviðmiðalisti (Lýsigögn)'!$D$42:$D$58,MATCH($C25,'Undirviðmiðalisti (Lýsigögn)'!$C$42:$C$58,0))="","",INDEX('Undirviðmiðalisti (Lýsigögn)'!$D$42:$D$58,MATCH($C25,'Undirviðmiðalisti (Lýsigögn)'!$C$42:$C$58,0))),""),IFERROR(IF(INDEX('Undirviðmiðalisti (Lýsigögn)'!$D$6:$D$41,MATCH($C25,'Undirviðmiðalisti (Lýsigögn)'!$C$6:$C$41,0))="","",INDEX('Undirviðmiðalisti (Lýsigögn)'!$D$6:$D$41,MATCH($C25,'Undirviðmiðalisti (Lýsigögn)'!$C$6:$C$41,0))),IFERROR(IF(INDEX('Undirviðmiðalisti (Lýsigögn)'!$D$42:$D$58,MATCH($C25,'Undirviðmiðalisti (Lýsigögn)'!$C$42:$C$58,0))="","",INDEX('Undirviðmiðalisti (Lýsigögn)'!$D$42:$D$58,MATCH($C25,'Undirviðmiðalisti (Lýsigögn)'!$C$42:$C$58,0))),""))))</f>
        <v/>
      </c>
      <c r="E25" s="14"/>
      <c r="F25" s="23" t="str">
        <f aca="false">IF($C25="","",IF($G25="Einstaklingsbundið",IFERROR(IF(INDEX('Undirviðmiðalisti (Lýsigögn)'!$E$42:$E$58,MATCH($C25,'Undirviðmiðalisti (Lýsigögn)'!$C$42:$C$58,0))="","",INDEX('Undirviðmiðalisti (Lýsigögn)'!$E$42:$E$58,MATCH($C25,'Undirviðmiðalisti (Lýsigögn)'!$C$42:$C$58,0))),""),IFERROR(IF(INDEX('Undirviðmiðalisti (Lýsigögn)'!$E$6:$E$41,MATCH($C25,'Undirviðmiðalisti (Lýsigögn)'!$C$6:$C$41,0))="","",INDEX('Undirviðmiðalisti (Lýsigögn)'!$E$6:$E$41,MATCH($C25,'Undirviðmiðalisti (Lýsigögn)'!$C$6:$C$41,0))),IFERROR(IF(INDEX('Undirviðmiðalisti (Lýsigögn)'!$E$42:$E$58,MATCH($C25,'Undirviðmiðalisti (Lýsigögn)'!$C$42:$C$58,0))="","",INDEX('Undirviðmiðalisti (Lýsigögn)'!$E$42:$E$58,MATCH($C25,'Undirviðmiðalisti (Lýsigögn)'!$C$42:$C$58,0))),""))))</f>
        <v/>
      </c>
      <c r="G25" s="24" t="str">
        <f aca="false">IFERROR(IF(B25="","",INDEX(Viðmið!$B$6:$B$10,MATCH(B25,Viðmið!$C$6:$C$10,0))),"")</f>
        <v/>
      </c>
      <c r="H25" s="25" t="str">
        <f aca="false">IF(OR(E25="",F25=""),"",E25*KVARDI)</f>
        <v/>
      </c>
      <c r="I25" s="26" t="str">
        <f aca="false">IF(B25="","",IF(ROUND(SUMIF($B$6:$B$205,B25,$E$6:$E$205),4)=ROUND(IFERROR(INDEX(Viðmið!$E$6:$E$10,MATCH(B25,Viðmið!$C$6:$C$10,0)),-1),4),"✓","✗"))</f>
        <v/>
      </c>
      <c r="J25" s="16" t="str">
        <f aca="false">IF($C25="","",IF($G25="Einstaklingsbundið",IFERROR(IF(INDEX('Undirviðmiðalisti (Lýsigögn)'!F$42:F$58,MATCH($C25,'Undirviðmiðalisti (Lýsigögn)'!$C$42:$C$58,0))="","",INDEX('Undirviðmiðalisti (Lýsigögn)'!F$42:F$58,MATCH($C25,'Undirviðmiðalisti (Lýsigögn)'!$C$42:$C$58,0))),""),IFERROR(IF(INDEX('Undirviðmiðalisti (Lýsigögn)'!F$6:F$41,MATCH($C25,'Undirviðmiðalisti (Lýsigögn)'!$C$6:$C$41,0))="","",INDEX('Undirviðmiðalisti (Lýsigögn)'!F$6:F$41,MATCH($C25,'Undirviðmiðalisti (Lýsigögn)'!$C$6:$C$41,0))),IFERROR(IF(INDEX('Undirviðmiðalisti (Lýsigögn)'!F$42:F$58,MATCH($C25,'Undirviðmiðalisti (Lýsigögn)'!$C$42:$C$58,0))="","",INDEX('Undirviðmiðalisti (Lýsigögn)'!F$42:F$58,MATCH($C25,'Undirviðmiðalisti (Lýsigögn)'!$C$42:$C$58,0))),""))))</f>
        <v/>
      </c>
      <c r="K25" s="16" t="str">
        <f aca="false">IF($C25="","",IF($G25="Einstaklingsbundið",IFERROR(IF(INDEX('Undirviðmiðalisti (Lýsigögn)'!G$42:G$58,MATCH($C25,'Undirviðmiðalisti (Lýsigögn)'!$C$42:$C$58,0))="","",INDEX('Undirviðmiðalisti (Lýsigögn)'!G$42:G$58,MATCH($C25,'Undirviðmiðalisti (Lýsigögn)'!$C$42:$C$58,0))),""),IFERROR(IF(INDEX('Undirviðmiðalisti (Lýsigögn)'!G$6:G$41,MATCH($C25,'Undirviðmiðalisti (Lýsigögn)'!$C$6:$C$41,0))="","",INDEX('Undirviðmiðalisti (Lýsigögn)'!G$6:G$41,MATCH($C25,'Undirviðmiðalisti (Lýsigögn)'!$C$6:$C$41,0))),IFERROR(IF(INDEX('Undirviðmiðalisti (Lýsigögn)'!G$42:G$58,MATCH($C25,'Undirviðmiðalisti (Lýsigögn)'!$C$42:$C$58,0))="","",INDEX('Undirviðmiðalisti (Lýsigögn)'!G$42:G$58,MATCH($C25,'Undirviðmiðalisti (Lýsigögn)'!$C$42:$C$58,0))),""))))</f>
        <v/>
      </c>
      <c r="L25" s="16" t="str">
        <f aca="false">IF($C25="","",IF($G25="Einstaklingsbundið",IFERROR(IF(INDEX('Undirviðmiðalisti (Lýsigögn)'!H$42:H$58,MATCH($C25,'Undirviðmiðalisti (Lýsigögn)'!$C$42:$C$58,0))="","",INDEX('Undirviðmiðalisti (Lýsigögn)'!H$42:H$58,MATCH($C25,'Undirviðmiðalisti (Lýsigögn)'!$C$42:$C$58,0))),""),IFERROR(IF(INDEX('Undirviðmiðalisti (Lýsigögn)'!H$6:H$41,MATCH($C25,'Undirviðmiðalisti (Lýsigögn)'!$C$6:$C$41,0))="","",INDEX('Undirviðmiðalisti (Lýsigögn)'!H$6:H$41,MATCH($C25,'Undirviðmiðalisti (Lýsigögn)'!$C$6:$C$41,0))),IFERROR(IF(INDEX('Undirviðmiðalisti (Lýsigögn)'!H$42:H$58,MATCH($C25,'Undirviðmiðalisti (Lýsigögn)'!$C$42:$C$58,0))="","",INDEX('Undirviðmiðalisti (Lýsigögn)'!H$42:H$58,MATCH($C25,'Undirviðmiðalisti (Lýsigögn)'!$C$42:$C$58,0))),""))))</f>
        <v/>
      </c>
      <c r="M25" s="16" t="str">
        <f aca="false">IF($C25="","",IF($G25="Einstaklingsbundið",IFERROR(IF(INDEX('Undirviðmiðalisti (Lýsigögn)'!I$42:I$58,MATCH($C25,'Undirviðmiðalisti (Lýsigögn)'!$C$42:$C$58,0))="","",INDEX('Undirviðmiðalisti (Lýsigögn)'!I$42:I$58,MATCH($C25,'Undirviðmiðalisti (Lýsigögn)'!$C$42:$C$58,0))),""),IFERROR(IF(INDEX('Undirviðmiðalisti (Lýsigögn)'!I$6:I$41,MATCH($C25,'Undirviðmiðalisti (Lýsigögn)'!$C$6:$C$41,0))="","",INDEX('Undirviðmiðalisti (Lýsigögn)'!I$6:I$41,MATCH($C25,'Undirviðmiðalisti (Lýsigögn)'!$C$6:$C$41,0))),IFERROR(IF(INDEX('Undirviðmiðalisti (Lýsigögn)'!I$42:I$58,MATCH($C25,'Undirviðmiðalisti (Lýsigögn)'!$C$42:$C$58,0))="","",INDEX('Undirviðmiðalisti (Lýsigögn)'!I$42:I$58,MATCH($C25,'Undirviðmiðalisti (Lýsigögn)'!$C$42:$C$58,0))),""))))</f>
        <v/>
      </c>
      <c r="N25" s="16" t="str">
        <f aca="false">IF($C25="","",IF($G25="Einstaklingsbundið",IFERROR(IF(INDEX('Undirviðmiðalisti (Lýsigögn)'!J$42:J$58,MATCH($C25,'Undirviðmiðalisti (Lýsigögn)'!$C$42:$C$58,0))="","",INDEX('Undirviðmiðalisti (Lýsigögn)'!J$42:J$58,MATCH($C25,'Undirviðmiðalisti (Lýsigögn)'!$C$42:$C$58,0))),""),IFERROR(IF(INDEX('Undirviðmiðalisti (Lýsigögn)'!J$6:J$41,MATCH($C25,'Undirviðmiðalisti (Lýsigögn)'!$C$6:$C$41,0))="","",INDEX('Undirviðmiðalisti (Lýsigögn)'!J$6:J$41,MATCH($C25,'Undirviðmiðalisti (Lýsigögn)'!$C$6:$C$41,0))),IFERROR(IF(INDEX('Undirviðmiðalisti (Lýsigögn)'!J$42:J$58,MATCH($C25,'Undirviðmiðalisti (Lýsigögn)'!$C$42:$C$58,0))="","",INDEX('Undirviðmiðalisti (Lýsigögn)'!J$42:J$58,MATCH($C25,'Undirviðmiðalisti (Lýsigögn)'!$C$42:$C$58,0))),""))))</f>
        <v/>
      </c>
      <c r="O25" s="16" t="str">
        <f aca="false">IF($C25="","",IF($G25="Einstaklingsbundið",IFERROR(IF(INDEX('Undirviðmiðalisti (Lýsigögn)'!K$42:K$58,MATCH($C25,'Undirviðmiðalisti (Lýsigögn)'!$C$42:$C$58,0))="","",INDEX('Undirviðmiðalisti (Lýsigögn)'!K$42:K$58,MATCH($C25,'Undirviðmiðalisti (Lýsigögn)'!$C$42:$C$58,0))),""),IFERROR(IF(INDEX('Undirviðmiðalisti (Lýsigögn)'!K$6:K$41,MATCH($C25,'Undirviðmiðalisti (Lýsigögn)'!$C$6:$C$41,0))="","",INDEX('Undirviðmiðalisti (Lýsigögn)'!K$6:K$41,MATCH($C25,'Undirviðmiðalisti (Lýsigögn)'!$C$6:$C$41,0))),IFERROR(IF(INDEX('Undirviðmiðalisti (Lýsigögn)'!K$42:K$58,MATCH($C25,'Undirviðmiðalisti (Lýsigögn)'!$C$42:$C$58,0))="","",INDEX('Undirviðmiðalisti (Lýsigögn)'!K$42:K$58,MATCH($C25,'Undirviðmiðalisti (Lýsigögn)'!$C$42:$C$58,0))),""))))</f>
        <v/>
      </c>
      <c r="P25" s="16" t="str">
        <f aca="false">IF($C25="","",IF($G25="Einstaklingsbundið",IFERROR(IF(INDEX('Undirviðmiðalisti (Lýsigögn)'!L$42:L$58,MATCH($C25,'Undirviðmiðalisti (Lýsigögn)'!$C$42:$C$58,0))="","",INDEX('Undirviðmiðalisti (Lýsigögn)'!L$42:L$58,MATCH($C25,'Undirviðmiðalisti (Lýsigögn)'!$C$42:$C$58,0))),""),IFERROR(IF(INDEX('Undirviðmiðalisti (Lýsigögn)'!L$6:L$41,MATCH($C25,'Undirviðmiðalisti (Lýsigögn)'!$C$6:$C$41,0))="","",INDEX('Undirviðmiðalisti (Lýsigögn)'!L$6:L$41,MATCH($C25,'Undirviðmiðalisti (Lýsigögn)'!$C$6:$C$41,0))),IFERROR(IF(INDEX('Undirviðmiðalisti (Lýsigögn)'!L$42:L$58,MATCH($C25,'Undirviðmiðalisti (Lýsigögn)'!$C$42:$C$58,0))="","",INDEX('Undirviðmiðalisti (Lýsigögn)'!L$42:L$58,MATCH($C25,'Undirviðmiðalisti (Lýsigögn)'!$C$42:$C$58,0))),""))))</f>
        <v/>
      </c>
      <c r="Q25" s="16" t="str">
        <f aca="false">IF($C25="","",IF($G25="Einstaklingsbundið",IFERROR(IF(INDEX('Undirviðmiðalisti (Lýsigögn)'!M$42:M$58,MATCH($C25,'Undirviðmiðalisti (Lýsigögn)'!$C$42:$C$58,0))="","",INDEX('Undirviðmiðalisti (Lýsigögn)'!M$42:M$58,MATCH($C25,'Undirviðmiðalisti (Lýsigögn)'!$C$42:$C$58,0))),""),IFERROR(IF(INDEX('Undirviðmiðalisti (Lýsigögn)'!M$6:M$41,MATCH($C25,'Undirviðmiðalisti (Lýsigögn)'!$C$6:$C$41,0))="","",INDEX('Undirviðmiðalisti (Lýsigögn)'!M$6:M$41,MATCH($C25,'Undirviðmiðalisti (Lýsigögn)'!$C$6:$C$41,0))),IFERROR(IF(INDEX('Undirviðmiðalisti (Lýsigögn)'!M$42:M$58,MATCH($C25,'Undirviðmiðalisti (Lýsigögn)'!$C$42:$C$58,0))="","",INDEX('Undirviðmiðalisti (Lýsigögn)'!M$42:M$58,MATCH($C25,'Undirviðmiðalisti (Lýsigögn)'!$C$42:$C$58,0))),""))))</f>
        <v/>
      </c>
    </row>
    <row r="26" customFormat="false" ht="15" hidden="false" customHeight="true" outlineLevel="0" collapsed="false">
      <c r="A26" s="22" t="str">
        <f aca="false">IF($B26="","",ROW()-5)</f>
        <v/>
      </c>
      <c r="B26" s="15"/>
      <c r="C26" s="15"/>
      <c r="D26" s="16" t="str">
        <f aca="false">IF($C26="","",IF($G26="Einstaklingsbundið",IFERROR(IF(INDEX('Undirviðmiðalisti (Lýsigögn)'!$D$42:$D$58,MATCH($C26,'Undirviðmiðalisti (Lýsigögn)'!$C$42:$C$58,0))="","",INDEX('Undirviðmiðalisti (Lýsigögn)'!$D$42:$D$58,MATCH($C26,'Undirviðmiðalisti (Lýsigögn)'!$C$42:$C$58,0))),""),IFERROR(IF(INDEX('Undirviðmiðalisti (Lýsigögn)'!$D$6:$D$41,MATCH($C26,'Undirviðmiðalisti (Lýsigögn)'!$C$6:$C$41,0))="","",INDEX('Undirviðmiðalisti (Lýsigögn)'!$D$6:$D$41,MATCH($C26,'Undirviðmiðalisti (Lýsigögn)'!$C$6:$C$41,0))),IFERROR(IF(INDEX('Undirviðmiðalisti (Lýsigögn)'!$D$42:$D$58,MATCH($C26,'Undirviðmiðalisti (Lýsigögn)'!$C$42:$C$58,0))="","",INDEX('Undirviðmiðalisti (Lýsigögn)'!$D$42:$D$58,MATCH($C26,'Undirviðmiðalisti (Lýsigögn)'!$C$42:$C$58,0))),""))))</f>
        <v/>
      </c>
      <c r="E26" s="14"/>
      <c r="F26" s="23" t="str">
        <f aca="false">IF($C26="","",IF($G26="Einstaklingsbundið",IFERROR(IF(INDEX('Undirviðmiðalisti (Lýsigögn)'!$E$42:$E$58,MATCH($C26,'Undirviðmiðalisti (Lýsigögn)'!$C$42:$C$58,0))="","",INDEX('Undirviðmiðalisti (Lýsigögn)'!$E$42:$E$58,MATCH($C26,'Undirviðmiðalisti (Lýsigögn)'!$C$42:$C$58,0))),""),IFERROR(IF(INDEX('Undirviðmiðalisti (Lýsigögn)'!$E$6:$E$41,MATCH($C26,'Undirviðmiðalisti (Lýsigögn)'!$C$6:$C$41,0))="","",INDEX('Undirviðmiðalisti (Lýsigögn)'!$E$6:$E$41,MATCH($C26,'Undirviðmiðalisti (Lýsigögn)'!$C$6:$C$41,0))),IFERROR(IF(INDEX('Undirviðmiðalisti (Lýsigögn)'!$E$42:$E$58,MATCH($C26,'Undirviðmiðalisti (Lýsigögn)'!$C$42:$C$58,0))="","",INDEX('Undirviðmiðalisti (Lýsigögn)'!$E$42:$E$58,MATCH($C26,'Undirviðmiðalisti (Lýsigögn)'!$C$42:$C$58,0))),""))))</f>
        <v/>
      </c>
      <c r="G26" s="24" t="str">
        <f aca="false">IFERROR(IF(B26="","",INDEX(Viðmið!$B$6:$B$10,MATCH(B26,Viðmið!$C$6:$C$10,0))),"")</f>
        <v/>
      </c>
      <c r="H26" s="25" t="str">
        <f aca="false">IF(OR(E26="",F26=""),"",E26*KVARDI)</f>
        <v/>
      </c>
      <c r="I26" s="26" t="str">
        <f aca="false">IF(B26="","",IF(ROUND(SUMIF($B$6:$B$205,B26,$E$6:$E$205),4)=ROUND(IFERROR(INDEX(Viðmið!$E$6:$E$10,MATCH(B26,Viðmið!$C$6:$C$10,0)),-1),4),"✓","✗"))</f>
        <v/>
      </c>
      <c r="J26" s="16" t="str">
        <f aca="false">IF($C26="","",IF($G26="Einstaklingsbundið",IFERROR(IF(INDEX('Undirviðmiðalisti (Lýsigögn)'!F$42:F$58,MATCH($C26,'Undirviðmiðalisti (Lýsigögn)'!$C$42:$C$58,0))="","",INDEX('Undirviðmiðalisti (Lýsigögn)'!F$42:F$58,MATCH($C26,'Undirviðmiðalisti (Lýsigögn)'!$C$42:$C$58,0))),""),IFERROR(IF(INDEX('Undirviðmiðalisti (Lýsigögn)'!F$6:F$41,MATCH($C26,'Undirviðmiðalisti (Lýsigögn)'!$C$6:$C$41,0))="","",INDEX('Undirviðmiðalisti (Lýsigögn)'!F$6:F$41,MATCH($C26,'Undirviðmiðalisti (Lýsigögn)'!$C$6:$C$41,0))),IFERROR(IF(INDEX('Undirviðmiðalisti (Lýsigögn)'!F$42:F$58,MATCH($C26,'Undirviðmiðalisti (Lýsigögn)'!$C$42:$C$58,0))="","",INDEX('Undirviðmiðalisti (Lýsigögn)'!F$42:F$58,MATCH($C26,'Undirviðmiðalisti (Lýsigögn)'!$C$42:$C$58,0))),""))))</f>
        <v/>
      </c>
      <c r="K26" s="16" t="str">
        <f aca="false">IF($C26="","",IF($G26="Einstaklingsbundið",IFERROR(IF(INDEX('Undirviðmiðalisti (Lýsigögn)'!G$42:G$58,MATCH($C26,'Undirviðmiðalisti (Lýsigögn)'!$C$42:$C$58,0))="","",INDEX('Undirviðmiðalisti (Lýsigögn)'!G$42:G$58,MATCH($C26,'Undirviðmiðalisti (Lýsigögn)'!$C$42:$C$58,0))),""),IFERROR(IF(INDEX('Undirviðmiðalisti (Lýsigögn)'!G$6:G$41,MATCH($C26,'Undirviðmiðalisti (Lýsigögn)'!$C$6:$C$41,0))="","",INDEX('Undirviðmiðalisti (Lýsigögn)'!G$6:G$41,MATCH($C26,'Undirviðmiðalisti (Lýsigögn)'!$C$6:$C$41,0))),IFERROR(IF(INDEX('Undirviðmiðalisti (Lýsigögn)'!G$42:G$58,MATCH($C26,'Undirviðmiðalisti (Lýsigögn)'!$C$42:$C$58,0))="","",INDEX('Undirviðmiðalisti (Lýsigögn)'!G$42:G$58,MATCH($C26,'Undirviðmiðalisti (Lýsigögn)'!$C$42:$C$58,0))),""))))</f>
        <v/>
      </c>
      <c r="L26" s="16" t="str">
        <f aca="false">IF($C26="","",IF($G26="Einstaklingsbundið",IFERROR(IF(INDEX('Undirviðmiðalisti (Lýsigögn)'!H$42:H$58,MATCH($C26,'Undirviðmiðalisti (Lýsigögn)'!$C$42:$C$58,0))="","",INDEX('Undirviðmiðalisti (Lýsigögn)'!H$42:H$58,MATCH($C26,'Undirviðmiðalisti (Lýsigögn)'!$C$42:$C$58,0))),""),IFERROR(IF(INDEX('Undirviðmiðalisti (Lýsigögn)'!H$6:H$41,MATCH($C26,'Undirviðmiðalisti (Lýsigögn)'!$C$6:$C$41,0))="","",INDEX('Undirviðmiðalisti (Lýsigögn)'!H$6:H$41,MATCH($C26,'Undirviðmiðalisti (Lýsigögn)'!$C$6:$C$41,0))),IFERROR(IF(INDEX('Undirviðmiðalisti (Lýsigögn)'!H$42:H$58,MATCH($C26,'Undirviðmiðalisti (Lýsigögn)'!$C$42:$C$58,0))="","",INDEX('Undirviðmiðalisti (Lýsigögn)'!H$42:H$58,MATCH($C26,'Undirviðmiðalisti (Lýsigögn)'!$C$42:$C$58,0))),""))))</f>
        <v/>
      </c>
      <c r="M26" s="16" t="str">
        <f aca="false">IF($C26="","",IF($G26="Einstaklingsbundið",IFERROR(IF(INDEX('Undirviðmiðalisti (Lýsigögn)'!I$42:I$58,MATCH($C26,'Undirviðmiðalisti (Lýsigögn)'!$C$42:$C$58,0))="","",INDEX('Undirviðmiðalisti (Lýsigögn)'!I$42:I$58,MATCH($C26,'Undirviðmiðalisti (Lýsigögn)'!$C$42:$C$58,0))),""),IFERROR(IF(INDEX('Undirviðmiðalisti (Lýsigögn)'!I$6:I$41,MATCH($C26,'Undirviðmiðalisti (Lýsigögn)'!$C$6:$C$41,0))="","",INDEX('Undirviðmiðalisti (Lýsigögn)'!I$6:I$41,MATCH($C26,'Undirviðmiðalisti (Lýsigögn)'!$C$6:$C$41,0))),IFERROR(IF(INDEX('Undirviðmiðalisti (Lýsigögn)'!I$42:I$58,MATCH($C26,'Undirviðmiðalisti (Lýsigögn)'!$C$42:$C$58,0))="","",INDEX('Undirviðmiðalisti (Lýsigögn)'!I$42:I$58,MATCH($C26,'Undirviðmiðalisti (Lýsigögn)'!$C$42:$C$58,0))),""))))</f>
        <v/>
      </c>
      <c r="N26" s="16" t="str">
        <f aca="false">IF($C26="","",IF($G26="Einstaklingsbundið",IFERROR(IF(INDEX('Undirviðmiðalisti (Lýsigögn)'!J$42:J$58,MATCH($C26,'Undirviðmiðalisti (Lýsigögn)'!$C$42:$C$58,0))="","",INDEX('Undirviðmiðalisti (Lýsigögn)'!J$42:J$58,MATCH($C26,'Undirviðmiðalisti (Lýsigögn)'!$C$42:$C$58,0))),""),IFERROR(IF(INDEX('Undirviðmiðalisti (Lýsigögn)'!J$6:J$41,MATCH($C26,'Undirviðmiðalisti (Lýsigögn)'!$C$6:$C$41,0))="","",INDEX('Undirviðmiðalisti (Lýsigögn)'!J$6:J$41,MATCH($C26,'Undirviðmiðalisti (Lýsigögn)'!$C$6:$C$41,0))),IFERROR(IF(INDEX('Undirviðmiðalisti (Lýsigögn)'!J$42:J$58,MATCH($C26,'Undirviðmiðalisti (Lýsigögn)'!$C$42:$C$58,0))="","",INDEX('Undirviðmiðalisti (Lýsigögn)'!J$42:J$58,MATCH($C26,'Undirviðmiðalisti (Lýsigögn)'!$C$42:$C$58,0))),""))))</f>
        <v/>
      </c>
      <c r="O26" s="16" t="str">
        <f aca="false">IF($C26="","",IF($G26="Einstaklingsbundið",IFERROR(IF(INDEX('Undirviðmiðalisti (Lýsigögn)'!K$42:K$58,MATCH($C26,'Undirviðmiðalisti (Lýsigögn)'!$C$42:$C$58,0))="","",INDEX('Undirviðmiðalisti (Lýsigögn)'!K$42:K$58,MATCH($C26,'Undirviðmiðalisti (Lýsigögn)'!$C$42:$C$58,0))),""),IFERROR(IF(INDEX('Undirviðmiðalisti (Lýsigögn)'!K$6:K$41,MATCH($C26,'Undirviðmiðalisti (Lýsigögn)'!$C$6:$C$41,0))="","",INDEX('Undirviðmiðalisti (Lýsigögn)'!K$6:K$41,MATCH($C26,'Undirviðmiðalisti (Lýsigögn)'!$C$6:$C$41,0))),IFERROR(IF(INDEX('Undirviðmiðalisti (Lýsigögn)'!K$42:K$58,MATCH($C26,'Undirviðmiðalisti (Lýsigögn)'!$C$42:$C$58,0))="","",INDEX('Undirviðmiðalisti (Lýsigögn)'!K$42:K$58,MATCH($C26,'Undirviðmiðalisti (Lýsigögn)'!$C$42:$C$58,0))),""))))</f>
        <v/>
      </c>
      <c r="P26" s="16" t="str">
        <f aca="false">IF($C26="","",IF($G26="Einstaklingsbundið",IFERROR(IF(INDEX('Undirviðmiðalisti (Lýsigögn)'!L$42:L$58,MATCH($C26,'Undirviðmiðalisti (Lýsigögn)'!$C$42:$C$58,0))="","",INDEX('Undirviðmiðalisti (Lýsigögn)'!L$42:L$58,MATCH($C26,'Undirviðmiðalisti (Lýsigögn)'!$C$42:$C$58,0))),""),IFERROR(IF(INDEX('Undirviðmiðalisti (Lýsigögn)'!L$6:L$41,MATCH($C26,'Undirviðmiðalisti (Lýsigögn)'!$C$6:$C$41,0))="","",INDEX('Undirviðmiðalisti (Lýsigögn)'!L$6:L$41,MATCH($C26,'Undirviðmiðalisti (Lýsigögn)'!$C$6:$C$41,0))),IFERROR(IF(INDEX('Undirviðmiðalisti (Lýsigögn)'!L$42:L$58,MATCH($C26,'Undirviðmiðalisti (Lýsigögn)'!$C$42:$C$58,0))="","",INDEX('Undirviðmiðalisti (Lýsigögn)'!L$42:L$58,MATCH($C26,'Undirviðmiðalisti (Lýsigögn)'!$C$42:$C$58,0))),""))))</f>
        <v/>
      </c>
      <c r="Q26" s="16" t="str">
        <f aca="false">IF($C26="","",IF($G26="Einstaklingsbundið",IFERROR(IF(INDEX('Undirviðmiðalisti (Lýsigögn)'!M$42:M$58,MATCH($C26,'Undirviðmiðalisti (Lýsigögn)'!$C$42:$C$58,0))="","",INDEX('Undirviðmiðalisti (Lýsigögn)'!M$42:M$58,MATCH($C26,'Undirviðmiðalisti (Lýsigögn)'!$C$42:$C$58,0))),""),IFERROR(IF(INDEX('Undirviðmiðalisti (Lýsigögn)'!M$6:M$41,MATCH($C26,'Undirviðmiðalisti (Lýsigögn)'!$C$6:$C$41,0))="","",INDEX('Undirviðmiðalisti (Lýsigögn)'!M$6:M$41,MATCH($C26,'Undirviðmiðalisti (Lýsigögn)'!$C$6:$C$41,0))),IFERROR(IF(INDEX('Undirviðmiðalisti (Lýsigögn)'!M$42:M$58,MATCH($C26,'Undirviðmiðalisti (Lýsigögn)'!$C$42:$C$58,0))="","",INDEX('Undirviðmiðalisti (Lýsigögn)'!M$42:M$58,MATCH($C26,'Undirviðmiðalisti (Lýsigögn)'!$C$42:$C$58,0))),""))))</f>
        <v/>
      </c>
    </row>
    <row r="27" customFormat="false" ht="15" hidden="false" customHeight="true" outlineLevel="0" collapsed="false">
      <c r="A27" s="22" t="str">
        <f aca="false">IF($B27="","",ROW()-5)</f>
        <v/>
      </c>
      <c r="B27" s="15"/>
      <c r="C27" s="15"/>
      <c r="D27" s="16" t="str">
        <f aca="false">IF($C27="","",IF($G27="Einstaklingsbundið",IFERROR(IF(INDEX('Undirviðmiðalisti (Lýsigögn)'!$D$42:$D$58,MATCH($C27,'Undirviðmiðalisti (Lýsigögn)'!$C$42:$C$58,0))="","",INDEX('Undirviðmiðalisti (Lýsigögn)'!$D$42:$D$58,MATCH($C27,'Undirviðmiðalisti (Lýsigögn)'!$C$42:$C$58,0))),""),IFERROR(IF(INDEX('Undirviðmiðalisti (Lýsigögn)'!$D$6:$D$41,MATCH($C27,'Undirviðmiðalisti (Lýsigögn)'!$C$6:$C$41,0))="","",INDEX('Undirviðmiðalisti (Lýsigögn)'!$D$6:$D$41,MATCH($C27,'Undirviðmiðalisti (Lýsigögn)'!$C$6:$C$41,0))),IFERROR(IF(INDEX('Undirviðmiðalisti (Lýsigögn)'!$D$42:$D$58,MATCH($C27,'Undirviðmiðalisti (Lýsigögn)'!$C$42:$C$58,0))="","",INDEX('Undirviðmiðalisti (Lýsigögn)'!$D$42:$D$58,MATCH($C27,'Undirviðmiðalisti (Lýsigögn)'!$C$42:$C$58,0))),""))))</f>
        <v/>
      </c>
      <c r="E27" s="14"/>
      <c r="F27" s="23" t="str">
        <f aca="false">IF($C27="","",IF($G27="Einstaklingsbundið",IFERROR(IF(INDEX('Undirviðmiðalisti (Lýsigögn)'!$E$42:$E$58,MATCH($C27,'Undirviðmiðalisti (Lýsigögn)'!$C$42:$C$58,0))="","",INDEX('Undirviðmiðalisti (Lýsigögn)'!$E$42:$E$58,MATCH($C27,'Undirviðmiðalisti (Lýsigögn)'!$C$42:$C$58,0))),""),IFERROR(IF(INDEX('Undirviðmiðalisti (Lýsigögn)'!$E$6:$E$41,MATCH($C27,'Undirviðmiðalisti (Lýsigögn)'!$C$6:$C$41,0))="","",INDEX('Undirviðmiðalisti (Lýsigögn)'!$E$6:$E$41,MATCH($C27,'Undirviðmiðalisti (Lýsigögn)'!$C$6:$C$41,0))),IFERROR(IF(INDEX('Undirviðmiðalisti (Lýsigögn)'!$E$42:$E$58,MATCH($C27,'Undirviðmiðalisti (Lýsigögn)'!$C$42:$C$58,0))="","",INDEX('Undirviðmiðalisti (Lýsigögn)'!$E$42:$E$58,MATCH($C27,'Undirviðmiðalisti (Lýsigögn)'!$C$42:$C$58,0))),""))))</f>
        <v/>
      </c>
      <c r="G27" s="24" t="str">
        <f aca="false">IFERROR(IF(B27="","",INDEX(Viðmið!$B$6:$B$10,MATCH(B27,Viðmið!$C$6:$C$10,0))),"")</f>
        <v/>
      </c>
      <c r="H27" s="25" t="str">
        <f aca="false">IF(OR(E27="",F27=""),"",E27*KVARDI)</f>
        <v/>
      </c>
      <c r="I27" s="26" t="str">
        <f aca="false">IF(B27="","",IF(ROUND(SUMIF($B$6:$B$205,B27,$E$6:$E$205),4)=ROUND(IFERROR(INDEX(Viðmið!$E$6:$E$10,MATCH(B27,Viðmið!$C$6:$C$10,0)),-1),4),"✓","✗"))</f>
        <v/>
      </c>
      <c r="J27" s="16" t="str">
        <f aca="false">IF($C27="","",IF($G27="Einstaklingsbundið",IFERROR(IF(INDEX('Undirviðmiðalisti (Lýsigögn)'!F$42:F$58,MATCH($C27,'Undirviðmiðalisti (Lýsigögn)'!$C$42:$C$58,0))="","",INDEX('Undirviðmiðalisti (Lýsigögn)'!F$42:F$58,MATCH($C27,'Undirviðmiðalisti (Lýsigögn)'!$C$42:$C$58,0))),""),IFERROR(IF(INDEX('Undirviðmiðalisti (Lýsigögn)'!F$6:F$41,MATCH($C27,'Undirviðmiðalisti (Lýsigögn)'!$C$6:$C$41,0))="","",INDEX('Undirviðmiðalisti (Lýsigögn)'!F$6:F$41,MATCH($C27,'Undirviðmiðalisti (Lýsigögn)'!$C$6:$C$41,0))),IFERROR(IF(INDEX('Undirviðmiðalisti (Lýsigögn)'!F$42:F$58,MATCH($C27,'Undirviðmiðalisti (Lýsigögn)'!$C$42:$C$58,0))="","",INDEX('Undirviðmiðalisti (Lýsigögn)'!F$42:F$58,MATCH($C27,'Undirviðmiðalisti (Lýsigögn)'!$C$42:$C$58,0))),""))))</f>
        <v/>
      </c>
      <c r="K27" s="16" t="str">
        <f aca="false">IF($C27="","",IF($G27="Einstaklingsbundið",IFERROR(IF(INDEX('Undirviðmiðalisti (Lýsigögn)'!G$42:G$58,MATCH($C27,'Undirviðmiðalisti (Lýsigögn)'!$C$42:$C$58,0))="","",INDEX('Undirviðmiðalisti (Lýsigögn)'!G$42:G$58,MATCH($C27,'Undirviðmiðalisti (Lýsigögn)'!$C$42:$C$58,0))),""),IFERROR(IF(INDEX('Undirviðmiðalisti (Lýsigögn)'!G$6:G$41,MATCH($C27,'Undirviðmiðalisti (Lýsigögn)'!$C$6:$C$41,0))="","",INDEX('Undirviðmiðalisti (Lýsigögn)'!G$6:G$41,MATCH($C27,'Undirviðmiðalisti (Lýsigögn)'!$C$6:$C$41,0))),IFERROR(IF(INDEX('Undirviðmiðalisti (Lýsigögn)'!G$42:G$58,MATCH($C27,'Undirviðmiðalisti (Lýsigögn)'!$C$42:$C$58,0))="","",INDEX('Undirviðmiðalisti (Lýsigögn)'!G$42:G$58,MATCH($C27,'Undirviðmiðalisti (Lýsigögn)'!$C$42:$C$58,0))),""))))</f>
        <v/>
      </c>
      <c r="L27" s="16" t="str">
        <f aca="false">IF($C27="","",IF($G27="Einstaklingsbundið",IFERROR(IF(INDEX('Undirviðmiðalisti (Lýsigögn)'!H$42:H$58,MATCH($C27,'Undirviðmiðalisti (Lýsigögn)'!$C$42:$C$58,0))="","",INDEX('Undirviðmiðalisti (Lýsigögn)'!H$42:H$58,MATCH($C27,'Undirviðmiðalisti (Lýsigögn)'!$C$42:$C$58,0))),""),IFERROR(IF(INDEX('Undirviðmiðalisti (Lýsigögn)'!H$6:H$41,MATCH($C27,'Undirviðmiðalisti (Lýsigögn)'!$C$6:$C$41,0))="","",INDEX('Undirviðmiðalisti (Lýsigögn)'!H$6:H$41,MATCH($C27,'Undirviðmiðalisti (Lýsigögn)'!$C$6:$C$41,0))),IFERROR(IF(INDEX('Undirviðmiðalisti (Lýsigögn)'!H$42:H$58,MATCH($C27,'Undirviðmiðalisti (Lýsigögn)'!$C$42:$C$58,0))="","",INDEX('Undirviðmiðalisti (Lýsigögn)'!H$42:H$58,MATCH($C27,'Undirviðmiðalisti (Lýsigögn)'!$C$42:$C$58,0))),""))))</f>
        <v/>
      </c>
      <c r="M27" s="16" t="str">
        <f aca="false">IF($C27="","",IF($G27="Einstaklingsbundið",IFERROR(IF(INDEX('Undirviðmiðalisti (Lýsigögn)'!I$42:I$58,MATCH($C27,'Undirviðmiðalisti (Lýsigögn)'!$C$42:$C$58,0))="","",INDEX('Undirviðmiðalisti (Lýsigögn)'!I$42:I$58,MATCH($C27,'Undirviðmiðalisti (Lýsigögn)'!$C$42:$C$58,0))),""),IFERROR(IF(INDEX('Undirviðmiðalisti (Lýsigögn)'!I$6:I$41,MATCH($C27,'Undirviðmiðalisti (Lýsigögn)'!$C$6:$C$41,0))="","",INDEX('Undirviðmiðalisti (Lýsigögn)'!I$6:I$41,MATCH($C27,'Undirviðmiðalisti (Lýsigögn)'!$C$6:$C$41,0))),IFERROR(IF(INDEX('Undirviðmiðalisti (Lýsigögn)'!I$42:I$58,MATCH($C27,'Undirviðmiðalisti (Lýsigögn)'!$C$42:$C$58,0))="","",INDEX('Undirviðmiðalisti (Lýsigögn)'!I$42:I$58,MATCH($C27,'Undirviðmiðalisti (Lýsigögn)'!$C$42:$C$58,0))),""))))</f>
        <v/>
      </c>
      <c r="N27" s="16" t="str">
        <f aca="false">IF($C27="","",IF($G27="Einstaklingsbundið",IFERROR(IF(INDEX('Undirviðmiðalisti (Lýsigögn)'!J$42:J$58,MATCH($C27,'Undirviðmiðalisti (Lýsigögn)'!$C$42:$C$58,0))="","",INDEX('Undirviðmiðalisti (Lýsigögn)'!J$42:J$58,MATCH($C27,'Undirviðmiðalisti (Lýsigögn)'!$C$42:$C$58,0))),""),IFERROR(IF(INDEX('Undirviðmiðalisti (Lýsigögn)'!J$6:J$41,MATCH($C27,'Undirviðmiðalisti (Lýsigögn)'!$C$6:$C$41,0))="","",INDEX('Undirviðmiðalisti (Lýsigögn)'!J$6:J$41,MATCH($C27,'Undirviðmiðalisti (Lýsigögn)'!$C$6:$C$41,0))),IFERROR(IF(INDEX('Undirviðmiðalisti (Lýsigögn)'!J$42:J$58,MATCH($C27,'Undirviðmiðalisti (Lýsigögn)'!$C$42:$C$58,0))="","",INDEX('Undirviðmiðalisti (Lýsigögn)'!J$42:J$58,MATCH($C27,'Undirviðmiðalisti (Lýsigögn)'!$C$42:$C$58,0))),""))))</f>
        <v/>
      </c>
      <c r="O27" s="16" t="str">
        <f aca="false">IF($C27="","",IF($G27="Einstaklingsbundið",IFERROR(IF(INDEX('Undirviðmiðalisti (Lýsigögn)'!K$42:K$58,MATCH($C27,'Undirviðmiðalisti (Lýsigögn)'!$C$42:$C$58,0))="","",INDEX('Undirviðmiðalisti (Lýsigögn)'!K$42:K$58,MATCH($C27,'Undirviðmiðalisti (Lýsigögn)'!$C$42:$C$58,0))),""),IFERROR(IF(INDEX('Undirviðmiðalisti (Lýsigögn)'!K$6:K$41,MATCH($C27,'Undirviðmiðalisti (Lýsigögn)'!$C$6:$C$41,0))="","",INDEX('Undirviðmiðalisti (Lýsigögn)'!K$6:K$41,MATCH($C27,'Undirviðmiðalisti (Lýsigögn)'!$C$6:$C$41,0))),IFERROR(IF(INDEX('Undirviðmiðalisti (Lýsigögn)'!K$42:K$58,MATCH($C27,'Undirviðmiðalisti (Lýsigögn)'!$C$42:$C$58,0))="","",INDEX('Undirviðmiðalisti (Lýsigögn)'!K$42:K$58,MATCH($C27,'Undirviðmiðalisti (Lýsigögn)'!$C$42:$C$58,0))),""))))</f>
        <v/>
      </c>
      <c r="P27" s="16" t="str">
        <f aca="false">IF($C27="","",IF($G27="Einstaklingsbundið",IFERROR(IF(INDEX('Undirviðmiðalisti (Lýsigögn)'!L$42:L$58,MATCH($C27,'Undirviðmiðalisti (Lýsigögn)'!$C$42:$C$58,0))="","",INDEX('Undirviðmiðalisti (Lýsigögn)'!L$42:L$58,MATCH($C27,'Undirviðmiðalisti (Lýsigögn)'!$C$42:$C$58,0))),""),IFERROR(IF(INDEX('Undirviðmiðalisti (Lýsigögn)'!L$6:L$41,MATCH($C27,'Undirviðmiðalisti (Lýsigögn)'!$C$6:$C$41,0))="","",INDEX('Undirviðmiðalisti (Lýsigögn)'!L$6:L$41,MATCH($C27,'Undirviðmiðalisti (Lýsigögn)'!$C$6:$C$41,0))),IFERROR(IF(INDEX('Undirviðmiðalisti (Lýsigögn)'!L$42:L$58,MATCH($C27,'Undirviðmiðalisti (Lýsigögn)'!$C$42:$C$58,0))="","",INDEX('Undirviðmiðalisti (Lýsigögn)'!L$42:L$58,MATCH($C27,'Undirviðmiðalisti (Lýsigögn)'!$C$42:$C$58,0))),""))))</f>
        <v/>
      </c>
      <c r="Q27" s="16" t="str">
        <f aca="false">IF($C27="","",IF($G27="Einstaklingsbundið",IFERROR(IF(INDEX('Undirviðmiðalisti (Lýsigögn)'!M$42:M$58,MATCH($C27,'Undirviðmiðalisti (Lýsigögn)'!$C$42:$C$58,0))="","",INDEX('Undirviðmiðalisti (Lýsigögn)'!M$42:M$58,MATCH($C27,'Undirviðmiðalisti (Lýsigögn)'!$C$42:$C$58,0))),""),IFERROR(IF(INDEX('Undirviðmiðalisti (Lýsigögn)'!M$6:M$41,MATCH($C27,'Undirviðmiðalisti (Lýsigögn)'!$C$6:$C$41,0))="","",INDEX('Undirviðmiðalisti (Lýsigögn)'!M$6:M$41,MATCH($C27,'Undirviðmiðalisti (Lýsigögn)'!$C$6:$C$41,0))),IFERROR(IF(INDEX('Undirviðmiðalisti (Lýsigögn)'!M$42:M$58,MATCH($C27,'Undirviðmiðalisti (Lýsigögn)'!$C$42:$C$58,0))="","",INDEX('Undirviðmiðalisti (Lýsigögn)'!M$42:M$58,MATCH($C27,'Undirviðmiðalisti (Lýsigögn)'!$C$42:$C$58,0))),""))))</f>
        <v/>
      </c>
    </row>
    <row r="28" customFormat="false" ht="15" hidden="false" customHeight="true" outlineLevel="0" collapsed="false">
      <c r="A28" s="22" t="str">
        <f aca="false">IF($B28="","",ROW()-5)</f>
        <v/>
      </c>
      <c r="B28" s="15"/>
      <c r="C28" s="15"/>
      <c r="D28" s="16" t="str">
        <f aca="false">IF($C28="","",IF($G28="Einstaklingsbundið",IFERROR(IF(INDEX('Undirviðmiðalisti (Lýsigögn)'!$D$42:$D$58,MATCH($C28,'Undirviðmiðalisti (Lýsigögn)'!$C$42:$C$58,0))="","",INDEX('Undirviðmiðalisti (Lýsigögn)'!$D$42:$D$58,MATCH($C28,'Undirviðmiðalisti (Lýsigögn)'!$C$42:$C$58,0))),""),IFERROR(IF(INDEX('Undirviðmiðalisti (Lýsigögn)'!$D$6:$D$41,MATCH($C28,'Undirviðmiðalisti (Lýsigögn)'!$C$6:$C$41,0))="","",INDEX('Undirviðmiðalisti (Lýsigögn)'!$D$6:$D$41,MATCH($C28,'Undirviðmiðalisti (Lýsigögn)'!$C$6:$C$41,0))),IFERROR(IF(INDEX('Undirviðmiðalisti (Lýsigögn)'!$D$42:$D$58,MATCH($C28,'Undirviðmiðalisti (Lýsigögn)'!$C$42:$C$58,0))="","",INDEX('Undirviðmiðalisti (Lýsigögn)'!$D$42:$D$58,MATCH($C28,'Undirviðmiðalisti (Lýsigögn)'!$C$42:$C$58,0))),""))))</f>
        <v/>
      </c>
      <c r="E28" s="14"/>
      <c r="F28" s="23" t="str">
        <f aca="false">IF($C28="","",IF($G28="Einstaklingsbundið",IFERROR(IF(INDEX('Undirviðmiðalisti (Lýsigögn)'!$E$42:$E$58,MATCH($C28,'Undirviðmiðalisti (Lýsigögn)'!$C$42:$C$58,0))="","",INDEX('Undirviðmiðalisti (Lýsigögn)'!$E$42:$E$58,MATCH($C28,'Undirviðmiðalisti (Lýsigögn)'!$C$42:$C$58,0))),""),IFERROR(IF(INDEX('Undirviðmiðalisti (Lýsigögn)'!$E$6:$E$41,MATCH($C28,'Undirviðmiðalisti (Lýsigögn)'!$C$6:$C$41,0))="","",INDEX('Undirviðmiðalisti (Lýsigögn)'!$E$6:$E$41,MATCH($C28,'Undirviðmiðalisti (Lýsigögn)'!$C$6:$C$41,0))),IFERROR(IF(INDEX('Undirviðmiðalisti (Lýsigögn)'!$E$42:$E$58,MATCH($C28,'Undirviðmiðalisti (Lýsigögn)'!$C$42:$C$58,0))="","",INDEX('Undirviðmiðalisti (Lýsigögn)'!$E$42:$E$58,MATCH($C28,'Undirviðmiðalisti (Lýsigögn)'!$C$42:$C$58,0))),""))))</f>
        <v/>
      </c>
      <c r="G28" s="24" t="str">
        <f aca="false">IFERROR(IF(B28="","",INDEX(Viðmið!$B$6:$B$10,MATCH(B28,Viðmið!$C$6:$C$10,0))),"")</f>
        <v/>
      </c>
      <c r="H28" s="25" t="str">
        <f aca="false">IF(OR(E28="",F28=""),"",E28*KVARDI)</f>
        <v/>
      </c>
      <c r="I28" s="26" t="str">
        <f aca="false">IF(B28="","",IF(ROUND(SUMIF($B$6:$B$205,B28,$E$6:$E$205),4)=ROUND(IFERROR(INDEX(Viðmið!$E$6:$E$10,MATCH(B28,Viðmið!$C$6:$C$10,0)),-1),4),"✓","✗"))</f>
        <v/>
      </c>
      <c r="J28" s="16" t="str">
        <f aca="false">IF($C28="","",IF($G28="Einstaklingsbundið",IFERROR(IF(INDEX('Undirviðmiðalisti (Lýsigögn)'!F$42:F$58,MATCH($C28,'Undirviðmiðalisti (Lýsigögn)'!$C$42:$C$58,0))="","",INDEX('Undirviðmiðalisti (Lýsigögn)'!F$42:F$58,MATCH($C28,'Undirviðmiðalisti (Lýsigögn)'!$C$42:$C$58,0))),""),IFERROR(IF(INDEX('Undirviðmiðalisti (Lýsigögn)'!F$6:F$41,MATCH($C28,'Undirviðmiðalisti (Lýsigögn)'!$C$6:$C$41,0))="","",INDEX('Undirviðmiðalisti (Lýsigögn)'!F$6:F$41,MATCH($C28,'Undirviðmiðalisti (Lýsigögn)'!$C$6:$C$41,0))),IFERROR(IF(INDEX('Undirviðmiðalisti (Lýsigögn)'!F$42:F$58,MATCH($C28,'Undirviðmiðalisti (Lýsigögn)'!$C$42:$C$58,0))="","",INDEX('Undirviðmiðalisti (Lýsigögn)'!F$42:F$58,MATCH($C28,'Undirviðmiðalisti (Lýsigögn)'!$C$42:$C$58,0))),""))))</f>
        <v/>
      </c>
      <c r="K28" s="16" t="str">
        <f aca="false">IF($C28="","",IF($G28="Einstaklingsbundið",IFERROR(IF(INDEX('Undirviðmiðalisti (Lýsigögn)'!G$42:G$58,MATCH($C28,'Undirviðmiðalisti (Lýsigögn)'!$C$42:$C$58,0))="","",INDEX('Undirviðmiðalisti (Lýsigögn)'!G$42:G$58,MATCH($C28,'Undirviðmiðalisti (Lýsigögn)'!$C$42:$C$58,0))),""),IFERROR(IF(INDEX('Undirviðmiðalisti (Lýsigögn)'!G$6:G$41,MATCH($C28,'Undirviðmiðalisti (Lýsigögn)'!$C$6:$C$41,0))="","",INDEX('Undirviðmiðalisti (Lýsigögn)'!G$6:G$41,MATCH($C28,'Undirviðmiðalisti (Lýsigögn)'!$C$6:$C$41,0))),IFERROR(IF(INDEX('Undirviðmiðalisti (Lýsigögn)'!G$42:G$58,MATCH($C28,'Undirviðmiðalisti (Lýsigögn)'!$C$42:$C$58,0))="","",INDEX('Undirviðmiðalisti (Lýsigögn)'!G$42:G$58,MATCH($C28,'Undirviðmiðalisti (Lýsigögn)'!$C$42:$C$58,0))),""))))</f>
        <v/>
      </c>
      <c r="L28" s="16" t="str">
        <f aca="false">IF($C28="","",IF($G28="Einstaklingsbundið",IFERROR(IF(INDEX('Undirviðmiðalisti (Lýsigögn)'!H$42:H$58,MATCH($C28,'Undirviðmiðalisti (Lýsigögn)'!$C$42:$C$58,0))="","",INDEX('Undirviðmiðalisti (Lýsigögn)'!H$42:H$58,MATCH($C28,'Undirviðmiðalisti (Lýsigögn)'!$C$42:$C$58,0))),""),IFERROR(IF(INDEX('Undirviðmiðalisti (Lýsigögn)'!H$6:H$41,MATCH($C28,'Undirviðmiðalisti (Lýsigögn)'!$C$6:$C$41,0))="","",INDEX('Undirviðmiðalisti (Lýsigögn)'!H$6:H$41,MATCH($C28,'Undirviðmiðalisti (Lýsigögn)'!$C$6:$C$41,0))),IFERROR(IF(INDEX('Undirviðmiðalisti (Lýsigögn)'!H$42:H$58,MATCH($C28,'Undirviðmiðalisti (Lýsigögn)'!$C$42:$C$58,0))="","",INDEX('Undirviðmiðalisti (Lýsigögn)'!H$42:H$58,MATCH($C28,'Undirviðmiðalisti (Lýsigögn)'!$C$42:$C$58,0))),""))))</f>
        <v/>
      </c>
      <c r="M28" s="16" t="str">
        <f aca="false">IF($C28="","",IF($G28="Einstaklingsbundið",IFERROR(IF(INDEX('Undirviðmiðalisti (Lýsigögn)'!I$42:I$58,MATCH($C28,'Undirviðmiðalisti (Lýsigögn)'!$C$42:$C$58,0))="","",INDEX('Undirviðmiðalisti (Lýsigögn)'!I$42:I$58,MATCH($C28,'Undirviðmiðalisti (Lýsigögn)'!$C$42:$C$58,0))),""),IFERROR(IF(INDEX('Undirviðmiðalisti (Lýsigögn)'!I$6:I$41,MATCH($C28,'Undirviðmiðalisti (Lýsigögn)'!$C$6:$C$41,0))="","",INDEX('Undirviðmiðalisti (Lýsigögn)'!I$6:I$41,MATCH($C28,'Undirviðmiðalisti (Lýsigögn)'!$C$6:$C$41,0))),IFERROR(IF(INDEX('Undirviðmiðalisti (Lýsigögn)'!I$42:I$58,MATCH($C28,'Undirviðmiðalisti (Lýsigögn)'!$C$42:$C$58,0))="","",INDEX('Undirviðmiðalisti (Lýsigögn)'!I$42:I$58,MATCH($C28,'Undirviðmiðalisti (Lýsigögn)'!$C$42:$C$58,0))),""))))</f>
        <v/>
      </c>
      <c r="N28" s="16" t="str">
        <f aca="false">IF($C28="","",IF($G28="Einstaklingsbundið",IFERROR(IF(INDEX('Undirviðmiðalisti (Lýsigögn)'!J$42:J$58,MATCH($C28,'Undirviðmiðalisti (Lýsigögn)'!$C$42:$C$58,0))="","",INDEX('Undirviðmiðalisti (Lýsigögn)'!J$42:J$58,MATCH($C28,'Undirviðmiðalisti (Lýsigögn)'!$C$42:$C$58,0))),""),IFERROR(IF(INDEX('Undirviðmiðalisti (Lýsigögn)'!J$6:J$41,MATCH($C28,'Undirviðmiðalisti (Lýsigögn)'!$C$6:$C$41,0))="","",INDEX('Undirviðmiðalisti (Lýsigögn)'!J$6:J$41,MATCH($C28,'Undirviðmiðalisti (Lýsigögn)'!$C$6:$C$41,0))),IFERROR(IF(INDEX('Undirviðmiðalisti (Lýsigögn)'!J$42:J$58,MATCH($C28,'Undirviðmiðalisti (Lýsigögn)'!$C$42:$C$58,0))="","",INDEX('Undirviðmiðalisti (Lýsigögn)'!J$42:J$58,MATCH($C28,'Undirviðmiðalisti (Lýsigögn)'!$C$42:$C$58,0))),""))))</f>
        <v/>
      </c>
      <c r="O28" s="16" t="str">
        <f aca="false">IF($C28="","",IF($G28="Einstaklingsbundið",IFERROR(IF(INDEX('Undirviðmiðalisti (Lýsigögn)'!K$42:K$58,MATCH($C28,'Undirviðmiðalisti (Lýsigögn)'!$C$42:$C$58,0))="","",INDEX('Undirviðmiðalisti (Lýsigögn)'!K$42:K$58,MATCH($C28,'Undirviðmiðalisti (Lýsigögn)'!$C$42:$C$58,0))),""),IFERROR(IF(INDEX('Undirviðmiðalisti (Lýsigögn)'!K$6:K$41,MATCH($C28,'Undirviðmiðalisti (Lýsigögn)'!$C$6:$C$41,0))="","",INDEX('Undirviðmiðalisti (Lýsigögn)'!K$6:K$41,MATCH($C28,'Undirviðmiðalisti (Lýsigögn)'!$C$6:$C$41,0))),IFERROR(IF(INDEX('Undirviðmiðalisti (Lýsigögn)'!K$42:K$58,MATCH($C28,'Undirviðmiðalisti (Lýsigögn)'!$C$42:$C$58,0))="","",INDEX('Undirviðmiðalisti (Lýsigögn)'!K$42:K$58,MATCH($C28,'Undirviðmiðalisti (Lýsigögn)'!$C$42:$C$58,0))),""))))</f>
        <v/>
      </c>
      <c r="P28" s="16" t="str">
        <f aca="false">IF($C28="","",IF($G28="Einstaklingsbundið",IFERROR(IF(INDEX('Undirviðmiðalisti (Lýsigögn)'!L$42:L$58,MATCH($C28,'Undirviðmiðalisti (Lýsigögn)'!$C$42:$C$58,0))="","",INDEX('Undirviðmiðalisti (Lýsigögn)'!L$42:L$58,MATCH($C28,'Undirviðmiðalisti (Lýsigögn)'!$C$42:$C$58,0))),""),IFERROR(IF(INDEX('Undirviðmiðalisti (Lýsigögn)'!L$6:L$41,MATCH($C28,'Undirviðmiðalisti (Lýsigögn)'!$C$6:$C$41,0))="","",INDEX('Undirviðmiðalisti (Lýsigögn)'!L$6:L$41,MATCH($C28,'Undirviðmiðalisti (Lýsigögn)'!$C$6:$C$41,0))),IFERROR(IF(INDEX('Undirviðmiðalisti (Lýsigögn)'!L$42:L$58,MATCH($C28,'Undirviðmiðalisti (Lýsigögn)'!$C$42:$C$58,0))="","",INDEX('Undirviðmiðalisti (Lýsigögn)'!L$42:L$58,MATCH($C28,'Undirviðmiðalisti (Lýsigögn)'!$C$42:$C$58,0))),""))))</f>
        <v/>
      </c>
      <c r="Q28" s="16" t="str">
        <f aca="false">IF($C28="","",IF($G28="Einstaklingsbundið",IFERROR(IF(INDEX('Undirviðmiðalisti (Lýsigögn)'!M$42:M$58,MATCH($C28,'Undirviðmiðalisti (Lýsigögn)'!$C$42:$C$58,0))="","",INDEX('Undirviðmiðalisti (Lýsigögn)'!M$42:M$58,MATCH($C28,'Undirviðmiðalisti (Lýsigögn)'!$C$42:$C$58,0))),""),IFERROR(IF(INDEX('Undirviðmiðalisti (Lýsigögn)'!M$6:M$41,MATCH($C28,'Undirviðmiðalisti (Lýsigögn)'!$C$6:$C$41,0))="","",INDEX('Undirviðmiðalisti (Lýsigögn)'!M$6:M$41,MATCH($C28,'Undirviðmiðalisti (Lýsigögn)'!$C$6:$C$41,0))),IFERROR(IF(INDEX('Undirviðmiðalisti (Lýsigögn)'!M$42:M$58,MATCH($C28,'Undirviðmiðalisti (Lýsigögn)'!$C$42:$C$58,0))="","",INDEX('Undirviðmiðalisti (Lýsigögn)'!M$42:M$58,MATCH($C28,'Undirviðmiðalisti (Lýsigögn)'!$C$42:$C$58,0))),""))))</f>
        <v/>
      </c>
    </row>
    <row r="29" customFormat="false" ht="15" hidden="false" customHeight="true" outlineLevel="0" collapsed="false">
      <c r="A29" s="22" t="str">
        <f aca="false">IF($B29="","",ROW()-5)</f>
        <v/>
      </c>
      <c r="B29" s="15"/>
      <c r="C29" s="15"/>
      <c r="D29" s="16" t="str">
        <f aca="false">IF($C29="","",IF($G29="Einstaklingsbundið",IFERROR(IF(INDEX('Undirviðmiðalisti (Lýsigögn)'!$D$42:$D$58,MATCH($C29,'Undirviðmiðalisti (Lýsigögn)'!$C$42:$C$58,0))="","",INDEX('Undirviðmiðalisti (Lýsigögn)'!$D$42:$D$58,MATCH($C29,'Undirviðmiðalisti (Lýsigögn)'!$C$42:$C$58,0))),""),IFERROR(IF(INDEX('Undirviðmiðalisti (Lýsigögn)'!$D$6:$D$41,MATCH($C29,'Undirviðmiðalisti (Lýsigögn)'!$C$6:$C$41,0))="","",INDEX('Undirviðmiðalisti (Lýsigögn)'!$D$6:$D$41,MATCH($C29,'Undirviðmiðalisti (Lýsigögn)'!$C$6:$C$41,0))),IFERROR(IF(INDEX('Undirviðmiðalisti (Lýsigögn)'!$D$42:$D$58,MATCH($C29,'Undirviðmiðalisti (Lýsigögn)'!$C$42:$C$58,0))="","",INDEX('Undirviðmiðalisti (Lýsigögn)'!$D$42:$D$58,MATCH($C29,'Undirviðmiðalisti (Lýsigögn)'!$C$42:$C$58,0))),""))))</f>
        <v/>
      </c>
      <c r="E29" s="14"/>
      <c r="F29" s="23" t="str">
        <f aca="false">IF($C29="","",IF($G29="Einstaklingsbundið",IFERROR(IF(INDEX('Undirviðmiðalisti (Lýsigögn)'!$E$42:$E$58,MATCH($C29,'Undirviðmiðalisti (Lýsigögn)'!$C$42:$C$58,0))="","",INDEX('Undirviðmiðalisti (Lýsigögn)'!$E$42:$E$58,MATCH($C29,'Undirviðmiðalisti (Lýsigögn)'!$C$42:$C$58,0))),""),IFERROR(IF(INDEX('Undirviðmiðalisti (Lýsigögn)'!$E$6:$E$41,MATCH($C29,'Undirviðmiðalisti (Lýsigögn)'!$C$6:$C$41,0))="","",INDEX('Undirviðmiðalisti (Lýsigögn)'!$E$6:$E$41,MATCH($C29,'Undirviðmiðalisti (Lýsigögn)'!$C$6:$C$41,0))),IFERROR(IF(INDEX('Undirviðmiðalisti (Lýsigögn)'!$E$42:$E$58,MATCH($C29,'Undirviðmiðalisti (Lýsigögn)'!$C$42:$C$58,0))="","",INDEX('Undirviðmiðalisti (Lýsigögn)'!$E$42:$E$58,MATCH($C29,'Undirviðmiðalisti (Lýsigögn)'!$C$42:$C$58,0))),""))))</f>
        <v/>
      </c>
      <c r="G29" s="24" t="str">
        <f aca="false">IFERROR(IF(B29="","",INDEX(Viðmið!$B$6:$B$10,MATCH(B29,Viðmið!$C$6:$C$10,0))),"")</f>
        <v/>
      </c>
      <c r="H29" s="25" t="str">
        <f aca="false">IF(OR(E29="",F29=""),"",E29*KVARDI)</f>
        <v/>
      </c>
      <c r="I29" s="26" t="str">
        <f aca="false">IF(B29="","",IF(ROUND(SUMIF($B$6:$B$205,B29,$E$6:$E$205),4)=ROUND(IFERROR(INDEX(Viðmið!$E$6:$E$10,MATCH(B29,Viðmið!$C$6:$C$10,0)),-1),4),"✓","✗"))</f>
        <v/>
      </c>
      <c r="J29" s="16" t="str">
        <f aca="false">IF($C29="","",IF($G29="Einstaklingsbundið",IFERROR(IF(INDEX('Undirviðmiðalisti (Lýsigögn)'!F$42:F$58,MATCH($C29,'Undirviðmiðalisti (Lýsigögn)'!$C$42:$C$58,0))="","",INDEX('Undirviðmiðalisti (Lýsigögn)'!F$42:F$58,MATCH($C29,'Undirviðmiðalisti (Lýsigögn)'!$C$42:$C$58,0))),""),IFERROR(IF(INDEX('Undirviðmiðalisti (Lýsigögn)'!F$6:F$41,MATCH($C29,'Undirviðmiðalisti (Lýsigögn)'!$C$6:$C$41,0))="","",INDEX('Undirviðmiðalisti (Lýsigögn)'!F$6:F$41,MATCH($C29,'Undirviðmiðalisti (Lýsigögn)'!$C$6:$C$41,0))),IFERROR(IF(INDEX('Undirviðmiðalisti (Lýsigögn)'!F$42:F$58,MATCH($C29,'Undirviðmiðalisti (Lýsigögn)'!$C$42:$C$58,0))="","",INDEX('Undirviðmiðalisti (Lýsigögn)'!F$42:F$58,MATCH($C29,'Undirviðmiðalisti (Lýsigögn)'!$C$42:$C$58,0))),""))))</f>
        <v/>
      </c>
      <c r="K29" s="16" t="str">
        <f aca="false">IF($C29="","",IF($G29="Einstaklingsbundið",IFERROR(IF(INDEX('Undirviðmiðalisti (Lýsigögn)'!G$42:G$58,MATCH($C29,'Undirviðmiðalisti (Lýsigögn)'!$C$42:$C$58,0))="","",INDEX('Undirviðmiðalisti (Lýsigögn)'!G$42:G$58,MATCH($C29,'Undirviðmiðalisti (Lýsigögn)'!$C$42:$C$58,0))),""),IFERROR(IF(INDEX('Undirviðmiðalisti (Lýsigögn)'!G$6:G$41,MATCH($C29,'Undirviðmiðalisti (Lýsigögn)'!$C$6:$C$41,0))="","",INDEX('Undirviðmiðalisti (Lýsigögn)'!G$6:G$41,MATCH($C29,'Undirviðmiðalisti (Lýsigögn)'!$C$6:$C$41,0))),IFERROR(IF(INDEX('Undirviðmiðalisti (Lýsigögn)'!G$42:G$58,MATCH($C29,'Undirviðmiðalisti (Lýsigögn)'!$C$42:$C$58,0))="","",INDEX('Undirviðmiðalisti (Lýsigögn)'!G$42:G$58,MATCH($C29,'Undirviðmiðalisti (Lýsigögn)'!$C$42:$C$58,0))),""))))</f>
        <v/>
      </c>
      <c r="L29" s="16" t="str">
        <f aca="false">IF($C29="","",IF($G29="Einstaklingsbundið",IFERROR(IF(INDEX('Undirviðmiðalisti (Lýsigögn)'!H$42:H$58,MATCH($C29,'Undirviðmiðalisti (Lýsigögn)'!$C$42:$C$58,0))="","",INDEX('Undirviðmiðalisti (Lýsigögn)'!H$42:H$58,MATCH($C29,'Undirviðmiðalisti (Lýsigögn)'!$C$42:$C$58,0))),""),IFERROR(IF(INDEX('Undirviðmiðalisti (Lýsigögn)'!H$6:H$41,MATCH($C29,'Undirviðmiðalisti (Lýsigögn)'!$C$6:$C$41,0))="","",INDEX('Undirviðmiðalisti (Lýsigögn)'!H$6:H$41,MATCH($C29,'Undirviðmiðalisti (Lýsigögn)'!$C$6:$C$41,0))),IFERROR(IF(INDEX('Undirviðmiðalisti (Lýsigögn)'!H$42:H$58,MATCH($C29,'Undirviðmiðalisti (Lýsigögn)'!$C$42:$C$58,0))="","",INDEX('Undirviðmiðalisti (Lýsigögn)'!H$42:H$58,MATCH($C29,'Undirviðmiðalisti (Lýsigögn)'!$C$42:$C$58,0))),""))))</f>
        <v/>
      </c>
      <c r="M29" s="16" t="str">
        <f aca="false">IF($C29="","",IF($G29="Einstaklingsbundið",IFERROR(IF(INDEX('Undirviðmiðalisti (Lýsigögn)'!I$42:I$58,MATCH($C29,'Undirviðmiðalisti (Lýsigögn)'!$C$42:$C$58,0))="","",INDEX('Undirviðmiðalisti (Lýsigögn)'!I$42:I$58,MATCH($C29,'Undirviðmiðalisti (Lýsigögn)'!$C$42:$C$58,0))),""),IFERROR(IF(INDEX('Undirviðmiðalisti (Lýsigögn)'!I$6:I$41,MATCH($C29,'Undirviðmiðalisti (Lýsigögn)'!$C$6:$C$41,0))="","",INDEX('Undirviðmiðalisti (Lýsigögn)'!I$6:I$41,MATCH($C29,'Undirviðmiðalisti (Lýsigögn)'!$C$6:$C$41,0))),IFERROR(IF(INDEX('Undirviðmiðalisti (Lýsigögn)'!I$42:I$58,MATCH($C29,'Undirviðmiðalisti (Lýsigögn)'!$C$42:$C$58,0))="","",INDEX('Undirviðmiðalisti (Lýsigögn)'!I$42:I$58,MATCH($C29,'Undirviðmiðalisti (Lýsigögn)'!$C$42:$C$58,0))),""))))</f>
        <v/>
      </c>
      <c r="N29" s="16" t="str">
        <f aca="false">IF($C29="","",IF($G29="Einstaklingsbundið",IFERROR(IF(INDEX('Undirviðmiðalisti (Lýsigögn)'!J$42:J$58,MATCH($C29,'Undirviðmiðalisti (Lýsigögn)'!$C$42:$C$58,0))="","",INDEX('Undirviðmiðalisti (Lýsigögn)'!J$42:J$58,MATCH($C29,'Undirviðmiðalisti (Lýsigögn)'!$C$42:$C$58,0))),""),IFERROR(IF(INDEX('Undirviðmiðalisti (Lýsigögn)'!J$6:J$41,MATCH($C29,'Undirviðmiðalisti (Lýsigögn)'!$C$6:$C$41,0))="","",INDEX('Undirviðmiðalisti (Lýsigögn)'!J$6:J$41,MATCH($C29,'Undirviðmiðalisti (Lýsigögn)'!$C$6:$C$41,0))),IFERROR(IF(INDEX('Undirviðmiðalisti (Lýsigögn)'!J$42:J$58,MATCH($C29,'Undirviðmiðalisti (Lýsigögn)'!$C$42:$C$58,0))="","",INDEX('Undirviðmiðalisti (Lýsigögn)'!J$42:J$58,MATCH($C29,'Undirviðmiðalisti (Lýsigögn)'!$C$42:$C$58,0))),""))))</f>
        <v/>
      </c>
      <c r="O29" s="16" t="str">
        <f aca="false">IF($C29="","",IF($G29="Einstaklingsbundið",IFERROR(IF(INDEX('Undirviðmiðalisti (Lýsigögn)'!K$42:K$58,MATCH($C29,'Undirviðmiðalisti (Lýsigögn)'!$C$42:$C$58,0))="","",INDEX('Undirviðmiðalisti (Lýsigögn)'!K$42:K$58,MATCH($C29,'Undirviðmiðalisti (Lýsigögn)'!$C$42:$C$58,0))),""),IFERROR(IF(INDEX('Undirviðmiðalisti (Lýsigögn)'!K$6:K$41,MATCH($C29,'Undirviðmiðalisti (Lýsigögn)'!$C$6:$C$41,0))="","",INDEX('Undirviðmiðalisti (Lýsigögn)'!K$6:K$41,MATCH($C29,'Undirviðmiðalisti (Lýsigögn)'!$C$6:$C$41,0))),IFERROR(IF(INDEX('Undirviðmiðalisti (Lýsigögn)'!K$42:K$58,MATCH($C29,'Undirviðmiðalisti (Lýsigögn)'!$C$42:$C$58,0))="","",INDEX('Undirviðmiðalisti (Lýsigögn)'!K$42:K$58,MATCH($C29,'Undirviðmiðalisti (Lýsigögn)'!$C$42:$C$58,0))),""))))</f>
        <v/>
      </c>
      <c r="P29" s="16" t="str">
        <f aca="false">IF($C29="","",IF($G29="Einstaklingsbundið",IFERROR(IF(INDEX('Undirviðmiðalisti (Lýsigögn)'!L$42:L$58,MATCH($C29,'Undirviðmiðalisti (Lýsigögn)'!$C$42:$C$58,0))="","",INDEX('Undirviðmiðalisti (Lýsigögn)'!L$42:L$58,MATCH($C29,'Undirviðmiðalisti (Lýsigögn)'!$C$42:$C$58,0))),""),IFERROR(IF(INDEX('Undirviðmiðalisti (Lýsigögn)'!L$6:L$41,MATCH($C29,'Undirviðmiðalisti (Lýsigögn)'!$C$6:$C$41,0))="","",INDEX('Undirviðmiðalisti (Lýsigögn)'!L$6:L$41,MATCH($C29,'Undirviðmiðalisti (Lýsigögn)'!$C$6:$C$41,0))),IFERROR(IF(INDEX('Undirviðmiðalisti (Lýsigögn)'!L$42:L$58,MATCH($C29,'Undirviðmiðalisti (Lýsigögn)'!$C$42:$C$58,0))="","",INDEX('Undirviðmiðalisti (Lýsigögn)'!L$42:L$58,MATCH($C29,'Undirviðmiðalisti (Lýsigögn)'!$C$42:$C$58,0))),""))))</f>
        <v/>
      </c>
      <c r="Q29" s="16" t="str">
        <f aca="false">IF($C29="","",IF($G29="Einstaklingsbundið",IFERROR(IF(INDEX('Undirviðmiðalisti (Lýsigögn)'!M$42:M$58,MATCH($C29,'Undirviðmiðalisti (Lýsigögn)'!$C$42:$C$58,0))="","",INDEX('Undirviðmiðalisti (Lýsigögn)'!M$42:M$58,MATCH($C29,'Undirviðmiðalisti (Lýsigögn)'!$C$42:$C$58,0))),""),IFERROR(IF(INDEX('Undirviðmiðalisti (Lýsigögn)'!M$6:M$41,MATCH($C29,'Undirviðmiðalisti (Lýsigögn)'!$C$6:$C$41,0))="","",INDEX('Undirviðmiðalisti (Lýsigögn)'!M$6:M$41,MATCH($C29,'Undirviðmiðalisti (Lýsigögn)'!$C$6:$C$41,0))),IFERROR(IF(INDEX('Undirviðmiðalisti (Lýsigögn)'!M$42:M$58,MATCH($C29,'Undirviðmiðalisti (Lýsigögn)'!$C$42:$C$58,0))="","",INDEX('Undirviðmiðalisti (Lýsigögn)'!M$42:M$58,MATCH($C29,'Undirviðmiðalisti (Lýsigögn)'!$C$42:$C$58,0))),""))))</f>
        <v/>
      </c>
    </row>
    <row r="30" customFormat="false" ht="15" hidden="false" customHeight="true" outlineLevel="0" collapsed="false">
      <c r="A30" s="22" t="str">
        <f aca="false">IF($B30="","",ROW()-5)</f>
        <v/>
      </c>
      <c r="B30" s="15"/>
      <c r="C30" s="15"/>
      <c r="D30" s="16" t="str">
        <f aca="false">IF($C30="","",IF($G30="Einstaklingsbundið",IFERROR(IF(INDEX('Undirviðmiðalisti (Lýsigögn)'!$D$42:$D$58,MATCH($C30,'Undirviðmiðalisti (Lýsigögn)'!$C$42:$C$58,0))="","",INDEX('Undirviðmiðalisti (Lýsigögn)'!$D$42:$D$58,MATCH($C30,'Undirviðmiðalisti (Lýsigögn)'!$C$42:$C$58,0))),""),IFERROR(IF(INDEX('Undirviðmiðalisti (Lýsigögn)'!$D$6:$D$41,MATCH($C30,'Undirviðmiðalisti (Lýsigögn)'!$C$6:$C$41,0))="","",INDEX('Undirviðmiðalisti (Lýsigögn)'!$D$6:$D$41,MATCH($C30,'Undirviðmiðalisti (Lýsigögn)'!$C$6:$C$41,0))),IFERROR(IF(INDEX('Undirviðmiðalisti (Lýsigögn)'!$D$42:$D$58,MATCH($C30,'Undirviðmiðalisti (Lýsigögn)'!$C$42:$C$58,0))="","",INDEX('Undirviðmiðalisti (Lýsigögn)'!$D$42:$D$58,MATCH($C30,'Undirviðmiðalisti (Lýsigögn)'!$C$42:$C$58,0))),""))))</f>
        <v/>
      </c>
      <c r="E30" s="14"/>
      <c r="F30" s="23" t="str">
        <f aca="false">IF($C30="","",IF($G30="Einstaklingsbundið",IFERROR(IF(INDEX('Undirviðmiðalisti (Lýsigögn)'!$E$42:$E$58,MATCH($C30,'Undirviðmiðalisti (Lýsigögn)'!$C$42:$C$58,0))="","",INDEX('Undirviðmiðalisti (Lýsigögn)'!$E$42:$E$58,MATCH($C30,'Undirviðmiðalisti (Lýsigögn)'!$C$42:$C$58,0))),""),IFERROR(IF(INDEX('Undirviðmiðalisti (Lýsigögn)'!$E$6:$E$41,MATCH($C30,'Undirviðmiðalisti (Lýsigögn)'!$C$6:$C$41,0))="","",INDEX('Undirviðmiðalisti (Lýsigögn)'!$E$6:$E$41,MATCH($C30,'Undirviðmiðalisti (Lýsigögn)'!$C$6:$C$41,0))),IFERROR(IF(INDEX('Undirviðmiðalisti (Lýsigögn)'!$E$42:$E$58,MATCH($C30,'Undirviðmiðalisti (Lýsigögn)'!$C$42:$C$58,0))="","",INDEX('Undirviðmiðalisti (Lýsigögn)'!$E$42:$E$58,MATCH($C30,'Undirviðmiðalisti (Lýsigögn)'!$C$42:$C$58,0))),""))))</f>
        <v/>
      </c>
      <c r="G30" s="24" t="str">
        <f aca="false">IFERROR(IF(B30="","",INDEX(Viðmið!$B$6:$B$10,MATCH(B30,Viðmið!$C$6:$C$10,0))),"")</f>
        <v/>
      </c>
      <c r="H30" s="25" t="str">
        <f aca="false">IF(OR(E30="",F30=""),"",E30*KVARDI)</f>
        <v/>
      </c>
      <c r="I30" s="26" t="str">
        <f aca="false">IF(B30="","",IF(ROUND(SUMIF($B$6:$B$205,B30,$E$6:$E$205),4)=ROUND(IFERROR(INDEX(Viðmið!$E$6:$E$10,MATCH(B30,Viðmið!$C$6:$C$10,0)),-1),4),"✓","✗"))</f>
        <v/>
      </c>
      <c r="J30" s="16" t="str">
        <f aca="false">IF($C30="","",IF($G30="Einstaklingsbundið",IFERROR(IF(INDEX('Undirviðmiðalisti (Lýsigögn)'!F$42:F$58,MATCH($C30,'Undirviðmiðalisti (Lýsigögn)'!$C$42:$C$58,0))="","",INDEX('Undirviðmiðalisti (Lýsigögn)'!F$42:F$58,MATCH($C30,'Undirviðmiðalisti (Lýsigögn)'!$C$42:$C$58,0))),""),IFERROR(IF(INDEX('Undirviðmiðalisti (Lýsigögn)'!F$6:F$41,MATCH($C30,'Undirviðmiðalisti (Lýsigögn)'!$C$6:$C$41,0))="","",INDEX('Undirviðmiðalisti (Lýsigögn)'!F$6:F$41,MATCH($C30,'Undirviðmiðalisti (Lýsigögn)'!$C$6:$C$41,0))),IFERROR(IF(INDEX('Undirviðmiðalisti (Lýsigögn)'!F$42:F$58,MATCH($C30,'Undirviðmiðalisti (Lýsigögn)'!$C$42:$C$58,0))="","",INDEX('Undirviðmiðalisti (Lýsigögn)'!F$42:F$58,MATCH($C30,'Undirviðmiðalisti (Lýsigögn)'!$C$42:$C$58,0))),""))))</f>
        <v/>
      </c>
      <c r="K30" s="16" t="str">
        <f aca="false">IF($C30="","",IF($G30="Einstaklingsbundið",IFERROR(IF(INDEX('Undirviðmiðalisti (Lýsigögn)'!G$42:G$58,MATCH($C30,'Undirviðmiðalisti (Lýsigögn)'!$C$42:$C$58,0))="","",INDEX('Undirviðmiðalisti (Lýsigögn)'!G$42:G$58,MATCH($C30,'Undirviðmiðalisti (Lýsigögn)'!$C$42:$C$58,0))),""),IFERROR(IF(INDEX('Undirviðmiðalisti (Lýsigögn)'!G$6:G$41,MATCH($C30,'Undirviðmiðalisti (Lýsigögn)'!$C$6:$C$41,0))="","",INDEX('Undirviðmiðalisti (Lýsigögn)'!G$6:G$41,MATCH($C30,'Undirviðmiðalisti (Lýsigögn)'!$C$6:$C$41,0))),IFERROR(IF(INDEX('Undirviðmiðalisti (Lýsigögn)'!G$42:G$58,MATCH($C30,'Undirviðmiðalisti (Lýsigögn)'!$C$42:$C$58,0))="","",INDEX('Undirviðmiðalisti (Lýsigögn)'!G$42:G$58,MATCH($C30,'Undirviðmiðalisti (Lýsigögn)'!$C$42:$C$58,0))),""))))</f>
        <v/>
      </c>
      <c r="L30" s="16" t="str">
        <f aca="false">IF($C30="","",IF($G30="Einstaklingsbundið",IFERROR(IF(INDEX('Undirviðmiðalisti (Lýsigögn)'!H$42:H$58,MATCH($C30,'Undirviðmiðalisti (Lýsigögn)'!$C$42:$C$58,0))="","",INDEX('Undirviðmiðalisti (Lýsigögn)'!H$42:H$58,MATCH($C30,'Undirviðmiðalisti (Lýsigögn)'!$C$42:$C$58,0))),""),IFERROR(IF(INDEX('Undirviðmiðalisti (Lýsigögn)'!H$6:H$41,MATCH($C30,'Undirviðmiðalisti (Lýsigögn)'!$C$6:$C$41,0))="","",INDEX('Undirviðmiðalisti (Lýsigögn)'!H$6:H$41,MATCH($C30,'Undirviðmiðalisti (Lýsigögn)'!$C$6:$C$41,0))),IFERROR(IF(INDEX('Undirviðmiðalisti (Lýsigögn)'!H$42:H$58,MATCH($C30,'Undirviðmiðalisti (Lýsigögn)'!$C$42:$C$58,0))="","",INDEX('Undirviðmiðalisti (Lýsigögn)'!H$42:H$58,MATCH($C30,'Undirviðmiðalisti (Lýsigögn)'!$C$42:$C$58,0))),""))))</f>
        <v/>
      </c>
      <c r="M30" s="16" t="str">
        <f aca="false">IF($C30="","",IF($G30="Einstaklingsbundið",IFERROR(IF(INDEX('Undirviðmiðalisti (Lýsigögn)'!I$42:I$58,MATCH($C30,'Undirviðmiðalisti (Lýsigögn)'!$C$42:$C$58,0))="","",INDEX('Undirviðmiðalisti (Lýsigögn)'!I$42:I$58,MATCH($C30,'Undirviðmiðalisti (Lýsigögn)'!$C$42:$C$58,0))),""),IFERROR(IF(INDEX('Undirviðmiðalisti (Lýsigögn)'!I$6:I$41,MATCH($C30,'Undirviðmiðalisti (Lýsigögn)'!$C$6:$C$41,0))="","",INDEX('Undirviðmiðalisti (Lýsigögn)'!I$6:I$41,MATCH($C30,'Undirviðmiðalisti (Lýsigögn)'!$C$6:$C$41,0))),IFERROR(IF(INDEX('Undirviðmiðalisti (Lýsigögn)'!I$42:I$58,MATCH($C30,'Undirviðmiðalisti (Lýsigögn)'!$C$42:$C$58,0))="","",INDEX('Undirviðmiðalisti (Lýsigögn)'!I$42:I$58,MATCH($C30,'Undirviðmiðalisti (Lýsigögn)'!$C$42:$C$58,0))),""))))</f>
        <v/>
      </c>
      <c r="N30" s="16" t="str">
        <f aca="false">IF($C30="","",IF($G30="Einstaklingsbundið",IFERROR(IF(INDEX('Undirviðmiðalisti (Lýsigögn)'!J$42:J$58,MATCH($C30,'Undirviðmiðalisti (Lýsigögn)'!$C$42:$C$58,0))="","",INDEX('Undirviðmiðalisti (Lýsigögn)'!J$42:J$58,MATCH($C30,'Undirviðmiðalisti (Lýsigögn)'!$C$42:$C$58,0))),""),IFERROR(IF(INDEX('Undirviðmiðalisti (Lýsigögn)'!J$6:J$41,MATCH($C30,'Undirviðmiðalisti (Lýsigögn)'!$C$6:$C$41,0))="","",INDEX('Undirviðmiðalisti (Lýsigögn)'!J$6:J$41,MATCH($C30,'Undirviðmiðalisti (Lýsigögn)'!$C$6:$C$41,0))),IFERROR(IF(INDEX('Undirviðmiðalisti (Lýsigögn)'!J$42:J$58,MATCH($C30,'Undirviðmiðalisti (Lýsigögn)'!$C$42:$C$58,0))="","",INDEX('Undirviðmiðalisti (Lýsigögn)'!J$42:J$58,MATCH($C30,'Undirviðmiðalisti (Lýsigögn)'!$C$42:$C$58,0))),""))))</f>
        <v/>
      </c>
      <c r="O30" s="16" t="str">
        <f aca="false">IF($C30="","",IF($G30="Einstaklingsbundið",IFERROR(IF(INDEX('Undirviðmiðalisti (Lýsigögn)'!K$42:K$58,MATCH($C30,'Undirviðmiðalisti (Lýsigögn)'!$C$42:$C$58,0))="","",INDEX('Undirviðmiðalisti (Lýsigögn)'!K$42:K$58,MATCH($C30,'Undirviðmiðalisti (Lýsigögn)'!$C$42:$C$58,0))),""),IFERROR(IF(INDEX('Undirviðmiðalisti (Lýsigögn)'!K$6:K$41,MATCH($C30,'Undirviðmiðalisti (Lýsigögn)'!$C$6:$C$41,0))="","",INDEX('Undirviðmiðalisti (Lýsigögn)'!K$6:K$41,MATCH($C30,'Undirviðmiðalisti (Lýsigögn)'!$C$6:$C$41,0))),IFERROR(IF(INDEX('Undirviðmiðalisti (Lýsigögn)'!K$42:K$58,MATCH($C30,'Undirviðmiðalisti (Lýsigögn)'!$C$42:$C$58,0))="","",INDEX('Undirviðmiðalisti (Lýsigögn)'!K$42:K$58,MATCH($C30,'Undirviðmiðalisti (Lýsigögn)'!$C$42:$C$58,0))),""))))</f>
        <v/>
      </c>
      <c r="P30" s="16" t="str">
        <f aca="false">IF($C30="","",IF($G30="Einstaklingsbundið",IFERROR(IF(INDEX('Undirviðmiðalisti (Lýsigögn)'!L$42:L$58,MATCH($C30,'Undirviðmiðalisti (Lýsigögn)'!$C$42:$C$58,0))="","",INDEX('Undirviðmiðalisti (Lýsigögn)'!L$42:L$58,MATCH($C30,'Undirviðmiðalisti (Lýsigögn)'!$C$42:$C$58,0))),""),IFERROR(IF(INDEX('Undirviðmiðalisti (Lýsigögn)'!L$6:L$41,MATCH($C30,'Undirviðmiðalisti (Lýsigögn)'!$C$6:$C$41,0))="","",INDEX('Undirviðmiðalisti (Lýsigögn)'!L$6:L$41,MATCH($C30,'Undirviðmiðalisti (Lýsigögn)'!$C$6:$C$41,0))),IFERROR(IF(INDEX('Undirviðmiðalisti (Lýsigögn)'!L$42:L$58,MATCH($C30,'Undirviðmiðalisti (Lýsigögn)'!$C$42:$C$58,0))="","",INDEX('Undirviðmiðalisti (Lýsigögn)'!L$42:L$58,MATCH($C30,'Undirviðmiðalisti (Lýsigögn)'!$C$42:$C$58,0))),""))))</f>
        <v/>
      </c>
      <c r="Q30" s="16" t="str">
        <f aca="false">IF($C30="","",IF($G30="Einstaklingsbundið",IFERROR(IF(INDEX('Undirviðmiðalisti (Lýsigögn)'!M$42:M$58,MATCH($C30,'Undirviðmiðalisti (Lýsigögn)'!$C$42:$C$58,0))="","",INDEX('Undirviðmiðalisti (Lýsigögn)'!M$42:M$58,MATCH($C30,'Undirviðmiðalisti (Lýsigögn)'!$C$42:$C$58,0))),""),IFERROR(IF(INDEX('Undirviðmiðalisti (Lýsigögn)'!M$6:M$41,MATCH($C30,'Undirviðmiðalisti (Lýsigögn)'!$C$6:$C$41,0))="","",INDEX('Undirviðmiðalisti (Lýsigögn)'!M$6:M$41,MATCH($C30,'Undirviðmiðalisti (Lýsigögn)'!$C$6:$C$41,0))),IFERROR(IF(INDEX('Undirviðmiðalisti (Lýsigögn)'!M$42:M$58,MATCH($C30,'Undirviðmiðalisti (Lýsigögn)'!$C$42:$C$58,0))="","",INDEX('Undirviðmiðalisti (Lýsigögn)'!M$42:M$58,MATCH($C30,'Undirviðmiðalisti (Lýsigögn)'!$C$42:$C$58,0))),""))))</f>
        <v/>
      </c>
    </row>
    <row r="31" customFormat="false" ht="15" hidden="false" customHeight="true" outlineLevel="0" collapsed="false">
      <c r="A31" s="22" t="str">
        <f aca="false">IF($B31="","",ROW()-5)</f>
        <v/>
      </c>
      <c r="B31" s="15"/>
      <c r="C31" s="15"/>
      <c r="D31" s="16" t="str">
        <f aca="false">IF($C31="","",IF($G31="Einstaklingsbundið",IFERROR(IF(INDEX('Undirviðmiðalisti (Lýsigögn)'!$D$42:$D$58,MATCH($C31,'Undirviðmiðalisti (Lýsigögn)'!$C$42:$C$58,0))="","",INDEX('Undirviðmiðalisti (Lýsigögn)'!$D$42:$D$58,MATCH($C31,'Undirviðmiðalisti (Lýsigögn)'!$C$42:$C$58,0))),""),IFERROR(IF(INDEX('Undirviðmiðalisti (Lýsigögn)'!$D$6:$D$41,MATCH($C31,'Undirviðmiðalisti (Lýsigögn)'!$C$6:$C$41,0))="","",INDEX('Undirviðmiðalisti (Lýsigögn)'!$D$6:$D$41,MATCH($C31,'Undirviðmiðalisti (Lýsigögn)'!$C$6:$C$41,0))),IFERROR(IF(INDEX('Undirviðmiðalisti (Lýsigögn)'!$D$42:$D$58,MATCH($C31,'Undirviðmiðalisti (Lýsigögn)'!$C$42:$C$58,0))="","",INDEX('Undirviðmiðalisti (Lýsigögn)'!$D$42:$D$58,MATCH($C31,'Undirviðmiðalisti (Lýsigögn)'!$C$42:$C$58,0))),""))))</f>
        <v/>
      </c>
      <c r="E31" s="14"/>
      <c r="F31" s="23" t="str">
        <f aca="false">IF($C31="","",IF($G31="Einstaklingsbundið",IFERROR(IF(INDEX('Undirviðmiðalisti (Lýsigögn)'!$E$42:$E$58,MATCH($C31,'Undirviðmiðalisti (Lýsigögn)'!$C$42:$C$58,0))="","",INDEX('Undirviðmiðalisti (Lýsigögn)'!$E$42:$E$58,MATCH($C31,'Undirviðmiðalisti (Lýsigögn)'!$C$42:$C$58,0))),""),IFERROR(IF(INDEX('Undirviðmiðalisti (Lýsigögn)'!$E$6:$E$41,MATCH($C31,'Undirviðmiðalisti (Lýsigögn)'!$C$6:$C$41,0))="","",INDEX('Undirviðmiðalisti (Lýsigögn)'!$E$6:$E$41,MATCH($C31,'Undirviðmiðalisti (Lýsigögn)'!$C$6:$C$41,0))),IFERROR(IF(INDEX('Undirviðmiðalisti (Lýsigögn)'!$E$42:$E$58,MATCH($C31,'Undirviðmiðalisti (Lýsigögn)'!$C$42:$C$58,0))="","",INDEX('Undirviðmiðalisti (Lýsigögn)'!$E$42:$E$58,MATCH($C31,'Undirviðmiðalisti (Lýsigögn)'!$C$42:$C$58,0))),""))))</f>
        <v/>
      </c>
      <c r="G31" s="24" t="str">
        <f aca="false">IFERROR(IF(B31="","",INDEX(Viðmið!$B$6:$B$10,MATCH(B31,Viðmið!$C$6:$C$10,0))),"")</f>
        <v/>
      </c>
      <c r="H31" s="25" t="str">
        <f aca="false">IF(OR(E31="",F31=""),"",E31*KVARDI)</f>
        <v/>
      </c>
      <c r="I31" s="26" t="str">
        <f aca="false">IF(B31="","",IF(ROUND(SUMIF($B$6:$B$205,B31,$E$6:$E$205),4)=ROUND(IFERROR(INDEX(Viðmið!$E$6:$E$10,MATCH(B31,Viðmið!$C$6:$C$10,0)),-1),4),"✓","✗"))</f>
        <v/>
      </c>
      <c r="J31" s="16" t="str">
        <f aca="false">IF($C31="","",IF($G31="Einstaklingsbundið",IFERROR(IF(INDEX('Undirviðmiðalisti (Lýsigögn)'!F$42:F$58,MATCH($C31,'Undirviðmiðalisti (Lýsigögn)'!$C$42:$C$58,0))="","",INDEX('Undirviðmiðalisti (Lýsigögn)'!F$42:F$58,MATCH($C31,'Undirviðmiðalisti (Lýsigögn)'!$C$42:$C$58,0))),""),IFERROR(IF(INDEX('Undirviðmiðalisti (Lýsigögn)'!F$6:F$41,MATCH($C31,'Undirviðmiðalisti (Lýsigögn)'!$C$6:$C$41,0))="","",INDEX('Undirviðmiðalisti (Lýsigögn)'!F$6:F$41,MATCH($C31,'Undirviðmiðalisti (Lýsigögn)'!$C$6:$C$41,0))),IFERROR(IF(INDEX('Undirviðmiðalisti (Lýsigögn)'!F$42:F$58,MATCH($C31,'Undirviðmiðalisti (Lýsigögn)'!$C$42:$C$58,0))="","",INDEX('Undirviðmiðalisti (Lýsigögn)'!F$42:F$58,MATCH($C31,'Undirviðmiðalisti (Lýsigögn)'!$C$42:$C$58,0))),""))))</f>
        <v/>
      </c>
      <c r="K31" s="16" t="str">
        <f aca="false">IF($C31="","",IF($G31="Einstaklingsbundið",IFERROR(IF(INDEX('Undirviðmiðalisti (Lýsigögn)'!G$42:G$58,MATCH($C31,'Undirviðmiðalisti (Lýsigögn)'!$C$42:$C$58,0))="","",INDEX('Undirviðmiðalisti (Lýsigögn)'!G$42:G$58,MATCH($C31,'Undirviðmiðalisti (Lýsigögn)'!$C$42:$C$58,0))),""),IFERROR(IF(INDEX('Undirviðmiðalisti (Lýsigögn)'!G$6:G$41,MATCH($C31,'Undirviðmiðalisti (Lýsigögn)'!$C$6:$C$41,0))="","",INDEX('Undirviðmiðalisti (Lýsigögn)'!G$6:G$41,MATCH($C31,'Undirviðmiðalisti (Lýsigögn)'!$C$6:$C$41,0))),IFERROR(IF(INDEX('Undirviðmiðalisti (Lýsigögn)'!G$42:G$58,MATCH($C31,'Undirviðmiðalisti (Lýsigögn)'!$C$42:$C$58,0))="","",INDEX('Undirviðmiðalisti (Lýsigögn)'!G$42:G$58,MATCH($C31,'Undirviðmiðalisti (Lýsigögn)'!$C$42:$C$58,0))),""))))</f>
        <v/>
      </c>
      <c r="L31" s="16" t="str">
        <f aca="false">IF($C31="","",IF($G31="Einstaklingsbundið",IFERROR(IF(INDEX('Undirviðmiðalisti (Lýsigögn)'!H$42:H$58,MATCH($C31,'Undirviðmiðalisti (Lýsigögn)'!$C$42:$C$58,0))="","",INDEX('Undirviðmiðalisti (Lýsigögn)'!H$42:H$58,MATCH($C31,'Undirviðmiðalisti (Lýsigögn)'!$C$42:$C$58,0))),""),IFERROR(IF(INDEX('Undirviðmiðalisti (Lýsigögn)'!H$6:H$41,MATCH($C31,'Undirviðmiðalisti (Lýsigögn)'!$C$6:$C$41,0))="","",INDEX('Undirviðmiðalisti (Lýsigögn)'!H$6:H$41,MATCH($C31,'Undirviðmiðalisti (Lýsigögn)'!$C$6:$C$41,0))),IFERROR(IF(INDEX('Undirviðmiðalisti (Lýsigögn)'!H$42:H$58,MATCH($C31,'Undirviðmiðalisti (Lýsigögn)'!$C$42:$C$58,0))="","",INDEX('Undirviðmiðalisti (Lýsigögn)'!H$42:H$58,MATCH($C31,'Undirviðmiðalisti (Lýsigögn)'!$C$42:$C$58,0))),""))))</f>
        <v/>
      </c>
      <c r="M31" s="16" t="str">
        <f aca="false">IF($C31="","",IF($G31="Einstaklingsbundið",IFERROR(IF(INDEX('Undirviðmiðalisti (Lýsigögn)'!I$42:I$58,MATCH($C31,'Undirviðmiðalisti (Lýsigögn)'!$C$42:$C$58,0))="","",INDEX('Undirviðmiðalisti (Lýsigögn)'!I$42:I$58,MATCH($C31,'Undirviðmiðalisti (Lýsigögn)'!$C$42:$C$58,0))),""),IFERROR(IF(INDEX('Undirviðmiðalisti (Lýsigögn)'!I$6:I$41,MATCH($C31,'Undirviðmiðalisti (Lýsigögn)'!$C$6:$C$41,0))="","",INDEX('Undirviðmiðalisti (Lýsigögn)'!I$6:I$41,MATCH($C31,'Undirviðmiðalisti (Lýsigögn)'!$C$6:$C$41,0))),IFERROR(IF(INDEX('Undirviðmiðalisti (Lýsigögn)'!I$42:I$58,MATCH($C31,'Undirviðmiðalisti (Lýsigögn)'!$C$42:$C$58,0))="","",INDEX('Undirviðmiðalisti (Lýsigögn)'!I$42:I$58,MATCH($C31,'Undirviðmiðalisti (Lýsigögn)'!$C$42:$C$58,0))),""))))</f>
        <v/>
      </c>
      <c r="N31" s="16" t="str">
        <f aca="false">IF($C31="","",IF($G31="Einstaklingsbundið",IFERROR(IF(INDEX('Undirviðmiðalisti (Lýsigögn)'!J$42:J$58,MATCH($C31,'Undirviðmiðalisti (Lýsigögn)'!$C$42:$C$58,0))="","",INDEX('Undirviðmiðalisti (Lýsigögn)'!J$42:J$58,MATCH($C31,'Undirviðmiðalisti (Lýsigögn)'!$C$42:$C$58,0))),""),IFERROR(IF(INDEX('Undirviðmiðalisti (Lýsigögn)'!J$6:J$41,MATCH($C31,'Undirviðmiðalisti (Lýsigögn)'!$C$6:$C$41,0))="","",INDEX('Undirviðmiðalisti (Lýsigögn)'!J$6:J$41,MATCH($C31,'Undirviðmiðalisti (Lýsigögn)'!$C$6:$C$41,0))),IFERROR(IF(INDEX('Undirviðmiðalisti (Lýsigögn)'!J$42:J$58,MATCH($C31,'Undirviðmiðalisti (Lýsigögn)'!$C$42:$C$58,0))="","",INDEX('Undirviðmiðalisti (Lýsigögn)'!J$42:J$58,MATCH($C31,'Undirviðmiðalisti (Lýsigögn)'!$C$42:$C$58,0))),""))))</f>
        <v/>
      </c>
      <c r="O31" s="16" t="str">
        <f aca="false">IF($C31="","",IF($G31="Einstaklingsbundið",IFERROR(IF(INDEX('Undirviðmiðalisti (Lýsigögn)'!K$42:K$58,MATCH($C31,'Undirviðmiðalisti (Lýsigögn)'!$C$42:$C$58,0))="","",INDEX('Undirviðmiðalisti (Lýsigögn)'!K$42:K$58,MATCH($C31,'Undirviðmiðalisti (Lýsigögn)'!$C$42:$C$58,0))),""),IFERROR(IF(INDEX('Undirviðmiðalisti (Lýsigögn)'!K$6:K$41,MATCH($C31,'Undirviðmiðalisti (Lýsigögn)'!$C$6:$C$41,0))="","",INDEX('Undirviðmiðalisti (Lýsigögn)'!K$6:K$41,MATCH($C31,'Undirviðmiðalisti (Lýsigögn)'!$C$6:$C$41,0))),IFERROR(IF(INDEX('Undirviðmiðalisti (Lýsigögn)'!K$42:K$58,MATCH($C31,'Undirviðmiðalisti (Lýsigögn)'!$C$42:$C$58,0))="","",INDEX('Undirviðmiðalisti (Lýsigögn)'!K$42:K$58,MATCH($C31,'Undirviðmiðalisti (Lýsigögn)'!$C$42:$C$58,0))),""))))</f>
        <v/>
      </c>
      <c r="P31" s="16" t="str">
        <f aca="false">IF($C31="","",IF($G31="Einstaklingsbundið",IFERROR(IF(INDEX('Undirviðmiðalisti (Lýsigögn)'!L$42:L$58,MATCH($C31,'Undirviðmiðalisti (Lýsigögn)'!$C$42:$C$58,0))="","",INDEX('Undirviðmiðalisti (Lýsigögn)'!L$42:L$58,MATCH($C31,'Undirviðmiðalisti (Lýsigögn)'!$C$42:$C$58,0))),""),IFERROR(IF(INDEX('Undirviðmiðalisti (Lýsigögn)'!L$6:L$41,MATCH($C31,'Undirviðmiðalisti (Lýsigögn)'!$C$6:$C$41,0))="","",INDEX('Undirviðmiðalisti (Lýsigögn)'!L$6:L$41,MATCH($C31,'Undirviðmiðalisti (Lýsigögn)'!$C$6:$C$41,0))),IFERROR(IF(INDEX('Undirviðmiðalisti (Lýsigögn)'!L$42:L$58,MATCH($C31,'Undirviðmiðalisti (Lýsigögn)'!$C$42:$C$58,0))="","",INDEX('Undirviðmiðalisti (Lýsigögn)'!L$42:L$58,MATCH($C31,'Undirviðmiðalisti (Lýsigögn)'!$C$42:$C$58,0))),""))))</f>
        <v/>
      </c>
      <c r="Q31" s="16" t="str">
        <f aca="false">IF($C31="","",IF($G31="Einstaklingsbundið",IFERROR(IF(INDEX('Undirviðmiðalisti (Lýsigögn)'!M$42:M$58,MATCH($C31,'Undirviðmiðalisti (Lýsigögn)'!$C$42:$C$58,0))="","",INDEX('Undirviðmiðalisti (Lýsigögn)'!M$42:M$58,MATCH($C31,'Undirviðmiðalisti (Lýsigögn)'!$C$42:$C$58,0))),""),IFERROR(IF(INDEX('Undirviðmiðalisti (Lýsigögn)'!M$6:M$41,MATCH($C31,'Undirviðmiðalisti (Lýsigögn)'!$C$6:$C$41,0))="","",INDEX('Undirviðmiðalisti (Lýsigögn)'!M$6:M$41,MATCH($C31,'Undirviðmiðalisti (Lýsigögn)'!$C$6:$C$41,0))),IFERROR(IF(INDEX('Undirviðmiðalisti (Lýsigögn)'!M$42:M$58,MATCH($C31,'Undirviðmiðalisti (Lýsigögn)'!$C$42:$C$58,0))="","",INDEX('Undirviðmiðalisti (Lýsigögn)'!M$42:M$58,MATCH($C31,'Undirviðmiðalisti (Lýsigögn)'!$C$42:$C$58,0))),""))))</f>
        <v/>
      </c>
    </row>
    <row r="32" customFormat="false" ht="15" hidden="false" customHeight="true" outlineLevel="0" collapsed="false">
      <c r="A32" s="22" t="str">
        <f aca="false">IF($B32="","",ROW()-5)</f>
        <v/>
      </c>
      <c r="B32" s="15"/>
      <c r="C32" s="15"/>
      <c r="D32" s="16" t="str">
        <f aca="false">IF($C32="","",IF($G32="Einstaklingsbundið",IFERROR(IF(INDEX('Undirviðmiðalisti (Lýsigögn)'!$D$42:$D$58,MATCH($C32,'Undirviðmiðalisti (Lýsigögn)'!$C$42:$C$58,0))="","",INDEX('Undirviðmiðalisti (Lýsigögn)'!$D$42:$D$58,MATCH($C32,'Undirviðmiðalisti (Lýsigögn)'!$C$42:$C$58,0))),""),IFERROR(IF(INDEX('Undirviðmiðalisti (Lýsigögn)'!$D$6:$D$41,MATCH($C32,'Undirviðmiðalisti (Lýsigögn)'!$C$6:$C$41,0))="","",INDEX('Undirviðmiðalisti (Lýsigögn)'!$D$6:$D$41,MATCH($C32,'Undirviðmiðalisti (Lýsigögn)'!$C$6:$C$41,0))),IFERROR(IF(INDEX('Undirviðmiðalisti (Lýsigögn)'!$D$42:$D$58,MATCH($C32,'Undirviðmiðalisti (Lýsigögn)'!$C$42:$C$58,0))="","",INDEX('Undirviðmiðalisti (Lýsigögn)'!$D$42:$D$58,MATCH($C32,'Undirviðmiðalisti (Lýsigögn)'!$C$42:$C$58,0))),""))))</f>
        <v/>
      </c>
      <c r="E32" s="14"/>
      <c r="F32" s="23" t="str">
        <f aca="false">IF($C32="","",IF($G32="Einstaklingsbundið",IFERROR(IF(INDEX('Undirviðmiðalisti (Lýsigögn)'!$E$42:$E$58,MATCH($C32,'Undirviðmiðalisti (Lýsigögn)'!$C$42:$C$58,0))="","",INDEX('Undirviðmiðalisti (Lýsigögn)'!$E$42:$E$58,MATCH($C32,'Undirviðmiðalisti (Lýsigögn)'!$C$42:$C$58,0))),""),IFERROR(IF(INDEX('Undirviðmiðalisti (Lýsigögn)'!$E$6:$E$41,MATCH($C32,'Undirviðmiðalisti (Lýsigögn)'!$C$6:$C$41,0))="","",INDEX('Undirviðmiðalisti (Lýsigögn)'!$E$6:$E$41,MATCH($C32,'Undirviðmiðalisti (Lýsigögn)'!$C$6:$C$41,0))),IFERROR(IF(INDEX('Undirviðmiðalisti (Lýsigögn)'!$E$42:$E$58,MATCH($C32,'Undirviðmiðalisti (Lýsigögn)'!$C$42:$C$58,0))="","",INDEX('Undirviðmiðalisti (Lýsigögn)'!$E$42:$E$58,MATCH($C32,'Undirviðmiðalisti (Lýsigögn)'!$C$42:$C$58,0))),""))))</f>
        <v/>
      </c>
      <c r="G32" s="24" t="str">
        <f aca="false">IFERROR(IF(B32="","",INDEX(Viðmið!$B$6:$B$10,MATCH(B32,Viðmið!$C$6:$C$10,0))),"")</f>
        <v/>
      </c>
      <c r="H32" s="25" t="str">
        <f aca="false">IF(OR(E32="",F32=""),"",E32*KVARDI)</f>
        <v/>
      </c>
      <c r="I32" s="26" t="str">
        <f aca="false">IF(B32="","",IF(ROUND(SUMIF($B$6:$B$205,B32,$E$6:$E$205),4)=ROUND(IFERROR(INDEX(Viðmið!$E$6:$E$10,MATCH(B32,Viðmið!$C$6:$C$10,0)),-1),4),"✓","✗"))</f>
        <v/>
      </c>
      <c r="J32" s="16" t="str">
        <f aca="false">IF($C32="","",IF($G32="Einstaklingsbundið",IFERROR(IF(INDEX('Undirviðmiðalisti (Lýsigögn)'!F$42:F$58,MATCH($C32,'Undirviðmiðalisti (Lýsigögn)'!$C$42:$C$58,0))="","",INDEX('Undirviðmiðalisti (Lýsigögn)'!F$42:F$58,MATCH($C32,'Undirviðmiðalisti (Lýsigögn)'!$C$42:$C$58,0))),""),IFERROR(IF(INDEX('Undirviðmiðalisti (Lýsigögn)'!F$6:F$41,MATCH($C32,'Undirviðmiðalisti (Lýsigögn)'!$C$6:$C$41,0))="","",INDEX('Undirviðmiðalisti (Lýsigögn)'!F$6:F$41,MATCH($C32,'Undirviðmiðalisti (Lýsigögn)'!$C$6:$C$41,0))),IFERROR(IF(INDEX('Undirviðmiðalisti (Lýsigögn)'!F$42:F$58,MATCH($C32,'Undirviðmiðalisti (Lýsigögn)'!$C$42:$C$58,0))="","",INDEX('Undirviðmiðalisti (Lýsigögn)'!F$42:F$58,MATCH($C32,'Undirviðmiðalisti (Lýsigögn)'!$C$42:$C$58,0))),""))))</f>
        <v/>
      </c>
      <c r="K32" s="16" t="str">
        <f aca="false">IF($C32="","",IF($G32="Einstaklingsbundið",IFERROR(IF(INDEX('Undirviðmiðalisti (Lýsigögn)'!G$42:G$58,MATCH($C32,'Undirviðmiðalisti (Lýsigögn)'!$C$42:$C$58,0))="","",INDEX('Undirviðmiðalisti (Lýsigögn)'!G$42:G$58,MATCH($C32,'Undirviðmiðalisti (Lýsigögn)'!$C$42:$C$58,0))),""),IFERROR(IF(INDEX('Undirviðmiðalisti (Lýsigögn)'!G$6:G$41,MATCH($C32,'Undirviðmiðalisti (Lýsigögn)'!$C$6:$C$41,0))="","",INDEX('Undirviðmiðalisti (Lýsigögn)'!G$6:G$41,MATCH($C32,'Undirviðmiðalisti (Lýsigögn)'!$C$6:$C$41,0))),IFERROR(IF(INDEX('Undirviðmiðalisti (Lýsigögn)'!G$42:G$58,MATCH($C32,'Undirviðmiðalisti (Lýsigögn)'!$C$42:$C$58,0))="","",INDEX('Undirviðmiðalisti (Lýsigögn)'!G$42:G$58,MATCH($C32,'Undirviðmiðalisti (Lýsigögn)'!$C$42:$C$58,0))),""))))</f>
        <v/>
      </c>
      <c r="L32" s="16" t="str">
        <f aca="false">IF($C32="","",IF($G32="Einstaklingsbundið",IFERROR(IF(INDEX('Undirviðmiðalisti (Lýsigögn)'!H$42:H$58,MATCH($C32,'Undirviðmiðalisti (Lýsigögn)'!$C$42:$C$58,0))="","",INDEX('Undirviðmiðalisti (Lýsigögn)'!H$42:H$58,MATCH($C32,'Undirviðmiðalisti (Lýsigögn)'!$C$42:$C$58,0))),""),IFERROR(IF(INDEX('Undirviðmiðalisti (Lýsigögn)'!H$6:H$41,MATCH($C32,'Undirviðmiðalisti (Lýsigögn)'!$C$6:$C$41,0))="","",INDEX('Undirviðmiðalisti (Lýsigögn)'!H$6:H$41,MATCH($C32,'Undirviðmiðalisti (Lýsigögn)'!$C$6:$C$41,0))),IFERROR(IF(INDEX('Undirviðmiðalisti (Lýsigögn)'!H$42:H$58,MATCH($C32,'Undirviðmiðalisti (Lýsigögn)'!$C$42:$C$58,0))="","",INDEX('Undirviðmiðalisti (Lýsigögn)'!H$42:H$58,MATCH($C32,'Undirviðmiðalisti (Lýsigögn)'!$C$42:$C$58,0))),""))))</f>
        <v/>
      </c>
      <c r="M32" s="16" t="str">
        <f aca="false">IF($C32="","",IF($G32="Einstaklingsbundið",IFERROR(IF(INDEX('Undirviðmiðalisti (Lýsigögn)'!I$42:I$58,MATCH($C32,'Undirviðmiðalisti (Lýsigögn)'!$C$42:$C$58,0))="","",INDEX('Undirviðmiðalisti (Lýsigögn)'!I$42:I$58,MATCH($C32,'Undirviðmiðalisti (Lýsigögn)'!$C$42:$C$58,0))),""),IFERROR(IF(INDEX('Undirviðmiðalisti (Lýsigögn)'!I$6:I$41,MATCH($C32,'Undirviðmiðalisti (Lýsigögn)'!$C$6:$C$41,0))="","",INDEX('Undirviðmiðalisti (Lýsigögn)'!I$6:I$41,MATCH($C32,'Undirviðmiðalisti (Lýsigögn)'!$C$6:$C$41,0))),IFERROR(IF(INDEX('Undirviðmiðalisti (Lýsigögn)'!I$42:I$58,MATCH($C32,'Undirviðmiðalisti (Lýsigögn)'!$C$42:$C$58,0))="","",INDEX('Undirviðmiðalisti (Lýsigögn)'!I$42:I$58,MATCH($C32,'Undirviðmiðalisti (Lýsigögn)'!$C$42:$C$58,0))),""))))</f>
        <v/>
      </c>
      <c r="N32" s="16" t="str">
        <f aca="false">IF($C32="","",IF($G32="Einstaklingsbundið",IFERROR(IF(INDEX('Undirviðmiðalisti (Lýsigögn)'!J$42:J$58,MATCH($C32,'Undirviðmiðalisti (Lýsigögn)'!$C$42:$C$58,0))="","",INDEX('Undirviðmiðalisti (Lýsigögn)'!J$42:J$58,MATCH($C32,'Undirviðmiðalisti (Lýsigögn)'!$C$42:$C$58,0))),""),IFERROR(IF(INDEX('Undirviðmiðalisti (Lýsigögn)'!J$6:J$41,MATCH($C32,'Undirviðmiðalisti (Lýsigögn)'!$C$6:$C$41,0))="","",INDEX('Undirviðmiðalisti (Lýsigögn)'!J$6:J$41,MATCH($C32,'Undirviðmiðalisti (Lýsigögn)'!$C$6:$C$41,0))),IFERROR(IF(INDEX('Undirviðmiðalisti (Lýsigögn)'!J$42:J$58,MATCH($C32,'Undirviðmiðalisti (Lýsigögn)'!$C$42:$C$58,0))="","",INDEX('Undirviðmiðalisti (Lýsigögn)'!J$42:J$58,MATCH($C32,'Undirviðmiðalisti (Lýsigögn)'!$C$42:$C$58,0))),""))))</f>
        <v/>
      </c>
      <c r="O32" s="16" t="str">
        <f aca="false">IF($C32="","",IF($G32="Einstaklingsbundið",IFERROR(IF(INDEX('Undirviðmiðalisti (Lýsigögn)'!K$42:K$58,MATCH($C32,'Undirviðmiðalisti (Lýsigögn)'!$C$42:$C$58,0))="","",INDEX('Undirviðmiðalisti (Lýsigögn)'!K$42:K$58,MATCH($C32,'Undirviðmiðalisti (Lýsigögn)'!$C$42:$C$58,0))),""),IFERROR(IF(INDEX('Undirviðmiðalisti (Lýsigögn)'!K$6:K$41,MATCH($C32,'Undirviðmiðalisti (Lýsigögn)'!$C$6:$C$41,0))="","",INDEX('Undirviðmiðalisti (Lýsigögn)'!K$6:K$41,MATCH($C32,'Undirviðmiðalisti (Lýsigögn)'!$C$6:$C$41,0))),IFERROR(IF(INDEX('Undirviðmiðalisti (Lýsigögn)'!K$42:K$58,MATCH($C32,'Undirviðmiðalisti (Lýsigögn)'!$C$42:$C$58,0))="","",INDEX('Undirviðmiðalisti (Lýsigögn)'!K$42:K$58,MATCH($C32,'Undirviðmiðalisti (Lýsigögn)'!$C$42:$C$58,0))),""))))</f>
        <v/>
      </c>
      <c r="P32" s="16" t="str">
        <f aca="false">IF($C32="","",IF($G32="Einstaklingsbundið",IFERROR(IF(INDEX('Undirviðmiðalisti (Lýsigögn)'!L$42:L$58,MATCH($C32,'Undirviðmiðalisti (Lýsigögn)'!$C$42:$C$58,0))="","",INDEX('Undirviðmiðalisti (Lýsigögn)'!L$42:L$58,MATCH($C32,'Undirviðmiðalisti (Lýsigögn)'!$C$42:$C$58,0))),""),IFERROR(IF(INDEX('Undirviðmiðalisti (Lýsigögn)'!L$6:L$41,MATCH($C32,'Undirviðmiðalisti (Lýsigögn)'!$C$6:$C$41,0))="","",INDEX('Undirviðmiðalisti (Lýsigögn)'!L$6:L$41,MATCH($C32,'Undirviðmiðalisti (Lýsigögn)'!$C$6:$C$41,0))),IFERROR(IF(INDEX('Undirviðmiðalisti (Lýsigögn)'!L$42:L$58,MATCH($C32,'Undirviðmiðalisti (Lýsigögn)'!$C$42:$C$58,0))="","",INDEX('Undirviðmiðalisti (Lýsigögn)'!L$42:L$58,MATCH($C32,'Undirviðmiðalisti (Lýsigögn)'!$C$42:$C$58,0))),""))))</f>
        <v/>
      </c>
      <c r="Q32" s="16" t="str">
        <f aca="false">IF($C32="","",IF($G32="Einstaklingsbundið",IFERROR(IF(INDEX('Undirviðmiðalisti (Lýsigögn)'!M$42:M$58,MATCH($C32,'Undirviðmiðalisti (Lýsigögn)'!$C$42:$C$58,0))="","",INDEX('Undirviðmiðalisti (Lýsigögn)'!M$42:M$58,MATCH($C32,'Undirviðmiðalisti (Lýsigögn)'!$C$42:$C$58,0))),""),IFERROR(IF(INDEX('Undirviðmiðalisti (Lýsigögn)'!M$6:M$41,MATCH($C32,'Undirviðmiðalisti (Lýsigögn)'!$C$6:$C$41,0))="","",INDEX('Undirviðmiðalisti (Lýsigögn)'!M$6:M$41,MATCH($C32,'Undirviðmiðalisti (Lýsigögn)'!$C$6:$C$41,0))),IFERROR(IF(INDEX('Undirviðmiðalisti (Lýsigögn)'!M$42:M$58,MATCH($C32,'Undirviðmiðalisti (Lýsigögn)'!$C$42:$C$58,0))="","",INDEX('Undirviðmiðalisti (Lýsigögn)'!M$42:M$58,MATCH($C32,'Undirviðmiðalisti (Lýsigögn)'!$C$42:$C$58,0))),""))))</f>
        <v/>
      </c>
    </row>
    <row r="33" customFormat="false" ht="15" hidden="false" customHeight="true" outlineLevel="0" collapsed="false">
      <c r="A33" s="22" t="str">
        <f aca="false">IF($B33="","",ROW()-5)</f>
        <v/>
      </c>
      <c r="B33" s="15"/>
      <c r="C33" s="15"/>
      <c r="D33" s="16" t="str">
        <f aca="false">IF($C33="","",IF($G33="Einstaklingsbundið",IFERROR(IF(INDEX('Undirviðmiðalisti (Lýsigögn)'!$D$42:$D$58,MATCH($C33,'Undirviðmiðalisti (Lýsigögn)'!$C$42:$C$58,0))="","",INDEX('Undirviðmiðalisti (Lýsigögn)'!$D$42:$D$58,MATCH($C33,'Undirviðmiðalisti (Lýsigögn)'!$C$42:$C$58,0))),""),IFERROR(IF(INDEX('Undirviðmiðalisti (Lýsigögn)'!$D$6:$D$41,MATCH($C33,'Undirviðmiðalisti (Lýsigögn)'!$C$6:$C$41,0))="","",INDEX('Undirviðmiðalisti (Lýsigögn)'!$D$6:$D$41,MATCH($C33,'Undirviðmiðalisti (Lýsigögn)'!$C$6:$C$41,0))),IFERROR(IF(INDEX('Undirviðmiðalisti (Lýsigögn)'!$D$42:$D$58,MATCH($C33,'Undirviðmiðalisti (Lýsigögn)'!$C$42:$C$58,0))="","",INDEX('Undirviðmiðalisti (Lýsigögn)'!$D$42:$D$58,MATCH($C33,'Undirviðmiðalisti (Lýsigögn)'!$C$42:$C$58,0))),""))))</f>
        <v/>
      </c>
      <c r="E33" s="14"/>
      <c r="F33" s="23" t="str">
        <f aca="false">IF($C33="","",IF($G33="Einstaklingsbundið",IFERROR(IF(INDEX('Undirviðmiðalisti (Lýsigögn)'!$E$42:$E$58,MATCH($C33,'Undirviðmiðalisti (Lýsigögn)'!$C$42:$C$58,0))="","",INDEX('Undirviðmiðalisti (Lýsigögn)'!$E$42:$E$58,MATCH($C33,'Undirviðmiðalisti (Lýsigögn)'!$C$42:$C$58,0))),""),IFERROR(IF(INDEX('Undirviðmiðalisti (Lýsigögn)'!$E$6:$E$41,MATCH($C33,'Undirviðmiðalisti (Lýsigögn)'!$C$6:$C$41,0))="","",INDEX('Undirviðmiðalisti (Lýsigögn)'!$E$6:$E$41,MATCH($C33,'Undirviðmiðalisti (Lýsigögn)'!$C$6:$C$41,0))),IFERROR(IF(INDEX('Undirviðmiðalisti (Lýsigögn)'!$E$42:$E$58,MATCH($C33,'Undirviðmiðalisti (Lýsigögn)'!$C$42:$C$58,0))="","",INDEX('Undirviðmiðalisti (Lýsigögn)'!$E$42:$E$58,MATCH($C33,'Undirviðmiðalisti (Lýsigögn)'!$C$42:$C$58,0))),""))))</f>
        <v/>
      </c>
      <c r="G33" s="24" t="str">
        <f aca="false">IFERROR(IF(B33="","",INDEX(Viðmið!$B$6:$B$10,MATCH(B33,Viðmið!$C$6:$C$10,0))),"")</f>
        <v/>
      </c>
      <c r="H33" s="25" t="str">
        <f aca="false">IF(OR(E33="",F33=""),"",E33*KVARDI)</f>
        <v/>
      </c>
      <c r="I33" s="26" t="str">
        <f aca="false">IF(B33="","",IF(ROUND(SUMIF($B$6:$B$205,B33,$E$6:$E$205),4)=ROUND(IFERROR(INDEX(Viðmið!$E$6:$E$10,MATCH(B33,Viðmið!$C$6:$C$10,0)),-1),4),"✓","✗"))</f>
        <v/>
      </c>
      <c r="J33" s="16" t="str">
        <f aca="false">IF($C33="","",IF($G33="Einstaklingsbundið",IFERROR(IF(INDEX('Undirviðmiðalisti (Lýsigögn)'!F$42:F$58,MATCH($C33,'Undirviðmiðalisti (Lýsigögn)'!$C$42:$C$58,0))="","",INDEX('Undirviðmiðalisti (Lýsigögn)'!F$42:F$58,MATCH($C33,'Undirviðmiðalisti (Lýsigögn)'!$C$42:$C$58,0))),""),IFERROR(IF(INDEX('Undirviðmiðalisti (Lýsigögn)'!F$6:F$41,MATCH($C33,'Undirviðmiðalisti (Lýsigögn)'!$C$6:$C$41,0))="","",INDEX('Undirviðmiðalisti (Lýsigögn)'!F$6:F$41,MATCH($C33,'Undirviðmiðalisti (Lýsigögn)'!$C$6:$C$41,0))),IFERROR(IF(INDEX('Undirviðmiðalisti (Lýsigögn)'!F$42:F$58,MATCH($C33,'Undirviðmiðalisti (Lýsigögn)'!$C$42:$C$58,0))="","",INDEX('Undirviðmiðalisti (Lýsigögn)'!F$42:F$58,MATCH($C33,'Undirviðmiðalisti (Lýsigögn)'!$C$42:$C$58,0))),""))))</f>
        <v/>
      </c>
      <c r="K33" s="16" t="str">
        <f aca="false">IF($C33="","",IF($G33="Einstaklingsbundið",IFERROR(IF(INDEX('Undirviðmiðalisti (Lýsigögn)'!G$42:G$58,MATCH($C33,'Undirviðmiðalisti (Lýsigögn)'!$C$42:$C$58,0))="","",INDEX('Undirviðmiðalisti (Lýsigögn)'!G$42:G$58,MATCH($C33,'Undirviðmiðalisti (Lýsigögn)'!$C$42:$C$58,0))),""),IFERROR(IF(INDEX('Undirviðmiðalisti (Lýsigögn)'!G$6:G$41,MATCH($C33,'Undirviðmiðalisti (Lýsigögn)'!$C$6:$C$41,0))="","",INDEX('Undirviðmiðalisti (Lýsigögn)'!G$6:G$41,MATCH($C33,'Undirviðmiðalisti (Lýsigögn)'!$C$6:$C$41,0))),IFERROR(IF(INDEX('Undirviðmiðalisti (Lýsigögn)'!G$42:G$58,MATCH($C33,'Undirviðmiðalisti (Lýsigögn)'!$C$42:$C$58,0))="","",INDEX('Undirviðmiðalisti (Lýsigögn)'!G$42:G$58,MATCH($C33,'Undirviðmiðalisti (Lýsigögn)'!$C$42:$C$58,0))),""))))</f>
        <v/>
      </c>
      <c r="L33" s="16" t="str">
        <f aca="false">IF($C33="","",IF($G33="Einstaklingsbundið",IFERROR(IF(INDEX('Undirviðmiðalisti (Lýsigögn)'!H$42:H$58,MATCH($C33,'Undirviðmiðalisti (Lýsigögn)'!$C$42:$C$58,0))="","",INDEX('Undirviðmiðalisti (Lýsigögn)'!H$42:H$58,MATCH($C33,'Undirviðmiðalisti (Lýsigögn)'!$C$42:$C$58,0))),""),IFERROR(IF(INDEX('Undirviðmiðalisti (Lýsigögn)'!H$6:H$41,MATCH($C33,'Undirviðmiðalisti (Lýsigögn)'!$C$6:$C$41,0))="","",INDEX('Undirviðmiðalisti (Lýsigögn)'!H$6:H$41,MATCH($C33,'Undirviðmiðalisti (Lýsigögn)'!$C$6:$C$41,0))),IFERROR(IF(INDEX('Undirviðmiðalisti (Lýsigögn)'!H$42:H$58,MATCH($C33,'Undirviðmiðalisti (Lýsigögn)'!$C$42:$C$58,0))="","",INDEX('Undirviðmiðalisti (Lýsigögn)'!H$42:H$58,MATCH($C33,'Undirviðmiðalisti (Lýsigögn)'!$C$42:$C$58,0))),""))))</f>
        <v/>
      </c>
      <c r="M33" s="16" t="str">
        <f aca="false">IF($C33="","",IF($G33="Einstaklingsbundið",IFERROR(IF(INDEX('Undirviðmiðalisti (Lýsigögn)'!I$42:I$58,MATCH($C33,'Undirviðmiðalisti (Lýsigögn)'!$C$42:$C$58,0))="","",INDEX('Undirviðmiðalisti (Lýsigögn)'!I$42:I$58,MATCH($C33,'Undirviðmiðalisti (Lýsigögn)'!$C$42:$C$58,0))),""),IFERROR(IF(INDEX('Undirviðmiðalisti (Lýsigögn)'!I$6:I$41,MATCH($C33,'Undirviðmiðalisti (Lýsigögn)'!$C$6:$C$41,0))="","",INDEX('Undirviðmiðalisti (Lýsigögn)'!I$6:I$41,MATCH($C33,'Undirviðmiðalisti (Lýsigögn)'!$C$6:$C$41,0))),IFERROR(IF(INDEX('Undirviðmiðalisti (Lýsigögn)'!I$42:I$58,MATCH($C33,'Undirviðmiðalisti (Lýsigögn)'!$C$42:$C$58,0))="","",INDEX('Undirviðmiðalisti (Lýsigögn)'!I$42:I$58,MATCH($C33,'Undirviðmiðalisti (Lýsigögn)'!$C$42:$C$58,0))),""))))</f>
        <v/>
      </c>
      <c r="N33" s="16" t="str">
        <f aca="false">IF($C33="","",IF($G33="Einstaklingsbundið",IFERROR(IF(INDEX('Undirviðmiðalisti (Lýsigögn)'!J$42:J$58,MATCH($C33,'Undirviðmiðalisti (Lýsigögn)'!$C$42:$C$58,0))="","",INDEX('Undirviðmiðalisti (Lýsigögn)'!J$42:J$58,MATCH($C33,'Undirviðmiðalisti (Lýsigögn)'!$C$42:$C$58,0))),""),IFERROR(IF(INDEX('Undirviðmiðalisti (Lýsigögn)'!J$6:J$41,MATCH($C33,'Undirviðmiðalisti (Lýsigögn)'!$C$6:$C$41,0))="","",INDEX('Undirviðmiðalisti (Lýsigögn)'!J$6:J$41,MATCH($C33,'Undirviðmiðalisti (Lýsigögn)'!$C$6:$C$41,0))),IFERROR(IF(INDEX('Undirviðmiðalisti (Lýsigögn)'!J$42:J$58,MATCH($C33,'Undirviðmiðalisti (Lýsigögn)'!$C$42:$C$58,0))="","",INDEX('Undirviðmiðalisti (Lýsigögn)'!J$42:J$58,MATCH($C33,'Undirviðmiðalisti (Lýsigögn)'!$C$42:$C$58,0))),""))))</f>
        <v/>
      </c>
      <c r="O33" s="16" t="str">
        <f aca="false">IF($C33="","",IF($G33="Einstaklingsbundið",IFERROR(IF(INDEX('Undirviðmiðalisti (Lýsigögn)'!K$42:K$58,MATCH($C33,'Undirviðmiðalisti (Lýsigögn)'!$C$42:$C$58,0))="","",INDEX('Undirviðmiðalisti (Lýsigögn)'!K$42:K$58,MATCH($C33,'Undirviðmiðalisti (Lýsigögn)'!$C$42:$C$58,0))),""),IFERROR(IF(INDEX('Undirviðmiðalisti (Lýsigögn)'!K$6:K$41,MATCH($C33,'Undirviðmiðalisti (Lýsigögn)'!$C$6:$C$41,0))="","",INDEX('Undirviðmiðalisti (Lýsigögn)'!K$6:K$41,MATCH($C33,'Undirviðmiðalisti (Lýsigögn)'!$C$6:$C$41,0))),IFERROR(IF(INDEX('Undirviðmiðalisti (Lýsigögn)'!K$42:K$58,MATCH($C33,'Undirviðmiðalisti (Lýsigögn)'!$C$42:$C$58,0))="","",INDEX('Undirviðmiðalisti (Lýsigögn)'!K$42:K$58,MATCH($C33,'Undirviðmiðalisti (Lýsigögn)'!$C$42:$C$58,0))),""))))</f>
        <v/>
      </c>
      <c r="P33" s="16" t="str">
        <f aca="false">IF($C33="","",IF($G33="Einstaklingsbundið",IFERROR(IF(INDEX('Undirviðmiðalisti (Lýsigögn)'!L$42:L$58,MATCH($C33,'Undirviðmiðalisti (Lýsigögn)'!$C$42:$C$58,0))="","",INDEX('Undirviðmiðalisti (Lýsigögn)'!L$42:L$58,MATCH($C33,'Undirviðmiðalisti (Lýsigögn)'!$C$42:$C$58,0))),""),IFERROR(IF(INDEX('Undirviðmiðalisti (Lýsigögn)'!L$6:L$41,MATCH($C33,'Undirviðmiðalisti (Lýsigögn)'!$C$6:$C$41,0))="","",INDEX('Undirviðmiðalisti (Lýsigögn)'!L$6:L$41,MATCH($C33,'Undirviðmiðalisti (Lýsigögn)'!$C$6:$C$41,0))),IFERROR(IF(INDEX('Undirviðmiðalisti (Lýsigögn)'!L$42:L$58,MATCH($C33,'Undirviðmiðalisti (Lýsigögn)'!$C$42:$C$58,0))="","",INDEX('Undirviðmiðalisti (Lýsigögn)'!L$42:L$58,MATCH($C33,'Undirviðmiðalisti (Lýsigögn)'!$C$42:$C$58,0))),""))))</f>
        <v/>
      </c>
      <c r="Q33" s="16" t="str">
        <f aca="false">IF($C33="","",IF($G33="Einstaklingsbundið",IFERROR(IF(INDEX('Undirviðmiðalisti (Lýsigögn)'!M$42:M$58,MATCH($C33,'Undirviðmiðalisti (Lýsigögn)'!$C$42:$C$58,0))="","",INDEX('Undirviðmiðalisti (Lýsigögn)'!M$42:M$58,MATCH($C33,'Undirviðmiðalisti (Lýsigögn)'!$C$42:$C$58,0))),""),IFERROR(IF(INDEX('Undirviðmiðalisti (Lýsigögn)'!M$6:M$41,MATCH($C33,'Undirviðmiðalisti (Lýsigögn)'!$C$6:$C$41,0))="","",INDEX('Undirviðmiðalisti (Lýsigögn)'!M$6:M$41,MATCH($C33,'Undirviðmiðalisti (Lýsigögn)'!$C$6:$C$41,0))),IFERROR(IF(INDEX('Undirviðmiðalisti (Lýsigögn)'!M$42:M$58,MATCH($C33,'Undirviðmiðalisti (Lýsigögn)'!$C$42:$C$58,0))="","",INDEX('Undirviðmiðalisti (Lýsigögn)'!M$42:M$58,MATCH($C33,'Undirviðmiðalisti (Lýsigögn)'!$C$42:$C$58,0))),""))))</f>
        <v/>
      </c>
    </row>
    <row r="34" customFormat="false" ht="15" hidden="false" customHeight="true" outlineLevel="0" collapsed="false">
      <c r="A34" s="22" t="str">
        <f aca="false">IF($B34="","",ROW()-5)</f>
        <v/>
      </c>
      <c r="B34" s="15"/>
      <c r="C34" s="15"/>
      <c r="D34" s="16" t="str">
        <f aca="false">IF($C34="","",IF($G34="Einstaklingsbundið",IFERROR(IF(INDEX('Undirviðmiðalisti (Lýsigögn)'!$D$42:$D$58,MATCH($C34,'Undirviðmiðalisti (Lýsigögn)'!$C$42:$C$58,0))="","",INDEX('Undirviðmiðalisti (Lýsigögn)'!$D$42:$D$58,MATCH($C34,'Undirviðmiðalisti (Lýsigögn)'!$C$42:$C$58,0))),""),IFERROR(IF(INDEX('Undirviðmiðalisti (Lýsigögn)'!$D$6:$D$41,MATCH($C34,'Undirviðmiðalisti (Lýsigögn)'!$C$6:$C$41,0))="","",INDEX('Undirviðmiðalisti (Lýsigögn)'!$D$6:$D$41,MATCH($C34,'Undirviðmiðalisti (Lýsigögn)'!$C$6:$C$41,0))),IFERROR(IF(INDEX('Undirviðmiðalisti (Lýsigögn)'!$D$42:$D$58,MATCH($C34,'Undirviðmiðalisti (Lýsigögn)'!$C$42:$C$58,0))="","",INDEX('Undirviðmiðalisti (Lýsigögn)'!$D$42:$D$58,MATCH($C34,'Undirviðmiðalisti (Lýsigögn)'!$C$42:$C$58,0))),""))))</f>
        <v/>
      </c>
      <c r="E34" s="14"/>
      <c r="F34" s="23" t="str">
        <f aca="false">IF($C34="","",IF($G34="Einstaklingsbundið",IFERROR(IF(INDEX('Undirviðmiðalisti (Lýsigögn)'!$E$42:$E$58,MATCH($C34,'Undirviðmiðalisti (Lýsigögn)'!$C$42:$C$58,0))="","",INDEX('Undirviðmiðalisti (Lýsigögn)'!$E$42:$E$58,MATCH($C34,'Undirviðmiðalisti (Lýsigögn)'!$C$42:$C$58,0))),""),IFERROR(IF(INDEX('Undirviðmiðalisti (Lýsigögn)'!$E$6:$E$41,MATCH($C34,'Undirviðmiðalisti (Lýsigögn)'!$C$6:$C$41,0))="","",INDEX('Undirviðmiðalisti (Lýsigögn)'!$E$6:$E$41,MATCH($C34,'Undirviðmiðalisti (Lýsigögn)'!$C$6:$C$41,0))),IFERROR(IF(INDEX('Undirviðmiðalisti (Lýsigögn)'!$E$42:$E$58,MATCH($C34,'Undirviðmiðalisti (Lýsigögn)'!$C$42:$C$58,0))="","",INDEX('Undirviðmiðalisti (Lýsigögn)'!$E$42:$E$58,MATCH($C34,'Undirviðmiðalisti (Lýsigögn)'!$C$42:$C$58,0))),""))))</f>
        <v/>
      </c>
      <c r="G34" s="24" t="str">
        <f aca="false">IFERROR(IF(B34="","",INDEX(Viðmið!$B$6:$B$10,MATCH(B34,Viðmið!$C$6:$C$10,0))),"")</f>
        <v/>
      </c>
      <c r="H34" s="25" t="str">
        <f aca="false">IF(OR(E34="",F34=""),"",E34*KVARDI)</f>
        <v/>
      </c>
      <c r="I34" s="26" t="str">
        <f aca="false">IF(B34="","",IF(ROUND(SUMIF($B$6:$B$205,B34,$E$6:$E$205),4)=ROUND(IFERROR(INDEX(Viðmið!$E$6:$E$10,MATCH(B34,Viðmið!$C$6:$C$10,0)),-1),4),"✓","✗"))</f>
        <v/>
      </c>
      <c r="J34" s="16" t="str">
        <f aca="false">IF($C34="","",IF($G34="Einstaklingsbundið",IFERROR(IF(INDEX('Undirviðmiðalisti (Lýsigögn)'!F$42:F$58,MATCH($C34,'Undirviðmiðalisti (Lýsigögn)'!$C$42:$C$58,0))="","",INDEX('Undirviðmiðalisti (Lýsigögn)'!F$42:F$58,MATCH($C34,'Undirviðmiðalisti (Lýsigögn)'!$C$42:$C$58,0))),""),IFERROR(IF(INDEX('Undirviðmiðalisti (Lýsigögn)'!F$6:F$41,MATCH($C34,'Undirviðmiðalisti (Lýsigögn)'!$C$6:$C$41,0))="","",INDEX('Undirviðmiðalisti (Lýsigögn)'!F$6:F$41,MATCH($C34,'Undirviðmiðalisti (Lýsigögn)'!$C$6:$C$41,0))),IFERROR(IF(INDEX('Undirviðmiðalisti (Lýsigögn)'!F$42:F$58,MATCH($C34,'Undirviðmiðalisti (Lýsigögn)'!$C$42:$C$58,0))="","",INDEX('Undirviðmiðalisti (Lýsigögn)'!F$42:F$58,MATCH($C34,'Undirviðmiðalisti (Lýsigögn)'!$C$42:$C$58,0))),""))))</f>
        <v/>
      </c>
      <c r="K34" s="16" t="str">
        <f aca="false">IF($C34="","",IF($G34="Einstaklingsbundið",IFERROR(IF(INDEX('Undirviðmiðalisti (Lýsigögn)'!G$42:G$58,MATCH($C34,'Undirviðmiðalisti (Lýsigögn)'!$C$42:$C$58,0))="","",INDEX('Undirviðmiðalisti (Lýsigögn)'!G$42:G$58,MATCH($C34,'Undirviðmiðalisti (Lýsigögn)'!$C$42:$C$58,0))),""),IFERROR(IF(INDEX('Undirviðmiðalisti (Lýsigögn)'!G$6:G$41,MATCH($C34,'Undirviðmiðalisti (Lýsigögn)'!$C$6:$C$41,0))="","",INDEX('Undirviðmiðalisti (Lýsigögn)'!G$6:G$41,MATCH($C34,'Undirviðmiðalisti (Lýsigögn)'!$C$6:$C$41,0))),IFERROR(IF(INDEX('Undirviðmiðalisti (Lýsigögn)'!G$42:G$58,MATCH($C34,'Undirviðmiðalisti (Lýsigögn)'!$C$42:$C$58,0))="","",INDEX('Undirviðmiðalisti (Lýsigögn)'!G$42:G$58,MATCH($C34,'Undirviðmiðalisti (Lýsigögn)'!$C$42:$C$58,0))),""))))</f>
        <v/>
      </c>
      <c r="L34" s="16" t="str">
        <f aca="false">IF($C34="","",IF($G34="Einstaklingsbundið",IFERROR(IF(INDEX('Undirviðmiðalisti (Lýsigögn)'!H$42:H$58,MATCH($C34,'Undirviðmiðalisti (Lýsigögn)'!$C$42:$C$58,0))="","",INDEX('Undirviðmiðalisti (Lýsigögn)'!H$42:H$58,MATCH($C34,'Undirviðmiðalisti (Lýsigögn)'!$C$42:$C$58,0))),""),IFERROR(IF(INDEX('Undirviðmiðalisti (Lýsigögn)'!H$6:H$41,MATCH($C34,'Undirviðmiðalisti (Lýsigögn)'!$C$6:$C$41,0))="","",INDEX('Undirviðmiðalisti (Lýsigögn)'!H$6:H$41,MATCH($C34,'Undirviðmiðalisti (Lýsigögn)'!$C$6:$C$41,0))),IFERROR(IF(INDEX('Undirviðmiðalisti (Lýsigögn)'!H$42:H$58,MATCH($C34,'Undirviðmiðalisti (Lýsigögn)'!$C$42:$C$58,0))="","",INDEX('Undirviðmiðalisti (Lýsigögn)'!H$42:H$58,MATCH($C34,'Undirviðmiðalisti (Lýsigögn)'!$C$42:$C$58,0))),""))))</f>
        <v/>
      </c>
      <c r="M34" s="16" t="str">
        <f aca="false">IF($C34="","",IF($G34="Einstaklingsbundið",IFERROR(IF(INDEX('Undirviðmiðalisti (Lýsigögn)'!I$42:I$58,MATCH($C34,'Undirviðmiðalisti (Lýsigögn)'!$C$42:$C$58,0))="","",INDEX('Undirviðmiðalisti (Lýsigögn)'!I$42:I$58,MATCH($C34,'Undirviðmiðalisti (Lýsigögn)'!$C$42:$C$58,0))),""),IFERROR(IF(INDEX('Undirviðmiðalisti (Lýsigögn)'!I$6:I$41,MATCH($C34,'Undirviðmiðalisti (Lýsigögn)'!$C$6:$C$41,0))="","",INDEX('Undirviðmiðalisti (Lýsigögn)'!I$6:I$41,MATCH($C34,'Undirviðmiðalisti (Lýsigögn)'!$C$6:$C$41,0))),IFERROR(IF(INDEX('Undirviðmiðalisti (Lýsigögn)'!I$42:I$58,MATCH($C34,'Undirviðmiðalisti (Lýsigögn)'!$C$42:$C$58,0))="","",INDEX('Undirviðmiðalisti (Lýsigögn)'!I$42:I$58,MATCH($C34,'Undirviðmiðalisti (Lýsigögn)'!$C$42:$C$58,0))),""))))</f>
        <v/>
      </c>
      <c r="N34" s="16" t="str">
        <f aca="false">IF($C34="","",IF($G34="Einstaklingsbundið",IFERROR(IF(INDEX('Undirviðmiðalisti (Lýsigögn)'!J$42:J$58,MATCH($C34,'Undirviðmiðalisti (Lýsigögn)'!$C$42:$C$58,0))="","",INDEX('Undirviðmiðalisti (Lýsigögn)'!J$42:J$58,MATCH($C34,'Undirviðmiðalisti (Lýsigögn)'!$C$42:$C$58,0))),""),IFERROR(IF(INDEX('Undirviðmiðalisti (Lýsigögn)'!J$6:J$41,MATCH($C34,'Undirviðmiðalisti (Lýsigögn)'!$C$6:$C$41,0))="","",INDEX('Undirviðmiðalisti (Lýsigögn)'!J$6:J$41,MATCH($C34,'Undirviðmiðalisti (Lýsigögn)'!$C$6:$C$41,0))),IFERROR(IF(INDEX('Undirviðmiðalisti (Lýsigögn)'!J$42:J$58,MATCH($C34,'Undirviðmiðalisti (Lýsigögn)'!$C$42:$C$58,0))="","",INDEX('Undirviðmiðalisti (Lýsigögn)'!J$42:J$58,MATCH($C34,'Undirviðmiðalisti (Lýsigögn)'!$C$42:$C$58,0))),""))))</f>
        <v/>
      </c>
      <c r="O34" s="16" t="str">
        <f aca="false">IF($C34="","",IF($G34="Einstaklingsbundið",IFERROR(IF(INDEX('Undirviðmiðalisti (Lýsigögn)'!K$42:K$58,MATCH($C34,'Undirviðmiðalisti (Lýsigögn)'!$C$42:$C$58,0))="","",INDEX('Undirviðmiðalisti (Lýsigögn)'!K$42:K$58,MATCH($C34,'Undirviðmiðalisti (Lýsigögn)'!$C$42:$C$58,0))),""),IFERROR(IF(INDEX('Undirviðmiðalisti (Lýsigögn)'!K$6:K$41,MATCH($C34,'Undirviðmiðalisti (Lýsigögn)'!$C$6:$C$41,0))="","",INDEX('Undirviðmiðalisti (Lýsigögn)'!K$6:K$41,MATCH($C34,'Undirviðmiðalisti (Lýsigögn)'!$C$6:$C$41,0))),IFERROR(IF(INDEX('Undirviðmiðalisti (Lýsigögn)'!K$42:K$58,MATCH($C34,'Undirviðmiðalisti (Lýsigögn)'!$C$42:$C$58,0))="","",INDEX('Undirviðmiðalisti (Lýsigögn)'!K$42:K$58,MATCH($C34,'Undirviðmiðalisti (Lýsigögn)'!$C$42:$C$58,0))),""))))</f>
        <v/>
      </c>
      <c r="P34" s="16" t="str">
        <f aca="false">IF($C34="","",IF($G34="Einstaklingsbundið",IFERROR(IF(INDEX('Undirviðmiðalisti (Lýsigögn)'!L$42:L$58,MATCH($C34,'Undirviðmiðalisti (Lýsigögn)'!$C$42:$C$58,0))="","",INDEX('Undirviðmiðalisti (Lýsigögn)'!L$42:L$58,MATCH($C34,'Undirviðmiðalisti (Lýsigögn)'!$C$42:$C$58,0))),""),IFERROR(IF(INDEX('Undirviðmiðalisti (Lýsigögn)'!L$6:L$41,MATCH($C34,'Undirviðmiðalisti (Lýsigögn)'!$C$6:$C$41,0))="","",INDEX('Undirviðmiðalisti (Lýsigögn)'!L$6:L$41,MATCH($C34,'Undirviðmiðalisti (Lýsigögn)'!$C$6:$C$41,0))),IFERROR(IF(INDEX('Undirviðmiðalisti (Lýsigögn)'!L$42:L$58,MATCH($C34,'Undirviðmiðalisti (Lýsigögn)'!$C$42:$C$58,0))="","",INDEX('Undirviðmiðalisti (Lýsigögn)'!L$42:L$58,MATCH($C34,'Undirviðmiðalisti (Lýsigögn)'!$C$42:$C$58,0))),""))))</f>
        <v/>
      </c>
      <c r="Q34" s="16" t="str">
        <f aca="false">IF($C34="","",IF($G34="Einstaklingsbundið",IFERROR(IF(INDEX('Undirviðmiðalisti (Lýsigögn)'!M$42:M$58,MATCH($C34,'Undirviðmiðalisti (Lýsigögn)'!$C$42:$C$58,0))="","",INDEX('Undirviðmiðalisti (Lýsigögn)'!M$42:M$58,MATCH($C34,'Undirviðmiðalisti (Lýsigögn)'!$C$42:$C$58,0))),""),IFERROR(IF(INDEX('Undirviðmiðalisti (Lýsigögn)'!M$6:M$41,MATCH($C34,'Undirviðmiðalisti (Lýsigögn)'!$C$6:$C$41,0))="","",INDEX('Undirviðmiðalisti (Lýsigögn)'!M$6:M$41,MATCH($C34,'Undirviðmiðalisti (Lýsigögn)'!$C$6:$C$41,0))),IFERROR(IF(INDEX('Undirviðmiðalisti (Lýsigögn)'!M$42:M$58,MATCH($C34,'Undirviðmiðalisti (Lýsigögn)'!$C$42:$C$58,0))="","",INDEX('Undirviðmiðalisti (Lýsigögn)'!M$42:M$58,MATCH($C34,'Undirviðmiðalisti (Lýsigögn)'!$C$42:$C$58,0))),""))))</f>
        <v/>
      </c>
    </row>
    <row r="35" customFormat="false" ht="15" hidden="false" customHeight="true" outlineLevel="0" collapsed="false">
      <c r="A35" s="22" t="str">
        <f aca="false">IF($B35="","",ROW()-5)</f>
        <v/>
      </c>
      <c r="B35" s="15"/>
      <c r="C35" s="15"/>
      <c r="D35" s="16" t="str">
        <f aca="false">IF($C35="","",IF($G35="Einstaklingsbundið",IFERROR(IF(INDEX('Undirviðmiðalisti (Lýsigögn)'!$D$42:$D$58,MATCH($C35,'Undirviðmiðalisti (Lýsigögn)'!$C$42:$C$58,0))="","",INDEX('Undirviðmiðalisti (Lýsigögn)'!$D$42:$D$58,MATCH($C35,'Undirviðmiðalisti (Lýsigögn)'!$C$42:$C$58,0))),""),IFERROR(IF(INDEX('Undirviðmiðalisti (Lýsigögn)'!$D$6:$D$41,MATCH($C35,'Undirviðmiðalisti (Lýsigögn)'!$C$6:$C$41,0))="","",INDEX('Undirviðmiðalisti (Lýsigögn)'!$D$6:$D$41,MATCH($C35,'Undirviðmiðalisti (Lýsigögn)'!$C$6:$C$41,0))),IFERROR(IF(INDEX('Undirviðmiðalisti (Lýsigögn)'!$D$42:$D$58,MATCH($C35,'Undirviðmiðalisti (Lýsigögn)'!$C$42:$C$58,0))="","",INDEX('Undirviðmiðalisti (Lýsigögn)'!$D$42:$D$58,MATCH($C35,'Undirviðmiðalisti (Lýsigögn)'!$C$42:$C$58,0))),""))))</f>
        <v/>
      </c>
      <c r="E35" s="14"/>
      <c r="F35" s="23" t="str">
        <f aca="false">IF($C35="","",IF($G35="Einstaklingsbundið",IFERROR(IF(INDEX('Undirviðmiðalisti (Lýsigögn)'!$E$42:$E$58,MATCH($C35,'Undirviðmiðalisti (Lýsigögn)'!$C$42:$C$58,0))="","",INDEX('Undirviðmiðalisti (Lýsigögn)'!$E$42:$E$58,MATCH($C35,'Undirviðmiðalisti (Lýsigögn)'!$C$42:$C$58,0))),""),IFERROR(IF(INDEX('Undirviðmiðalisti (Lýsigögn)'!$E$6:$E$41,MATCH($C35,'Undirviðmiðalisti (Lýsigögn)'!$C$6:$C$41,0))="","",INDEX('Undirviðmiðalisti (Lýsigögn)'!$E$6:$E$41,MATCH($C35,'Undirviðmiðalisti (Lýsigögn)'!$C$6:$C$41,0))),IFERROR(IF(INDEX('Undirviðmiðalisti (Lýsigögn)'!$E$42:$E$58,MATCH($C35,'Undirviðmiðalisti (Lýsigögn)'!$C$42:$C$58,0))="","",INDEX('Undirviðmiðalisti (Lýsigögn)'!$E$42:$E$58,MATCH($C35,'Undirviðmiðalisti (Lýsigögn)'!$C$42:$C$58,0))),""))))</f>
        <v/>
      </c>
      <c r="G35" s="24" t="str">
        <f aca="false">IFERROR(IF(B35="","",INDEX(Viðmið!$B$6:$B$10,MATCH(B35,Viðmið!$C$6:$C$10,0))),"")</f>
        <v/>
      </c>
      <c r="H35" s="25" t="str">
        <f aca="false">IF(OR(E35="",F35=""),"",E35*KVARDI)</f>
        <v/>
      </c>
      <c r="I35" s="26" t="str">
        <f aca="false">IF(B35="","",IF(ROUND(SUMIF($B$6:$B$205,B35,$E$6:$E$205),4)=ROUND(IFERROR(INDEX(Viðmið!$E$6:$E$10,MATCH(B35,Viðmið!$C$6:$C$10,0)),-1),4),"✓","✗"))</f>
        <v/>
      </c>
      <c r="J35" s="16" t="str">
        <f aca="false">IF($C35="","",IF($G35="Einstaklingsbundið",IFERROR(IF(INDEX('Undirviðmiðalisti (Lýsigögn)'!F$42:F$58,MATCH($C35,'Undirviðmiðalisti (Lýsigögn)'!$C$42:$C$58,0))="","",INDEX('Undirviðmiðalisti (Lýsigögn)'!F$42:F$58,MATCH($C35,'Undirviðmiðalisti (Lýsigögn)'!$C$42:$C$58,0))),""),IFERROR(IF(INDEX('Undirviðmiðalisti (Lýsigögn)'!F$6:F$41,MATCH($C35,'Undirviðmiðalisti (Lýsigögn)'!$C$6:$C$41,0))="","",INDEX('Undirviðmiðalisti (Lýsigögn)'!F$6:F$41,MATCH($C35,'Undirviðmiðalisti (Lýsigögn)'!$C$6:$C$41,0))),IFERROR(IF(INDEX('Undirviðmiðalisti (Lýsigögn)'!F$42:F$58,MATCH($C35,'Undirviðmiðalisti (Lýsigögn)'!$C$42:$C$58,0))="","",INDEX('Undirviðmiðalisti (Lýsigögn)'!F$42:F$58,MATCH($C35,'Undirviðmiðalisti (Lýsigögn)'!$C$42:$C$58,0))),""))))</f>
        <v/>
      </c>
      <c r="K35" s="16" t="str">
        <f aca="false">IF($C35="","",IF($G35="Einstaklingsbundið",IFERROR(IF(INDEX('Undirviðmiðalisti (Lýsigögn)'!G$42:G$58,MATCH($C35,'Undirviðmiðalisti (Lýsigögn)'!$C$42:$C$58,0))="","",INDEX('Undirviðmiðalisti (Lýsigögn)'!G$42:G$58,MATCH($C35,'Undirviðmiðalisti (Lýsigögn)'!$C$42:$C$58,0))),""),IFERROR(IF(INDEX('Undirviðmiðalisti (Lýsigögn)'!G$6:G$41,MATCH($C35,'Undirviðmiðalisti (Lýsigögn)'!$C$6:$C$41,0))="","",INDEX('Undirviðmiðalisti (Lýsigögn)'!G$6:G$41,MATCH($C35,'Undirviðmiðalisti (Lýsigögn)'!$C$6:$C$41,0))),IFERROR(IF(INDEX('Undirviðmiðalisti (Lýsigögn)'!G$42:G$58,MATCH($C35,'Undirviðmiðalisti (Lýsigögn)'!$C$42:$C$58,0))="","",INDEX('Undirviðmiðalisti (Lýsigögn)'!G$42:G$58,MATCH($C35,'Undirviðmiðalisti (Lýsigögn)'!$C$42:$C$58,0))),""))))</f>
        <v/>
      </c>
      <c r="L35" s="16" t="str">
        <f aca="false">IF($C35="","",IF($G35="Einstaklingsbundið",IFERROR(IF(INDEX('Undirviðmiðalisti (Lýsigögn)'!H$42:H$58,MATCH($C35,'Undirviðmiðalisti (Lýsigögn)'!$C$42:$C$58,0))="","",INDEX('Undirviðmiðalisti (Lýsigögn)'!H$42:H$58,MATCH($C35,'Undirviðmiðalisti (Lýsigögn)'!$C$42:$C$58,0))),""),IFERROR(IF(INDEX('Undirviðmiðalisti (Lýsigögn)'!H$6:H$41,MATCH($C35,'Undirviðmiðalisti (Lýsigögn)'!$C$6:$C$41,0))="","",INDEX('Undirviðmiðalisti (Lýsigögn)'!H$6:H$41,MATCH($C35,'Undirviðmiðalisti (Lýsigögn)'!$C$6:$C$41,0))),IFERROR(IF(INDEX('Undirviðmiðalisti (Lýsigögn)'!H$42:H$58,MATCH($C35,'Undirviðmiðalisti (Lýsigögn)'!$C$42:$C$58,0))="","",INDEX('Undirviðmiðalisti (Lýsigögn)'!H$42:H$58,MATCH($C35,'Undirviðmiðalisti (Lýsigögn)'!$C$42:$C$58,0))),""))))</f>
        <v/>
      </c>
      <c r="M35" s="16" t="str">
        <f aca="false">IF($C35="","",IF($G35="Einstaklingsbundið",IFERROR(IF(INDEX('Undirviðmiðalisti (Lýsigögn)'!I$42:I$58,MATCH($C35,'Undirviðmiðalisti (Lýsigögn)'!$C$42:$C$58,0))="","",INDEX('Undirviðmiðalisti (Lýsigögn)'!I$42:I$58,MATCH($C35,'Undirviðmiðalisti (Lýsigögn)'!$C$42:$C$58,0))),""),IFERROR(IF(INDEX('Undirviðmiðalisti (Lýsigögn)'!I$6:I$41,MATCH($C35,'Undirviðmiðalisti (Lýsigögn)'!$C$6:$C$41,0))="","",INDEX('Undirviðmiðalisti (Lýsigögn)'!I$6:I$41,MATCH($C35,'Undirviðmiðalisti (Lýsigögn)'!$C$6:$C$41,0))),IFERROR(IF(INDEX('Undirviðmiðalisti (Lýsigögn)'!I$42:I$58,MATCH($C35,'Undirviðmiðalisti (Lýsigögn)'!$C$42:$C$58,0))="","",INDEX('Undirviðmiðalisti (Lýsigögn)'!I$42:I$58,MATCH($C35,'Undirviðmiðalisti (Lýsigögn)'!$C$42:$C$58,0))),""))))</f>
        <v/>
      </c>
      <c r="N35" s="16" t="str">
        <f aca="false">IF($C35="","",IF($G35="Einstaklingsbundið",IFERROR(IF(INDEX('Undirviðmiðalisti (Lýsigögn)'!J$42:J$58,MATCH($C35,'Undirviðmiðalisti (Lýsigögn)'!$C$42:$C$58,0))="","",INDEX('Undirviðmiðalisti (Lýsigögn)'!J$42:J$58,MATCH($C35,'Undirviðmiðalisti (Lýsigögn)'!$C$42:$C$58,0))),""),IFERROR(IF(INDEX('Undirviðmiðalisti (Lýsigögn)'!J$6:J$41,MATCH($C35,'Undirviðmiðalisti (Lýsigögn)'!$C$6:$C$41,0))="","",INDEX('Undirviðmiðalisti (Lýsigögn)'!J$6:J$41,MATCH($C35,'Undirviðmiðalisti (Lýsigögn)'!$C$6:$C$41,0))),IFERROR(IF(INDEX('Undirviðmiðalisti (Lýsigögn)'!J$42:J$58,MATCH($C35,'Undirviðmiðalisti (Lýsigögn)'!$C$42:$C$58,0))="","",INDEX('Undirviðmiðalisti (Lýsigögn)'!J$42:J$58,MATCH($C35,'Undirviðmiðalisti (Lýsigögn)'!$C$42:$C$58,0))),""))))</f>
        <v/>
      </c>
      <c r="O35" s="16" t="str">
        <f aca="false">IF($C35="","",IF($G35="Einstaklingsbundið",IFERROR(IF(INDEX('Undirviðmiðalisti (Lýsigögn)'!K$42:K$58,MATCH($C35,'Undirviðmiðalisti (Lýsigögn)'!$C$42:$C$58,0))="","",INDEX('Undirviðmiðalisti (Lýsigögn)'!K$42:K$58,MATCH($C35,'Undirviðmiðalisti (Lýsigögn)'!$C$42:$C$58,0))),""),IFERROR(IF(INDEX('Undirviðmiðalisti (Lýsigögn)'!K$6:K$41,MATCH($C35,'Undirviðmiðalisti (Lýsigögn)'!$C$6:$C$41,0))="","",INDEX('Undirviðmiðalisti (Lýsigögn)'!K$6:K$41,MATCH($C35,'Undirviðmiðalisti (Lýsigögn)'!$C$6:$C$41,0))),IFERROR(IF(INDEX('Undirviðmiðalisti (Lýsigögn)'!K$42:K$58,MATCH($C35,'Undirviðmiðalisti (Lýsigögn)'!$C$42:$C$58,0))="","",INDEX('Undirviðmiðalisti (Lýsigögn)'!K$42:K$58,MATCH($C35,'Undirviðmiðalisti (Lýsigögn)'!$C$42:$C$58,0))),""))))</f>
        <v/>
      </c>
      <c r="P35" s="16" t="str">
        <f aca="false">IF($C35="","",IF($G35="Einstaklingsbundið",IFERROR(IF(INDEX('Undirviðmiðalisti (Lýsigögn)'!L$42:L$58,MATCH($C35,'Undirviðmiðalisti (Lýsigögn)'!$C$42:$C$58,0))="","",INDEX('Undirviðmiðalisti (Lýsigögn)'!L$42:L$58,MATCH($C35,'Undirviðmiðalisti (Lýsigögn)'!$C$42:$C$58,0))),""),IFERROR(IF(INDEX('Undirviðmiðalisti (Lýsigögn)'!L$6:L$41,MATCH($C35,'Undirviðmiðalisti (Lýsigögn)'!$C$6:$C$41,0))="","",INDEX('Undirviðmiðalisti (Lýsigögn)'!L$6:L$41,MATCH($C35,'Undirviðmiðalisti (Lýsigögn)'!$C$6:$C$41,0))),IFERROR(IF(INDEX('Undirviðmiðalisti (Lýsigögn)'!L$42:L$58,MATCH($C35,'Undirviðmiðalisti (Lýsigögn)'!$C$42:$C$58,0))="","",INDEX('Undirviðmiðalisti (Lýsigögn)'!L$42:L$58,MATCH($C35,'Undirviðmiðalisti (Lýsigögn)'!$C$42:$C$58,0))),""))))</f>
        <v/>
      </c>
      <c r="Q35" s="16" t="str">
        <f aca="false">IF($C35="","",IF($G35="Einstaklingsbundið",IFERROR(IF(INDEX('Undirviðmiðalisti (Lýsigögn)'!M$42:M$58,MATCH($C35,'Undirviðmiðalisti (Lýsigögn)'!$C$42:$C$58,0))="","",INDEX('Undirviðmiðalisti (Lýsigögn)'!M$42:M$58,MATCH($C35,'Undirviðmiðalisti (Lýsigögn)'!$C$42:$C$58,0))),""),IFERROR(IF(INDEX('Undirviðmiðalisti (Lýsigögn)'!M$6:M$41,MATCH($C35,'Undirviðmiðalisti (Lýsigögn)'!$C$6:$C$41,0))="","",INDEX('Undirviðmiðalisti (Lýsigögn)'!M$6:M$41,MATCH($C35,'Undirviðmiðalisti (Lýsigögn)'!$C$6:$C$41,0))),IFERROR(IF(INDEX('Undirviðmiðalisti (Lýsigögn)'!M$42:M$58,MATCH($C35,'Undirviðmiðalisti (Lýsigögn)'!$C$42:$C$58,0))="","",INDEX('Undirviðmiðalisti (Lýsigögn)'!M$42:M$58,MATCH($C35,'Undirviðmiðalisti (Lýsigögn)'!$C$42:$C$58,0))),""))))</f>
        <v/>
      </c>
    </row>
    <row r="36" customFormat="false" ht="15" hidden="false" customHeight="true" outlineLevel="0" collapsed="false">
      <c r="A36" s="22" t="str">
        <f aca="false">IF($B36="","",ROW()-5)</f>
        <v/>
      </c>
      <c r="B36" s="15"/>
      <c r="C36" s="15"/>
      <c r="D36" s="16" t="str">
        <f aca="false">IF($C36="","",IF($G36="Einstaklingsbundið",IFERROR(IF(INDEX('Undirviðmiðalisti (Lýsigögn)'!$D$42:$D$58,MATCH($C36,'Undirviðmiðalisti (Lýsigögn)'!$C$42:$C$58,0))="","",INDEX('Undirviðmiðalisti (Lýsigögn)'!$D$42:$D$58,MATCH($C36,'Undirviðmiðalisti (Lýsigögn)'!$C$42:$C$58,0))),""),IFERROR(IF(INDEX('Undirviðmiðalisti (Lýsigögn)'!$D$6:$D$41,MATCH($C36,'Undirviðmiðalisti (Lýsigögn)'!$C$6:$C$41,0))="","",INDEX('Undirviðmiðalisti (Lýsigögn)'!$D$6:$D$41,MATCH($C36,'Undirviðmiðalisti (Lýsigögn)'!$C$6:$C$41,0))),IFERROR(IF(INDEX('Undirviðmiðalisti (Lýsigögn)'!$D$42:$D$58,MATCH($C36,'Undirviðmiðalisti (Lýsigögn)'!$C$42:$C$58,0))="","",INDEX('Undirviðmiðalisti (Lýsigögn)'!$D$42:$D$58,MATCH($C36,'Undirviðmiðalisti (Lýsigögn)'!$C$42:$C$58,0))),""))))</f>
        <v/>
      </c>
      <c r="E36" s="14"/>
      <c r="F36" s="23" t="str">
        <f aca="false">IF($C36="","",IF($G36="Einstaklingsbundið",IFERROR(IF(INDEX('Undirviðmiðalisti (Lýsigögn)'!$E$42:$E$58,MATCH($C36,'Undirviðmiðalisti (Lýsigögn)'!$C$42:$C$58,0))="","",INDEX('Undirviðmiðalisti (Lýsigögn)'!$E$42:$E$58,MATCH($C36,'Undirviðmiðalisti (Lýsigögn)'!$C$42:$C$58,0))),""),IFERROR(IF(INDEX('Undirviðmiðalisti (Lýsigögn)'!$E$6:$E$41,MATCH($C36,'Undirviðmiðalisti (Lýsigögn)'!$C$6:$C$41,0))="","",INDEX('Undirviðmiðalisti (Lýsigögn)'!$E$6:$E$41,MATCH($C36,'Undirviðmiðalisti (Lýsigögn)'!$C$6:$C$41,0))),IFERROR(IF(INDEX('Undirviðmiðalisti (Lýsigögn)'!$E$42:$E$58,MATCH($C36,'Undirviðmiðalisti (Lýsigögn)'!$C$42:$C$58,0))="","",INDEX('Undirviðmiðalisti (Lýsigögn)'!$E$42:$E$58,MATCH($C36,'Undirviðmiðalisti (Lýsigögn)'!$C$42:$C$58,0))),""))))</f>
        <v/>
      </c>
      <c r="G36" s="24" t="str">
        <f aca="false">IFERROR(IF(B36="","",INDEX(Viðmið!$B$6:$B$10,MATCH(B36,Viðmið!$C$6:$C$10,0))),"")</f>
        <v/>
      </c>
      <c r="H36" s="25" t="str">
        <f aca="false">IF(OR(E36="",F36=""),"",E36*KVARDI)</f>
        <v/>
      </c>
      <c r="I36" s="26" t="str">
        <f aca="false">IF(B36="","",IF(ROUND(SUMIF($B$6:$B$205,B36,$E$6:$E$205),4)=ROUND(IFERROR(INDEX(Viðmið!$E$6:$E$10,MATCH(B36,Viðmið!$C$6:$C$10,0)),-1),4),"✓","✗"))</f>
        <v/>
      </c>
      <c r="J36" s="16" t="str">
        <f aca="false">IF($C36="","",IF($G36="Einstaklingsbundið",IFERROR(IF(INDEX('Undirviðmiðalisti (Lýsigögn)'!F$42:F$58,MATCH($C36,'Undirviðmiðalisti (Lýsigögn)'!$C$42:$C$58,0))="","",INDEX('Undirviðmiðalisti (Lýsigögn)'!F$42:F$58,MATCH($C36,'Undirviðmiðalisti (Lýsigögn)'!$C$42:$C$58,0))),""),IFERROR(IF(INDEX('Undirviðmiðalisti (Lýsigögn)'!F$6:F$41,MATCH($C36,'Undirviðmiðalisti (Lýsigögn)'!$C$6:$C$41,0))="","",INDEX('Undirviðmiðalisti (Lýsigögn)'!F$6:F$41,MATCH($C36,'Undirviðmiðalisti (Lýsigögn)'!$C$6:$C$41,0))),IFERROR(IF(INDEX('Undirviðmiðalisti (Lýsigögn)'!F$42:F$58,MATCH($C36,'Undirviðmiðalisti (Lýsigögn)'!$C$42:$C$58,0))="","",INDEX('Undirviðmiðalisti (Lýsigögn)'!F$42:F$58,MATCH($C36,'Undirviðmiðalisti (Lýsigögn)'!$C$42:$C$58,0))),""))))</f>
        <v/>
      </c>
      <c r="K36" s="16" t="str">
        <f aca="false">IF($C36="","",IF($G36="Einstaklingsbundið",IFERROR(IF(INDEX('Undirviðmiðalisti (Lýsigögn)'!G$42:G$58,MATCH($C36,'Undirviðmiðalisti (Lýsigögn)'!$C$42:$C$58,0))="","",INDEX('Undirviðmiðalisti (Lýsigögn)'!G$42:G$58,MATCH($C36,'Undirviðmiðalisti (Lýsigögn)'!$C$42:$C$58,0))),""),IFERROR(IF(INDEX('Undirviðmiðalisti (Lýsigögn)'!G$6:G$41,MATCH($C36,'Undirviðmiðalisti (Lýsigögn)'!$C$6:$C$41,0))="","",INDEX('Undirviðmiðalisti (Lýsigögn)'!G$6:G$41,MATCH($C36,'Undirviðmiðalisti (Lýsigögn)'!$C$6:$C$41,0))),IFERROR(IF(INDEX('Undirviðmiðalisti (Lýsigögn)'!G$42:G$58,MATCH($C36,'Undirviðmiðalisti (Lýsigögn)'!$C$42:$C$58,0))="","",INDEX('Undirviðmiðalisti (Lýsigögn)'!G$42:G$58,MATCH($C36,'Undirviðmiðalisti (Lýsigögn)'!$C$42:$C$58,0))),""))))</f>
        <v/>
      </c>
      <c r="L36" s="16" t="str">
        <f aca="false">IF($C36="","",IF($G36="Einstaklingsbundið",IFERROR(IF(INDEX('Undirviðmiðalisti (Lýsigögn)'!H$42:H$58,MATCH($C36,'Undirviðmiðalisti (Lýsigögn)'!$C$42:$C$58,0))="","",INDEX('Undirviðmiðalisti (Lýsigögn)'!H$42:H$58,MATCH($C36,'Undirviðmiðalisti (Lýsigögn)'!$C$42:$C$58,0))),""),IFERROR(IF(INDEX('Undirviðmiðalisti (Lýsigögn)'!H$6:H$41,MATCH($C36,'Undirviðmiðalisti (Lýsigögn)'!$C$6:$C$41,0))="","",INDEX('Undirviðmiðalisti (Lýsigögn)'!H$6:H$41,MATCH($C36,'Undirviðmiðalisti (Lýsigögn)'!$C$6:$C$41,0))),IFERROR(IF(INDEX('Undirviðmiðalisti (Lýsigögn)'!H$42:H$58,MATCH($C36,'Undirviðmiðalisti (Lýsigögn)'!$C$42:$C$58,0))="","",INDEX('Undirviðmiðalisti (Lýsigögn)'!H$42:H$58,MATCH($C36,'Undirviðmiðalisti (Lýsigögn)'!$C$42:$C$58,0))),""))))</f>
        <v/>
      </c>
      <c r="M36" s="16" t="str">
        <f aca="false">IF($C36="","",IF($G36="Einstaklingsbundið",IFERROR(IF(INDEX('Undirviðmiðalisti (Lýsigögn)'!I$42:I$58,MATCH($C36,'Undirviðmiðalisti (Lýsigögn)'!$C$42:$C$58,0))="","",INDEX('Undirviðmiðalisti (Lýsigögn)'!I$42:I$58,MATCH($C36,'Undirviðmiðalisti (Lýsigögn)'!$C$42:$C$58,0))),""),IFERROR(IF(INDEX('Undirviðmiðalisti (Lýsigögn)'!I$6:I$41,MATCH($C36,'Undirviðmiðalisti (Lýsigögn)'!$C$6:$C$41,0))="","",INDEX('Undirviðmiðalisti (Lýsigögn)'!I$6:I$41,MATCH($C36,'Undirviðmiðalisti (Lýsigögn)'!$C$6:$C$41,0))),IFERROR(IF(INDEX('Undirviðmiðalisti (Lýsigögn)'!I$42:I$58,MATCH($C36,'Undirviðmiðalisti (Lýsigögn)'!$C$42:$C$58,0))="","",INDEX('Undirviðmiðalisti (Lýsigögn)'!I$42:I$58,MATCH($C36,'Undirviðmiðalisti (Lýsigögn)'!$C$42:$C$58,0))),""))))</f>
        <v/>
      </c>
      <c r="N36" s="16" t="str">
        <f aca="false">IF($C36="","",IF($G36="Einstaklingsbundið",IFERROR(IF(INDEX('Undirviðmiðalisti (Lýsigögn)'!J$42:J$58,MATCH($C36,'Undirviðmiðalisti (Lýsigögn)'!$C$42:$C$58,0))="","",INDEX('Undirviðmiðalisti (Lýsigögn)'!J$42:J$58,MATCH($C36,'Undirviðmiðalisti (Lýsigögn)'!$C$42:$C$58,0))),""),IFERROR(IF(INDEX('Undirviðmiðalisti (Lýsigögn)'!J$6:J$41,MATCH($C36,'Undirviðmiðalisti (Lýsigögn)'!$C$6:$C$41,0))="","",INDEX('Undirviðmiðalisti (Lýsigögn)'!J$6:J$41,MATCH($C36,'Undirviðmiðalisti (Lýsigögn)'!$C$6:$C$41,0))),IFERROR(IF(INDEX('Undirviðmiðalisti (Lýsigögn)'!J$42:J$58,MATCH($C36,'Undirviðmiðalisti (Lýsigögn)'!$C$42:$C$58,0))="","",INDEX('Undirviðmiðalisti (Lýsigögn)'!J$42:J$58,MATCH($C36,'Undirviðmiðalisti (Lýsigögn)'!$C$42:$C$58,0))),""))))</f>
        <v/>
      </c>
      <c r="O36" s="16" t="str">
        <f aca="false">IF($C36="","",IF($G36="Einstaklingsbundið",IFERROR(IF(INDEX('Undirviðmiðalisti (Lýsigögn)'!K$42:K$58,MATCH($C36,'Undirviðmiðalisti (Lýsigögn)'!$C$42:$C$58,0))="","",INDEX('Undirviðmiðalisti (Lýsigögn)'!K$42:K$58,MATCH($C36,'Undirviðmiðalisti (Lýsigögn)'!$C$42:$C$58,0))),""),IFERROR(IF(INDEX('Undirviðmiðalisti (Lýsigögn)'!K$6:K$41,MATCH($C36,'Undirviðmiðalisti (Lýsigögn)'!$C$6:$C$41,0))="","",INDEX('Undirviðmiðalisti (Lýsigögn)'!K$6:K$41,MATCH($C36,'Undirviðmiðalisti (Lýsigögn)'!$C$6:$C$41,0))),IFERROR(IF(INDEX('Undirviðmiðalisti (Lýsigögn)'!K$42:K$58,MATCH($C36,'Undirviðmiðalisti (Lýsigögn)'!$C$42:$C$58,0))="","",INDEX('Undirviðmiðalisti (Lýsigögn)'!K$42:K$58,MATCH($C36,'Undirviðmiðalisti (Lýsigögn)'!$C$42:$C$58,0))),""))))</f>
        <v/>
      </c>
      <c r="P36" s="16" t="str">
        <f aca="false">IF($C36="","",IF($G36="Einstaklingsbundið",IFERROR(IF(INDEX('Undirviðmiðalisti (Lýsigögn)'!L$42:L$58,MATCH($C36,'Undirviðmiðalisti (Lýsigögn)'!$C$42:$C$58,0))="","",INDEX('Undirviðmiðalisti (Lýsigögn)'!L$42:L$58,MATCH($C36,'Undirviðmiðalisti (Lýsigögn)'!$C$42:$C$58,0))),""),IFERROR(IF(INDEX('Undirviðmiðalisti (Lýsigögn)'!L$6:L$41,MATCH($C36,'Undirviðmiðalisti (Lýsigögn)'!$C$6:$C$41,0))="","",INDEX('Undirviðmiðalisti (Lýsigögn)'!L$6:L$41,MATCH($C36,'Undirviðmiðalisti (Lýsigögn)'!$C$6:$C$41,0))),IFERROR(IF(INDEX('Undirviðmiðalisti (Lýsigögn)'!L$42:L$58,MATCH($C36,'Undirviðmiðalisti (Lýsigögn)'!$C$42:$C$58,0))="","",INDEX('Undirviðmiðalisti (Lýsigögn)'!L$42:L$58,MATCH($C36,'Undirviðmiðalisti (Lýsigögn)'!$C$42:$C$58,0))),""))))</f>
        <v/>
      </c>
      <c r="Q36" s="16" t="str">
        <f aca="false">IF($C36="","",IF($G36="Einstaklingsbundið",IFERROR(IF(INDEX('Undirviðmiðalisti (Lýsigögn)'!M$42:M$58,MATCH($C36,'Undirviðmiðalisti (Lýsigögn)'!$C$42:$C$58,0))="","",INDEX('Undirviðmiðalisti (Lýsigögn)'!M$42:M$58,MATCH($C36,'Undirviðmiðalisti (Lýsigögn)'!$C$42:$C$58,0))),""),IFERROR(IF(INDEX('Undirviðmiðalisti (Lýsigögn)'!M$6:M$41,MATCH($C36,'Undirviðmiðalisti (Lýsigögn)'!$C$6:$C$41,0))="","",INDEX('Undirviðmiðalisti (Lýsigögn)'!M$6:M$41,MATCH($C36,'Undirviðmiðalisti (Lýsigögn)'!$C$6:$C$41,0))),IFERROR(IF(INDEX('Undirviðmiðalisti (Lýsigögn)'!M$42:M$58,MATCH($C36,'Undirviðmiðalisti (Lýsigögn)'!$C$42:$C$58,0))="","",INDEX('Undirviðmiðalisti (Lýsigögn)'!M$42:M$58,MATCH($C36,'Undirviðmiðalisti (Lýsigögn)'!$C$42:$C$58,0))),""))))</f>
        <v/>
      </c>
    </row>
    <row r="37" customFormat="false" ht="15" hidden="false" customHeight="true" outlineLevel="0" collapsed="false">
      <c r="A37" s="22" t="str">
        <f aca="false">IF($B37="","",ROW()-5)</f>
        <v/>
      </c>
      <c r="B37" s="15"/>
      <c r="C37" s="15"/>
      <c r="D37" s="16" t="str">
        <f aca="false">IF($C37="","",IF($G37="Einstaklingsbundið",IFERROR(IF(INDEX('Undirviðmiðalisti (Lýsigögn)'!$D$42:$D$58,MATCH($C37,'Undirviðmiðalisti (Lýsigögn)'!$C$42:$C$58,0))="","",INDEX('Undirviðmiðalisti (Lýsigögn)'!$D$42:$D$58,MATCH($C37,'Undirviðmiðalisti (Lýsigögn)'!$C$42:$C$58,0))),""),IFERROR(IF(INDEX('Undirviðmiðalisti (Lýsigögn)'!$D$6:$D$41,MATCH($C37,'Undirviðmiðalisti (Lýsigögn)'!$C$6:$C$41,0))="","",INDEX('Undirviðmiðalisti (Lýsigögn)'!$D$6:$D$41,MATCH($C37,'Undirviðmiðalisti (Lýsigögn)'!$C$6:$C$41,0))),IFERROR(IF(INDEX('Undirviðmiðalisti (Lýsigögn)'!$D$42:$D$58,MATCH($C37,'Undirviðmiðalisti (Lýsigögn)'!$C$42:$C$58,0))="","",INDEX('Undirviðmiðalisti (Lýsigögn)'!$D$42:$D$58,MATCH($C37,'Undirviðmiðalisti (Lýsigögn)'!$C$42:$C$58,0))),""))))</f>
        <v/>
      </c>
      <c r="E37" s="14"/>
      <c r="F37" s="23" t="str">
        <f aca="false">IF($C37="","",IF($G37="Einstaklingsbundið",IFERROR(IF(INDEX('Undirviðmiðalisti (Lýsigögn)'!$E$42:$E$58,MATCH($C37,'Undirviðmiðalisti (Lýsigögn)'!$C$42:$C$58,0))="","",INDEX('Undirviðmiðalisti (Lýsigögn)'!$E$42:$E$58,MATCH($C37,'Undirviðmiðalisti (Lýsigögn)'!$C$42:$C$58,0))),""),IFERROR(IF(INDEX('Undirviðmiðalisti (Lýsigögn)'!$E$6:$E$41,MATCH($C37,'Undirviðmiðalisti (Lýsigögn)'!$C$6:$C$41,0))="","",INDEX('Undirviðmiðalisti (Lýsigögn)'!$E$6:$E$41,MATCH($C37,'Undirviðmiðalisti (Lýsigögn)'!$C$6:$C$41,0))),IFERROR(IF(INDEX('Undirviðmiðalisti (Lýsigögn)'!$E$42:$E$58,MATCH($C37,'Undirviðmiðalisti (Lýsigögn)'!$C$42:$C$58,0))="","",INDEX('Undirviðmiðalisti (Lýsigögn)'!$E$42:$E$58,MATCH($C37,'Undirviðmiðalisti (Lýsigögn)'!$C$42:$C$58,0))),""))))</f>
        <v/>
      </c>
      <c r="G37" s="24" t="str">
        <f aca="false">IFERROR(IF(B37="","",INDEX(Viðmið!$B$6:$B$10,MATCH(B37,Viðmið!$C$6:$C$10,0))),"")</f>
        <v/>
      </c>
      <c r="H37" s="25" t="str">
        <f aca="false">IF(OR(E37="",F37=""),"",E37*KVARDI)</f>
        <v/>
      </c>
      <c r="I37" s="26" t="str">
        <f aca="false">IF(B37="","",IF(ROUND(SUMIF($B$6:$B$205,B37,$E$6:$E$205),4)=ROUND(IFERROR(INDEX(Viðmið!$E$6:$E$10,MATCH(B37,Viðmið!$C$6:$C$10,0)),-1),4),"✓","✗"))</f>
        <v/>
      </c>
      <c r="J37" s="16" t="str">
        <f aca="false">IF($C37="","",IF($G37="Einstaklingsbundið",IFERROR(IF(INDEX('Undirviðmiðalisti (Lýsigögn)'!F$42:F$58,MATCH($C37,'Undirviðmiðalisti (Lýsigögn)'!$C$42:$C$58,0))="","",INDEX('Undirviðmiðalisti (Lýsigögn)'!F$42:F$58,MATCH($C37,'Undirviðmiðalisti (Lýsigögn)'!$C$42:$C$58,0))),""),IFERROR(IF(INDEX('Undirviðmiðalisti (Lýsigögn)'!F$6:F$41,MATCH($C37,'Undirviðmiðalisti (Lýsigögn)'!$C$6:$C$41,0))="","",INDEX('Undirviðmiðalisti (Lýsigögn)'!F$6:F$41,MATCH($C37,'Undirviðmiðalisti (Lýsigögn)'!$C$6:$C$41,0))),IFERROR(IF(INDEX('Undirviðmiðalisti (Lýsigögn)'!F$42:F$58,MATCH($C37,'Undirviðmiðalisti (Lýsigögn)'!$C$42:$C$58,0))="","",INDEX('Undirviðmiðalisti (Lýsigögn)'!F$42:F$58,MATCH($C37,'Undirviðmiðalisti (Lýsigögn)'!$C$42:$C$58,0))),""))))</f>
        <v/>
      </c>
      <c r="K37" s="16" t="str">
        <f aca="false">IF($C37="","",IF($G37="Einstaklingsbundið",IFERROR(IF(INDEX('Undirviðmiðalisti (Lýsigögn)'!G$42:G$58,MATCH($C37,'Undirviðmiðalisti (Lýsigögn)'!$C$42:$C$58,0))="","",INDEX('Undirviðmiðalisti (Lýsigögn)'!G$42:G$58,MATCH($C37,'Undirviðmiðalisti (Lýsigögn)'!$C$42:$C$58,0))),""),IFERROR(IF(INDEX('Undirviðmiðalisti (Lýsigögn)'!G$6:G$41,MATCH($C37,'Undirviðmiðalisti (Lýsigögn)'!$C$6:$C$41,0))="","",INDEX('Undirviðmiðalisti (Lýsigögn)'!G$6:G$41,MATCH($C37,'Undirviðmiðalisti (Lýsigögn)'!$C$6:$C$41,0))),IFERROR(IF(INDEX('Undirviðmiðalisti (Lýsigögn)'!G$42:G$58,MATCH($C37,'Undirviðmiðalisti (Lýsigögn)'!$C$42:$C$58,0))="","",INDEX('Undirviðmiðalisti (Lýsigögn)'!G$42:G$58,MATCH($C37,'Undirviðmiðalisti (Lýsigögn)'!$C$42:$C$58,0))),""))))</f>
        <v/>
      </c>
      <c r="L37" s="16" t="str">
        <f aca="false">IF($C37="","",IF($G37="Einstaklingsbundið",IFERROR(IF(INDEX('Undirviðmiðalisti (Lýsigögn)'!H$42:H$58,MATCH($C37,'Undirviðmiðalisti (Lýsigögn)'!$C$42:$C$58,0))="","",INDEX('Undirviðmiðalisti (Lýsigögn)'!H$42:H$58,MATCH($C37,'Undirviðmiðalisti (Lýsigögn)'!$C$42:$C$58,0))),""),IFERROR(IF(INDEX('Undirviðmiðalisti (Lýsigögn)'!H$6:H$41,MATCH($C37,'Undirviðmiðalisti (Lýsigögn)'!$C$6:$C$41,0))="","",INDEX('Undirviðmiðalisti (Lýsigögn)'!H$6:H$41,MATCH($C37,'Undirviðmiðalisti (Lýsigögn)'!$C$6:$C$41,0))),IFERROR(IF(INDEX('Undirviðmiðalisti (Lýsigögn)'!H$42:H$58,MATCH($C37,'Undirviðmiðalisti (Lýsigögn)'!$C$42:$C$58,0))="","",INDEX('Undirviðmiðalisti (Lýsigögn)'!H$42:H$58,MATCH($C37,'Undirviðmiðalisti (Lýsigögn)'!$C$42:$C$58,0))),""))))</f>
        <v/>
      </c>
      <c r="M37" s="16" t="str">
        <f aca="false">IF($C37="","",IF($G37="Einstaklingsbundið",IFERROR(IF(INDEX('Undirviðmiðalisti (Lýsigögn)'!I$42:I$58,MATCH($C37,'Undirviðmiðalisti (Lýsigögn)'!$C$42:$C$58,0))="","",INDEX('Undirviðmiðalisti (Lýsigögn)'!I$42:I$58,MATCH($C37,'Undirviðmiðalisti (Lýsigögn)'!$C$42:$C$58,0))),""),IFERROR(IF(INDEX('Undirviðmiðalisti (Lýsigögn)'!I$6:I$41,MATCH($C37,'Undirviðmiðalisti (Lýsigögn)'!$C$6:$C$41,0))="","",INDEX('Undirviðmiðalisti (Lýsigögn)'!I$6:I$41,MATCH($C37,'Undirviðmiðalisti (Lýsigögn)'!$C$6:$C$41,0))),IFERROR(IF(INDEX('Undirviðmiðalisti (Lýsigögn)'!I$42:I$58,MATCH($C37,'Undirviðmiðalisti (Lýsigögn)'!$C$42:$C$58,0))="","",INDEX('Undirviðmiðalisti (Lýsigögn)'!I$42:I$58,MATCH($C37,'Undirviðmiðalisti (Lýsigögn)'!$C$42:$C$58,0))),""))))</f>
        <v/>
      </c>
      <c r="N37" s="16" t="str">
        <f aca="false">IF($C37="","",IF($G37="Einstaklingsbundið",IFERROR(IF(INDEX('Undirviðmiðalisti (Lýsigögn)'!J$42:J$58,MATCH($C37,'Undirviðmiðalisti (Lýsigögn)'!$C$42:$C$58,0))="","",INDEX('Undirviðmiðalisti (Lýsigögn)'!J$42:J$58,MATCH($C37,'Undirviðmiðalisti (Lýsigögn)'!$C$42:$C$58,0))),""),IFERROR(IF(INDEX('Undirviðmiðalisti (Lýsigögn)'!J$6:J$41,MATCH($C37,'Undirviðmiðalisti (Lýsigögn)'!$C$6:$C$41,0))="","",INDEX('Undirviðmiðalisti (Lýsigögn)'!J$6:J$41,MATCH($C37,'Undirviðmiðalisti (Lýsigögn)'!$C$6:$C$41,0))),IFERROR(IF(INDEX('Undirviðmiðalisti (Lýsigögn)'!J$42:J$58,MATCH($C37,'Undirviðmiðalisti (Lýsigögn)'!$C$42:$C$58,0))="","",INDEX('Undirviðmiðalisti (Lýsigögn)'!J$42:J$58,MATCH($C37,'Undirviðmiðalisti (Lýsigögn)'!$C$42:$C$58,0))),""))))</f>
        <v/>
      </c>
      <c r="O37" s="16" t="str">
        <f aca="false">IF($C37="","",IF($G37="Einstaklingsbundið",IFERROR(IF(INDEX('Undirviðmiðalisti (Lýsigögn)'!K$42:K$58,MATCH($C37,'Undirviðmiðalisti (Lýsigögn)'!$C$42:$C$58,0))="","",INDEX('Undirviðmiðalisti (Lýsigögn)'!K$42:K$58,MATCH($C37,'Undirviðmiðalisti (Lýsigögn)'!$C$42:$C$58,0))),""),IFERROR(IF(INDEX('Undirviðmiðalisti (Lýsigögn)'!K$6:K$41,MATCH($C37,'Undirviðmiðalisti (Lýsigögn)'!$C$6:$C$41,0))="","",INDEX('Undirviðmiðalisti (Lýsigögn)'!K$6:K$41,MATCH($C37,'Undirviðmiðalisti (Lýsigögn)'!$C$6:$C$41,0))),IFERROR(IF(INDEX('Undirviðmiðalisti (Lýsigögn)'!K$42:K$58,MATCH($C37,'Undirviðmiðalisti (Lýsigögn)'!$C$42:$C$58,0))="","",INDEX('Undirviðmiðalisti (Lýsigögn)'!K$42:K$58,MATCH($C37,'Undirviðmiðalisti (Lýsigögn)'!$C$42:$C$58,0))),""))))</f>
        <v/>
      </c>
      <c r="P37" s="16" t="str">
        <f aca="false">IF($C37="","",IF($G37="Einstaklingsbundið",IFERROR(IF(INDEX('Undirviðmiðalisti (Lýsigögn)'!L$42:L$58,MATCH($C37,'Undirviðmiðalisti (Lýsigögn)'!$C$42:$C$58,0))="","",INDEX('Undirviðmiðalisti (Lýsigögn)'!L$42:L$58,MATCH($C37,'Undirviðmiðalisti (Lýsigögn)'!$C$42:$C$58,0))),""),IFERROR(IF(INDEX('Undirviðmiðalisti (Lýsigögn)'!L$6:L$41,MATCH($C37,'Undirviðmiðalisti (Lýsigögn)'!$C$6:$C$41,0))="","",INDEX('Undirviðmiðalisti (Lýsigögn)'!L$6:L$41,MATCH($C37,'Undirviðmiðalisti (Lýsigögn)'!$C$6:$C$41,0))),IFERROR(IF(INDEX('Undirviðmiðalisti (Lýsigögn)'!L$42:L$58,MATCH($C37,'Undirviðmiðalisti (Lýsigögn)'!$C$42:$C$58,0))="","",INDEX('Undirviðmiðalisti (Lýsigögn)'!L$42:L$58,MATCH($C37,'Undirviðmiðalisti (Lýsigögn)'!$C$42:$C$58,0))),""))))</f>
        <v/>
      </c>
      <c r="Q37" s="16" t="str">
        <f aca="false">IF($C37="","",IF($G37="Einstaklingsbundið",IFERROR(IF(INDEX('Undirviðmiðalisti (Lýsigögn)'!M$42:M$58,MATCH($C37,'Undirviðmiðalisti (Lýsigögn)'!$C$42:$C$58,0))="","",INDEX('Undirviðmiðalisti (Lýsigögn)'!M$42:M$58,MATCH($C37,'Undirviðmiðalisti (Lýsigögn)'!$C$42:$C$58,0))),""),IFERROR(IF(INDEX('Undirviðmiðalisti (Lýsigögn)'!M$6:M$41,MATCH($C37,'Undirviðmiðalisti (Lýsigögn)'!$C$6:$C$41,0))="","",INDEX('Undirviðmiðalisti (Lýsigögn)'!M$6:M$41,MATCH($C37,'Undirviðmiðalisti (Lýsigögn)'!$C$6:$C$41,0))),IFERROR(IF(INDEX('Undirviðmiðalisti (Lýsigögn)'!M$42:M$58,MATCH($C37,'Undirviðmiðalisti (Lýsigögn)'!$C$42:$C$58,0))="","",INDEX('Undirviðmiðalisti (Lýsigögn)'!M$42:M$58,MATCH($C37,'Undirviðmiðalisti (Lýsigögn)'!$C$42:$C$58,0))),""))))</f>
        <v/>
      </c>
    </row>
    <row r="38" customFormat="false" ht="15" hidden="false" customHeight="true" outlineLevel="0" collapsed="false">
      <c r="A38" s="22" t="str">
        <f aca="false">IF($B38="","",ROW()-5)</f>
        <v/>
      </c>
      <c r="B38" s="15"/>
      <c r="C38" s="15"/>
      <c r="D38" s="16" t="str">
        <f aca="false">IF($C38="","",IF($G38="Einstaklingsbundið",IFERROR(IF(INDEX('Undirviðmiðalisti (Lýsigögn)'!$D$42:$D$58,MATCH($C38,'Undirviðmiðalisti (Lýsigögn)'!$C$42:$C$58,0))="","",INDEX('Undirviðmiðalisti (Lýsigögn)'!$D$42:$D$58,MATCH($C38,'Undirviðmiðalisti (Lýsigögn)'!$C$42:$C$58,0))),""),IFERROR(IF(INDEX('Undirviðmiðalisti (Lýsigögn)'!$D$6:$D$41,MATCH($C38,'Undirviðmiðalisti (Lýsigögn)'!$C$6:$C$41,0))="","",INDEX('Undirviðmiðalisti (Lýsigögn)'!$D$6:$D$41,MATCH($C38,'Undirviðmiðalisti (Lýsigögn)'!$C$6:$C$41,0))),IFERROR(IF(INDEX('Undirviðmiðalisti (Lýsigögn)'!$D$42:$D$58,MATCH($C38,'Undirviðmiðalisti (Lýsigögn)'!$C$42:$C$58,0))="","",INDEX('Undirviðmiðalisti (Lýsigögn)'!$D$42:$D$58,MATCH($C38,'Undirviðmiðalisti (Lýsigögn)'!$C$42:$C$58,0))),""))))</f>
        <v/>
      </c>
      <c r="E38" s="14"/>
      <c r="F38" s="23" t="str">
        <f aca="false">IF($C38="","",IF($G38="Einstaklingsbundið",IFERROR(IF(INDEX('Undirviðmiðalisti (Lýsigögn)'!$E$42:$E$58,MATCH($C38,'Undirviðmiðalisti (Lýsigögn)'!$C$42:$C$58,0))="","",INDEX('Undirviðmiðalisti (Lýsigögn)'!$E$42:$E$58,MATCH($C38,'Undirviðmiðalisti (Lýsigögn)'!$C$42:$C$58,0))),""),IFERROR(IF(INDEX('Undirviðmiðalisti (Lýsigögn)'!$E$6:$E$41,MATCH($C38,'Undirviðmiðalisti (Lýsigögn)'!$C$6:$C$41,0))="","",INDEX('Undirviðmiðalisti (Lýsigögn)'!$E$6:$E$41,MATCH($C38,'Undirviðmiðalisti (Lýsigögn)'!$C$6:$C$41,0))),IFERROR(IF(INDEX('Undirviðmiðalisti (Lýsigögn)'!$E$42:$E$58,MATCH($C38,'Undirviðmiðalisti (Lýsigögn)'!$C$42:$C$58,0))="","",INDEX('Undirviðmiðalisti (Lýsigögn)'!$E$42:$E$58,MATCH($C38,'Undirviðmiðalisti (Lýsigögn)'!$C$42:$C$58,0))),""))))</f>
        <v/>
      </c>
      <c r="G38" s="24" t="str">
        <f aca="false">IFERROR(IF(B38="","",INDEX(Viðmið!$B$6:$B$10,MATCH(B38,Viðmið!$C$6:$C$10,0))),"")</f>
        <v/>
      </c>
      <c r="H38" s="25" t="str">
        <f aca="false">IF(OR(E38="",F38=""),"",E38*KVARDI)</f>
        <v/>
      </c>
      <c r="I38" s="26" t="str">
        <f aca="false">IF(B38="","",IF(ROUND(SUMIF($B$6:$B$205,B38,$E$6:$E$205),4)=ROUND(IFERROR(INDEX(Viðmið!$E$6:$E$10,MATCH(B38,Viðmið!$C$6:$C$10,0)),-1),4),"✓","✗"))</f>
        <v/>
      </c>
      <c r="J38" s="16" t="str">
        <f aca="false">IF($C38="","",IF($G38="Einstaklingsbundið",IFERROR(IF(INDEX('Undirviðmiðalisti (Lýsigögn)'!F$42:F$58,MATCH($C38,'Undirviðmiðalisti (Lýsigögn)'!$C$42:$C$58,0))="","",INDEX('Undirviðmiðalisti (Lýsigögn)'!F$42:F$58,MATCH($C38,'Undirviðmiðalisti (Lýsigögn)'!$C$42:$C$58,0))),""),IFERROR(IF(INDEX('Undirviðmiðalisti (Lýsigögn)'!F$6:F$41,MATCH($C38,'Undirviðmiðalisti (Lýsigögn)'!$C$6:$C$41,0))="","",INDEX('Undirviðmiðalisti (Lýsigögn)'!F$6:F$41,MATCH($C38,'Undirviðmiðalisti (Lýsigögn)'!$C$6:$C$41,0))),IFERROR(IF(INDEX('Undirviðmiðalisti (Lýsigögn)'!F$42:F$58,MATCH($C38,'Undirviðmiðalisti (Lýsigögn)'!$C$42:$C$58,0))="","",INDEX('Undirviðmiðalisti (Lýsigögn)'!F$42:F$58,MATCH($C38,'Undirviðmiðalisti (Lýsigögn)'!$C$42:$C$58,0))),""))))</f>
        <v/>
      </c>
      <c r="K38" s="16" t="str">
        <f aca="false">IF($C38="","",IF($G38="Einstaklingsbundið",IFERROR(IF(INDEX('Undirviðmiðalisti (Lýsigögn)'!G$42:G$58,MATCH($C38,'Undirviðmiðalisti (Lýsigögn)'!$C$42:$C$58,0))="","",INDEX('Undirviðmiðalisti (Lýsigögn)'!G$42:G$58,MATCH($C38,'Undirviðmiðalisti (Lýsigögn)'!$C$42:$C$58,0))),""),IFERROR(IF(INDEX('Undirviðmiðalisti (Lýsigögn)'!G$6:G$41,MATCH($C38,'Undirviðmiðalisti (Lýsigögn)'!$C$6:$C$41,0))="","",INDEX('Undirviðmiðalisti (Lýsigögn)'!G$6:G$41,MATCH($C38,'Undirviðmiðalisti (Lýsigögn)'!$C$6:$C$41,0))),IFERROR(IF(INDEX('Undirviðmiðalisti (Lýsigögn)'!G$42:G$58,MATCH($C38,'Undirviðmiðalisti (Lýsigögn)'!$C$42:$C$58,0))="","",INDEX('Undirviðmiðalisti (Lýsigögn)'!G$42:G$58,MATCH($C38,'Undirviðmiðalisti (Lýsigögn)'!$C$42:$C$58,0))),""))))</f>
        <v/>
      </c>
      <c r="L38" s="16" t="str">
        <f aca="false">IF($C38="","",IF($G38="Einstaklingsbundið",IFERROR(IF(INDEX('Undirviðmiðalisti (Lýsigögn)'!H$42:H$58,MATCH($C38,'Undirviðmiðalisti (Lýsigögn)'!$C$42:$C$58,0))="","",INDEX('Undirviðmiðalisti (Lýsigögn)'!H$42:H$58,MATCH($C38,'Undirviðmiðalisti (Lýsigögn)'!$C$42:$C$58,0))),""),IFERROR(IF(INDEX('Undirviðmiðalisti (Lýsigögn)'!H$6:H$41,MATCH($C38,'Undirviðmiðalisti (Lýsigögn)'!$C$6:$C$41,0))="","",INDEX('Undirviðmiðalisti (Lýsigögn)'!H$6:H$41,MATCH($C38,'Undirviðmiðalisti (Lýsigögn)'!$C$6:$C$41,0))),IFERROR(IF(INDEX('Undirviðmiðalisti (Lýsigögn)'!H$42:H$58,MATCH($C38,'Undirviðmiðalisti (Lýsigögn)'!$C$42:$C$58,0))="","",INDEX('Undirviðmiðalisti (Lýsigögn)'!H$42:H$58,MATCH($C38,'Undirviðmiðalisti (Lýsigögn)'!$C$42:$C$58,0))),""))))</f>
        <v/>
      </c>
      <c r="M38" s="16" t="str">
        <f aca="false">IF($C38="","",IF($G38="Einstaklingsbundið",IFERROR(IF(INDEX('Undirviðmiðalisti (Lýsigögn)'!I$42:I$58,MATCH($C38,'Undirviðmiðalisti (Lýsigögn)'!$C$42:$C$58,0))="","",INDEX('Undirviðmiðalisti (Lýsigögn)'!I$42:I$58,MATCH($C38,'Undirviðmiðalisti (Lýsigögn)'!$C$42:$C$58,0))),""),IFERROR(IF(INDEX('Undirviðmiðalisti (Lýsigögn)'!I$6:I$41,MATCH($C38,'Undirviðmiðalisti (Lýsigögn)'!$C$6:$C$41,0))="","",INDEX('Undirviðmiðalisti (Lýsigögn)'!I$6:I$41,MATCH($C38,'Undirviðmiðalisti (Lýsigögn)'!$C$6:$C$41,0))),IFERROR(IF(INDEX('Undirviðmiðalisti (Lýsigögn)'!I$42:I$58,MATCH($C38,'Undirviðmiðalisti (Lýsigögn)'!$C$42:$C$58,0))="","",INDEX('Undirviðmiðalisti (Lýsigögn)'!I$42:I$58,MATCH($C38,'Undirviðmiðalisti (Lýsigögn)'!$C$42:$C$58,0))),""))))</f>
        <v/>
      </c>
      <c r="N38" s="16" t="str">
        <f aca="false">IF($C38="","",IF($G38="Einstaklingsbundið",IFERROR(IF(INDEX('Undirviðmiðalisti (Lýsigögn)'!J$42:J$58,MATCH($C38,'Undirviðmiðalisti (Lýsigögn)'!$C$42:$C$58,0))="","",INDEX('Undirviðmiðalisti (Lýsigögn)'!J$42:J$58,MATCH($C38,'Undirviðmiðalisti (Lýsigögn)'!$C$42:$C$58,0))),""),IFERROR(IF(INDEX('Undirviðmiðalisti (Lýsigögn)'!J$6:J$41,MATCH($C38,'Undirviðmiðalisti (Lýsigögn)'!$C$6:$C$41,0))="","",INDEX('Undirviðmiðalisti (Lýsigögn)'!J$6:J$41,MATCH($C38,'Undirviðmiðalisti (Lýsigögn)'!$C$6:$C$41,0))),IFERROR(IF(INDEX('Undirviðmiðalisti (Lýsigögn)'!J$42:J$58,MATCH($C38,'Undirviðmiðalisti (Lýsigögn)'!$C$42:$C$58,0))="","",INDEX('Undirviðmiðalisti (Lýsigögn)'!J$42:J$58,MATCH($C38,'Undirviðmiðalisti (Lýsigögn)'!$C$42:$C$58,0))),""))))</f>
        <v/>
      </c>
      <c r="O38" s="16" t="str">
        <f aca="false">IF($C38="","",IF($G38="Einstaklingsbundið",IFERROR(IF(INDEX('Undirviðmiðalisti (Lýsigögn)'!K$42:K$58,MATCH($C38,'Undirviðmiðalisti (Lýsigögn)'!$C$42:$C$58,0))="","",INDEX('Undirviðmiðalisti (Lýsigögn)'!K$42:K$58,MATCH($C38,'Undirviðmiðalisti (Lýsigögn)'!$C$42:$C$58,0))),""),IFERROR(IF(INDEX('Undirviðmiðalisti (Lýsigögn)'!K$6:K$41,MATCH($C38,'Undirviðmiðalisti (Lýsigögn)'!$C$6:$C$41,0))="","",INDEX('Undirviðmiðalisti (Lýsigögn)'!K$6:K$41,MATCH($C38,'Undirviðmiðalisti (Lýsigögn)'!$C$6:$C$41,0))),IFERROR(IF(INDEX('Undirviðmiðalisti (Lýsigögn)'!K$42:K$58,MATCH($C38,'Undirviðmiðalisti (Lýsigögn)'!$C$42:$C$58,0))="","",INDEX('Undirviðmiðalisti (Lýsigögn)'!K$42:K$58,MATCH($C38,'Undirviðmiðalisti (Lýsigögn)'!$C$42:$C$58,0))),""))))</f>
        <v/>
      </c>
      <c r="P38" s="16" t="str">
        <f aca="false">IF($C38="","",IF($G38="Einstaklingsbundið",IFERROR(IF(INDEX('Undirviðmiðalisti (Lýsigögn)'!L$42:L$58,MATCH($C38,'Undirviðmiðalisti (Lýsigögn)'!$C$42:$C$58,0))="","",INDEX('Undirviðmiðalisti (Lýsigögn)'!L$42:L$58,MATCH($C38,'Undirviðmiðalisti (Lýsigögn)'!$C$42:$C$58,0))),""),IFERROR(IF(INDEX('Undirviðmiðalisti (Lýsigögn)'!L$6:L$41,MATCH($C38,'Undirviðmiðalisti (Lýsigögn)'!$C$6:$C$41,0))="","",INDEX('Undirviðmiðalisti (Lýsigögn)'!L$6:L$41,MATCH($C38,'Undirviðmiðalisti (Lýsigögn)'!$C$6:$C$41,0))),IFERROR(IF(INDEX('Undirviðmiðalisti (Lýsigögn)'!L$42:L$58,MATCH($C38,'Undirviðmiðalisti (Lýsigögn)'!$C$42:$C$58,0))="","",INDEX('Undirviðmiðalisti (Lýsigögn)'!L$42:L$58,MATCH($C38,'Undirviðmiðalisti (Lýsigögn)'!$C$42:$C$58,0))),""))))</f>
        <v/>
      </c>
      <c r="Q38" s="16" t="str">
        <f aca="false">IF($C38="","",IF($G38="Einstaklingsbundið",IFERROR(IF(INDEX('Undirviðmiðalisti (Lýsigögn)'!M$42:M$58,MATCH($C38,'Undirviðmiðalisti (Lýsigögn)'!$C$42:$C$58,0))="","",INDEX('Undirviðmiðalisti (Lýsigögn)'!M$42:M$58,MATCH($C38,'Undirviðmiðalisti (Lýsigögn)'!$C$42:$C$58,0))),""),IFERROR(IF(INDEX('Undirviðmiðalisti (Lýsigögn)'!M$6:M$41,MATCH($C38,'Undirviðmiðalisti (Lýsigögn)'!$C$6:$C$41,0))="","",INDEX('Undirviðmiðalisti (Lýsigögn)'!M$6:M$41,MATCH($C38,'Undirviðmiðalisti (Lýsigögn)'!$C$6:$C$41,0))),IFERROR(IF(INDEX('Undirviðmiðalisti (Lýsigögn)'!M$42:M$58,MATCH($C38,'Undirviðmiðalisti (Lýsigögn)'!$C$42:$C$58,0))="","",INDEX('Undirviðmiðalisti (Lýsigögn)'!M$42:M$58,MATCH($C38,'Undirviðmiðalisti (Lýsigögn)'!$C$42:$C$58,0))),""))))</f>
        <v/>
      </c>
    </row>
    <row r="39" customFormat="false" ht="15" hidden="false" customHeight="true" outlineLevel="0" collapsed="false">
      <c r="A39" s="22" t="str">
        <f aca="false">IF($B39="","",ROW()-5)</f>
        <v/>
      </c>
      <c r="B39" s="15"/>
      <c r="C39" s="15"/>
      <c r="D39" s="16" t="str">
        <f aca="false">IF($C39="","",IF($G39="Einstaklingsbundið",IFERROR(IF(INDEX('Undirviðmiðalisti (Lýsigögn)'!$D$42:$D$58,MATCH($C39,'Undirviðmiðalisti (Lýsigögn)'!$C$42:$C$58,0))="","",INDEX('Undirviðmiðalisti (Lýsigögn)'!$D$42:$D$58,MATCH($C39,'Undirviðmiðalisti (Lýsigögn)'!$C$42:$C$58,0))),""),IFERROR(IF(INDEX('Undirviðmiðalisti (Lýsigögn)'!$D$6:$D$41,MATCH($C39,'Undirviðmiðalisti (Lýsigögn)'!$C$6:$C$41,0))="","",INDEX('Undirviðmiðalisti (Lýsigögn)'!$D$6:$D$41,MATCH($C39,'Undirviðmiðalisti (Lýsigögn)'!$C$6:$C$41,0))),IFERROR(IF(INDEX('Undirviðmiðalisti (Lýsigögn)'!$D$42:$D$58,MATCH($C39,'Undirviðmiðalisti (Lýsigögn)'!$C$42:$C$58,0))="","",INDEX('Undirviðmiðalisti (Lýsigögn)'!$D$42:$D$58,MATCH($C39,'Undirviðmiðalisti (Lýsigögn)'!$C$42:$C$58,0))),""))))</f>
        <v/>
      </c>
      <c r="E39" s="14"/>
      <c r="F39" s="23" t="str">
        <f aca="false">IF($C39="","",IF($G39="Einstaklingsbundið",IFERROR(IF(INDEX('Undirviðmiðalisti (Lýsigögn)'!$E$42:$E$58,MATCH($C39,'Undirviðmiðalisti (Lýsigögn)'!$C$42:$C$58,0))="","",INDEX('Undirviðmiðalisti (Lýsigögn)'!$E$42:$E$58,MATCH($C39,'Undirviðmiðalisti (Lýsigögn)'!$C$42:$C$58,0))),""),IFERROR(IF(INDEX('Undirviðmiðalisti (Lýsigögn)'!$E$6:$E$41,MATCH($C39,'Undirviðmiðalisti (Lýsigögn)'!$C$6:$C$41,0))="","",INDEX('Undirviðmiðalisti (Lýsigögn)'!$E$6:$E$41,MATCH($C39,'Undirviðmiðalisti (Lýsigögn)'!$C$6:$C$41,0))),IFERROR(IF(INDEX('Undirviðmiðalisti (Lýsigögn)'!$E$42:$E$58,MATCH($C39,'Undirviðmiðalisti (Lýsigögn)'!$C$42:$C$58,0))="","",INDEX('Undirviðmiðalisti (Lýsigögn)'!$E$42:$E$58,MATCH($C39,'Undirviðmiðalisti (Lýsigögn)'!$C$42:$C$58,0))),""))))</f>
        <v/>
      </c>
      <c r="G39" s="24" t="str">
        <f aca="false">IFERROR(IF(B39="","",INDEX(Viðmið!$B$6:$B$10,MATCH(B39,Viðmið!$C$6:$C$10,0))),"")</f>
        <v/>
      </c>
      <c r="H39" s="25" t="str">
        <f aca="false">IF(OR(E39="",F39=""),"",E39*KVARDI)</f>
        <v/>
      </c>
      <c r="I39" s="26" t="str">
        <f aca="false">IF(B39="","",IF(ROUND(SUMIF($B$6:$B$205,B39,$E$6:$E$205),4)=ROUND(IFERROR(INDEX(Viðmið!$E$6:$E$10,MATCH(B39,Viðmið!$C$6:$C$10,0)),-1),4),"✓","✗"))</f>
        <v/>
      </c>
      <c r="J39" s="16" t="str">
        <f aca="false">IF($C39="","",IF($G39="Einstaklingsbundið",IFERROR(IF(INDEX('Undirviðmiðalisti (Lýsigögn)'!F$42:F$58,MATCH($C39,'Undirviðmiðalisti (Lýsigögn)'!$C$42:$C$58,0))="","",INDEX('Undirviðmiðalisti (Lýsigögn)'!F$42:F$58,MATCH($C39,'Undirviðmiðalisti (Lýsigögn)'!$C$42:$C$58,0))),""),IFERROR(IF(INDEX('Undirviðmiðalisti (Lýsigögn)'!F$6:F$41,MATCH($C39,'Undirviðmiðalisti (Lýsigögn)'!$C$6:$C$41,0))="","",INDEX('Undirviðmiðalisti (Lýsigögn)'!F$6:F$41,MATCH($C39,'Undirviðmiðalisti (Lýsigögn)'!$C$6:$C$41,0))),IFERROR(IF(INDEX('Undirviðmiðalisti (Lýsigögn)'!F$42:F$58,MATCH($C39,'Undirviðmiðalisti (Lýsigögn)'!$C$42:$C$58,0))="","",INDEX('Undirviðmiðalisti (Lýsigögn)'!F$42:F$58,MATCH($C39,'Undirviðmiðalisti (Lýsigögn)'!$C$42:$C$58,0))),""))))</f>
        <v/>
      </c>
      <c r="K39" s="16" t="str">
        <f aca="false">IF($C39="","",IF($G39="Einstaklingsbundið",IFERROR(IF(INDEX('Undirviðmiðalisti (Lýsigögn)'!G$42:G$58,MATCH($C39,'Undirviðmiðalisti (Lýsigögn)'!$C$42:$C$58,0))="","",INDEX('Undirviðmiðalisti (Lýsigögn)'!G$42:G$58,MATCH($C39,'Undirviðmiðalisti (Lýsigögn)'!$C$42:$C$58,0))),""),IFERROR(IF(INDEX('Undirviðmiðalisti (Lýsigögn)'!G$6:G$41,MATCH($C39,'Undirviðmiðalisti (Lýsigögn)'!$C$6:$C$41,0))="","",INDEX('Undirviðmiðalisti (Lýsigögn)'!G$6:G$41,MATCH($C39,'Undirviðmiðalisti (Lýsigögn)'!$C$6:$C$41,0))),IFERROR(IF(INDEX('Undirviðmiðalisti (Lýsigögn)'!G$42:G$58,MATCH($C39,'Undirviðmiðalisti (Lýsigögn)'!$C$42:$C$58,0))="","",INDEX('Undirviðmiðalisti (Lýsigögn)'!G$42:G$58,MATCH($C39,'Undirviðmiðalisti (Lýsigögn)'!$C$42:$C$58,0))),""))))</f>
        <v/>
      </c>
      <c r="L39" s="16" t="str">
        <f aca="false">IF($C39="","",IF($G39="Einstaklingsbundið",IFERROR(IF(INDEX('Undirviðmiðalisti (Lýsigögn)'!H$42:H$58,MATCH($C39,'Undirviðmiðalisti (Lýsigögn)'!$C$42:$C$58,0))="","",INDEX('Undirviðmiðalisti (Lýsigögn)'!H$42:H$58,MATCH($C39,'Undirviðmiðalisti (Lýsigögn)'!$C$42:$C$58,0))),""),IFERROR(IF(INDEX('Undirviðmiðalisti (Lýsigögn)'!H$6:H$41,MATCH($C39,'Undirviðmiðalisti (Lýsigögn)'!$C$6:$C$41,0))="","",INDEX('Undirviðmiðalisti (Lýsigögn)'!H$6:H$41,MATCH($C39,'Undirviðmiðalisti (Lýsigögn)'!$C$6:$C$41,0))),IFERROR(IF(INDEX('Undirviðmiðalisti (Lýsigögn)'!H$42:H$58,MATCH($C39,'Undirviðmiðalisti (Lýsigögn)'!$C$42:$C$58,0))="","",INDEX('Undirviðmiðalisti (Lýsigögn)'!H$42:H$58,MATCH($C39,'Undirviðmiðalisti (Lýsigögn)'!$C$42:$C$58,0))),""))))</f>
        <v/>
      </c>
      <c r="M39" s="16" t="str">
        <f aca="false">IF($C39="","",IF($G39="Einstaklingsbundið",IFERROR(IF(INDEX('Undirviðmiðalisti (Lýsigögn)'!I$42:I$58,MATCH($C39,'Undirviðmiðalisti (Lýsigögn)'!$C$42:$C$58,0))="","",INDEX('Undirviðmiðalisti (Lýsigögn)'!I$42:I$58,MATCH($C39,'Undirviðmiðalisti (Lýsigögn)'!$C$42:$C$58,0))),""),IFERROR(IF(INDEX('Undirviðmiðalisti (Lýsigögn)'!I$6:I$41,MATCH($C39,'Undirviðmiðalisti (Lýsigögn)'!$C$6:$C$41,0))="","",INDEX('Undirviðmiðalisti (Lýsigögn)'!I$6:I$41,MATCH($C39,'Undirviðmiðalisti (Lýsigögn)'!$C$6:$C$41,0))),IFERROR(IF(INDEX('Undirviðmiðalisti (Lýsigögn)'!I$42:I$58,MATCH($C39,'Undirviðmiðalisti (Lýsigögn)'!$C$42:$C$58,0))="","",INDEX('Undirviðmiðalisti (Lýsigögn)'!I$42:I$58,MATCH($C39,'Undirviðmiðalisti (Lýsigögn)'!$C$42:$C$58,0))),""))))</f>
        <v/>
      </c>
      <c r="N39" s="16" t="str">
        <f aca="false">IF($C39="","",IF($G39="Einstaklingsbundið",IFERROR(IF(INDEX('Undirviðmiðalisti (Lýsigögn)'!J$42:J$58,MATCH($C39,'Undirviðmiðalisti (Lýsigögn)'!$C$42:$C$58,0))="","",INDEX('Undirviðmiðalisti (Lýsigögn)'!J$42:J$58,MATCH($C39,'Undirviðmiðalisti (Lýsigögn)'!$C$42:$C$58,0))),""),IFERROR(IF(INDEX('Undirviðmiðalisti (Lýsigögn)'!J$6:J$41,MATCH($C39,'Undirviðmiðalisti (Lýsigögn)'!$C$6:$C$41,0))="","",INDEX('Undirviðmiðalisti (Lýsigögn)'!J$6:J$41,MATCH($C39,'Undirviðmiðalisti (Lýsigögn)'!$C$6:$C$41,0))),IFERROR(IF(INDEX('Undirviðmiðalisti (Lýsigögn)'!J$42:J$58,MATCH($C39,'Undirviðmiðalisti (Lýsigögn)'!$C$42:$C$58,0))="","",INDEX('Undirviðmiðalisti (Lýsigögn)'!J$42:J$58,MATCH($C39,'Undirviðmiðalisti (Lýsigögn)'!$C$42:$C$58,0))),""))))</f>
        <v/>
      </c>
      <c r="O39" s="16" t="str">
        <f aca="false">IF($C39="","",IF($G39="Einstaklingsbundið",IFERROR(IF(INDEX('Undirviðmiðalisti (Lýsigögn)'!K$42:K$58,MATCH($C39,'Undirviðmiðalisti (Lýsigögn)'!$C$42:$C$58,0))="","",INDEX('Undirviðmiðalisti (Lýsigögn)'!K$42:K$58,MATCH($C39,'Undirviðmiðalisti (Lýsigögn)'!$C$42:$C$58,0))),""),IFERROR(IF(INDEX('Undirviðmiðalisti (Lýsigögn)'!K$6:K$41,MATCH($C39,'Undirviðmiðalisti (Lýsigögn)'!$C$6:$C$41,0))="","",INDEX('Undirviðmiðalisti (Lýsigögn)'!K$6:K$41,MATCH($C39,'Undirviðmiðalisti (Lýsigögn)'!$C$6:$C$41,0))),IFERROR(IF(INDEX('Undirviðmiðalisti (Lýsigögn)'!K$42:K$58,MATCH($C39,'Undirviðmiðalisti (Lýsigögn)'!$C$42:$C$58,0))="","",INDEX('Undirviðmiðalisti (Lýsigögn)'!K$42:K$58,MATCH($C39,'Undirviðmiðalisti (Lýsigögn)'!$C$42:$C$58,0))),""))))</f>
        <v/>
      </c>
      <c r="P39" s="16" t="str">
        <f aca="false">IF($C39="","",IF($G39="Einstaklingsbundið",IFERROR(IF(INDEX('Undirviðmiðalisti (Lýsigögn)'!L$42:L$58,MATCH($C39,'Undirviðmiðalisti (Lýsigögn)'!$C$42:$C$58,0))="","",INDEX('Undirviðmiðalisti (Lýsigögn)'!L$42:L$58,MATCH($C39,'Undirviðmiðalisti (Lýsigögn)'!$C$42:$C$58,0))),""),IFERROR(IF(INDEX('Undirviðmiðalisti (Lýsigögn)'!L$6:L$41,MATCH($C39,'Undirviðmiðalisti (Lýsigögn)'!$C$6:$C$41,0))="","",INDEX('Undirviðmiðalisti (Lýsigögn)'!L$6:L$41,MATCH($C39,'Undirviðmiðalisti (Lýsigögn)'!$C$6:$C$41,0))),IFERROR(IF(INDEX('Undirviðmiðalisti (Lýsigögn)'!L$42:L$58,MATCH($C39,'Undirviðmiðalisti (Lýsigögn)'!$C$42:$C$58,0))="","",INDEX('Undirviðmiðalisti (Lýsigögn)'!L$42:L$58,MATCH($C39,'Undirviðmiðalisti (Lýsigögn)'!$C$42:$C$58,0))),""))))</f>
        <v/>
      </c>
      <c r="Q39" s="16" t="str">
        <f aca="false">IF($C39="","",IF($G39="Einstaklingsbundið",IFERROR(IF(INDEX('Undirviðmiðalisti (Lýsigögn)'!M$42:M$58,MATCH($C39,'Undirviðmiðalisti (Lýsigögn)'!$C$42:$C$58,0))="","",INDEX('Undirviðmiðalisti (Lýsigögn)'!M$42:M$58,MATCH($C39,'Undirviðmiðalisti (Lýsigögn)'!$C$42:$C$58,0))),""),IFERROR(IF(INDEX('Undirviðmiðalisti (Lýsigögn)'!M$6:M$41,MATCH($C39,'Undirviðmiðalisti (Lýsigögn)'!$C$6:$C$41,0))="","",INDEX('Undirviðmiðalisti (Lýsigögn)'!M$6:M$41,MATCH($C39,'Undirviðmiðalisti (Lýsigögn)'!$C$6:$C$41,0))),IFERROR(IF(INDEX('Undirviðmiðalisti (Lýsigögn)'!M$42:M$58,MATCH($C39,'Undirviðmiðalisti (Lýsigögn)'!$C$42:$C$58,0))="","",INDEX('Undirviðmiðalisti (Lýsigögn)'!M$42:M$58,MATCH($C39,'Undirviðmiðalisti (Lýsigögn)'!$C$42:$C$58,0))),""))))</f>
        <v/>
      </c>
    </row>
    <row r="40" customFormat="false" ht="15" hidden="false" customHeight="true" outlineLevel="0" collapsed="false">
      <c r="A40" s="22" t="str">
        <f aca="false">IF($B40="","",ROW()-5)</f>
        <v/>
      </c>
      <c r="B40" s="15"/>
      <c r="C40" s="15"/>
      <c r="D40" s="16" t="str">
        <f aca="false">IF($C40="","",IF($G40="Einstaklingsbundið",IFERROR(IF(INDEX('Undirviðmiðalisti (Lýsigögn)'!$D$42:$D$58,MATCH($C40,'Undirviðmiðalisti (Lýsigögn)'!$C$42:$C$58,0))="","",INDEX('Undirviðmiðalisti (Lýsigögn)'!$D$42:$D$58,MATCH($C40,'Undirviðmiðalisti (Lýsigögn)'!$C$42:$C$58,0))),""),IFERROR(IF(INDEX('Undirviðmiðalisti (Lýsigögn)'!$D$6:$D$41,MATCH($C40,'Undirviðmiðalisti (Lýsigögn)'!$C$6:$C$41,0))="","",INDEX('Undirviðmiðalisti (Lýsigögn)'!$D$6:$D$41,MATCH($C40,'Undirviðmiðalisti (Lýsigögn)'!$C$6:$C$41,0))),IFERROR(IF(INDEX('Undirviðmiðalisti (Lýsigögn)'!$D$42:$D$58,MATCH($C40,'Undirviðmiðalisti (Lýsigögn)'!$C$42:$C$58,0))="","",INDEX('Undirviðmiðalisti (Lýsigögn)'!$D$42:$D$58,MATCH($C40,'Undirviðmiðalisti (Lýsigögn)'!$C$42:$C$58,0))),""))))</f>
        <v/>
      </c>
      <c r="E40" s="14"/>
      <c r="F40" s="23" t="str">
        <f aca="false">IF($C40="","",IF($G40="Einstaklingsbundið",IFERROR(IF(INDEX('Undirviðmiðalisti (Lýsigögn)'!$E$42:$E$58,MATCH($C40,'Undirviðmiðalisti (Lýsigögn)'!$C$42:$C$58,0))="","",INDEX('Undirviðmiðalisti (Lýsigögn)'!$E$42:$E$58,MATCH($C40,'Undirviðmiðalisti (Lýsigögn)'!$C$42:$C$58,0))),""),IFERROR(IF(INDEX('Undirviðmiðalisti (Lýsigögn)'!$E$6:$E$41,MATCH($C40,'Undirviðmiðalisti (Lýsigögn)'!$C$6:$C$41,0))="","",INDEX('Undirviðmiðalisti (Lýsigögn)'!$E$6:$E$41,MATCH($C40,'Undirviðmiðalisti (Lýsigögn)'!$C$6:$C$41,0))),IFERROR(IF(INDEX('Undirviðmiðalisti (Lýsigögn)'!$E$42:$E$58,MATCH($C40,'Undirviðmiðalisti (Lýsigögn)'!$C$42:$C$58,0))="","",INDEX('Undirviðmiðalisti (Lýsigögn)'!$E$42:$E$58,MATCH($C40,'Undirviðmiðalisti (Lýsigögn)'!$C$42:$C$58,0))),""))))</f>
        <v/>
      </c>
      <c r="G40" s="24" t="str">
        <f aca="false">IFERROR(IF(B40="","",INDEX(Viðmið!$B$6:$B$10,MATCH(B40,Viðmið!$C$6:$C$10,0))),"")</f>
        <v/>
      </c>
      <c r="H40" s="25" t="str">
        <f aca="false">IF(OR(E40="",F40=""),"",E40*KVARDI)</f>
        <v/>
      </c>
      <c r="I40" s="26" t="str">
        <f aca="false">IF(B40="","",IF(ROUND(SUMIF($B$6:$B$205,B40,$E$6:$E$205),4)=ROUND(IFERROR(INDEX(Viðmið!$E$6:$E$10,MATCH(B40,Viðmið!$C$6:$C$10,0)),-1),4),"✓","✗"))</f>
        <v/>
      </c>
      <c r="J40" s="16" t="str">
        <f aca="false">IF($C40="","",IF($G40="Einstaklingsbundið",IFERROR(IF(INDEX('Undirviðmiðalisti (Lýsigögn)'!F$42:F$58,MATCH($C40,'Undirviðmiðalisti (Lýsigögn)'!$C$42:$C$58,0))="","",INDEX('Undirviðmiðalisti (Lýsigögn)'!F$42:F$58,MATCH($C40,'Undirviðmiðalisti (Lýsigögn)'!$C$42:$C$58,0))),""),IFERROR(IF(INDEX('Undirviðmiðalisti (Lýsigögn)'!F$6:F$41,MATCH($C40,'Undirviðmiðalisti (Lýsigögn)'!$C$6:$C$41,0))="","",INDEX('Undirviðmiðalisti (Lýsigögn)'!F$6:F$41,MATCH($C40,'Undirviðmiðalisti (Lýsigögn)'!$C$6:$C$41,0))),IFERROR(IF(INDEX('Undirviðmiðalisti (Lýsigögn)'!F$42:F$58,MATCH($C40,'Undirviðmiðalisti (Lýsigögn)'!$C$42:$C$58,0))="","",INDEX('Undirviðmiðalisti (Lýsigögn)'!F$42:F$58,MATCH($C40,'Undirviðmiðalisti (Lýsigögn)'!$C$42:$C$58,0))),""))))</f>
        <v/>
      </c>
      <c r="K40" s="16" t="str">
        <f aca="false">IF($C40="","",IF($G40="Einstaklingsbundið",IFERROR(IF(INDEX('Undirviðmiðalisti (Lýsigögn)'!G$42:G$58,MATCH($C40,'Undirviðmiðalisti (Lýsigögn)'!$C$42:$C$58,0))="","",INDEX('Undirviðmiðalisti (Lýsigögn)'!G$42:G$58,MATCH($C40,'Undirviðmiðalisti (Lýsigögn)'!$C$42:$C$58,0))),""),IFERROR(IF(INDEX('Undirviðmiðalisti (Lýsigögn)'!G$6:G$41,MATCH($C40,'Undirviðmiðalisti (Lýsigögn)'!$C$6:$C$41,0))="","",INDEX('Undirviðmiðalisti (Lýsigögn)'!G$6:G$41,MATCH($C40,'Undirviðmiðalisti (Lýsigögn)'!$C$6:$C$41,0))),IFERROR(IF(INDEX('Undirviðmiðalisti (Lýsigögn)'!G$42:G$58,MATCH($C40,'Undirviðmiðalisti (Lýsigögn)'!$C$42:$C$58,0))="","",INDEX('Undirviðmiðalisti (Lýsigögn)'!G$42:G$58,MATCH($C40,'Undirviðmiðalisti (Lýsigögn)'!$C$42:$C$58,0))),""))))</f>
        <v/>
      </c>
      <c r="L40" s="16" t="str">
        <f aca="false">IF($C40="","",IF($G40="Einstaklingsbundið",IFERROR(IF(INDEX('Undirviðmiðalisti (Lýsigögn)'!H$42:H$58,MATCH($C40,'Undirviðmiðalisti (Lýsigögn)'!$C$42:$C$58,0))="","",INDEX('Undirviðmiðalisti (Lýsigögn)'!H$42:H$58,MATCH($C40,'Undirviðmiðalisti (Lýsigögn)'!$C$42:$C$58,0))),""),IFERROR(IF(INDEX('Undirviðmiðalisti (Lýsigögn)'!H$6:H$41,MATCH($C40,'Undirviðmiðalisti (Lýsigögn)'!$C$6:$C$41,0))="","",INDEX('Undirviðmiðalisti (Lýsigögn)'!H$6:H$41,MATCH($C40,'Undirviðmiðalisti (Lýsigögn)'!$C$6:$C$41,0))),IFERROR(IF(INDEX('Undirviðmiðalisti (Lýsigögn)'!H$42:H$58,MATCH($C40,'Undirviðmiðalisti (Lýsigögn)'!$C$42:$C$58,0))="","",INDEX('Undirviðmiðalisti (Lýsigögn)'!H$42:H$58,MATCH($C40,'Undirviðmiðalisti (Lýsigögn)'!$C$42:$C$58,0))),""))))</f>
        <v/>
      </c>
      <c r="M40" s="16" t="str">
        <f aca="false">IF($C40="","",IF($G40="Einstaklingsbundið",IFERROR(IF(INDEX('Undirviðmiðalisti (Lýsigögn)'!I$42:I$58,MATCH($C40,'Undirviðmiðalisti (Lýsigögn)'!$C$42:$C$58,0))="","",INDEX('Undirviðmiðalisti (Lýsigögn)'!I$42:I$58,MATCH($C40,'Undirviðmiðalisti (Lýsigögn)'!$C$42:$C$58,0))),""),IFERROR(IF(INDEX('Undirviðmiðalisti (Lýsigögn)'!I$6:I$41,MATCH($C40,'Undirviðmiðalisti (Lýsigögn)'!$C$6:$C$41,0))="","",INDEX('Undirviðmiðalisti (Lýsigögn)'!I$6:I$41,MATCH($C40,'Undirviðmiðalisti (Lýsigögn)'!$C$6:$C$41,0))),IFERROR(IF(INDEX('Undirviðmiðalisti (Lýsigögn)'!I$42:I$58,MATCH($C40,'Undirviðmiðalisti (Lýsigögn)'!$C$42:$C$58,0))="","",INDEX('Undirviðmiðalisti (Lýsigögn)'!I$42:I$58,MATCH($C40,'Undirviðmiðalisti (Lýsigögn)'!$C$42:$C$58,0))),""))))</f>
        <v/>
      </c>
      <c r="N40" s="16" t="str">
        <f aca="false">IF($C40="","",IF($G40="Einstaklingsbundið",IFERROR(IF(INDEX('Undirviðmiðalisti (Lýsigögn)'!J$42:J$58,MATCH($C40,'Undirviðmiðalisti (Lýsigögn)'!$C$42:$C$58,0))="","",INDEX('Undirviðmiðalisti (Lýsigögn)'!J$42:J$58,MATCH($C40,'Undirviðmiðalisti (Lýsigögn)'!$C$42:$C$58,0))),""),IFERROR(IF(INDEX('Undirviðmiðalisti (Lýsigögn)'!J$6:J$41,MATCH($C40,'Undirviðmiðalisti (Lýsigögn)'!$C$6:$C$41,0))="","",INDEX('Undirviðmiðalisti (Lýsigögn)'!J$6:J$41,MATCH($C40,'Undirviðmiðalisti (Lýsigögn)'!$C$6:$C$41,0))),IFERROR(IF(INDEX('Undirviðmiðalisti (Lýsigögn)'!J$42:J$58,MATCH($C40,'Undirviðmiðalisti (Lýsigögn)'!$C$42:$C$58,0))="","",INDEX('Undirviðmiðalisti (Lýsigögn)'!J$42:J$58,MATCH($C40,'Undirviðmiðalisti (Lýsigögn)'!$C$42:$C$58,0))),""))))</f>
        <v/>
      </c>
      <c r="O40" s="16" t="str">
        <f aca="false">IF($C40="","",IF($G40="Einstaklingsbundið",IFERROR(IF(INDEX('Undirviðmiðalisti (Lýsigögn)'!K$42:K$58,MATCH($C40,'Undirviðmiðalisti (Lýsigögn)'!$C$42:$C$58,0))="","",INDEX('Undirviðmiðalisti (Lýsigögn)'!K$42:K$58,MATCH($C40,'Undirviðmiðalisti (Lýsigögn)'!$C$42:$C$58,0))),""),IFERROR(IF(INDEX('Undirviðmiðalisti (Lýsigögn)'!K$6:K$41,MATCH($C40,'Undirviðmiðalisti (Lýsigögn)'!$C$6:$C$41,0))="","",INDEX('Undirviðmiðalisti (Lýsigögn)'!K$6:K$41,MATCH($C40,'Undirviðmiðalisti (Lýsigögn)'!$C$6:$C$41,0))),IFERROR(IF(INDEX('Undirviðmiðalisti (Lýsigögn)'!K$42:K$58,MATCH($C40,'Undirviðmiðalisti (Lýsigögn)'!$C$42:$C$58,0))="","",INDEX('Undirviðmiðalisti (Lýsigögn)'!K$42:K$58,MATCH($C40,'Undirviðmiðalisti (Lýsigögn)'!$C$42:$C$58,0))),""))))</f>
        <v/>
      </c>
      <c r="P40" s="16" t="str">
        <f aca="false">IF($C40="","",IF($G40="Einstaklingsbundið",IFERROR(IF(INDEX('Undirviðmiðalisti (Lýsigögn)'!L$42:L$58,MATCH($C40,'Undirviðmiðalisti (Lýsigögn)'!$C$42:$C$58,0))="","",INDEX('Undirviðmiðalisti (Lýsigögn)'!L$42:L$58,MATCH($C40,'Undirviðmiðalisti (Lýsigögn)'!$C$42:$C$58,0))),""),IFERROR(IF(INDEX('Undirviðmiðalisti (Lýsigögn)'!L$6:L$41,MATCH($C40,'Undirviðmiðalisti (Lýsigögn)'!$C$6:$C$41,0))="","",INDEX('Undirviðmiðalisti (Lýsigögn)'!L$6:L$41,MATCH($C40,'Undirviðmiðalisti (Lýsigögn)'!$C$6:$C$41,0))),IFERROR(IF(INDEX('Undirviðmiðalisti (Lýsigögn)'!L$42:L$58,MATCH($C40,'Undirviðmiðalisti (Lýsigögn)'!$C$42:$C$58,0))="","",INDEX('Undirviðmiðalisti (Lýsigögn)'!L$42:L$58,MATCH($C40,'Undirviðmiðalisti (Lýsigögn)'!$C$42:$C$58,0))),""))))</f>
        <v/>
      </c>
      <c r="Q40" s="16" t="str">
        <f aca="false">IF($C40="","",IF($G40="Einstaklingsbundið",IFERROR(IF(INDEX('Undirviðmiðalisti (Lýsigögn)'!M$42:M$58,MATCH($C40,'Undirviðmiðalisti (Lýsigögn)'!$C$42:$C$58,0))="","",INDEX('Undirviðmiðalisti (Lýsigögn)'!M$42:M$58,MATCH($C40,'Undirviðmiðalisti (Lýsigögn)'!$C$42:$C$58,0))),""),IFERROR(IF(INDEX('Undirviðmiðalisti (Lýsigögn)'!M$6:M$41,MATCH($C40,'Undirviðmiðalisti (Lýsigögn)'!$C$6:$C$41,0))="","",INDEX('Undirviðmiðalisti (Lýsigögn)'!M$6:M$41,MATCH($C40,'Undirviðmiðalisti (Lýsigögn)'!$C$6:$C$41,0))),IFERROR(IF(INDEX('Undirviðmiðalisti (Lýsigögn)'!M$42:M$58,MATCH($C40,'Undirviðmiðalisti (Lýsigögn)'!$C$42:$C$58,0))="","",INDEX('Undirviðmiðalisti (Lýsigögn)'!M$42:M$58,MATCH($C40,'Undirviðmiðalisti (Lýsigögn)'!$C$42:$C$58,0))),""))))</f>
        <v/>
      </c>
    </row>
    <row r="41" customFormat="false" ht="15" hidden="false" customHeight="true" outlineLevel="0" collapsed="false">
      <c r="A41" s="22" t="str">
        <f aca="false">IF($B41="","",ROW()-5)</f>
        <v/>
      </c>
      <c r="B41" s="15"/>
      <c r="C41" s="15"/>
      <c r="D41" s="16" t="str">
        <f aca="false">IF($C41="","",IF($G41="Einstaklingsbundið",IFERROR(IF(INDEX('Undirviðmiðalisti (Lýsigögn)'!$D$42:$D$58,MATCH($C41,'Undirviðmiðalisti (Lýsigögn)'!$C$42:$C$58,0))="","",INDEX('Undirviðmiðalisti (Lýsigögn)'!$D$42:$D$58,MATCH($C41,'Undirviðmiðalisti (Lýsigögn)'!$C$42:$C$58,0))),""),IFERROR(IF(INDEX('Undirviðmiðalisti (Lýsigögn)'!$D$6:$D$41,MATCH($C41,'Undirviðmiðalisti (Lýsigögn)'!$C$6:$C$41,0))="","",INDEX('Undirviðmiðalisti (Lýsigögn)'!$D$6:$D$41,MATCH($C41,'Undirviðmiðalisti (Lýsigögn)'!$C$6:$C$41,0))),IFERROR(IF(INDEX('Undirviðmiðalisti (Lýsigögn)'!$D$42:$D$58,MATCH($C41,'Undirviðmiðalisti (Lýsigögn)'!$C$42:$C$58,0))="","",INDEX('Undirviðmiðalisti (Lýsigögn)'!$D$42:$D$58,MATCH($C41,'Undirviðmiðalisti (Lýsigögn)'!$C$42:$C$58,0))),""))))</f>
        <v/>
      </c>
      <c r="E41" s="14"/>
      <c r="F41" s="23" t="str">
        <f aca="false">IF($C41="","",IF($G41="Einstaklingsbundið",IFERROR(IF(INDEX('Undirviðmiðalisti (Lýsigögn)'!$E$42:$E$58,MATCH($C41,'Undirviðmiðalisti (Lýsigögn)'!$C$42:$C$58,0))="","",INDEX('Undirviðmiðalisti (Lýsigögn)'!$E$42:$E$58,MATCH($C41,'Undirviðmiðalisti (Lýsigögn)'!$C$42:$C$58,0))),""),IFERROR(IF(INDEX('Undirviðmiðalisti (Lýsigögn)'!$E$6:$E$41,MATCH($C41,'Undirviðmiðalisti (Lýsigögn)'!$C$6:$C$41,0))="","",INDEX('Undirviðmiðalisti (Lýsigögn)'!$E$6:$E$41,MATCH($C41,'Undirviðmiðalisti (Lýsigögn)'!$C$6:$C$41,0))),IFERROR(IF(INDEX('Undirviðmiðalisti (Lýsigögn)'!$E$42:$E$58,MATCH($C41,'Undirviðmiðalisti (Lýsigögn)'!$C$42:$C$58,0))="","",INDEX('Undirviðmiðalisti (Lýsigögn)'!$E$42:$E$58,MATCH($C41,'Undirviðmiðalisti (Lýsigögn)'!$C$42:$C$58,0))),""))))</f>
        <v/>
      </c>
      <c r="G41" s="24" t="str">
        <f aca="false">IFERROR(IF(B41="","",INDEX(Viðmið!$B$6:$B$10,MATCH(B41,Viðmið!$C$6:$C$10,0))),"")</f>
        <v/>
      </c>
      <c r="H41" s="25" t="str">
        <f aca="false">IF(OR(E41="",F41=""),"",E41*KVARDI)</f>
        <v/>
      </c>
      <c r="I41" s="26" t="str">
        <f aca="false">IF(B41="","",IF(ROUND(SUMIF($B$6:$B$205,B41,$E$6:$E$205),4)=ROUND(IFERROR(INDEX(Viðmið!$E$6:$E$10,MATCH(B41,Viðmið!$C$6:$C$10,0)),-1),4),"✓","✗"))</f>
        <v/>
      </c>
      <c r="J41" s="16" t="str">
        <f aca="false">IF($C41="","",IF($G41="Einstaklingsbundið",IFERROR(IF(INDEX('Undirviðmiðalisti (Lýsigögn)'!F$42:F$58,MATCH($C41,'Undirviðmiðalisti (Lýsigögn)'!$C$42:$C$58,0))="","",INDEX('Undirviðmiðalisti (Lýsigögn)'!F$42:F$58,MATCH($C41,'Undirviðmiðalisti (Lýsigögn)'!$C$42:$C$58,0))),""),IFERROR(IF(INDEX('Undirviðmiðalisti (Lýsigögn)'!F$6:F$41,MATCH($C41,'Undirviðmiðalisti (Lýsigögn)'!$C$6:$C$41,0))="","",INDEX('Undirviðmiðalisti (Lýsigögn)'!F$6:F$41,MATCH($C41,'Undirviðmiðalisti (Lýsigögn)'!$C$6:$C$41,0))),IFERROR(IF(INDEX('Undirviðmiðalisti (Lýsigögn)'!F$42:F$58,MATCH($C41,'Undirviðmiðalisti (Lýsigögn)'!$C$42:$C$58,0))="","",INDEX('Undirviðmiðalisti (Lýsigögn)'!F$42:F$58,MATCH($C41,'Undirviðmiðalisti (Lýsigögn)'!$C$42:$C$58,0))),""))))</f>
        <v/>
      </c>
      <c r="K41" s="16" t="str">
        <f aca="false">IF($C41="","",IF($G41="Einstaklingsbundið",IFERROR(IF(INDEX('Undirviðmiðalisti (Lýsigögn)'!G$42:G$58,MATCH($C41,'Undirviðmiðalisti (Lýsigögn)'!$C$42:$C$58,0))="","",INDEX('Undirviðmiðalisti (Lýsigögn)'!G$42:G$58,MATCH($C41,'Undirviðmiðalisti (Lýsigögn)'!$C$42:$C$58,0))),""),IFERROR(IF(INDEX('Undirviðmiðalisti (Lýsigögn)'!G$6:G$41,MATCH($C41,'Undirviðmiðalisti (Lýsigögn)'!$C$6:$C$41,0))="","",INDEX('Undirviðmiðalisti (Lýsigögn)'!G$6:G$41,MATCH($C41,'Undirviðmiðalisti (Lýsigögn)'!$C$6:$C$41,0))),IFERROR(IF(INDEX('Undirviðmiðalisti (Lýsigögn)'!G$42:G$58,MATCH($C41,'Undirviðmiðalisti (Lýsigögn)'!$C$42:$C$58,0))="","",INDEX('Undirviðmiðalisti (Lýsigögn)'!G$42:G$58,MATCH($C41,'Undirviðmiðalisti (Lýsigögn)'!$C$42:$C$58,0))),""))))</f>
        <v/>
      </c>
      <c r="L41" s="16" t="str">
        <f aca="false">IF($C41="","",IF($G41="Einstaklingsbundið",IFERROR(IF(INDEX('Undirviðmiðalisti (Lýsigögn)'!H$42:H$58,MATCH($C41,'Undirviðmiðalisti (Lýsigögn)'!$C$42:$C$58,0))="","",INDEX('Undirviðmiðalisti (Lýsigögn)'!H$42:H$58,MATCH($C41,'Undirviðmiðalisti (Lýsigögn)'!$C$42:$C$58,0))),""),IFERROR(IF(INDEX('Undirviðmiðalisti (Lýsigögn)'!H$6:H$41,MATCH($C41,'Undirviðmiðalisti (Lýsigögn)'!$C$6:$C$41,0))="","",INDEX('Undirviðmiðalisti (Lýsigögn)'!H$6:H$41,MATCH($C41,'Undirviðmiðalisti (Lýsigögn)'!$C$6:$C$41,0))),IFERROR(IF(INDEX('Undirviðmiðalisti (Lýsigögn)'!H$42:H$58,MATCH($C41,'Undirviðmiðalisti (Lýsigögn)'!$C$42:$C$58,0))="","",INDEX('Undirviðmiðalisti (Lýsigögn)'!H$42:H$58,MATCH($C41,'Undirviðmiðalisti (Lýsigögn)'!$C$42:$C$58,0))),""))))</f>
        <v/>
      </c>
      <c r="M41" s="16" t="str">
        <f aca="false">IF($C41="","",IF($G41="Einstaklingsbundið",IFERROR(IF(INDEX('Undirviðmiðalisti (Lýsigögn)'!I$42:I$58,MATCH($C41,'Undirviðmiðalisti (Lýsigögn)'!$C$42:$C$58,0))="","",INDEX('Undirviðmiðalisti (Lýsigögn)'!I$42:I$58,MATCH($C41,'Undirviðmiðalisti (Lýsigögn)'!$C$42:$C$58,0))),""),IFERROR(IF(INDEX('Undirviðmiðalisti (Lýsigögn)'!I$6:I$41,MATCH($C41,'Undirviðmiðalisti (Lýsigögn)'!$C$6:$C$41,0))="","",INDEX('Undirviðmiðalisti (Lýsigögn)'!I$6:I$41,MATCH($C41,'Undirviðmiðalisti (Lýsigögn)'!$C$6:$C$41,0))),IFERROR(IF(INDEX('Undirviðmiðalisti (Lýsigögn)'!I$42:I$58,MATCH($C41,'Undirviðmiðalisti (Lýsigögn)'!$C$42:$C$58,0))="","",INDEX('Undirviðmiðalisti (Lýsigögn)'!I$42:I$58,MATCH($C41,'Undirviðmiðalisti (Lýsigögn)'!$C$42:$C$58,0))),""))))</f>
        <v/>
      </c>
      <c r="N41" s="16" t="str">
        <f aca="false">IF($C41="","",IF($G41="Einstaklingsbundið",IFERROR(IF(INDEX('Undirviðmiðalisti (Lýsigögn)'!J$42:J$58,MATCH($C41,'Undirviðmiðalisti (Lýsigögn)'!$C$42:$C$58,0))="","",INDEX('Undirviðmiðalisti (Lýsigögn)'!J$42:J$58,MATCH($C41,'Undirviðmiðalisti (Lýsigögn)'!$C$42:$C$58,0))),""),IFERROR(IF(INDEX('Undirviðmiðalisti (Lýsigögn)'!J$6:J$41,MATCH($C41,'Undirviðmiðalisti (Lýsigögn)'!$C$6:$C$41,0))="","",INDEX('Undirviðmiðalisti (Lýsigögn)'!J$6:J$41,MATCH($C41,'Undirviðmiðalisti (Lýsigögn)'!$C$6:$C$41,0))),IFERROR(IF(INDEX('Undirviðmiðalisti (Lýsigögn)'!J$42:J$58,MATCH($C41,'Undirviðmiðalisti (Lýsigögn)'!$C$42:$C$58,0))="","",INDEX('Undirviðmiðalisti (Lýsigögn)'!J$42:J$58,MATCH($C41,'Undirviðmiðalisti (Lýsigögn)'!$C$42:$C$58,0))),""))))</f>
        <v/>
      </c>
      <c r="O41" s="16" t="str">
        <f aca="false">IF($C41="","",IF($G41="Einstaklingsbundið",IFERROR(IF(INDEX('Undirviðmiðalisti (Lýsigögn)'!K$42:K$58,MATCH($C41,'Undirviðmiðalisti (Lýsigögn)'!$C$42:$C$58,0))="","",INDEX('Undirviðmiðalisti (Lýsigögn)'!K$42:K$58,MATCH($C41,'Undirviðmiðalisti (Lýsigögn)'!$C$42:$C$58,0))),""),IFERROR(IF(INDEX('Undirviðmiðalisti (Lýsigögn)'!K$6:K$41,MATCH($C41,'Undirviðmiðalisti (Lýsigögn)'!$C$6:$C$41,0))="","",INDEX('Undirviðmiðalisti (Lýsigögn)'!K$6:K$41,MATCH($C41,'Undirviðmiðalisti (Lýsigögn)'!$C$6:$C$41,0))),IFERROR(IF(INDEX('Undirviðmiðalisti (Lýsigögn)'!K$42:K$58,MATCH($C41,'Undirviðmiðalisti (Lýsigögn)'!$C$42:$C$58,0))="","",INDEX('Undirviðmiðalisti (Lýsigögn)'!K$42:K$58,MATCH($C41,'Undirviðmiðalisti (Lýsigögn)'!$C$42:$C$58,0))),""))))</f>
        <v/>
      </c>
      <c r="P41" s="16" t="str">
        <f aca="false">IF($C41="","",IF($G41="Einstaklingsbundið",IFERROR(IF(INDEX('Undirviðmiðalisti (Lýsigögn)'!L$42:L$58,MATCH($C41,'Undirviðmiðalisti (Lýsigögn)'!$C$42:$C$58,0))="","",INDEX('Undirviðmiðalisti (Lýsigögn)'!L$42:L$58,MATCH($C41,'Undirviðmiðalisti (Lýsigögn)'!$C$42:$C$58,0))),""),IFERROR(IF(INDEX('Undirviðmiðalisti (Lýsigögn)'!L$6:L$41,MATCH($C41,'Undirviðmiðalisti (Lýsigögn)'!$C$6:$C$41,0))="","",INDEX('Undirviðmiðalisti (Lýsigögn)'!L$6:L$41,MATCH($C41,'Undirviðmiðalisti (Lýsigögn)'!$C$6:$C$41,0))),IFERROR(IF(INDEX('Undirviðmiðalisti (Lýsigögn)'!L$42:L$58,MATCH($C41,'Undirviðmiðalisti (Lýsigögn)'!$C$42:$C$58,0))="","",INDEX('Undirviðmiðalisti (Lýsigögn)'!L$42:L$58,MATCH($C41,'Undirviðmiðalisti (Lýsigögn)'!$C$42:$C$58,0))),""))))</f>
        <v/>
      </c>
      <c r="Q41" s="16" t="str">
        <f aca="false">IF($C41="","",IF($G41="Einstaklingsbundið",IFERROR(IF(INDEX('Undirviðmiðalisti (Lýsigögn)'!M$42:M$58,MATCH($C41,'Undirviðmiðalisti (Lýsigögn)'!$C$42:$C$58,0))="","",INDEX('Undirviðmiðalisti (Lýsigögn)'!M$42:M$58,MATCH($C41,'Undirviðmiðalisti (Lýsigögn)'!$C$42:$C$58,0))),""),IFERROR(IF(INDEX('Undirviðmiðalisti (Lýsigögn)'!M$6:M$41,MATCH($C41,'Undirviðmiðalisti (Lýsigögn)'!$C$6:$C$41,0))="","",INDEX('Undirviðmiðalisti (Lýsigögn)'!M$6:M$41,MATCH($C41,'Undirviðmiðalisti (Lýsigögn)'!$C$6:$C$41,0))),IFERROR(IF(INDEX('Undirviðmiðalisti (Lýsigögn)'!M$42:M$58,MATCH($C41,'Undirviðmiðalisti (Lýsigögn)'!$C$42:$C$58,0))="","",INDEX('Undirviðmiðalisti (Lýsigögn)'!M$42:M$58,MATCH($C41,'Undirviðmiðalisti (Lýsigögn)'!$C$42:$C$58,0))),""))))</f>
        <v/>
      </c>
    </row>
    <row r="42" customFormat="false" ht="15" hidden="false" customHeight="true" outlineLevel="0" collapsed="false">
      <c r="A42" s="22" t="str">
        <f aca="false">IF($B42="","",ROW()-5)</f>
        <v/>
      </c>
      <c r="B42" s="15"/>
      <c r="C42" s="15"/>
      <c r="D42" s="16" t="str">
        <f aca="false">IF($C42="","",IF($G42="Einstaklingsbundið",IFERROR(IF(INDEX('Undirviðmiðalisti (Lýsigögn)'!$D$42:$D$58,MATCH($C42,'Undirviðmiðalisti (Lýsigögn)'!$C$42:$C$58,0))="","",INDEX('Undirviðmiðalisti (Lýsigögn)'!$D$42:$D$58,MATCH($C42,'Undirviðmiðalisti (Lýsigögn)'!$C$42:$C$58,0))),""),IFERROR(IF(INDEX('Undirviðmiðalisti (Lýsigögn)'!$D$6:$D$41,MATCH($C42,'Undirviðmiðalisti (Lýsigögn)'!$C$6:$C$41,0))="","",INDEX('Undirviðmiðalisti (Lýsigögn)'!$D$6:$D$41,MATCH($C42,'Undirviðmiðalisti (Lýsigögn)'!$C$6:$C$41,0))),IFERROR(IF(INDEX('Undirviðmiðalisti (Lýsigögn)'!$D$42:$D$58,MATCH($C42,'Undirviðmiðalisti (Lýsigögn)'!$C$42:$C$58,0))="","",INDEX('Undirviðmiðalisti (Lýsigögn)'!$D$42:$D$58,MATCH($C42,'Undirviðmiðalisti (Lýsigögn)'!$C$42:$C$58,0))),""))))</f>
        <v/>
      </c>
      <c r="E42" s="14"/>
      <c r="F42" s="23" t="str">
        <f aca="false">IF($C42="","",IF($G42="Einstaklingsbundið",IFERROR(IF(INDEX('Undirviðmiðalisti (Lýsigögn)'!$E$42:$E$58,MATCH($C42,'Undirviðmiðalisti (Lýsigögn)'!$C$42:$C$58,0))="","",INDEX('Undirviðmiðalisti (Lýsigögn)'!$E$42:$E$58,MATCH($C42,'Undirviðmiðalisti (Lýsigögn)'!$C$42:$C$58,0))),""),IFERROR(IF(INDEX('Undirviðmiðalisti (Lýsigögn)'!$E$6:$E$41,MATCH($C42,'Undirviðmiðalisti (Lýsigögn)'!$C$6:$C$41,0))="","",INDEX('Undirviðmiðalisti (Lýsigögn)'!$E$6:$E$41,MATCH($C42,'Undirviðmiðalisti (Lýsigögn)'!$C$6:$C$41,0))),IFERROR(IF(INDEX('Undirviðmiðalisti (Lýsigögn)'!$E$42:$E$58,MATCH($C42,'Undirviðmiðalisti (Lýsigögn)'!$C$42:$C$58,0))="","",INDEX('Undirviðmiðalisti (Lýsigögn)'!$E$42:$E$58,MATCH($C42,'Undirviðmiðalisti (Lýsigögn)'!$C$42:$C$58,0))),""))))</f>
        <v/>
      </c>
      <c r="G42" s="24" t="str">
        <f aca="false">IFERROR(IF(B42="","",INDEX(Viðmið!$B$6:$B$10,MATCH(B42,Viðmið!$C$6:$C$10,0))),"")</f>
        <v/>
      </c>
      <c r="H42" s="25" t="str">
        <f aca="false">IF(OR(E42="",F42=""),"",E42*KVARDI)</f>
        <v/>
      </c>
      <c r="I42" s="26" t="str">
        <f aca="false">IF(B42="","",IF(ROUND(SUMIF($B$6:$B$205,B42,$E$6:$E$205),4)=ROUND(IFERROR(INDEX(Viðmið!$E$6:$E$10,MATCH(B42,Viðmið!$C$6:$C$10,0)),-1),4),"✓","✗"))</f>
        <v/>
      </c>
      <c r="J42" s="16" t="str">
        <f aca="false">IF($C42="","",IF($G42="Einstaklingsbundið",IFERROR(IF(INDEX('Undirviðmiðalisti (Lýsigögn)'!F$42:F$58,MATCH($C42,'Undirviðmiðalisti (Lýsigögn)'!$C$42:$C$58,0))="","",INDEX('Undirviðmiðalisti (Lýsigögn)'!F$42:F$58,MATCH($C42,'Undirviðmiðalisti (Lýsigögn)'!$C$42:$C$58,0))),""),IFERROR(IF(INDEX('Undirviðmiðalisti (Lýsigögn)'!F$6:F$41,MATCH($C42,'Undirviðmiðalisti (Lýsigögn)'!$C$6:$C$41,0))="","",INDEX('Undirviðmiðalisti (Lýsigögn)'!F$6:F$41,MATCH($C42,'Undirviðmiðalisti (Lýsigögn)'!$C$6:$C$41,0))),IFERROR(IF(INDEX('Undirviðmiðalisti (Lýsigögn)'!F$42:F$58,MATCH($C42,'Undirviðmiðalisti (Lýsigögn)'!$C$42:$C$58,0))="","",INDEX('Undirviðmiðalisti (Lýsigögn)'!F$42:F$58,MATCH($C42,'Undirviðmiðalisti (Lýsigögn)'!$C$42:$C$58,0))),""))))</f>
        <v/>
      </c>
      <c r="K42" s="16" t="str">
        <f aca="false">IF($C42="","",IF($G42="Einstaklingsbundið",IFERROR(IF(INDEX('Undirviðmiðalisti (Lýsigögn)'!G$42:G$58,MATCH($C42,'Undirviðmiðalisti (Lýsigögn)'!$C$42:$C$58,0))="","",INDEX('Undirviðmiðalisti (Lýsigögn)'!G$42:G$58,MATCH($C42,'Undirviðmiðalisti (Lýsigögn)'!$C$42:$C$58,0))),""),IFERROR(IF(INDEX('Undirviðmiðalisti (Lýsigögn)'!G$6:G$41,MATCH($C42,'Undirviðmiðalisti (Lýsigögn)'!$C$6:$C$41,0))="","",INDEX('Undirviðmiðalisti (Lýsigögn)'!G$6:G$41,MATCH($C42,'Undirviðmiðalisti (Lýsigögn)'!$C$6:$C$41,0))),IFERROR(IF(INDEX('Undirviðmiðalisti (Lýsigögn)'!G$42:G$58,MATCH($C42,'Undirviðmiðalisti (Lýsigögn)'!$C$42:$C$58,0))="","",INDEX('Undirviðmiðalisti (Lýsigögn)'!G$42:G$58,MATCH($C42,'Undirviðmiðalisti (Lýsigögn)'!$C$42:$C$58,0))),""))))</f>
        <v/>
      </c>
      <c r="L42" s="16" t="str">
        <f aca="false">IF($C42="","",IF($G42="Einstaklingsbundið",IFERROR(IF(INDEX('Undirviðmiðalisti (Lýsigögn)'!H$42:H$58,MATCH($C42,'Undirviðmiðalisti (Lýsigögn)'!$C$42:$C$58,0))="","",INDEX('Undirviðmiðalisti (Lýsigögn)'!H$42:H$58,MATCH($C42,'Undirviðmiðalisti (Lýsigögn)'!$C$42:$C$58,0))),""),IFERROR(IF(INDEX('Undirviðmiðalisti (Lýsigögn)'!H$6:H$41,MATCH($C42,'Undirviðmiðalisti (Lýsigögn)'!$C$6:$C$41,0))="","",INDEX('Undirviðmiðalisti (Lýsigögn)'!H$6:H$41,MATCH($C42,'Undirviðmiðalisti (Lýsigögn)'!$C$6:$C$41,0))),IFERROR(IF(INDEX('Undirviðmiðalisti (Lýsigögn)'!H$42:H$58,MATCH($C42,'Undirviðmiðalisti (Lýsigögn)'!$C$42:$C$58,0))="","",INDEX('Undirviðmiðalisti (Lýsigögn)'!H$42:H$58,MATCH($C42,'Undirviðmiðalisti (Lýsigögn)'!$C$42:$C$58,0))),""))))</f>
        <v/>
      </c>
      <c r="M42" s="16" t="str">
        <f aca="false">IF($C42="","",IF($G42="Einstaklingsbundið",IFERROR(IF(INDEX('Undirviðmiðalisti (Lýsigögn)'!I$42:I$58,MATCH($C42,'Undirviðmiðalisti (Lýsigögn)'!$C$42:$C$58,0))="","",INDEX('Undirviðmiðalisti (Lýsigögn)'!I$42:I$58,MATCH($C42,'Undirviðmiðalisti (Lýsigögn)'!$C$42:$C$58,0))),""),IFERROR(IF(INDEX('Undirviðmiðalisti (Lýsigögn)'!I$6:I$41,MATCH($C42,'Undirviðmiðalisti (Lýsigögn)'!$C$6:$C$41,0))="","",INDEX('Undirviðmiðalisti (Lýsigögn)'!I$6:I$41,MATCH($C42,'Undirviðmiðalisti (Lýsigögn)'!$C$6:$C$41,0))),IFERROR(IF(INDEX('Undirviðmiðalisti (Lýsigögn)'!I$42:I$58,MATCH($C42,'Undirviðmiðalisti (Lýsigögn)'!$C$42:$C$58,0))="","",INDEX('Undirviðmiðalisti (Lýsigögn)'!I$42:I$58,MATCH($C42,'Undirviðmiðalisti (Lýsigögn)'!$C$42:$C$58,0))),""))))</f>
        <v/>
      </c>
      <c r="N42" s="16" t="str">
        <f aca="false">IF($C42="","",IF($G42="Einstaklingsbundið",IFERROR(IF(INDEX('Undirviðmiðalisti (Lýsigögn)'!J$42:J$58,MATCH($C42,'Undirviðmiðalisti (Lýsigögn)'!$C$42:$C$58,0))="","",INDEX('Undirviðmiðalisti (Lýsigögn)'!J$42:J$58,MATCH($C42,'Undirviðmiðalisti (Lýsigögn)'!$C$42:$C$58,0))),""),IFERROR(IF(INDEX('Undirviðmiðalisti (Lýsigögn)'!J$6:J$41,MATCH($C42,'Undirviðmiðalisti (Lýsigögn)'!$C$6:$C$41,0))="","",INDEX('Undirviðmiðalisti (Lýsigögn)'!J$6:J$41,MATCH($C42,'Undirviðmiðalisti (Lýsigögn)'!$C$6:$C$41,0))),IFERROR(IF(INDEX('Undirviðmiðalisti (Lýsigögn)'!J$42:J$58,MATCH($C42,'Undirviðmiðalisti (Lýsigögn)'!$C$42:$C$58,0))="","",INDEX('Undirviðmiðalisti (Lýsigögn)'!J$42:J$58,MATCH($C42,'Undirviðmiðalisti (Lýsigögn)'!$C$42:$C$58,0))),""))))</f>
        <v/>
      </c>
      <c r="O42" s="16" t="str">
        <f aca="false">IF($C42="","",IF($G42="Einstaklingsbundið",IFERROR(IF(INDEX('Undirviðmiðalisti (Lýsigögn)'!K$42:K$58,MATCH($C42,'Undirviðmiðalisti (Lýsigögn)'!$C$42:$C$58,0))="","",INDEX('Undirviðmiðalisti (Lýsigögn)'!K$42:K$58,MATCH($C42,'Undirviðmiðalisti (Lýsigögn)'!$C$42:$C$58,0))),""),IFERROR(IF(INDEX('Undirviðmiðalisti (Lýsigögn)'!K$6:K$41,MATCH($C42,'Undirviðmiðalisti (Lýsigögn)'!$C$6:$C$41,0))="","",INDEX('Undirviðmiðalisti (Lýsigögn)'!K$6:K$41,MATCH($C42,'Undirviðmiðalisti (Lýsigögn)'!$C$6:$C$41,0))),IFERROR(IF(INDEX('Undirviðmiðalisti (Lýsigögn)'!K$42:K$58,MATCH($C42,'Undirviðmiðalisti (Lýsigögn)'!$C$42:$C$58,0))="","",INDEX('Undirviðmiðalisti (Lýsigögn)'!K$42:K$58,MATCH($C42,'Undirviðmiðalisti (Lýsigögn)'!$C$42:$C$58,0))),""))))</f>
        <v/>
      </c>
      <c r="P42" s="16" t="str">
        <f aca="false">IF($C42="","",IF($G42="Einstaklingsbundið",IFERROR(IF(INDEX('Undirviðmiðalisti (Lýsigögn)'!L$42:L$58,MATCH($C42,'Undirviðmiðalisti (Lýsigögn)'!$C$42:$C$58,0))="","",INDEX('Undirviðmiðalisti (Lýsigögn)'!L$42:L$58,MATCH($C42,'Undirviðmiðalisti (Lýsigögn)'!$C$42:$C$58,0))),""),IFERROR(IF(INDEX('Undirviðmiðalisti (Lýsigögn)'!L$6:L$41,MATCH($C42,'Undirviðmiðalisti (Lýsigögn)'!$C$6:$C$41,0))="","",INDEX('Undirviðmiðalisti (Lýsigögn)'!L$6:L$41,MATCH($C42,'Undirviðmiðalisti (Lýsigögn)'!$C$6:$C$41,0))),IFERROR(IF(INDEX('Undirviðmiðalisti (Lýsigögn)'!L$42:L$58,MATCH($C42,'Undirviðmiðalisti (Lýsigögn)'!$C$42:$C$58,0))="","",INDEX('Undirviðmiðalisti (Lýsigögn)'!L$42:L$58,MATCH($C42,'Undirviðmiðalisti (Lýsigögn)'!$C$42:$C$58,0))),""))))</f>
        <v/>
      </c>
      <c r="Q42" s="16" t="str">
        <f aca="false">IF($C42="","",IF($G42="Einstaklingsbundið",IFERROR(IF(INDEX('Undirviðmiðalisti (Lýsigögn)'!M$42:M$58,MATCH($C42,'Undirviðmiðalisti (Lýsigögn)'!$C$42:$C$58,0))="","",INDEX('Undirviðmiðalisti (Lýsigögn)'!M$42:M$58,MATCH($C42,'Undirviðmiðalisti (Lýsigögn)'!$C$42:$C$58,0))),""),IFERROR(IF(INDEX('Undirviðmiðalisti (Lýsigögn)'!M$6:M$41,MATCH($C42,'Undirviðmiðalisti (Lýsigögn)'!$C$6:$C$41,0))="","",INDEX('Undirviðmiðalisti (Lýsigögn)'!M$6:M$41,MATCH($C42,'Undirviðmiðalisti (Lýsigögn)'!$C$6:$C$41,0))),IFERROR(IF(INDEX('Undirviðmiðalisti (Lýsigögn)'!M$42:M$58,MATCH($C42,'Undirviðmiðalisti (Lýsigögn)'!$C$42:$C$58,0))="","",INDEX('Undirviðmiðalisti (Lýsigögn)'!M$42:M$58,MATCH($C42,'Undirviðmiðalisti (Lýsigögn)'!$C$42:$C$58,0))),""))))</f>
        <v/>
      </c>
    </row>
    <row r="43" customFormat="false" ht="15" hidden="false" customHeight="true" outlineLevel="0" collapsed="false">
      <c r="A43" s="22" t="str">
        <f aca="false">IF($B43="","",ROW()-5)</f>
        <v/>
      </c>
      <c r="B43" s="15"/>
      <c r="C43" s="15"/>
      <c r="D43" s="16" t="str">
        <f aca="false">IF($C43="","",IF($G43="Einstaklingsbundið",IFERROR(IF(INDEX('Undirviðmiðalisti (Lýsigögn)'!$D$42:$D$58,MATCH($C43,'Undirviðmiðalisti (Lýsigögn)'!$C$42:$C$58,0))="","",INDEX('Undirviðmiðalisti (Lýsigögn)'!$D$42:$D$58,MATCH($C43,'Undirviðmiðalisti (Lýsigögn)'!$C$42:$C$58,0))),""),IFERROR(IF(INDEX('Undirviðmiðalisti (Lýsigögn)'!$D$6:$D$41,MATCH($C43,'Undirviðmiðalisti (Lýsigögn)'!$C$6:$C$41,0))="","",INDEX('Undirviðmiðalisti (Lýsigögn)'!$D$6:$D$41,MATCH($C43,'Undirviðmiðalisti (Lýsigögn)'!$C$6:$C$41,0))),IFERROR(IF(INDEX('Undirviðmiðalisti (Lýsigögn)'!$D$42:$D$58,MATCH($C43,'Undirviðmiðalisti (Lýsigögn)'!$C$42:$C$58,0))="","",INDEX('Undirviðmiðalisti (Lýsigögn)'!$D$42:$D$58,MATCH($C43,'Undirviðmiðalisti (Lýsigögn)'!$C$42:$C$58,0))),""))))</f>
        <v/>
      </c>
      <c r="E43" s="14"/>
      <c r="F43" s="23" t="str">
        <f aca="false">IF($C43="","",IF($G43="Einstaklingsbundið",IFERROR(IF(INDEX('Undirviðmiðalisti (Lýsigögn)'!$E$42:$E$58,MATCH($C43,'Undirviðmiðalisti (Lýsigögn)'!$C$42:$C$58,0))="","",INDEX('Undirviðmiðalisti (Lýsigögn)'!$E$42:$E$58,MATCH($C43,'Undirviðmiðalisti (Lýsigögn)'!$C$42:$C$58,0))),""),IFERROR(IF(INDEX('Undirviðmiðalisti (Lýsigögn)'!$E$6:$E$41,MATCH($C43,'Undirviðmiðalisti (Lýsigögn)'!$C$6:$C$41,0))="","",INDEX('Undirviðmiðalisti (Lýsigögn)'!$E$6:$E$41,MATCH($C43,'Undirviðmiðalisti (Lýsigögn)'!$C$6:$C$41,0))),IFERROR(IF(INDEX('Undirviðmiðalisti (Lýsigögn)'!$E$42:$E$58,MATCH($C43,'Undirviðmiðalisti (Lýsigögn)'!$C$42:$C$58,0))="","",INDEX('Undirviðmiðalisti (Lýsigögn)'!$E$42:$E$58,MATCH($C43,'Undirviðmiðalisti (Lýsigögn)'!$C$42:$C$58,0))),""))))</f>
        <v/>
      </c>
      <c r="G43" s="24" t="str">
        <f aca="false">IFERROR(IF(B43="","",INDEX(Viðmið!$B$6:$B$10,MATCH(B43,Viðmið!$C$6:$C$10,0))),"")</f>
        <v/>
      </c>
      <c r="H43" s="25" t="str">
        <f aca="false">IF(OR(E43="",F43=""),"",E43*KVARDI)</f>
        <v/>
      </c>
      <c r="I43" s="26" t="str">
        <f aca="false">IF(B43="","",IF(ROUND(SUMIF($B$6:$B$205,B43,$E$6:$E$205),4)=ROUND(IFERROR(INDEX(Viðmið!$E$6:$E$10,MATCH(B43,Viðmið!$C$6:$C$10,0)),-1),4),"✓","✗"))</f>
        <v/>
      </c>
      <c r="J43" s="16" t="str">
        <f aca="false">IF($C43="","",IF($G43="Einstaklingsbundið",IFERROR(IF(INDEX('Undirviðmiðalisti (Lýsigögn)'!F$42:F$58,MATCH($C43,'Undirviðmiðalisti (Lýsigögn)'!$C$42:$C$58,0))="","",INDEX('Undirviðmiðalisti (Lýsigögn)'!F$42:F$58,MATCH($C43,'Undirviðmiðalisti (Lýsigögn)'!$C$42:$C$58,0))),""),IFERROR(IF(INDEX('Undirviðmiðalisti (Lýsigögn)'!F$6:F$41,MATCH($C43,'Undirviðmiðalisti (Lýsigögn)'!$C$6:$C$41,0))="","",INDEX('Undirviðmiðalisti (Lýsigögn)'!F$6:F$41,MATCH($C43,'Undirviðmiðalisti (Lýsigögn)'!$C$6:$C$41,0))),IFERROR(IF(INDEX('Undirviðmiðalisti (Lýsigögn)'!F$42:F$58,MATCH($C43,'Undirviðmiðalisti (Lýsigögn)'!$C$42:$C$58,0))="","",INDEX('Undirviðmiðalisti (Lýsigögn)'!F$42:F$58,MATCH($C43,'Undirviðmiðalisti (Lýsigögn)'!$C$42:$C$58,0))),""))))</f>
        <v/>
      </c>
      <c r="K43" s="16" t="str">
        <f aca="false">IF($C43="","",IF($G43="Einstaklingsbundið",IFERROR(IF(INDEX('Undirviðmiðalisti (Lýsigögn)'!G$42:G$58,MATCH($C43,'Undirviðmiðalisti (Lýsigögn)'!$C$42:$C$58,0))="","",INDEX('Undirviðmiðalisti (Lýsigögn)'!G$42:G$58,MATCH($C43,'Undirviðmiðalisti (Lýsigögn)'!$C$42:$C$58,0))),""),IFERROR(IF(INDEX('Undirviðmiðalisti (Lýsigögn)'!G$6:G$41,MATCH($C43,'Undirviðmiðalisti (Lýsigögn)'!$C$6:$C$41,0))="","",INDEX('Undirviðmiðalisti (Lýsigögn)'!G$6:G$41,MATCH($C43,'Undirviðmiðalisti (Lýsigögn)'!$C$6:$C$41,0))),IFERROR(IF(INDEX('Undirviðmiðalisti (Lýsigögn)'!G$42:G$58,MATCH($C43,'Undirviðmiðalisti (Lýsigögn)'!$C$42:$C$58,0))="","",INDEX('Undirviðmiðalisti (Lýsigögn)'!G$42:G$58,MATCH($C43,'Undirviðmiðalisti (Lýsigögn)'!$C$42:$C$58,0))),""))))</f>
        <v/>
      </c>
      <c r="L43" s="16" t="str">
        <f aca="false">IF($C43="","",IF($G43="Einstaklingsbundið",IFERROR(IF(INDEX('Undirviðmiðalisti (Lýsigögn)'!H$42:H$58,MATCH($C43,'Undirviðmiðalisti (Lýsigögn)'!$C$42:$C$58,0))="","",INDEX('Undirviðmiðalisti (Lýsigögn)'!H$42:H$58,MATCH($C43,'Undirviðmiðalisti (Lýsigögn)'!$C$42:$C$58,0))),""),IFERROR(IF(INDEX('Undirviðmiðalisti (Lýsigögn)'!H$6:H$41,MATCH($C43,'Undirviðmiðalisti (Lýsigögn)'!$C$6:$C$41,0))="","",INDEX('Undirviðmiðalisti (Lýsigögn)'!H$6:H$41,MATCH($C43,'Undirviðmiðalisti (Lýsigögn)'!$C$6:$C$41,0))),IFERROR(IF(INDEX('Undirviðmiðalisti (Lýsigögn)'!H$42:H$58,MATCH($C43,'Undirviðmiðalisti (Lýsigögn)'!$C$42:$C$58,0))="","",INDEX('Undirviðmiðalisti (Lýsigögn)'!H$42:H$58,MATCH($C43,'Undirviðmiðalisti (Lýsigögn)'!$C$42:$C$58,0))),""))))</f>
        <v/>
      </c>
      <c r="M43" s="16" t="str">
        <f aca="false">IF($C43="","",IF($G43="Einstaklingsbundið",IFERROR(IF(INDEX('Undirviðmiðalisti (Lýsigögn)'!I$42:I$58,MATCH($C43,'Undirviðmiðalisti (Lýsigögn)'!$C$42:$C$58,0))="","",INDEX('Undirviðmiðalisti (Lýsigögn)'!I$42:I$58,MATCH($C43,'Undirviðmiðalisti (Lýsigögn)'!$C$42:$C$58,0))),""),IFERROR(IF(INDEX('Undirviðmiðalisti (Lýsigögn)'!I$6:I$41,MATCH($C43,'Undirviðmiðalisti (Lýsigögn)'!$C$6:$C$41,0))="","",INDEX('Undirviðmiðalisti (Lýsigögn)'!I$6:I$41,MATCH($C43,'Undirviðmiðalisti (Lýsigögn)'!$C$6:$C$41,0))),IFERROR(IF(INDEX('Undirviðmiðalisti (Lýsigögn)'!I$42:I$58,MATCH($C43,'Undirviðmiðalisti (Lýsigögn)'!$C$42:$C$58,0))="","",INDEX('Undirviðmiðalisti (Lýsigögn)'!I$42:I$58,MATCH($C43,'Undirviðmiðalisti (Lýsigögn)'!$C$42:$C$58,0))),""))))</f>
        <v/>
      </c>
      <c r="N43" s="16" t="str">
        <f aca="false">IF($C43="","",IF($G43="Einstaklingsbundið",IFERROR(IF(INDEX('Undirviðmiðalisti (Lýsigögn)'!J$42:J$58,MATCH($C43,'Undirviðmiðalisti (Lýsigögn)'!$C$42:$C$58,0))="","",INDEX('Undirviðmiðalisti (Lýsigögn)'!J$42:J$58,MATCH($C43,'Undirviðmiðalisti (Lýsigögn)'!$C$42:$C$58,0))),""),IFERROR(IF(INDEX('Undirviðmiðalisti (Lýsigögn)'!J$6:J$41,MATCH($C43,'Undirviðmiðalisti (Lýsigögn)'!$C$6:$C$41,0))="","",INDEX('Undirviðmiðalisti (Lýsigögn)'!J$6:J$41,MATCH($C43,'Undirviðmiðalisti (Lýsigögn)'!$C$6:$C$41,0))),IFERROR(IF(INDEX('Undirviðmiðalisti (Lýsigögn)'!J$42:J$58,MATCH($C43,'Undirviðmiðalisti (Lýsigögn)'!$C$42:$C$58,0))="","",INDEX('Undirviðmiðalisti (Lýsigögn)'!J$42:J$58,MATCH($C43,'Undirviðmiðalisti (Lýsigögn)'!$C$42:$C$58,0))),""))))</f>
        <v/>
      </c>
      <c r="O43" s="16" t="str">
        <f aca="false">IF($C43="","",IF($G43="Einstaklingsbundið",IFERROR(IF(INDEX('Undirviðmiðalisti (Lýsigögn)'!K$42:K$58,MATCH($C43,'Undirviðmiðalisti (Lýsigögn)'!$C$42:$C$58,0))="","",INDEX('Undirviðmiðalisti (Lýsigögn)'!K$42:K$58,MATCH($C43,'Undirviðmiðalisti (Lýsigögn)'!$C$42:$C$58,0))),""),IFERROR(IF(INDEX('Undirviðmiðalisti (Lýsigögn)'!K$6:K$41,MATCH($C43,'Undirviðmiðalisti (Lýsigögn)'!$C$6:$C$41,0))="","",INDEX('Undirviðmiðalisti (Lýsigögn)'!K$6:K$41,MATCH($C43,'Undirviðmiðalisti (Lýsigögn)'!$C$6:$C$41,0))),IFERROR(IF(INDEX('Undirviðmiðalisti (Lýsigögn)'!K$42:K$58,MATCH($C43,'Undirviðmiðalisti (Lýsigögn)'!$C$42:$C$58,0))="","",INDEX('Undirviðmiðalisti (Lýsigögn)'!K$42:K$58,MATCH($C43,'Undirviðmiðalisti (Lýsigögn)'!$C$42:$C$58,0))),""))))</f>
        <v/>
      </c>
      <c r="P43" s="16" t="str">
        <f aca="false">IF($C43="","",IF($G43="Einstaklingsbundið",IFERROR(IF(INDEX('Undirviðmiðalisti (Lýsigögn)'!L$42:L$58,MATCH($C43,'Undirviðmiðalisti (Lýsigögn)'!$C$42:$C$58,0))="","",INDEX('Undirviðmiðalisti (Lýsigögn)'!L$42:L$58,MATCH($C43,'Undirviðmiðalisti (Lýsigögn)'!$C$42:$C$58,0))),""),IFERROR(IF(INDEX('Undirviðmiðalisti (Lýsigögn)'!L$6:L$41,MATCH($C43,'Undirviðmiðalisti (Lýsigögn)'!$C$6:$C$41,0))="","",INDEX('Undirviðmiðalisti (Lýsigögn)'!L$6:L$41,MATCH($C43,'Undirviðmiðalisti (Lýsigögn)'!$C$6:$C$41,0))),IFERROR(IF(INDEX('Undirviðmiðalisti (Lýsigögn)'!L$42:L$58,MATCH($C43,'Undirviðmiðalisti (Lýsigögn)'!$C$42:$C$58,0))="","",INDEX('Undirviðmiðalisti (Lýsigögn)'!L$42:L$58,MATCH($C43,'Undirviðmiðalisti (Lýsigögn)'!$C$42:$C$58,0))),""))))</f>
        <v/>
      </c>
      <c r="Q43" s="16" t="str">
        <f aca="false">IF($C43="","",IF($G43="Einstaklingsbundið",IFERROR(IF(INDEX('Undirviðmiðalisti (Lýsigögn)'!M$42:M$58,MATCH($C43,'Undirviðmiðalisti (Lýsigögn)'!$C$42:$C$58,0))="","",INDEX('Undirviðmiðalisti (Lýsigögn)'!M$42:M$58,MATCH($C43,'Undirviðmiðalisti (Lýsigögn)'!$C$42:$C$58,0))),""),IFERROR(IF(INDEX('Undirviðmiðalisti (Lýsigögn)'!M$6:M$41,MATCH($C43,'Undirviðmiðalisti (Lýsigögn)'!$C$6:$C$41,0))="","",INDEX('Undirviðmiðalisti (Lýsigögn)'!M$6:M$41,MATCH($C43,'Undirviðmiðalisti (Lýsigögn)'!$C$6:$C$41,0))),IFERROR(IF(INDEX('Undirviðmiðalisti (Lýsigögn)'!M$42:M$58,MATCH($C43,'Undirviðmiðalisti (Lýsigögn)'!$C$42:$C$58,0))="","",INDEX('Undirviðmiðalisti (Lýsigögn)'!M$42:M$58,MATCH($C43,'Undirviðmiðalisti (Lýsigögn)'!$C$42:$C$58,0))),""))))</f>
        <v/>
      </c>
    </row>
    <row r="44" customFormat="false" ht="15" hidden="false" customHeight="true" outlineLevel="0" collapsed="false">
      <c r="A44" s="22" t="str">
        <f aca="false">IF($B44="","",ROW()-5)</f>
        <v/>
      </c>
      <c r="B44" s="15"/>
      <c r="C44" s="15"/>
      <c r="D44" s="16" t="str">
        <f aca="false">IF($C44="","",IF($G44="Einstaklingsbundið",IFERROR(IF(INDEX('Undirviðmiðalisti (Lýsigögn)'!$D$42:$D$58,MATCH($C44,'Undirviðmiðalisti (Lýsigögn)'!$C$42:$C$58,0))="","",INDEX('Undirviðmiðalisti (Lýsigögn)'!$D$42:$D$58,MATCH($C44,'Undirviðmiðalisti (Lýsigögn)'!$C$42:$C$58,0))),""),IFERROR(IF(INDEX('Undirviðmiðalisti (Lýsigögn)'!$D$6:$D$41,MATCH($C44,'Undirviðmiðalisti (Lýsigögn)'!$C$6:$C$41,0))="","",INDEX('Undirviðmiðalisti (Lýsigögn)'!$D$6:$D$41,MATCH($C44,'Undirviðmiðalisti (Lýsigögn)'!$C$6:$C$41,0))),IFERROR(IF(INDEX('Undirviðmiðalisti (Lýsigögn)'!$D$42:$D$58,MATCH($C44,'Undirviðmiðalisti (Lýsigögn)'!$C$42:$C$58,0))="","",INDEX('Undirviðmiðalisti (Lýsigögn)'!$D$42:$D$58,MATCH($C44,'Undirviðmiðalisti (Lýsigögn)'!$C$42:$C$58,0))),""))))</f>
        <v/>
      </c>
      <c r="E44" s="14"/>
      <c r="F44" s="23" t="str">
        <f aca="false">IF($C44="","",IF($G44="Einstaklingsbundið",IFERROR(IF(INDEX('Undirviðmiðalisti (Lýsigögn)'!$E$42:$E$58,MATCH($C44,'Undirviðmiðalisti (Lýsigögn)'!$C$42:$C$58,0))="","",INDEX('Undirviðmiðalisti (Lýsigögn)'!$E$42:$E$58,MATCH($C44,'Undirviðmiðalisti (Lýsigögn)'!$C$42:$C$58,0))),""),IFERROR(IF(INDEX('Undirviðmiðalisti (Lýsigögn)'!$E$6:$E$41,MATCH($C44,'Undirviðmiðalisti (Lýsigögn)'!$C$6:$C$41,0))="","",INDEX('Undirviðmiðalisti (Lýsigögn)'!$E$6:$E$41,MATCH($C44,'Undirviðmiðalisti (Lýsigögn)'!$C$6:$C$41,0))),IFERROR(IF(INDEX('Undirviðmiðalisti (Lýsigögn)'!$E$42:$E$58,MATCH($C44,'Undirviðmiðalisti (Lýsigögn)'!$C$42:$C$58,0))="","",INDEX('Undirviðmiðalisti (Lýsigögn)'!$E$42:$E$58,MATCH($C44,'Undirviðmiðalisti (Lýsigögn)'!$C$42:$C$58,0))),""))))</f>
        <v/>
      </c>
      <c r="G44" s="24" t="str">
        <f aca="false">IFERROR(IF(B44="","",INDEX(Viðmið!$B$6:$B$10,MATCH(B44,Viðmið!$C$6:$C$10,0))),"")</f>
        <v/>
      </c>
      <c r="H44" s="25" t="str">
        <f aca="false">IF(OR(E44="",F44=""),"",E44*KVARDI)</f>
        <v/>
      </c>
      <c r="I44" s="26" t="str">
        <f aca="false">IF(B44="","",IF(ROUND(SUMIF($B$6:$B$205,B44,$E$6:$E$205),4)=ROUND(IFERROR(INDEX(Viðmið!$E$6:$E$10,MATCH(B44,Viðmið!$C$6:$C$10,0)),-1),4),"✓","✗"))</f>
        <v/>
      </c>
      <c r="J44" s="16" t="str">
        <f aca="false">IF($C44="","",IF($G44="Einstaklingsbundið",IFERROR(IF(INDEX('Undirviðmiðalisti (Lýsigögn)'!F$42:F$58,MATCH($C44,'Undirviðmiðalisti (Lýsigögn)'!$C$42:$C$58,0))="","",INDEX('Undirviðmiðalisti (Lýsigögn)'!F$42:F$58,MATCH($C44,'Undirviðmiðalisti (Lýsigögn)'!$C$42:$C$58,0))),""),IFERROR(IF(INDEX('Undirviðmiðalisti (Lýsigögn)'!F$6:F$41,MATCH($C44,'Undirviðmiðalisti (Lýsigögn)'!$C$6:$C$41,0))="","",INDEX('Undirviðmiðalisti (Lýsigögn)'!F$6:F$41,MATCH($C44,'Undirviðmiðalisti (Lýsigögn)'!$C$6:$C$41,0))),IFERROR(IF(INDEX('Undirviðmiðalisti (Lýsigögn)'!F$42:F$58,MATCH($C44,'Undirviðmiðalisti (Lýsigögn)'!$C$42:$C$58,0))="","",INDEX('Undirviðmiðalisti (Lýsigögn)'!F$42:F$58,MATCH($C44,'Undirviðmiðalisti (Lýsigögn)'!$C$42:$C$58,0))),""))))</f>
        <v/>
      </c>
      <c r="K44" s="16" t="str">
        <f aca="false">IF($C44="","",IF($G44="Einstaklingsbundið",IFERROR(IF(INDEX('Undirviðmiðalisti (Lýsigögn)'!G$42:G$58,MATCH($C44,'Undirviðmiðalisti (Lýsigögn)'!$C$42:$C$58,0))="","",INDEX('Undirviðmiðalisti (Lýsigögn)'!G$42:G$58,MATCH($C44,'Undirviðmiðalisti (Lýsigögn)'!$C$42:$C$58,0))),""),IFERROR(IF(INDEX('Undirviðmiðalisti (Lýsigögn)'!G$6:G$41,MATCH($C44,'Undirviðmiðalisti (Lýsigögn)'!$C$6:$C$41,0))="","",INDEX('Undirviðmiðalisti (Lýsigögn)'!G$6:G$41,MATCH($C44,'Undirviðmiðalisti (Lýsigögn)'!$C$6:$C$41,0))),IFERROR(IF(INDEX('Undirviðmiðalisti (Lýsigögn)'!G$42:G$58,MATCH($C44,'Undirviðmiðalisti (Lýsigögn)'!$C$42:$C$58,0))="","",INDEX('Undirviðmiðalisti (Lýsigögn)'!G$42:G$58,MATCH($C44,'Undirviðmiðalisti (Lýsigögn)'!$C$42:$C$58,0))),""))))</f>
        <v/>
      </c>
      <c r="L44" s="16" t="str">
        <f aca="false">IF($C44="","",IF($G44="Einstaklingsbundið",IFERROR(IF(INDEX('Undirviðmiðalisti (Lýsigögn)'!H$42:H$58,MATCH($C44,'Undirviðmiðalisti (Lýsigögn)'!$C$42:$C$58,0))="","",INDEX('Undirviðmiðalisti (Lýsigögn)'!H$42:H$58,MATCH($C44,'Undirviðmiðalisti (Lýsigögn)'!$C$42:$C$58,0))),""),IFERROR(IF(INDEX('Undirviðmiðalisti (Lýsigögn)'!H$6:H$41,MATCH($C44,'Undirviðmiðalisti (Lýsigögn)'!$C$6:$C$41,0))="","",INDEX('Undirviðmiðalisti (Lýsigögn)'!H$6:H$41,MATCH($C44,'Undirviðmiðalisti (Lýsigögn)'!$C$6:$C$41,0))),IFERROR(IF(INDEX('Undirviðmiðalisti (Lýsigögn)'!H$42:H$58,MATCH($C44,'Undirviðmiðalisti (Lýsigögn)'!$C$42:$C$58,0))="","",INDEX('Undirviðmiðalisti (Lýsigögn)'!H$42:H$58,MATCH($C44,'Undirviðmiðalisti (Lýsigögn)'!$C$42:$C$58,0))),""))))</f>
        <v/>
      </c>
      <c r="M44" s="16" t="str">
        <f aca="false">IF($C44="","",IF($G44="Einstaklingsbundið",IFERROR(IF(INDEX('Undirviðmiðalisti (Lýsigögn)'!I$42:I$58,MATCH($C44,'Undirviðmiðalisti (Lýsigögn)'!$C$42:$C$58,0))="","",INDEX('Undirviðmiðalisti (Lýsigögn)'!I$42:I$58,MATCH($C44,'Undirviðmiðalisti (Lýsigögn)'!$C$42:$C$58,0))),""),IFERROR(IF(INDEX('Undirviðmiðalisti (Lýsigögn)'!I$6:I$41,MATCH($C44,'Undirviðmiðalisti (Lýsigögn)'!$C$6:$C$41,0))="","",INDEX('Undirviðmiðalisti (Lýsigögn)'!I$6:I$41,MATCH($C44,'Undirviðmiðalisti (Lýsigögn)'!$C$6:$C$41,0))),IFERROR(IF(INDEX('Undirviðmiðalisti (Lýsigögn)'!I$42:I$58,MATCH($C44,'Undirviðmiðalisti (Lýsigögn)'!$C$42:$C$58,0))="","",INDEX('Undirviðmiðalisti (Lýsigögn)'!I$42:I$58,MATCH($C44,'Undirviðmiðalisti (Lýsigögn)'!$C$42:$C$58,0))),""))))</f>
        <v/>
      </c>
      <c r="N44" s="16" t="str">
        <f aca="false">IF($C44="","",IF($G44="Einstaklingsbundið",IFERROR(IF(INDEX('Undirviðmiðalisti (Lýsigögn)'!J$42:J$58,MATCH($C44,'Undirviðmiðalisti (Lýsigögn)'!$C$42:$C$58,0))="","",INDEX('Undirviðmiðalisti (Lýsigögn)'!J$42:J$58,MATCH($C44,'Undirviðmiðalisti (Lýsigögn)'!$C$42:$C$58,0))),""),IFERROR(IF(INDEX('Undirviðmiðalisti (Lýsigögn)'!J$6:J$41,MATCH($C44,'Undirviðmiðalisti (Lýsigögn)'!$C$6:$C$41,0))="","",INDEX('Undirviðmiðalisti (Lýsigögn)'!J$6:J$41,MATCH($C44,'Undirviðmiðalisti (Lýsigögn)'!$C$6:$C$41,0))),IFERROR(IF(INDEX('Undirviðmiðalisti (Lýsigögn)'!J$42:J$58,MATCH($C44,'Undirviðmiðalisti (Lýsigögn)'!$C$42:$C$58,0))="","",INDEX('Undirviðmiðalisti (Lýsigögn)'!J$42:J$58,MATCH($C44,'Undirviðmiðalisti (Lýsigögn)'!$C$42:$C$58,0))),""))))</f>
        <v/>
      </c>
      <c r="O44" s="16" t="str">
        <f aca="false">IF($C44="","",IF($G44="Einstaklingsbundið",IFERROR(IF(INDEX('Undirviðmiðalisti (Lýsigögn)'!K$42:K$58,MATCH($C44,'Undirviðmiðalisti (Lýsigögn)'!$C$42:$C$58,0))="","",INDEX('Undirviðmiðalisti (Lýsigögn)'!K$42:K$58,MATCH($C44,'Undirviðmiðalisti (Lýsigögn)'!$C$42:$C$58,0))),""),IFERROR(IF(INDEX('Undirviðmiðalisti (Lýsigögn)'!K$6:K$41,MATCH($C44,'Undirviðmiðalisti (Lýsigögn)'!$C$6:$C$41,0))="","",INDEX('Undirviðmiðalisti (Lýsigögn)'!K$6:K$41,MATCH($C44,'Undirviðmiðalisti (Lýsigögn)'!$C$6:$C$41,0))),IFERROR(IF(INDEX('Undirviðmiðalisti (Lýsigögn)'!K$42:K$58,MATCH($C44,'Undirviðmiðalisti (Lýsigögn)'!$C$42:$C$58,0))="","",INDEX('Undirviðmiðalisti (Lýsigögn)'!K$42:K$58,MATCH($C44,'Undirviðmiðalisti (Lýsigögn)'!$C$42:$C$58,0))),""))))</f>
        <v/>
      </c>
      <c r="P44" s="16" t="str">
        <f aca="false">IF($C44="","",IF($G44="Einstaklingsbundið",IFERROR(IF(INDEX('Undirviðmiðalisti (Lýsigögn)'!L$42:L$58,MATCH($C44,'Undirviðmiðalisti (Lýsigögn)'!$C$42:$C$58,0))="","",INDEX('Undirviðmiðalisti (Lýsigögn)'!L$42:L$58,MATCH($C44,'Undirviðmiðalisti (Lýsigögn)'!$C$42:$C$58,0))),""),IFERROR(IF(INDEX('Undirviðmiðalisti (Lýsigögn)'!L$6:L$41,MATCH($C44,'Undirviðmiðalisti (Lýsigögn)'!$C$6:$C$41,0))="","",INDEX('Undirviðmiðalisti (Lýsigögn)'!L$6:L$41,MATCH($C44,'Undirviðmiðalisti (Lýsigögn)'!$C$6:$C$41,0))),IFERROR(IF(INDEX('Undirviðmiðalisti (Lýsigögn)'!L$42:L$58,MATCH($C44,'Undirviðmiðalisti (Lýsigögn)'!$C$42:$C$58,0))="","",INDEX('Undirviðmiðalisti (Lýsigögn)'!L$42:L$58,MATCH($C44,'Undirviðmiðalisti (Lýsigögn)'!$C$42:$C$58,0))),""))))</f>
        <v/>
      </c>
      <c r="Q44" s="16" t="str">
        <f aca="false">IF($C44="","",IF($G44="Einstaklingsbundið",IFERROR(IF(INDEX('Undirviðmiðalisti (Lýsigögn)'!M$42:M$58,MATCH($C44,'Undirviðmiðalisti (Lýsigögn)'!$C$42:$C$58,0))="","",INDEX('Undirviðmiðalisti (Lýsigögn)'!M$42:M$58,MATCH($C44,'Undirviðmiðalisti (Lýsigögn)'!$C$42:$C$58,0))),""),IFERROR(IF(INDEX('Undirviðmiðalisti (Lýsigögn)'!M$6:M$41,MATCH($C44,'Undirviðmiðalisti (Lýsigögn)'!$C$6:$C$41,0))="","",INDEX('Undirviðmiðalisti (Lýsigögn)'!M$6:M$41,MATCH($C44,'Undirviðmiðalisti (Lýsigögn)'!$C$6:$C$41,0))),IFERROR(IF(INDEX('Undirviðmiðalisti (Lýsigögn)'!M$42:M$58,MATCH($C44,'Undirviðmiðalisti (Lýsigögn)'!$C$42:$C$58,0))="","",INDEX('Undirviðmiðalisti (Lýsigögn)'!M$42:M$58,MATCH($C44,'Undirviðmiðalisti (Lýsigögn)'!$C$42:$C$58,0))),""))))</f>
        <v/>
      </c>
    </row>
    <row r="45" customFormat="false" ht="15" hidden="false" customHeight="true" outlineLevel="0" collapsed="false">
      <c r="A45" s="22" t="str">
        <f aca="false">IF($B45="","",ROW()-5)</f>
        <v/>
      </c>
      <c r="B45" s="15"/>
      <c r="C45" s="15"/>
      <c r="D45" s="16" t="str">
        <f aca="false">IF($C45="","",IF($G45="Einstaklingsbundið",IFERROR(IF(INDEX('Undirviðmiðalisti (Lýsigögn)'!$D$42:$D$58,MATCH($C45,'Undirviðmiðalisti (Lýsigögn)'!$C$42:$C$58,0))="","",INDEX('Undirviðmiðalisti (Lýsigögn)'!$D$42:$D$58,MATCH($C45,'Undirviðmiðalisti (Lýsigögn)'!$C$42:$C$58,0))),""),IFERROR(IF(INDEX('Undirviðmiðalisti (Lýsigögn)'!$D$6:$D$41,MATCH($C45,'Undirviðmiðalisti (Lýsigögn)'!$C$6:$C$41,0))="","",INDEX('Undirviðmiðalisti (Lýsigögn)'!$D$6:$D$41,MATCH($C45,'Undirviðmiðalisti (Lýsigögn)'!$C$6:$C$41,0))),IFERROR(IF(INDEX('Undirviðmiðalisti (Lýsigögn)'!$D$42:$D$58,MATCH($C45,'Undirviðmiðalisti (Lýsigögn)'!$C$42:$C$58,0))="","",INDEX('Undirviðmiðalisti (Lýsigögn)'!$D$42:$D$58,MATCH($C45,'Undirviðmiðalisti (Lýsigögn)'!$C$42:$C$58,0))),""))))</f>
        <v/>
      </c>
      <c r="E45" s="14"/>
      <c r="F45" s="23" t="str">
        <f aca="false">IF($C45="","",IF($G45="Einstaklingsbundið",IFERROR(IF(INDEX('Undirviðmiðalisti (Lýsigögn)'!$E$42:$E$58,MATCH($C45,'Undirviðmiðalisti (Lýsigögn)'!$C$42:$C$58,0))="","",INDEX('Undirviðmiðalisti (Lýsigögn)'!$E$42:$E$58,MATCH($C45,'Undirviðmiðalisti (Lýsigögn)'!$C$42:$C$58,0))),""),IFERROR(IF(INDEX('Undirviðmiðalisti (Lýsigögn)'!$E$6:$E$41,MATCH($C45,'Undirviðmiðalisti (Lýsigögn)'!$C$6:$C$41,0))="","",INDEX('Undirviðmiðalisti (Lýsigögn)'!$E$6:$E$41,MATCH($C45,'Undirviðmiðalisti (Lýsigögn)'!$C$6:$C$41,0))),IFERROR(IF(INDEX('Undirviðmiðalisti (Lýsigögn)'!$E$42:$E$58,MATCH($C45,'Undirviðmiðalisti (Lýsigögn)'!$C$42:$C$58,0))="","",INDEX('Undirviðmiðalisti (Lýsigögn)'!$E$42:$E$58,MATCH($C45,'Undirviðmiðalisti (Lýsigögn)'!$C$42:$C$58,0))),""))))</f>
        <v/>
      </c>
      <c r="G45" s="24" t="str">
        <f aca="false">IFERROR(IF(B45="","",INDEX(Viðmið!$B$6:$B$10,MATCH(B45,Viðmið!$C$6:$C$10,0))),"")</f>
        <v/>
      </c>
      <c r="H45" s="25" t="str">
        <f aca="false">IF(OR(E45="",F45=""),"",E45*KVARDI)</f>
        <v/>
      </c>
      <c r="I45" s="26" t="str">
        <f aca="false">IF(B45="","",IF(ROUND(SUMIF($B$6:$B$205,B45,$E$6:$E$205),4)=ROUND(IFERROR(INDEX(Viðmið!$E$6:$E$10,MATCH(B45,Viðmið!$C$6:$C$10,0)),-1),4),"✓","✗"))</f>
        <v/>
      </c>
      <c r="J45" s="16" t="str">
        <f aca="false">IF($C45="","",IF($G45="Einstaklingsbundið",IFERROR(IF(INDEX('Undirviðmiðalisti (Lýsigögn)'!F$42:F$58,MATCH($C45,'Undirviðmiðalisti (Lýsigögn)'!$C$42:$C$58,0))="","",INDEX('Undirviðmiðalisti (Lýsigögn)'!F$42:F$58,MATCH($C45,'Undirviðmiðalisti (Lýsigögn)'!$C$42:$C$58,0))),""),IFERROR(IF(INDEX('Undirviðmiðalisti (Lýsigögn)'!F$6:F$41,MATCH($C45,'Undirviðmiðalisti (Lýsigögn)'!$C$6:$C$41,0))="","",INDEX('Undirviðmiðalisti (Lýsigögn)'!F$6:F$41,MATCH($C45,'Undirviðmiðalisti (Lýsigögn)'!$C$6:$C$41,0))),IFERROR(IF(INDEX('Undirviðmiðalisti (Lýsigögn)'!F$42:F$58,MATCH($C45,'Undirviðmiðalisti (Lýsigögn)'!$C$42:$C$58,0))="","",INDEX('Undirviðmiðalisti (Lýsigögn)'!F$42:F$58,MATCH($C45,'Undirviðmiðalisti (Lýsigögn)'!$C$42:$C$58,0))),""))))</f>
        <v/>
      </c>
      <c r="K45" s="16" t="str">
        <f aca="false">IF($C45="","",IF($G45="Einstaklingsbundið",IFERROR(IF(INDEX('Undirviðmiðalisti (Lýsigögn)'!G$42:G$58,MATCH($C45,'Undirviðmiðalisti (Lýsigögn)'!$C$42:$C$58,0))="","",INDEX('Undirviðmiðalisti (Lýsigögn)'!G$42:G$58,MATCH($C45,'Undirviðmiðalisti (Lýsigögn)'!$C$42:$C$58,0))),""),IFERROR(IF(INDEX('Undirviðmiðalisti (Lýsigögn)'!G$6:G$41,MATCH($C45,'Undirviðmiðalisti (Lýsigögn)'!$C$6:$C$41,0))="","",INDEX('Undirviðmiðalisti (Lýsigögn)'!G$6:G$41,MATCH($C45,'Undirviðmiðalisti (Lýsigögn)'!$C$6:$C$41,0))),IFERROR(IF(INDEX('Undirviðmiðalisti (Lýsigögn)'!G$42:G$58,MATCH($C45,'Undirviðmiðalisti (Lýsigögn)'!$C$42:$C$58,0))="","",INDEX('Undirviðmiðalisti (Lýsigögn)'!G$42:G$58,MATCH($C45,'Undirviðmiðalisti (Lýsigögn)'!$C$42:$C$58,0))),""))))</f>
        <v/>
      </c>
      <c r="L45" s="16" t="str">
        <f aca="false">IF($C45="","",IF($G45="Einstaklingsbundið",IFERROR(IF(INDEX('Undirviðmiðalisti (Lýsigögn)'!H$42:H$58,MATCH($C45,'Undirviðmiðalisti (Lýsigögn)'!$C$42:$C$58,0))="","",INDEX('Undirviðmiðalisti (Lýsigögn)'!H$42:H$58,MATCH($C45,'Undirviðmiðalisti (Lýsigögn)'!$C$42:$C$58,0))),""),IFERROR(IF(INDEX('Undirviðmiðalisti (Lýsigögn)'!H$6:H$41,MATCH($C45,'Undirviðmiðalisti (Lýsigögn)'!$C$6:$C$41,0))="","",INDEX('Undirviðmiðalisti (Lýsigögn)'!H$6:H$41,MATCH($C45,'Undirviðmiðalisti (Lýsigögn)'!$C$6:$C$41,0))),IFERROR(IF(INDEX('Undirviðmiðalisti (Lýsigögn)'!H$42:H$58,MATCH($C45,'Undirviðmiðalisti (Lýsigögn)'!$C$42:$C$58,0))="","",INDEX('Undirviðmiðalisti (Lýsigögn)'!H$42:H$58,MATCH($C45,'Undirviðmiðalisti (Lýsigögn)'!$C$42:$C$58,0))),""))))</f>
        <v/>
      </c>
      <c r="M45" s="16" t="str">
        <f aca="false">IF($C45="","",IF($G45="Einstaklingsbundið",IFERROR(IF(INDEX('Undirviðmiðalisti (Lýsigögn)'!I$42:I$58,MATCH($C45,'Undirviðmiðalisti (Lýsigögn)'!$C$42:$C$58,0))="","",INDEX('Undirviðmiðalisti (Lýsigögn)'!I$42:I$58,MATCH($C45,'Undirviðmiðalisti (Lýsigögn)'!$C$42:$C$58,0))),""),IFERROR(IF(INDEX('Undirviðmiðalisti (Lýsigögn)'!I$6:I$41,MATCH($C45,'Undirviðmiðalisti (Lýsigögn)'!$C$6:$C$41,0))="","",INDEX('Undirviðmiðalisti (Lýsigögn)'!I$6:I$41,MATCH($C45,'Undirviðmiðalisti (Lýsigögn)'!$C$6:$C$41,0))),IFERROR(IF(INDEX('Undirviðmiðalisti (Lýsigögn)'!I$42:I$58,MATCH($C45,'Undirviðmiðalisti (Lýsigögn)'!$C$42:$C$58,0))="","",INDEX('Undirviðmiðalisti (Lýsigögn)'!I$42:I$58,MATCH($C45,'Undirviðmiðalisti (Lýsigögn)'!$C$42:$C$58,0))),""))))</f>
        <v/>
      </c>
      <c r="N45" s="16" t="str">
        <f aca="false">IF($C45="","",IF($G45="Einstaklingsbundið",IFERROR(IF(INDEX('Undirviðmiðalisti (Lýsigögn)'!J$42:J$58,MATCH($C45,'Undirviðmiðalisti (Lýsigögn)'!$C$42:$C$58,0))="","",INDEX('Undirviðmiðalisti (Lýsigögn)'!J$42:J$58,MATCH($C45,'Undirviðmiðalisti (Lýsigögn)'!$C$42:$C$58,0))),""),IFERROR(IF(INDEX('Undirviðmiðalisti (Lýsigögn)'!J$6:J$41,MATCH($C45,'Undirviðmiðalisti (Lýsigögn)'!$C$6:$C$41,0))="","",INDEX('Undirviðmiðalisti (Lýsigögn)'!J$6:J$41,MATCH($C45,'Undirviðmiðalisti (Lýsigögn)'!$C$6:$C$41,0))),IFERROR(IF(INDEX('Undirviðmiðalisti (Lýsigögn)'!J$42:J$58,MATCH($C45,'Undirviðmiðalisti (Lýsigögn)'!$C$42:$C$58,0))="","",INDEX('Undirviðmiðalisti (Lýsigögn)'!J$42:J$58,MATCH($C45,'Undirviðmiðalisti (Lýsigögn)'!$C$42:$C$58,0))),""))))</f>
        <v/>
      </c>
      <c r="O45" s="16" t="str">
        <f aca="false">IF($C45="","",IF($G45="Einstaklingsbundið",IFERROR(IF(INDEX('Undirviðmiðalisti (Lýsigögn)'!K$42:K$58,MATCH($C45,'Undirviðmiðalisti (Lýsigögn)'!$C$42:$C$58,0))="","",INDEX('Undirviðmiðalisti (Lýsigögn)'!K$42:K$58,MATCH($C45,'Undirviðmiðalisti (Lýsigögn)'!$C$42:$C$58,0))),""),IFERROR(IF(INDEX('Undirviðmiðalisti (Lýsigögn)'!K$6:K$41,MATCH($C45,'Undirviðmiðalisti (Lýsigögn)'!$C$6:$C$41,0))="","",INDEX('Undirviðmiðalisti (Lýsigögn)'!K$6:K$41,MATCH($C45,'Undirviðmiðalisti (Lýsigögn)'!$C$6:$C$41,0))),IFERROR(IF(INDEX('Undirviðmiðalisti (Lýsigögn)'!K$42:K$58,MATCH($C45,'Undirviðmiðalisti (Lýsigögn)'!$C$42:$C$58,0))="","",INDEX('Undirviðmiðalisti (Lýsigögn)'!K$42:K$58,MATCH($C45,'Undirviðmiðalisti (Lýsigögn)'!$C$42:$C$58,0))),""))))</f>
        <v/>
      </c>
      <c r="P45" s="16" t="str">
        <f aca="false">IF($C45="","",IF($G45="Einstaklingsbundið",IFERROR(IF(INDEX('Undirviðmiðalisti (Lýsigögn)'!L$42:L$58,MATCH($C45,'Undirviðmiðalisti (Lýsigögn)'!$C$42:$C$58,0))="","",INDEX('Undirviðmiðalisti (Lýsigögn)'!L$42:L$58,MATCH($C45,'Undirviðmiðalisti (Lýsigögn)'!$C$42:$C$58,0))),""),IFERROR(IF(INDEX('Undirviðmiðalisti (Lýsigögn)'!L$6:L$41,MATCH($C45,'Undirviðmiðalisti (Lýsigögn)'!$C$6:$C$41,0))="","",INDEX('Undirviðmiðalisti (Lýsigögn)'!L$6:L$41,MATCH($C45,'Undirviðmiðalisti (Lýsigögn)'!$C$6:$C$41,0))),IFERROR(IF(INDEX('Undirviðmiðalisti (Lýsigögn)'!L$42:L$58,MATCH($C45,'Undirviðmiðalisti (Lýsigögn)'!$C$42:$C$58,0))="","",INDEX('Undirviðmiðalisti (Lýsigögn)'!L$42:L$58,MATCH($C45,'Undirviðmiðalisti (Lýsigögn)'!$C$42:$C$58,0))),""))))</f>
        <v/>
      </c>
      <c r="Q45" s="16" t="str">
        <f aca="false">IF($C45="","",IF($G45="Einstaklingsbundið",IFERROR(IF(INDEX('Undirviðmiðalisti (Lýsigögn)'!M$42:M$58,MATCH($C45,'Undirviðmiðalisti (Lýsigögn)'!$C$42:$C$58,0))="","",INDEX('Undirviðmiðalisti (Lýsigögn)'!M$42:M$58,MATCH($C45,'Undirviðmiðalisti (Lýsigögn)'!$C$42:$C$58,0))),""),IFERROR(IF(INDEX('Undirviðmiðalisti (Lýsigögn)'!M$6:M$41,MATCH($C45,'Undirviðmiðalisti (Lýsigögn)'!$C$6:$C$41,0))="","",INDEX('Undirviðmiðalisti (Lýsigögn)'!M$6:M$41,MATCH($C45,'Undirviðmiðalisti (Lýsigögn)'!$C$6:$C$41,0))),IFERROR(IF(INDEX('Undirviðmiðalisti (Lýsigögn)'!M$42:M$58,MATCH($C45,'Undirviðmiðalisti (Lýsigögn)'!$C$42:$C$58,0))="","",INDEX('Undirviðmiðalisti (Lýsigögn)'!M$42:M$58,MATCH($C45,'Undirviðmiðalisti (Lýsigögn)'!$C$42:$C$58,0))),""))))</f>
        <v/>
      </c>
    </row>
    <row r="46" customFormat="false" ht="15" hidden="false" customHeight="true" outlineLevel="0" collapsed="false">
      <c r="A46" s="22" t="str">
        <f aca="false">IF($B46="","",ROW()-5)</f>
        <v/>
      </c>
      <c r="B46" s="15"/>
      <c r="C46" s="15"/>
      <c r="D46" s="16" t="str">
        <f aca="false">IF($C46="","",IF($G46="Einstaklingsbundið",IFERROR(IF(INDEX('Undirviðmiðalisti (Lýsigögn)'!$D$42:$D$58,MATCH($C46,'Undirviðmiðalisti (Lýsigögn)'!$C$42:$C$58,0))="","",INDEX('Undirviðmiðalisti (Lýsigögn)'!$D$42:$D$58,MATCH($C46,'Undirviðmiðalisti (Lýsigögn)'!$C$42:$C$58,0))),""),IFERROR(IF(INDEX('Undirviðmiðalisti (Lýsigögn)'!$D$6:$D$41,MATCH($C46,'Undirviðmiðalisti (Lýsigögn)'!$C$6:$C$41,0))="","",INDEX('Undirviðmiðalisti (Lýsigögn)'!$D$6:$D$41,MATCH($C46,'Undirviðmiðalisti (Lýsigögn)'!$C$6:$C$41,0))),IFERROR(IF(INDEX('Undirviðmiðalisti (Lýsigögn)'!$D$42:$D$58,MATCH($C46,'Undirviðmiðalisti (Lýsigögn)'!$C$42:$C$58,0))="","",INDEX('Undirviðmiðalisti (Lýsigögn)'!$D$42:$D$58,MATCH($C46,'Undirviðmiðalisti (Lýsigögn)'!$C$42:$C$58,0))),""))))</f>
        <v/>
      </c>
      <c r="E46" s="14"/>
      <c r="F46" s="23" t="str">
        <f aca="false">IF($C46="","",IF($G46="Einstaklingsbundið",IFERROR(IF(INDEX('Undirviðmiðalisti (Lýsigögn)'!$E$42:$E$58,MATCH($C46,'Undirviðmiðalisti (Lýsigögn)'!$C$42:$C$58,0))="","",INDEX('Undirviðmiðalisti (Lýsigögn)'!$E$42:$E$58,MATCH($C46,'Undirviðmiðalisti (Lýsigögn)'!$C$42:$C$58,0))),""),IFERROR(IF(INDEX('Undirviðmiðalisti (Lýsigögn)'!$E$6:$E$41,MATCH($C46,'Undirviðmiðalisti (Lýsigögn)'!$C$6:$C$41,0))="","",INDEX('Undirviðmiðalisti (Lýsigögn)'!$E$6:$E$41,MATCH($C46,'Undirviðmiðalisti (Lýsigögn)'!$C$6:$C$41,0))),IFERROR(IF(INDEX('Undirviðmiðalisti (Lýsigögn)'!$E$42:$E$58,MATCH($C46,'Undirviðmiðalisti (Lýsigögn)'!$C$42:$C$58,0))="","",INDEX('Undirviðmiðalisti (Lýsigögn)'!$E$42:$E$58,MATCH($C46,'Undirviðmiðalisti (Lýsigögn)'!$C$42:$C$58,0))),""))))</f>
        <v/>
      </c>
      <c r="G46" s="24" t="str">
        <f aca="false">IFERROR(IF(B46="","",INDEX(Viðmið!$B$6:$B$10,MATCH(B46,Viðmið!$C$6:$C$10,0))),"")</f>
        <v/>
      </c>
      <c r="H46" s="25" t="str">
        <f aca="false">IF(OR(E46="",F46=""),"",E46*KVARDI)</f>
        <v/>
      </c>
      <c r="I46" s="26" t="str">
        <f aca="false">IF(B46="","",IF(ROUND(SUMIF($B$6:$B$205,B46,$E$6:$E$205),4)=ROUND(IFERROR(INDEX(Viðmið!$E$6:$E$10,MATCH(B46,Viðmið!$C$6:$C$10,0)),-1),4),"✓","✗"))</f>
        <v/>
      </c>
      <c r="J46" s="16" t="str">
        <f aca="false">IF($C46="","",IF($G46="Einstaklingsbundið",IFERROR(IF(INDEX('Undirviðmiðalisti (Lýsigögn)'!F$42:F$58,MATCH($C46,'Undirviðmiðalisti (Lýsigögn)'!$C$42:$C$58,0))="","",INDEX('Undirviðmiðalisti (Lýsigögn)'!F$42:F$58,MATCH($C46,'Undirviðmiðalisti (Lýsigögn)'!$C$42:$C$58,0))),""),IFERROR(IF(INDEX('Undirviðmiðalisti (Lýsigögn)'!F$6:F$41,MATCH($C46,'Undirviðmiðalisti (Lýsigögn)'!$C$6:$C$41,0))="","",INDEX('Undirviðmiðalisti (Lýsigögn)'!F$6:F$41,MATCH($C46,'Undirviðmiðalisti (Lýsigögn)'!$C$6:$C$41,0))),IFERROR(IF(INDEX('Undirviðmiðalisti (Lýsigögn)'!F$42:F$58,MATCH($C46,'Undirviðmiðalisti (Lýsigögn)'!$C$42:$C$58,0))="","",INDEX('Undirviðmiðalisti (Lýsigögn)'!F$42:F$58,MATCH($C46,'Undirviðmiðalisti (Lýsigögn)'!$C$42:$C$58,0))),""))))</f>
        <v/>
      </c>
      <c r="K46" s="16" t="str">
        <f aca="false">IF($C46="","",IF($G46="Einstaklingsbundið",IFERROR(IF(INDEX('Undirviðmiðalisti (Lýsigögn)'!G$42:G$58,MATCH($C46,'Undirviðmiðalisti (Lýsigögn)'!$C$42:$C$58,0))="","",INDEX('Undirviðmiðalisti (Lýsigögn)'!G$42:G$58,MATCH($C46,'Undirviðmiðalisti (Lýsigögn)'!$C$42:$C$58,0))),""),IFERROR(IF(INDEX('Undirviðmiðalisti (Lýsigögn)'!G$6:G$41,MATCH($C46,'Undirviðmiðalisti (Lýsigögn)'!$C$6:$C$41,0))="","",INDEX('Undirviðmiðalisti (Lýsigögn)'!G$6:G$41,MATCH($C46,'Undirviðmiðalisti (Lýsigögn)'!$C$6:$C$41,0))),IFERROR(IF(INDEX('Undirviðmiðalisti (Lýsigögn)'!G$42:G$58,MATCH($C46,'Undirviðmiðalisti (Lýsigögn)'!$C$42:$C$58,0))="","",INDEX('Undirviðmiðalisti (Lýsigögn)'!G$42:G$58,MATCH($C46,'Undirviðmiðalisti (Lýsigögn)'!$C$42:$C$58,0))),""))))</f>
        <v/>
      </c>
      <c r="L46" s="16" t="str">
        <f aca="false">IF($C46="","",IF($G46="Einstaklingsbundið",IFERROR(IF(INDEX('Undirviðmiðalisti (Lýsigögn)'!H$42:H$58,MATCH($C46,'Undirviðmiðalisti (Lýsigögn)'!$C$42:$C$58,0))="","",INDEX('Undirviðmiðalisti (Lýsigögn)'!H$42:H$58,MATCH($C46,'Undirviðmiðalisti (Lýsigögn)'!$C$42:$C$58,0))),""),IFERROR(IF(INDEX('Undirviðmiðalisti (Lýsigögn)'!H$6:H$41,MATCH($C46,'Undirviðmiðalisti (Lýsigögn)'!$C$6:$C$41,0))="","",INDEX('Undirviðmiðalisti (Lýsigögn)'!H$6:H$41,MATCH($C46,'Undirviðmiðalisti (Lýsigögn)'!$C$6:$C$41,0))),IFERROR(IF(INDEX('Undirviðmiðalisti (Lýsigögn)'!H$42:H$58,MATCH($C46,'Undirviðmiðalisti (Lýsigögn)'!$C$42:$C$58,0))="","",INDEX('Undirviðmiðalisti (Lýsigögn)'!H$42:H$58,MATCH($C46,'Undirviðmiðalisti (Lýsigögn)'!$C$42:$C$58,0))),""))))</f>
        <v/>
      </c>
      <c r="M46" s="16" t="str">
        <f aca="false">IF($C46="","",IF($G46="Einstaklingsbundið",IFERROR(IF(INDEX('Undirviðmiðalisti (Lýsigögn)'!I$42:I$58,MATCH($C46,'Undirviðmiðalisti (Lýsigögn)'!$C$42:$C$58,0))="","",INDEX('Undirviðmiðalisti (Lýsigögn)'!I$42:I$58,MATCH($C46,'Undirviðmiðalisti (Lýsigögn)'!$C$42:$C$58,0))),""),IFERROR(IF(INDEX('Undirviðmiðalisti (Lýsigögn)'!I$6:I$41,MATCH($C46,'Undirviðmiðalisti (Lýsigögn)'!$C$6:$C$41,0))="","",INDEX('Undirviðmiðalisti (Lýsigögn)'!I$6:I$41,MATCH($C46,'Undirviðmiðalisti (Lýsigögn)'!$C$6:$C$41,0))),IFERROR(IF(INDEX('Undirviðmiðalisti (Lýsigögn)'!I$42:I$58,MATCH($C46,'Undirviðmiðalisti (Lýsigögn)'!$C$42:$C$58,0))="","",INDEX('Undirviðmiðalisti (Lýsigögn)'!I$42:I$58,MATCH($C46,'Undirviðmiðalisti (Lýsigögn)'!$C$42:$C$58,0))),""))))</f>
        <v/>
      </c>
      <c r="N46" s="16" t="str">
        <f aca="false">IF($C46="","",IF($G46="Einstaklingsbundið",IFERROR(IF(INDEX('Undirviðmiðalisti (Lýsigögn)'!J$42:J$58,MATCH($C46,'Undirviðmiðalisti (Lýsigögn)'!$C$42:$C$58,0))="","",INDEX('Undirviðmiðalisti (Lýsigögn)'!J$42:J$58,MATCH($C46,'Undirviðmiðalisti (Lýsigögn)'!$C$42:$C$58,0))),""),IFERROR(IF(INDEX('Undirviðmiðalisti (Lýsigögn)'!J$6:J$41,MATCH($C46,'Undirviðmiðalisti (Lýsigögn)'!$C$6:$C$41,0))="","",INDEX('Undirviðmiðalisti (Lýsigögn)'!J$6:J$41,MATCH($C46,'Undirviðmiðalisti (Lýsigögn)'!$C$6:$C$41,0))),IFERROR(IF(INDEX('Undirviðmiðalisti (Lýsigögn)'!J$42:J$58,MATCH($C46,'Undirviðmiðalisti (Lýsigögn)'!$C$42:$C$58,0))="","",INDEX('Undirviðmiðalisti (Lýsigögn)'!J$42:J$58,MATCH($C46,'Undirviðmiðalisti (Lýsigögn)'!$C$42:$C$58,0))),""))))</f>
        <v/>
      </c>
      <c r="O46" s="16" t="str">
        <f aca="false">IF($C46="","",IF($G46="Einstaklingsbundið",IFERROR(IF(INDEX('Undirviðmiðalisti (Lýsigögn)'!K$42:K$58,MATCH($C46,'Undirviðmiðalisti (Lýsigögn)'!$C$42:$C$58,0))="","",INDEX('Undirviðmiðalisti (Lýsigögn)'!K$42:K$58,MATCH($C46,'Undirviðmiðalisti (Lýsigögn)'!$C$42:$C$58,0))),""),IFERROR(IF(INDEX('Undirviðmiðalisti (Lýsigögn)'!K$6:K$41,MATCH($C46,'Undirviðmiðalisti (Lýsigögn)'!$C$6:$C$41,0))="","",INDEX('Undirviðmiðalisti (Lýsigögn)'!K$6:K$41,MATCH($C46,'Undirviðmiðalisti (Lýsigögn)'!$C$6:$C$41,0))),IFERROR(IF(INDEX('Undirviðmiðalisti (Lýsigögn)'!K$42:K$58,MATCH($C46,'Undirviðmiðalisti (Lýsigögn)'!$C$42:$C$58,0))="","",INDEX('Undirviðmiðalisti (Lýsigögn)'!K$42:K$58,MATCH($C46,'Undirviðmiðalisti (Lýsigögn)'!$C$42:$C$58,0))),""))))</f>
        <v/>
      </c>
      <c r="P46" s="16" t="str">
        <f aca="false">IF($C46="","",IF($G46="Einstaklingsbundið",IFERROR(IF(INDEX('Undirviðmiðalisti (Lýsigögn)'!L$42:L$58,MATCH($C46,'Undirviðmiðalisti (Lýsigögn)'!$C$42:$C$58,0))="","",INDEX('Undirviðmiðalisti (Lýsigögn)'!L$42:L$58,MATCH($C46,'Undirviðmiðalisti (Lýsigögn)'!$C$42:$C$58,0))),""),IFERROR(IF(INDEX('Undirviðmiðalisti (Lýsigögn)'!L$6:L$41,MATCH($C46,'Undirviðmiðalisti (Lýsigögn)'!$C$6:$C$41,0))="","",INDEX('Undirviðmiðalisti (Lýsigögn)'!L$6:L$41,MATCH($C46,'Undirviðmiðalisti (Lýsigögn)'!$C$6:$C$41,0))),IFERROR(IF(INDEX('Undirviðmiðalisti (Lýsigögn)'!L$42:L$58,MATCH($C46,'Undirviðmiðalisti (Lýsigögn)'!$C$42:$C$58,0))="","",INDEX('Undirviðmiðalisti (Lýsigögn)'!L$42:L$58,MATCH($C46,'Undirviðmiðalisti (Lýsigögn)'!$C$42:$C$58,0))),""))))</f>
        <v/>
      </c>
      <c r="Q46" s="16" t="str">
        <f aca="false">IF($C46="","",IF($G46="Einstaklingsbundið",IFERROR(IF(INDEX('Undirviðmiðalisti (Lýsigögn)'!M$42:M$58,MATCH($C46,'Undirviðmiðalisti (Lýsigögn)'!$C$42:$C$58,0))="","",INDEX('Undirviðmiðalisti (Lýsigögn)'!M$42:M$58,MATCH($C46,'Undirviðmiðalisti (Lýsigögn)'!$C$42:$C$58,0))),""),IFERROR(IF(INDEX('Undirviðmiðalisti (Lýsigögn)'!M$6:M$41,MATCH($C46,'Undirviðmiðalisti (Lýsigögn)'!$C$6:$C$41,0))="","",INDEX('Undirviðmiðalisti (Lýsigögn)'!M$6:M$41,MATCH($C46,'Undirviðmiðalisti (Lýsigögn)'!$C$6:$C$41,0))),IFERROR(IF(INDEX('Undirviðmiðalisti (Lýsigögn)'!M$42:M$58,MATCH($C46,'Undirviðmiðalisti (Lýsigögn)'!$C$42:$C$58,0))="","",INDEX('Undirviðmiðalisti (Lýsigögn)'!M$42:M$58,MATCH($C46,'Undirviðmiðalisti (Lýsigögn)'!$C$42:$C$58,0))),""))))</f>
        <v/>
      </c>
    </row>
    <row r="47" customFormat="false" ht="15" hidden="false" customHeight="true" outlineLevel="0" collapsed="false">
      <c r="A47" s="22" t="str">
        <f aca="false">IF($B47="","",ROW()-5)</f>
        <v/>
      </c>
      <c r="B47" s="15"/>
      <c r="C47" s="15"/>
      <c r="D47" s="16" t="str">
        <f aca="false">IF($C47="","",IF($G47="Einstaklingsbundið",IFERROR(IF(INDEX('Undirviðmiðalisti (Lýsigögn)'!$D$42:$D$58,MATCH($C47,'Undirviðmiðalisti (Lýsigögn)'!$C$42:$C$58,0))="","",INDEX('Undirviðmiðalisti (Lýsigögn)'!$D$42:$D$58,MATCH($C47,'Undirviðmiðalisti (Lýsigögn)'!$C$42:$C$58,0))),""),IFERROR(IF(INDEX('Undirviðmiðalisti (Lýsigögn)'!$D$6:$D$41,MATCH($C47,'Undirviðmiðalisti (Lýsigögn)'!$C$6:$C$41,0))="","",INDEX('Undirviðmiðalisti (Lýsigögn)'!$D$6:$D$41,MATCH($C47,'Undirviðmiðalisti (Lýsigögn)'!$C$6:$C$41,0))),IFERROR(IF(INDEX('Undirviðmiðalisti (Lýsigögn)'!$D$42:$D$58,MATCH($C47,'Undirviðmiðalisti (Lýsigögn)'!$C$42:$C$58,0))="","",INDEX('Undirviðmiðalisti (Lýsigögn)'!$D$42:$D$58,MATCH($C47,'Undirviðmiðalisti (Lýsigögn)'!$C$42:$C$58,0))),""))))</f>
        <v/>
      </c>
      <c r="E47" s="14"/>
      <c r="F47" s="23" t="str">
        <f aca="false">IF($C47="","",IF($G47="Einstaklingsbundið",IFERROR(IF(INDEX('Undirviðmiðalisti (Lýsigögn)'!$E$42:$E$58,MATCH($C47,'Undirviðmiðalisti (Lýsigögn)'!$C$42:$C$58,0))="","",INDEX('Undirviðmiðalisti (Lýsigögn)'!$E$42:$E$58,MATCH($C47,'Undirviðmiðalisti (Lýsigögn)'!$C$42:$C$58,0))),""),IFERROR(IF(INDEX('Undirviðmiðalisti (Lýsigögn)'!$E$6:$E$41,MATCH($C47,'Undirviðmiðalisti (Lýsigögn)'!$C$6:$C$41,0))="","",INDEX('Undirviðmiðalisti (Lýsigögn)'!$E$6:$E$41,MATCH($C47,'Undirviðmiðalisti (Lýsigögn)'!$C$6:$C$41,0))),IFERROR(IF(INDEX('Undirviðmiðalisti (Lýsigögn)'!$E$42:$E$58,MATCH($C47,'Undirviðmiðalisti (Lýsigögn)'!$C$42:$C$58,0))="","",INDEX('Undirviðmiðalisti (Lýsigögn)'!$E$42:$E$58,MATCH($C47,'Undirviðmiðalisti (Lýsigögn)'!$C$42:$C$58,0))),""))))</f>
        <v/>
      </c>
      <c r="G47" s="24" t="str">
        <f aca="false">IFERROR(IF(B47="","",INDEX(Viðmið!$B$6:$B$10,MATCH(B47,Viðmið!$C$6:$C$10,0))),"")</f>
        <v/>
      </c>
      <c r="H47" s="25" t="str">
        <f aca="false">IF(OR(E47="",F47=""),"",E47*KVARDI)</f>
        <v/>
      </c>
      <c r="I47" s="26" t="str">
        <f aca="false">IF(B47="","",IF(ROUND(SUMIF($B$6:$B$205,B47,$E$6:$E$205),4)=ROUND(IFERROR(INDEX(Viðmið!$E$6:$E$10,MATCH(B47,Viðmið!$C$6:$C$10,0)),-1),4),"✓","✗"))</f>
        <v/>
      </c>
      <c r="J47" s="16" t="str">
        <f aca="false">IF($C47="","",IF($G47="Einstaklingsbundið",IFERROR(IF(INDEX('Undirviðmiðalisti (Lýsigögn)'!F$42:F$58,MATCH($C47,'Undirviðmiðalisti (Lýsigögn)'!$C$42:$C$58,0))="","",INDEX('Undirviðmiðalisti (Lýsigögn)'!F$42:F$58,MATCH($C47,'Undirviðmiðalisti (Lýsigögn)'!$C$42:$C$58,0))),""),IFERROR(IF(INDEX('Undirviðmiðalisti (Lýsigögn)'!F$6:F$41,MATCH($C47,'Undirviðmiðalisti (Lýsigögn)'!$C$6:$C$41,0))="","",INDEX('Undirviðmiðalisti (Lýsigögn)'!F$6:F$41,MATCH($C47,'Undirviðmiðalisti (Lýsigögn)'!$C$6:$C$41,0))),IFERROR(IF(INDEX('Undirviðmiðalisti (Lýsigögn)'!F$42:F$58,MATCH($C47,'Undirviðmiðalisti (Lýsigögn)'!$C$42:$C$58,0))="","",INDEX('Undirviðmiðalisti (Lýsigögn)'!F$42:F$58,MATCH($C47,'Undirviðmiðalisti (Lýsigögn)'!$C$42:$C$58,0))),""))))</f>
        <v/>
      </c>
      <c r="K47" s="16" t="str">
        <f aca="false">IF($C47="","",IF($G47="Einstaklingsbundið",IFERROR(IF(INDEX('Undirviðmiðalisti (Lýsigögn)'!G$42:G$58,MATCH($C47,'Undirviðmiðalisti (Lýsigögn)'!$C$42:$C$58,0))="","",INDEX('Undirviðmiðalisti (Lýsigögn)'!G$42:G$58,MATCH($C47,'Undirviðmiðalisti (Lýsigögn)'!$C$42:$C$58,0))),""),IFERROR(IF(INDEX('Undirviðmiðalisti (Lýsigögn)'!G$6:G$41,MATCH($C47,'Undirviðmiðalisti (Lýsigögn)'!$C$6:$C$41,0))="","",INDEX('Undirviðmiðalisti (Lýsigögn)'!G$6:G$41,MATCH($C47,'Undirviðmiðalisti (Lýsigögn)'!$C$6:$C$41,0))),IFERROR(IF(INDEX('Undirviðmiðalisti (Lýsigögn)'!G$42:G$58,MATCH($C47,'Undirviðmiðalisti (Lýsigögn)'!$C$42:$C$58,0))="","",INDEX('Undirviðmiðalisti (Lýsigögn)'!G$42:G$58,MATCH($C47,'Undirviðmiðalisti (Lýsigögn)'!$C$42:$C$58,0))),""))))</f>
        <v/>
      </c>
      <c r="L47" s="16" t="str">
        <f aca="false">IF($C47="","",IF($G47="Einstaklingsbundið",IFERROR(IF(INDEX('Undirviðmiðalisti (Lýsigögn)'!H$42:H$58,MATCH($C47,'Undirviðmiðalisti (Lýsigögn)'!$C$42:$C$58,0))="","",INDEX('Undirviðmiðalisti (Lýsigögn)'!H$42:H$58,MATCH($C47,'Undirviðmiðalisti (Lýsigögn)'!$C$42:$C$58,0))),""),IFERROR(IF(INDEX('Undirviðmiðalisti (Lýsigögn)'!H$6:H$41,MATCH($C47,'Undirviðmiðalisti (Lýsigögn)'!$C$6:$C$41,0))="","",INDEX('Undirviðmiðalisti (Lýsigögn)'!H$6:H$41,MATCH($C47,'Undirviðmiðalisti (Lýsigögn)'!$C$6:$C$41,0))),IFERROR(IF(INDEX('Undirviðmiðalisti (Lýsigögn)'!H$42:H$58,MATCH($C47,'Undirviðmiðalisti (Lýsigögn)'!$C$42:$C$58,0))="","",INDEX('Undirviðmiðalisti (Lýsigögn)'!H$42:H$58,MATCH($C47,'Undirviðmiðalisti (Lýsigögn)'!$C$42:$C$58,0))),""))))</f>
        <v/>
      </c>
      <c r="M47" s="16" t="str">
        <f aca="false">IF($C47="","",IF($G47="Einstaklingsbundið",IFERROR(IF(INDEX('Undirviðmiðalisti (Lýsigögn)'!I$42:I$58,MATCH($C47,'Undirviðmiðalisti (Lýsigögn)'!$C$42:$C$58,0))="","",INDEX('Undirviðmiðalisti (Lýsigögn)'!I$42:I$58,MATCH($C47,'Undirviðmiðalisti (Lýsigögn)'!$C$42:$C$58,0))),""),IFERROR(IF(INDEX('Undirviðmiðalisti (Lýsigögn)'!I$6:I$41,MATCH($C47,'Undirviðmiðalisti (Lýsigögn)'!$C$6:$C$41,0))="","",INDEX('Undirviðmiðalisti (Lýsigögn)'!I$6:I$41,MATCH($C47,'Undirviðmiðalisti (Lýsigögn)'!$C$6:$C$41,0))),IFERROR(IF(INDEX('Undirviðmiðalisti (Lýsigögn)'!I$42:I$58,MATCH($C47,'Undirviðmiðalisti (Lýsigögn)'!$C$42:$C$58,0))="","",INDEX('Undirviðmiðalisti (Lýsigögn)'!I$42:I$58,MATCH($C47,'Undirviðmiðalisti (Lýsigögn)'!$C$42:$C$58,0))),""))))</f>
        <v/>
      </c>
      <c r="N47" s="16" t="str">
        <f aca="false">IF($C47="","",IF($G47="Einstaklingsbundið",IFERROR(IF(INDEX('Undirviðmiðalisti (Lýsigögn)'!J$42:J$58,MATCH($C47,'Undirviðmiðalisti (Lýsigögn)'!$C$42:$C$58,0))="","",INDEX('Undirviðmiðalisti (Lýsigögn)'!J$42:J$58,MATCH($C47,'Undirviðmiðalisti (Lýsigögn)'!$C$42:$C$58,0))),""),IFERROR(IF(INDEX('Undirviðmiðalisti (Lýsigögn)'!J$6:J$41,MATCH($C47,'Undirviðmiðalisti (Lýsigögn)'!$C$6:$C$41,0))="","",INDEX('Undirviðmiðalisti (Lýsigögn)'!J$6:J$41,MATCH($C47,'Undirviðmiðalisti (Lýsigögn)'!$C$6:$C$41,0))),IFERROR(IF(INDEX('Undirviðmiðalisti (Lýsigögn)'!J$42:J$58,MATCH($C47,'Undirviðmiðalisti (Lýsigögn)'!$C$42:$C$58,0))="","",INDEX('Undirviðmiðalisti (Lýsigögn)'!J$42:J$58,MATCH($C47,'Undirviðmiðalisti (Lýsigögn)'!$C$42:$C$58,0))),""))))</f>
        <v/>
      </c>
      <c r="O47" s="16" t="str">
        <f aca="false">IF($C47="","",IF($G47="Einstaklingsbundið",IFERROR(IF(INDEX('Undirviðmiðalisti (Lýsigögn)'!K$42:K$58,MATCH($C47,'Undirviðmiðalisti (Lýsigögn)'!$C$42:$C$58,0))="","",INDEX('Undirviðmiðalisti (Lýsigögn)'!K$42:K$58,MATCH($C47,'Undirviðmiðalisti (Lýsigögn)'!$C$42:$C$58,0))),""),IFERROR(IF(INDEX('Undirviðmiðalisti (Lýsigögn)'!K$6:K$41,MATCH($C47,'Undirviðmiðalisti (Lýsigögn)'!$C$6:$C$41,0))="","",INDEX('Undirviðmiðalisti (Lýsigögn)'!K$6:K$41,MATCH($C47,'Undirviðmiðalisti (Lýsigögn)'!$C$6:$C$41,0))),IFERROR(IF(INDEX('Undirviðmiðalisti (Lýsigögn)'!K$42:K$58,MATCH($C47,'Undirviðmiðalisti (Lýsigögn)'!$C$42:$C$58,0))="","",INDEX('Undirviðmiðalisti (Lýsigögn)'!K$42:K$58,MATCH($C47,'Undirviðmiðalisti (Lýsigögn)'!$C$42:$C$58,0))),""))))</f>
        <v/>
      </c>
      <c r="P47" s="16" t="str">
        <f aca="false">IF($C47="","",IF($G47="Einstaklingsbundið",IFERROR(IF(INDEX('Undirviðmiðalisti (Lýsigögn)'!L$42:L$58,MATCH($C47,'Undirviðmiðalisti (Lýsigögn)'!$C$42:$C$58,0))="","",INDEX('Undirviðmiðalisti (Lýsigögn)'!L$42:L$58,MATCH($C47,'Undirviðmiðalisti (Lýsigögn)'!$C$42:$C$58,0))),""),IFERROR(IF(INDEX('Undirviðmiðalisti (Lýsigögn)'!L$6:L$41,MATCH($C47,'Undirviðmiðalisti (Lýsigögn)'!$C$6:$C$41,0))="","",INDEX('Undirviðmiðalisti (Lýsigögn)'!L$6:L$41,MATCH($C47,'Undirviðmiðalisti (Lýsigögn)'!$C$6:$C$41,0))),IFERROR(IF(INDEX('Undirviðmiðalisti (Lýsigögn)'!L$42:L$58,MATCH($C47,'Undirviðmiðalisti (Lýsigögn)'!$C$42:$C$58,0))="","",INDEX('Undirviðmiðalisti (Lýsigögn)'!L$42:L$58,MATCH($C47,'Undirviðmiðalisti (Lýsigögn)'!$C$42:$C$58,0))),""))))</f>
        <v/>
      </c>
      <c r="Q47" s="16" t="str">
        <f aca="false">IF($C47="","",IF($G47="Einstaklingsbundið",IFERROR(IF(INDEX('Undirviðmiðalisti (Lýsigögn)'!M$42:M$58,MATCH($C47,'Undirviðmiðalisti (Lýsigögn)'!$C$42:$C$58,0))="","",INDEX('Undirviðmiðalisti (Lýsigögn)'!M$42:M$58,MATCH($C47,'Undirviðmiðalisti (Lýsigögn)'!$C$42:$C$58,0))),""),IFERROR(IF(INDEX('Undirviðmiðalisti (Lýsigögn)'!M$6:M$41,MATCH($C47,'Undirviðmiðalisti (Lýsigögn)'!$C$6:$C$41,0))="","",INDEX('Undirviðmiðalisti (Lýsigögn)'!M$6:M$41,MATCH($C47,'Undirviðmiðalisti (Lýsigögn)'!$C$6:$C$41,0))),IFERROR(IF(INDEX('Undirviðmiðalisti (Lýsigögn)'!M$42:M$58,MATCH($C47,'Undirviðmiðalisti (Lýsigögn)'!$C$42:$C$58,0))="","",INDEX('Undirviðmiðalisti (Lýsigögn)'!M$42:M$58,MATCH($C47,'Undirviðmiðalisti (Lýsigögn)'!$C$42:$C$58,0))),""))))</f>
        <v/>
      </c>
    </row>
    <row r="48" customFormat="false" ht="15" hidden="false" customHeight="true" outlineLevel="0" collapsed="false">
      <c r="A48" s="22" t="str">
        <f aca="false">IF($B48="","",ROW()-5)</f>
        <v/>
      </c>
      <c r="B48" s="15"/>
      <c r="C48" s="15"/>
      <c r="D48" s="16" t="str">
        <f aca="false">IF($C48="","",IF($G48="Einstaklingsbundið",IFERROR(IF(INDEX('Undirviðmiðalisti (Lýsigögn)'!$D$42:$D$58,MATCH($C48,'Undirviðmiðalisti (Lýsigögn)'!$C$42:$C$58,0))="","",INDEX('Undirviðmiðalisti (Lýsigögn)'!$D$42:$D$58,MATCH($C48,'Undirviðmiðalisti (Lýsigögn)'!$C$42:$C$58,0))),""),IFERROR(IF(INDEX('Undirviðmiðalisti (Lýsigögn)'!$D$6:$D$41,MATCH($C48,'Undirviðmiðalisti (Lýsigögn)'!$C$6:$C$41,0))="","",INDEX('Undirviðmiðalisti (Lýsigögn)'!$D$6:$D$41,MATCH($C48,'Undirviðmiðalisti (Lýsigögn)'!$C$6:$C$41,0))),IFERROR(IF(INDEX('Undirviðmiðalisti (Lýsigögn)'!$D$42:$D$58,MATCH($C48,'Undirviðmiðalisti (Lýsigögn)'!$C$42:$C$58,0))="","",INDEX('Undirviðmiðalisti (Lýsigögn)'!$D$42:$D$58,MATCH($C48,'Undirviðmiðalisti (Lýsigögn)'!$C$42:$C$58,0))),""))))</f>
        <v/>
      </c>
      <c r="E48" s="14"/>
      <c r="F48" s="23" t="str">
        <f aca="false">IF($C48="","",IF($G48="Einstaklingsbundið",IFERROR(IF(INDEX('Undirviðmiðalisti (Lýsigögn)'!$E$42:$E$58,MATCH($C48,'Undirviðmiðalisti (Lýsigögn)'!$C$42:$C$58,0))="","",INDEX('Undirviðmiðalisti (Lýsigögn)'!$E$42:$E$58,MATCH($C48,'Undirviðmiðalisti (Lýsigögn)'!$C$42:$C$58,0))),""),IFERROR(IF(INDEX('Undirviðmiðalisti (Lýsigögn)'!$E$6:$E$41,MATCH($C48,'Undirviðmiðalisti (Lýsigögn)'!$C$6:$C$41,0))="","",INDEX('Undirviðmiðalisti (Lýsigögn)'!$E$6:$E$41,MATCH($C48,'Undirviðmiðalisti (Lýsigögn)'!$C$6:$C$41,0))),IFERROR(IF(INDEX('Undirviðmiðalisti (Lýsigögn)'!$E$42:$E$58,MATCH($C48,'Undirviðmiðalisti (Lýsigögn)'!$C$42:$C$58,0))="","",INDEX('Undirviðmiðalisti (Lýsigögn)'!$E$42:$E$58,MATCH($C48,'Undirviðmiðalisti (Lýsigögn)'!$C$42:$C$58,0))),""))))</f>
        <v/>
      </c>
      <c r="G48" s="24" t="str">
        <f aca="false">IFERROR(IF(B48="","",INDEX(Viðmið!$B$6:$B$10,MATCH(B48,Viðmið!$C$6:$C$10,0))),"")</f>
        <v/>
      </c>
      <c r="H48" s="25" t="str">
        <f aca="false">IF(OR(E48="",F48=""),"",E48*KVARDI)</f>
        <v/>
      </c>
      <c r="I48" s="26" t="str">
        <f aca="false">IF(B48="","",IF(ROUND(SUMIF($B$6:$B$205,B48,$E$6:$E$205),4)=ROUND(IFERROR(INDEX(Viðmið!$E$6:$E$10,MATCH(B48,Viðmið!$C$6:$C$10,0)),-1),4),"✓","✗"))</f>
        <v/>
      </c>
      <c r="J48" s="16" t="str">
        <f aca="false">IF($C48="","",IF($G48="Einstaklingsbundið",IFERROR(IF(INDEX('Undirviðmiðalisti (Lýsigögn)'!F$42:F$58,MATCH($C48,'Undirviðmiðalisti (Lýsigögn)'!$C$42:$C$58,0))="","",INDEX('Undirviðmiðalisti (Lýsigögn)'!F$42:F$58,MATCH($C48,'Undirviðmiðalisti (Lýsigögn)'!$C$42:$C$58,0))),""),IFERROR(IF(INDEX('Undirviðmiðalisti (Lýsigögn)'!F$6:F$41,MATCH($C48,'Undirviðmiðalisti (Lýsigögn)'!$C$6:$C$41,0))="","",INDEX('Undirviðmiðalisti (Lýsigögn)'!F$6:F$41,MATCH($C48,'Undirviðmiðalisti (Lýsigögn)'!$C$6:$C$41,0))),IFERROR(IF(INDEX('Undirviðmiðalisti (Lýsigögn)'!F$42:F$58,MATCH($C48,'Undirviðmiðalisti (Lýsigögn)'!$C$42:$C$58,0))="","",INDEX('Undirviðmiðalisti (Lýsigögn)'!F$42:F$58,MATCH($C48,'Undirviðmiðalisti (Lýsigögn)'!$C$42:$C$58,0))),""))))</f>
        <v/>
      </c>
      <c r="K48" s="16" t="str">
        <f aca="false">IF($C48="","",IF($G48="Einstaklingsbundið",IFERROR(IF(INDEX('Undirviðmiðalisti (Lýsigögn)'!G$42:G$58,MATCH($C48,'Undirviðmiðalisti (Lýsigögn)'!$C$42:$C$58,0))="","",INDEX('Undirviðmiðalisti (Lýsigögn)'!G$42:G$58,MATCH($C48,'Undirviðmiðalisti (Lýsigögn)'!$C$42:$C$58,0))),""),IFERROR(IF(INDEX('Undirviðmiðalisti (Lýsigögn)'!G$6:G$41,MATCH($C48,'Undirviðmiðalisti (Lýsigögn)'!$C$6:$C$41,0))="","",INDEX('Undirviðmiðalisti (Lýsigögn)'!G$6:G$41,MATCH($C48,'Undirviðmiðalisti (Lýsigögn)'!$C$6:$C$41,0))),IFERROR(IF(INDEX('Undirviðmiðalisti (Lýsigögn)'!G$42:G$58,MATCH($C48,'Undirviðmiðalisti (Lýsigögn)'!$C$42:$C$58,0))="","",INDEX('Undirviðmiðalisti (Lýsigögn)'!G$42:G$58,MATCH($C48,'Undirviðmiðalisti (Lýsigögn)'!$C$42:$C$58,0))),""))))</f>
        <v/>
      </c>
      <c r="L48" s="16" t="str">
        <f aca="false">IF($C48="","",IF($G48="Einstaklingsbundið",IFERROR(IF(INDEX('Undirviðmiðalisti (Lýsigögn)'!H$42:H$58,MATCH($C48,'Undirviðmiðalisti (Lýsigögn)'!$C$42:$C$58,0))="","",INDEX('Undirviðmiðalisti (Lýsigögn)'!H$42:H$58,MATCH($C48,'Undirviðmiðalisti (Lýsigögn)'!$C$42:$C$58,0))),""),IFERROR(IF(INDEX('Undirviðmiðalisti (Lýsigögn)'!H$6:H$41,MATCH($C48,'Undirviðmiðalisti (Lýsigögn)'!$C$6:$C$41,0))="","",INDEX('Undirviðmiðalisti (Lýsigögn)'!H$6:H$41,MATCH($C48,'Undirviðmiðalisti (Lýsigögn)'!$C$6:$C$41,0))),IFERROR(IF(INDEX('Undirviðmiðalisti (Lýsigögn)'!H$42:H$58,MATCH($C48,'Undirviðmiðalisti (Lýsigögn)'!$C$42:$C$58,0))="","",INDEX('Undirviðmiðalisti (Lýsigögn)'!H$42:H$58,MATCH($C48,'Undirviðmiðalisti (Lýsigögn)'!$C$42:$C$58,0))),""))))</f>
        <v/>
      </c>
      <c r="M48" s="16" t="str">
        <f aca="false">IF($C48="","",IF($G48="Einstaklingsbundið",IFERROR(IF(INDEX('Undirviðmiðalisti (Lýsigögn)'!I$42:I$58,MATCH($C48,'Undirviðmiðalisti (Lýsigögn)'!$C$42:$C$58,0))="","",INDEX('Undirviðmiðalisti (Lýsigögn)'!I$42:I$58,MATCH($C48,'Undirviðmiðalisti (Lýsigögn)'!$C$42:$C$58,0))),""),IFERROR(IF(INDEX('Undirviðmiðalisti (Lýsigögn)'!I$6:I$41,MATCH($C48,'Undirviðmiðalisti (Lýsigögn)'!$C$6:$C$41,0))="","",INDEX('Undirviðmiðalisti (Lýsigögn)'!I$6:I$41,MATCH($C48,'Undirviðmiðalisti (Lýsigögn)'!$C$6:$C$41,0))),IFERROR(IF(INDEX('Undirviðmiðalisti (Lýsigögn)'!I$42:I$58,MATCH($C48,'Undirviðmiðalisti (Lýsigögn)'!$C$42:$C$58,0))="","",INDEX('Undirviðmiðalisti (Lýsigögn)'!I$42:I$58,MATCH($C48,'Undirviðmiðalisti (Lýsigögn)'!$C$42:$C$58,0))),""))))</f>
        <v/>
      </c>
      <c r="N48" s="16" t="str">
        <f aca="false">IF($C48="","",IF($G48="Einstaklingsbundið",IFERROR(IF(INDEX('Undirviðmiðalisti (Lýsigögn)'!J$42:J$58,MATCH($C48,'Undirviðmiðalisti (Lýsigögn)'!$C$42:$C$58,0))="","",INDEX('Undirviðmiðalisti (Lýsigögn)'!J$42:J$58,MATCH($C48,'Undirviðmiðalisti (Lýsigögn)'!$C$42:$C$58,0))),""),IFERROR(IF(INDEX('Undirviðmiðalisti (Lýsigögn)'!J$6:J$41,MATCH($C48,'Undirviðmiðalisti (Lýsigögn)'!$C$6:$C$41,0))="","",INDEX('Undirviðmiðalisti (Lýsigögn)'!J$6:J$41,MATCH($C48,'Undirviðmiðalisti (Lýsigögn)'!$C$6:$C$41,0))),IFERROR(IF(INDEX('Undirviðmiðalisti (Lýsigögn)'!J$42:J$58,MATCH($C48,'Undirviðmiðalisti (Lýsigögn)'!$C$42:$C$58,0))="","",INDEX('Undirviðmiðalisti (Lýsigögn)'!J$42:J$58,MATCH($C48,'Undirviðmiðalisti (Lýsigögn)'!$C$42:$C$58,0))),""))))</f>
        <v/>
      </c>
      <c r="O48" s="16" t="str">
        <f aca="false">IF($C48="","",IF($G48="Einstaklingsbundið",IFERROR(IF(INDEX('Undirviðmiðalisti (Lýsigögn)'!K$42:K$58,MATCH($C48,'Undirviðmiðalisti (Lýsigögn)'!$C$42:$C$58,0))="","",INDEX('Undirviðmiðalisti (Lýsigögn)'!K$42:K$58,MATCH($C48,'Undirviðmiðalisti (Lýsigögn)'!$C$42:$C$58,0))),""),IFERROR(IF(INDEX('Undirviðmiðalisti (Lýsigögn)'!K$6:K$41,MATCH($C48,'Undirviðmiðalisti (Lýsigögn)'!$C$6:$C$41,0))="","",INDEX('Undirviðmiðalisti (Lýsigögn)'!K$6:K$41,MATCH($C48,'Undirviðmiðalisti (Lýsigögn)'!$C$6:$C$41,0))),IFERROR(IF(INDEX('Undirviðmiðalisti (Lýsigögn)'!K$42:K$58,MATCH($C48,'Undirviðmiðalisti (Lýsigögn)'!$C$42:$C$58,0))="","",INDEX('Undirviðmiðalisti (Lýsigögn)'!K$42:K$58,MATCH($C48,'Undirviðmiðalisti (Lýsigögn)'!$C$42:$C$58,0))),""))))</f>
        <v/>
      </c>
      <c r="P48" s="16" t="str">
        <f aca="false">IF($C48="","",IF($G48="Einstaklingsbundið",IFERROR(IF(INDEX('Undirviðmiðalisti (Lýsigögn)'!L$42:L$58,MATCH($C48,'Undirviðmiðalisti (Lýsigögn)'!$C$42:$C$58,0))="","",INDEX('Undirviðmiðalisti (Lýsigögn)'!L$42:L$58,MATCH($C48,'Undirviðmiðalisti (Lýsigögn)'!$C$42:$C$58,0))),""),IFERROR(IF(INDEX('Undirviðmiðalisti (Lýsigögn)'!L$6:L$41,MATCH($C48,'Undirviðmiðalisti (Lýsigögn)'!$C$6:$C$41,0))="","",INDEX('Undirviðmiðalisti (Lýsigögn)'!L$6:L$41,MATCH($C48,'Undirviðmiðalisti (Lýsigögn)'!$C$6:$C$41,0))),IFERROR(IF(INDEX('Undirviðmiðalisti (Lýsigögn)'!L$42:L$58,MATCH($C48,'Undirviðmiðalisti (Lýsigögn)'!$C$42:$C$58,0))="","",INDEX('Undirviðmiðalisti (Lýsigögn)'!L$42:L$58,MATCH($C48,'Undirviðmiðalisti (Lýsigögn)'!$C$42:$C$58,0))),""))))</f>
        <v/>
      </c>
      <c r="Q48" s="16" t="str">
        <f aca="false">IF($C48="","",IF($G48="Einstaklingsbundið",IFERROR(IF(INDEX('Undirviðmiðalisti (Lýsigögn)'!M$42:M$58,MATCH($C48,'Undirviðmiðalisti (Lýsigögn)'!$C$42:$C$58,0))="","",INDEX('Undirviðmiðalisti (Lýsigögn)'!M$42:M$58,MATCH($C48,'Undirviðmiðalisti (Lýsigögn)'!$C$42:$C$58,0))),""),IFERROR(IF(INDEX('Undirviðmiðalisti (Lýsigögn)'!M$6:M$41,MATCH($C48,'Undirviðmiðalisti (Lýsigögn)'!$C$6:$C$41,0))="","",INDEX('Undirviðmiðalisti (Lýsigögn)'!M$6:M$41,MATCH($C48,'Undirviðmiðalisti (Lýsigögn)'!$C$6:$C$41,0))),IFERROR(IF(INDEX('Undirviðmiðalisti (Lýsigögn)'!M$42:M$58,MATCH($C48,'Undirviðmiðalisti (Lýsigögn)'!$C$42:$C$58,0))="","",INDEX('Undirviðmiðalisti (Lýsigögn)'!M$42:M$58,MATCH($C48,'Undirviðmiðalisti (Lýsigögn)'!$C$42:$C$58,0))),""))))</f>
        <v/>
      </c>
    </row>
    <row r="49" customFormat="false" ht="15" hidden="false" customHeight="true" outlineLevel="0" collapsed="false">
      <c r="A49" s="22" t="str">
        <f aca="false">IF($B49="","",ROW()-5)</f>
        <v/>
      </c>
      <c r="B49" s="15"/>
      <c r="C49" s="15"/>
      <c r="D49" s="16" t="str">
        <f aca="false">IF($C49="","",IF($G49="Einstaklingsbundið",IFERROR(IF(INDEX('Undirviðmiðalisti (Lýsigögn)'!$D$42:$D$58,MATCH($C49,'Undirviðmiðalisti (Lýsigögn)'!$C$42:$C$58,0))="","",INDEX('Undirviðmiðalisti (Lýsigögn)'!$D$42:$D$58,MATCH($C49,'Undirviðmiðalisti (Lýsigögn)'!$C$42:$C$58,0))),""),IFERROR(IF(INDEX('Undirviðmiðalisti (Lýsigögn)'!$D$6:$D$41,MATCH($C49,'Undirviðmiðalisti (Lýsigögn)'!$C$6:$C$41,0))="","",INDEX('Undirviðmiðalisti (Lýsigögn)'!$D$6:$D$41,MATCH($C49,'Undirviðmiðalisti (Lýsigögn)'!$C$6:$C$41,0))),IFERROR(IF(INDEX('Undirviðmiðalisti (Lýsigögn)'!$D$42:$D$58,MATCH($C49,'Undirviðmiðalisti (Lýsigögn)'!$C$42:$C$58,0))="","",INDEX('Undirviðmiðalisti (Lýsigögn)'!$D$42:$D$58,MATCH($C49,'Undirviðmiðalisti (Lýsigögn)'!$C$42:$C$58,0))),""))))</f>
        <v/>
      </c>
      <c r="E49" s="14"/>
      <c r="F49" s="23" t="str">
        <f aca="false">IF($C49="","",IF($G49="Einstaklingsbundið",IFERROR(IF(INDEX('Undirviðmiðalisti (Lýsigögn)'!$E$42:$E$58,MATCH($C49,'Undirviðmiðalisti (Lýsigögn)'!$C$42:$C$58,0))="","",INDEX('Undirviðmiðalisti (Lýsigögn)'!$E$42:$E$58,MATCH($C49,'Undirviðmiðalisti (Lýsigögn)'!$C$42:$C$58,0))),""),IFERROR(IF(INDEX('Undirviðmiðalisti (Lýsigögn)'!$E$6:$E$41,MATCH($C49,'Undirviðmiðalisti (Lýsigögn)'!$C$6:$C$41,0))="","",INDEX('Undirviðmiðalisti (Lýsigögn)'!$E$6:$E$41,MATCH($C49,'Undirviðmiðalisti (Lýsigögn)'!$C$6:$C$41,0))),IFERROR(IF(INDEX('Undirviðmiðalisti (Lýsigögn)'!$E$42:$E$58,MATCH($C49,'Undirviðmiðalisti (Lýsigögn)'!$C$42:$C$58,0))="","",INDEX('Undirviðmiðalisti (Lýsigögn)'!$E$42:$E$58,MATCH($C49,'Undirviðmiðalisti (Lýsigögn)'!$C$42:$C$58,0))),""))))</f>
        <v/>
      </c>
      <c r="G49" s="24" t="str">
        <f aca="false">IFERROR(IF(B49="","",INDEX(Viðmið!$B$6:$B$10,MATCH(B49,Viðmið!$C$6:$C$10,0))),"")</f>
        <v/>
      </c>
      <c r="H49" s="25" t="str">
        <f aca="false">IF(OR(E49="",F49=""),"",E49*KVARDI)</f>
        <v/>
      </c>
      <c r="I49" s="26" t="str">
        <f aca="false">IF(B49="","",IF(ROUND(SUMIF($B$6:$B$205,B49,$E$6:$E$205),4)=ROUND(IFERROR(INDEX(Viðmið!$E$6:$E$10,MATCH(B49,Viðmið!$C$6:$C$10,0)),-1),4),"✓","✗"))</f>
        <v/>
      </c>
      <c r="J49" s="16" t="str">
        <f aca="false">IF($C49="","",IF($G49="Einstaklingsbundið",IFERROR(IF(INDEX('Undirviðmiðalisti (Lýsigögn)'!F$42:F$58,MATCH($C49,'Undirviðmiðalisti (Lýsigögn)'!$C$42:$C$58,0))="","",INDEX('Undirviðmiðalisti (Lýsigögn)'!F$42:F$58,MATCH($C49,'Undirviðmiðalisti (Lýsigögn)'!$C$42:$C$58,0))),""),IFERROR(IF(INDEX('Undirviðmiðalisti (Lýsigögn)'!F$6:F$41,MATCH($C49,'Undirviðmiðalisti (Lýsigögn)'!$C$6:$C$41,0))="","",INDEX('Undirviðmiðalisti (Lýsigögn)'!F$6:F$41,MATCH($C49,'Undirviðmiðalisti (Lýsigögn)'!$C$6:$C$41,0))),IFERROR(IF(INDEX('Undirviðmiðalisti (Lýsigögn)'!F$42:F$58,MATCH($C49,'Undirviðmiðalisti (Lýsigögn)'!$C$42:$C$58,0))="","",INDEX('Undirviðmiðalisti (Lýsigögn)'!F$42:F$58,MATCH($C49,'Undirviðmiðalisti (Lýsigögn)'!$C$42:$C$58,0))),""))))</f>
        <v/>
      </c>
      <c r="K49" s="16" t="str">
        <f aca="false">IF($C49="","",IF($G49="Einstaklingsbundið",IFERROR(IF(INDEX('Undirviðmiðalisti (Lýsigögn)'!G$42:G$58,MATCH($C49,'Undirviðmiðalisti (Lýsigögn)'!$C$42:$C$58,0))="","",INDEX('Undirviðmiðalisti (Lýsigögn)'!G$42:G$58,MATCH($C49,'Undirviðmiðalisti (Lýsigögn)'!$C$42:$C$58,0))),""),IFERROR(IF(INDEX('Undirviðmiðalisti (Lýsigögn)'!G$6:G$41,MATCH($C49,'Undirviðmiðalisti (Lýsigögn)'!$C$6:$C$41,0))="","",INDEX('Undirviðmiðalisti (Lýsigögn)'!G$6:G$41,MATCH($C49,'Undirviðmiðalisti (Lýsigögn)'!$C$6:$C$41,0))),IFERROR(IF(INDEX('Undirviðmiðalisti (Lýsigögn)'!G$42:G$58,MATCH($C49,'Undirviðmiðalisti (Lýsigögn)'!$C$42:$C$58,0))="","",INDEX('Undirviðmiðalisti (Lýsigögn)'!G$42:G$58,MATCH($C49,'Undirviðmiðalisti (Lýsigögn)'!$C$42:$C$58,0))),""))))</f>
        <v/>
      </c>
      <c r="L49" s="16" t="str">
        <f aca="false">IF($C49="","",IF($G49="Einstaklingsbundið",IFERROR(IF(INDEX('Undirviðmiðalisti (Lýsigögn)'!H$42:H$58,MATCH($C49,'Undirviðmiðalisti (Lýsigögn)'!$C$42:$C$58,0))="","",INDEX('Undirviðmiðalisti (Lýsigögn)'!H$42:H$58,MATCH($C49,'Undirviðmiðalisti (Lýsigögn)'!$C$42:$C$58,0))),""),IFERROR(IF(INDEX('Undirviðmiðalisti (Lýsigögn)'!H$6:H$41,MATCH($C49,'Undirviðmiðalisti (Lýsigögn)'!$C$6:$C$41,0))="","",INDEX('Undirviðmiðalisti (Lýsigögn)'!H$6:H$41,MATCH($C49,'Undirviðmiðalisti (Lýsigögn)'!$C$6:$C$41,0))),IFERROR(IF(INDEX('Undirviðmiðalisti (Lýsigögn)'!H$42:H$58,MATCH($C49,'Undirviðmiðalisti (Lýsigögn)'!$C$42:$C$58,0))="","",INDEX('Undirviðmiðalisti (Lýsigögn)'!H$42:H$58,MATCH($C49,'Undirviðmiðalisti (Lýsigögn)'!$C$42:$C$58,0))),""))))</f>
        <v/>
      </c>
      <c r="M49" s="16" t="str">
        <f aca="false">IF($C49="","",IF($G49="Einstaklingsbundið",IFERROR(IF(INDEX('Undirviðmiðalisti (Lýsigögn)'!I$42:I$58,MATCH($C49,'Undirviðmiðalisti (Lýsigögn)'!$C$42:$C$58,0))="","",INDEX('Undirviðmiðalisti (Lýsigögn)'!I$42:I$58,MATCH($C49,'Undirviðmiðalisti (Lýsigögn)'!$C$42:$C$58,0))),""),IFERROR(IF(INDEX('Undirviðmiðalisti (Lýsigögn)'!I$6:I$41,MATCH($C49,'Undirviðmiðalisti (Lýsigögn)'!$C$6:$C$41,0))="","",INDEX('Undirviðmiðalisti (Lýsigögn)'!I$6:I$41,MATCH($C49,'Undirviðmiðalisti (Lýsigögn)'!$C$6:$C$41,0))),IFERROR(IF(INDEX('Undirviðmiðalisti (Lýsigögn)'!I$42:I$58,MATCH($C49,'Undirviðmiðalisti (Lýsigögn)'!$C$42:$C$58,0))="","",INDEX('Undirviðmiðalisti (Lýsigögn)'!I$42:I$58,MATCH($C49,'Undirviðmiðalisti (Lýsigögn)'!$C$42:$C$58,0))),""))))</f>
        <v/>
      </c>
      <c r="N49" s="16" t="str">
        <f aca="false">IF($C49="","",IF($G49="Einstaklingsbundið",IFERROR(IF(INDEX('Undirviðmiðalisti (Lýsigögn)'!J$42:J$58,MATCH($C49,'Undirviðmiðalisti (Lýsigögn)'!$C$42:$C$58,0))="","",INDEX('Undirviðmiðalisti (Lýsigögn)'!J$42:J$58,MATCH($C49,'Undirviðmiðalisti (Lýsigögn)'!$C$42:$C$58,0))),""),IFERROR(IF(INDEX('Undirviðmiðalisti (Lýsigögn)'!J$6:J$41,MATCH($C49,'Undirviðmiðalisti (Lýsigögn)'!$C$6:$C$41,0))="","",INDEX('Undirviðmiðalisti (Lýsigögn)'!J$6:J$41,MATCH($C49,'Undirviðmiðalisti (Lýsigögn)'!$C$6:$C$41,0))),IFERROR(IF(INDEX('Undirviðmiðalisti (Lýsigögn)'!J$42:J$58,MATCH($C49,'Undirviðmiðalisti (Lýsigögn)'!$C$42:$C$58,0))="","",INDEX('Undirviðmiðalisti (Lýsigögn)'!J$42:J$58,MATCH($C49,'Undirviðmiðalisti (Lýsigögn)'!$C$42:$C$58,0))),""))))</f>
        <v/>
      </c>
      <c r="O49" s="16" t="str">
        <f aca="false">IF($C49="","",IF($G49="Einstaklingsbundið",IFERROR(IF(INDEX('Undirviðmiðalisti (Lýsigögn)'!K$42:K$58,MATCH($C49,'Undirviðmiðalisti (Lýsigögn)'!$C$42:$C$58,0))="","",INDEX('Undirviðmiðalisti (Lýsigögn)'!K$42:K$58,MATCH($C49,'Undirviðmiðalisti (Lýsigögn)'!$C$42:$C$58,0))),""),IFERROR(IF(INDEX('Undirviðmiðalisti (Lýsigögn)'!K$6:K$41,MATCH($C49,'Undirviðmiðalisti (Lýsigögn)'!$C$6:$C$41,0))="","",INDEX('Undirviðmiðalisti (Lýsigögn)'!K$6:K$41,MATCH($C49,'Undirviðmiðalisti (Lýsigögn)'!$C$6:$C$41,0))),IFERROR(IF(INDEX('Undirviðmiðalisti (Lýsigögn)'!K$42:K$58,MATCH($C49,'Undirviðmiðalisti (Lýsigögn)'!$C$42:$C$58,0))="","",INDEX('Undirviðmiðalisti (Lýsigögn)'!K$42:K$58,MATCH($C49,'Undirviðmiðalisti (Lýsigögn)'!$C$42:$C$58,0))),""))))</f>
        <v/>
      </c>
      <c r="P49" s="16" t="str">
        <f aca="false">IF($C49="","",IF($G49="Einstaklingsbundið",IFERROR(IF(INDEX('Undirviðmiðalisti (Lýsigögn)'!L$42:L$58,MATCH($C49,'Undirviðmiðalisti (Lýsigögn)'!$C$42:$C$58,0))="","",INDEX('Undirviðmiðalisti (Lýsigögn)'!L$42:L$58,MATCH($C49,'Undirviðmiðalisti (Lýsigögn)'!$C$42:$C$58,0))),""),IFERROR(IF(INDEX('Undirviðmiðalisti (Lýsigögn)'!L$6:L$41,MATCH($C49,'Undirviðmiðalisti (Lýsigögn)'!$C$6:$C$41,0))="","",INDEX('Undirviðmiðalisti (Lýsigögn)'!L$6:L$41,MATCH($C49,'Undirviðmiðalisti (Lýsigögn)'!$C$6:$C$41,0))),IFERROR(IF(INDEX('Undirviðmiðalisti (Lýsigögn)'!L$42:L$58,MATCH($C49,'Undirviðmiðalisti (Lýsigögn)'!$C$42:$C$58,0))="","",INDEX('Undirviðmiðalisti (Lýsigögn)'!L$42:L$58,MATCH($C49,'Undirviðmiðalisti (Lýsigögn)'!$C$42:$C$58,0))),""))))</f>
        <v/>
      </c>
      <c r="Q49" s="16" t="str">
        <f aca="false">IF($C49="","",IF($G49="Einstaklingsbundið",IFERROR(IF(INDEX('Undirviðmiðalisti (Lýsigögn)'!M$42:M$58,MATCH($C49,'Undirviðmiðalisti (Lýsigögn)'!$C$42:$C$58,0))="","",INDEX('Undirviðmiðalisti (Lýsigögn)'!M$42:M$58,MATCH($C49,'Undirviðmiðalisti (Lýsigögn)'!$C$42:$C$58,0))),""),IFERROR(IF(INDEX('Undirviðmiðalisti (Lýsigögn)'!M$6:M$41,MATCH($C49,'Undirviðmiðalisti (Lýsigögn)'!$C$6:$C$41,0))="","",INDEX('Undirviðmiðalisti (Lýsigögn)'!M$6:M$41,MATCH($C49,'Undirviðmiðalisti (Lýsigögn)'!$C$6:$C$41,0))),IFERROR(IF(INDEX('Undirviðmiðalisti (Lýsigögn)'!M$42:M$58,MATCH($C49,'Undirviðmiðalisti (Lýsigögn)'!$C$42:$C$58,0))="","",INDEX('Undirviðmiðalisti (Lýsigögn)'!M$42:M$58,MATCH($C49,'Undirviðmiðalisti (Lýsigögn)'!$C$42:$C$58,0))),""))))</f>
        <v/>
      </c>
    </row>
    <row r="50" customFormat="false" ht="15" hidden="false" customHeight="true" outlineLevel="0" collapsed="false">
      <c r="A50" s="22" t="str">
        <f aca="false">IF($B50="","",ROW()-5)</f>
        <v/>
      </c>
      <c r="B50" s="15"/>
      <c r="C50" s="15"/>
      <c r="D50" s="16" t="str">
        <f aca="false">IF($C50="","",IF($G50="Einstaklingsbundið",IFERROR(IF(INDEX('Undirviðmiðalisti (Lýsigögn)'!$D$42:$D$58,MATCH($C50,'Undirviðmiðalisti (Lýsigögn)'!$C$42:$C$58,0))="","",INDEX('Undirviðmiðalisti (Lýsigögn)'!$D$42:$D$58,MATCH($C50,'Undirviðmiðalisti (Lýsigögn)'!$C$42:$C$58,0))),""),IFERROR(IF(INDEX('Undirviðmiðalisti (Lýsigögn)'!$D$6:$D$41,MATCH($C50,'Undirviðmiðalisti (Lýsigögn)'!$C$6:$C$41,0))="","",INDEX('Undirviðmiðalisti (Lýsigögn)'!$D$6:$D$41,MATCH($C50,'Undirviðmiðalisti (Lýsigögn)'!$C$6:$C$41,0))),IFERROR(IF(INDEX('Undirviðmiðalisti (Lýsigögn)'!$D$42:$D$58,MATCH($C50,'Undirviðmiðalisti (Lýsigögn)'!$C$42:$C$58,0))="","",INDEX('Undirviðmiðalisti (Lýsigögn)'!$D$42:$D$58,MATCH($C50,'Undirviðmiðalisti (Lýsigögn)'!$C$42:$C$58,0))),""))))</f>
        <v/>
      </c>
      <c r="E50" s="14"/>
      <c r="F50" s="23" t="str">
        <f aca="false">IF($C50="","",IF($G50="Einstaklingsbundið",IFERROR(IF(INDEX('Undirviðmiðalisti (Lýsigögn)'!$E$42:$E$58,MATCH($C50,'Undirviðmiðalisti (Lýsigögn)'!$C$42:$C$58,0))="","",INDEX('Undirviðmiðalisti (Lýsigögn)'!$E$42:$E$58,MATCH($C50,'Undirviðmiðalisti (Lýsigögn)'!$C$42:$C$58,0))),""),IFERROR(IF(INDEX('Undirviðmiðalisti (Lýsigögn)'!$E$6:$E$41,MATCH($C50,'Undirviðmiðalisti (Lýsigögn)'!$C$6:$C$41,0))="","",INDEX('Undirviðmiðalisti (Lýsigögn)'!$E$6:$E$41,MATCH($C50,'Undirviðmiðalisti (Lýsigögn)'!$C$6:$C$41,0))),IFERROR(IF(INDEX('Undirviðmiðalisti (Lýsigögn)'!$E$42:$E$58,MATCH($C50,'Undirviðmiðalisti (Lýsigögn)'!$C$42:$C$58,0))="","",INDEX('Undirviðmiðalisti (Lýsigögn)'!$E$42:$E$58,MATCH($C50,'Undirviðmiðalisti (Lýsigögn)'!$C$42:$C$58,0))),""))))</f>
        <v/>
      </c>
      <c r="G50" s="24" t="str">
        <f aca="false">IFERROR(IF(B50="","",INDEX(Viðmið!$B$6:$B$10,MATCH(B50,Viðmið!$C$6:$C$10,0))),"")</f>
        <v/>
      </c>
      <c r="H50" s="25" t="str">
        <f aca="false">IF(OR(E50="",F50=""),"",E50*KVARDI)</f>
        <v/>
      </c>
      <c r="I50" s="26" t="str">
        <f aca="false">IF(B50="","",IF(ROUND(SUMIF($B$6:$B$205,B50,$E$6:$E$205),4)=ROUND(IFERROR(INDEX(Viðmið!$E$6:$E$10,MATCH(B50,Viðmið!$C$6:$C$10,0)),-1),4),"✓","✗"))</f>
        <v/>
      </c>
      <c r="J50" s="16" t="str">
        <f aca="false">IF($C50="","",IF($G50="Einstaklingsbundið",IFERROR(IF(INDEX('Undirviðmiðalisti (Lýsigögn)'!F$42:F$58,MATCH($C50,'Undirviðmiðalisti (Lýsigögn)'!$C$42:$C$58,0))="","",INDEX('Undirviðmiðalisti (Lýsigögn)'!F$42:F$58,MATCH($C50,'Undirviðmiðalisti (Lýsigögn)'!$C$42:$C$58,0))),""),IFERROR(IF(INDEX('Undirviðmiðalisti (Lýsigögn)'!F$6:F$41,MATCH($C50,'Undirviðmiðalisti (Lýsigögn)'!$C$6:$C$41,0))="","",INDEX('Undirviðmiðalisti (Lýsigögn)'!F$6:F$41,MATCH($C50,'Undirviðmiðalisti (Lýsigögn)'!$C$6:$C$41,0))),IFERROR(IF(INDEX('Undirviðmiðalisti (Lýsigögn)'!F$42:F$58,MATCH($C50,'Undirviðmiðalisti (Lýsigögn)'!$C$42:$C$58,0))="","",INDEX('Undirviðmiðalisti (Lýsigögn)'!F$42:F$58,MATCH($C50,'Undirviðmiðalisti (Lýsigögn)'!$C$42:$C$58,0))),""))))</f>
        <v/>
      </c>
      <c r="K50" s="16" t="str">
        <f aca="false">IF($C50="","",IF($G50="Einstaklingsbundið",IFERROR(IF(INDEX('Undirviðmiðalisti (Lýsigögn)'!G$42:G$58,MATCH($C50,'Undirviðmiðalisti (Lýsigögn)'!$C$42:$C$58,0))="","",INDEX('Undirviðmiðalisti (Lýsigögn)'!G$42:G$58,MATCH($C50,'Undirviðmiðalisti (Lýsigögn)'!$C$42:$C$58,0))),""),IFERROR(IF(INDEX('Undirviðmiðalisti (Lýsigögn)'!G$6:G$41,MATCH($C50,'Undirviðmiðalisti (Lýsigögn)'!$C$6:$C$41,0))="","",INDEX('Undirviðmiðalisti (Lýsigögn)'!G$6:G$41,MATCH($C50,'Undirviðmiðalisti (Lýsigögn)'!$C$6:$C$41,0))),IFERROR(IF(INDEX('Undirviðmiðalisti (Lýsigögn)'!G$42:G$58,MATCH($C50,'Undirviðmiðalisti (Lýsigögn)'!$C$42:$C$58,0))="","",INDEX('Undirviðmiðalisti (Lýsigögn)'!G$42:G$58,MATCH($C50,'Undirviðmiðalisti (Lýsigögn)'!$C$42:$C$58,0))),""))))</f>
        <v/>
      </c>
      <c r="L50" s="16" t="str">
        <f aca="false">IF($C50="","",IF($G50="Einstaklingsbundið",IFERROR(IF(INDEX('Undirviðmiðalisti (Lýsigögn)'!H$42:H$58,MATCH($C50,'Undirviðmiðalisti (Lýsigögn)'!$C$42:$C$58,0))="","",INDEX('Undirviðmiðalisti (Lýsigögn)'!H$42:H$58,MATCH($C50,'Undirviðmiðalisti (Lýsigögn)'!$C$42:$C$58,0))),""),IFERROR(IF(INDEX('Undirviðmiðalisti (Lýsigögn)'!H$6:H$41,MATCH($C50,'Undirviðmiðalisti (Lýsigögn)'!$C$6:$C$41,0))="","",INDEX('Undirviðmiðalisti (Lýsigögn)'!H$6:H$41,MATCH($C50,'Undirviðmiðalisti (Lýsigögn)'!$C$6:$C$41,0))),IFERROR(IF(INDEX('Undirviðmiðalisti (Lýsigögn)'!H$42:H$58,MATCH($C50,'Undirviðmiðalisti (Lýsigögn)'!$C$42:$C$58,0))="","",INDEX('Undirviðmiðalisti (Lýsigögn)'!H$42:H$58,MATCH($C50,'Undirviðmiðalisti (Lýsigögn)'!$C$42:$C$58,0))),""))))</f>
        <v/>
      </c>
      <c r="M50" s="16" t="str">
        <f aca="false">IF($C50="","",IF($G50="Einstaklingsbundið",IFERROR(IF(INDEX('Undirviðmiðalisti (Lýsigögn)'!I$42:I$58,MATCH($C50,'Undirviðmiðalisti (Lýsigögn)'!$C$42:$C$58,0))="","",INDEX('Undirviðmiðalisti (Lýsigögn)'!I$42:I$58,MATCH($C50,'Undirviðmiðalisti (Lýsigögn)'!$C$42:$C$58,0))),""),IFERROR(IF(INDEX('Undirviðmiðalisti (Lýsigögn)'!I$6:I$41,MATCH($C50,'Undirviðmiðalisti (Lýsigögn)'!$C$6:$C$41,0))="","",INDEX('Undirviðmiðalisti (Lýsigögn)'!I$6:I$41,MATCH($C50,'Undirviðmiðalisti (Lýsigögn)'!$C$6:$C$41,0))),IFERROR(IF(INDEX('Undirviðmiðalisti (Lýsigögn)'!I$42:I$58,MATCH($C50,'Undirviðmiðalisti (Lýsigögn)'!$C$42:$C$58,0))="","",INDEX('Undirviðmiðalisti (Lýsigögn)'!I$42:I$58,MATCH($C50,'Undirviðmiðalisti (Lýsigögn)'!$C$42:$C$58,0))),""))))</f>
        <v/>
      </c>
      <c r="N50" s="16" t="str">
        <f aca="false">IF($C50="","",IF($G50="Einstaklingsbundið",IFERROR(IF(INDEX('Undirviðmiðalisti (Lýsigögn)'!J$42:J$58,MATCH($C50,'Undirviðmiðalisti (Lýsigögn)'!$C$42:$C$58,0))="","",INDEX('Undirviðmiðalisti (Lýsigögn)'!J$42:J$58,MATCH($C50,'Undirviðmiðalisti (Lýsigögn)'!$C$42:$C$58,0))),""),IFERROR(IF(INDEX('Undirviðmiðalisti (Lýsigögn)'!J$6:J$41,MATCH($C50,'Undirviðmiðalisti (Lýsigögn)'!$C$6:$C$41,0))="","",INDEX('Undirviðmiðalisti (Lýsigögn)'!J$6:J$41,MATCH($C50,'Undirviðmiðalisti (Lýsigögn)'!$C$6:$C$41,0))),IFERROR(IF(INDEX('Undirviðmiðalisti (Lýsigögn)'!J$42:J$58,MATCH($C50,'Undirviðmiðalisti (Lýsigögn)'!$C$42:$C$58,0))="","",INDEX('Undirviðmiðalisti (Lýsigögn)'!J$42:J$58,MATCH($C50,'Undirviðmiðalisti (Lýsigögn)'!$C$42:$C$58,0))),""))))</f>
        <v/>
      </c>
      <c r="O50" s="16" t="str">
        <f aca="false">IF($C50="","",IF($G50="Einstaklingsbundið",IFERROR(IF(INDEX('Undirviðmiðalisti (Lýsigögn)'!K$42:K$58,MATCH($C50,'Undirviðmiðalisti (Lýsigögn)'!$C$42:$C$58,0))="","",INDEX('Undirviðmiðalisti (Lýsigögn)'!K$42:K$58,MATCH($C50,'Undirviðmiðalisti (Lýsigögn)'!$C$42:$C$58,0))),""),IFERROR(IF(INDEX('Undirviðmiðalisti (Lýsigögn)'!K$6:K$41,MATCH($C50,'Undirviðmiðalisti (Lýsigögn)'!$C$6:$C$41,0))="","",INDEX('Undirviðmiðalisti (Lýsigögn)'!K$6:K$41,MATCH($C50,'Undirviðmiðalisti (Lýsigögn)'!$C$6:$C$41,0))),IFERROR(IF(INDEX('Undirviðmiðalisti (Lýsigögn)'!K$42:K$58,MATCH($C50,'Undirviðmiðalisti (Lýsigögn)'!$C$42:$C$58,0))="","",INDEX('Undirviðmiðalisti (Lýsigögn)'!K$42:K$58,MATCH($C50,'Undirviðmiðalisti (Lýsigögn)'!$C$42:$C$58,0))),""))))</f>
        <v/>
      </c>
      <c r="P50" s="16" t="str">
        <f aca="false">IF($C50="","",IF($G50="Einstaklingsbundið",IFERROR(IF(INDEX('Undirviðmiðalisti (Lýsigögn)'!L$42:L$58,MATCH($C50,'Undirviðmiðalisti (Lýsigögn)'!$C$42:$C$58,0))="","",INDEX('Undirviðmiðalisti (Lýsigögn)'!L$42:L$58,MATCH($C50,'Undirviðmiðalisti (Lýsigögn)'!$C$42:$C$58,0))),""),IFERROR(IF(INDEX('Undirviðmiðalisti (Lýsigögn)'!L$6:L$41,MATCH($C50,'Undirviðmiðalisti (Lýsigögn)'!$C$6:$C$41,0))="","",INDEX('Undirviðmiðalisti (Lýsigögn)'!L$6:L$41,MATCH($C50,'Undirviðmiðalisti (Lýsigögn)'!$C$6:$C$41,0))),IFERROR(IF(INDEX('Undirviðmiðalisti (Lýsigögn)'!L$42:L$58,MATCH($C50,'Undirviðmiðalisti (Lýsigögn)'!$C$42:$C$58,0))="","",INDEX('Undirviðmiðalisti (Lýsigögn)'!L$42:L$58,MATCH($C50,'Undirviðmiðalisti (Lýsigögn)'!$C$42:$C$58,0))),""))))</f>
        <v/>
      </c>
      <c r="Q50" s="16" t="str">
        <f aca="false">IF($C50="","",IF($G50="Einstaklingsbundið",IFERROR(IF(INDEX('Undirviðmiðalisti (Lýsigögn)'!M$42:M$58,MATCH($C50,'Undirviðmiðalisti (Lýsigögn)'!$C$42:$C$58,0))="","",INDEX('Undirviðmiðalisti (Lýsigögn)'!M$42:M$58,MATCH($C50,'Undirviðmiðalisti (Lýsigögn)'!$C$42:$C$58,0))),""),IFERROR(IF(INDEX('Undirviðmiðalisti (Lýsigögn)'!M$6:M$41,MATCH($C50,'Undirviðmiðalisti (Lýsigögn)'!$C$6:$C$41,0))="","",INDEX('Undirviðmiðalisti (Lýsigögn)'!M$6:M$41,MATCH($C50,'Undirviðmiðalisti (Lýsigögn)'!$C$6:$C$41,0))),IFERROR(IF(INDEX('Undirviðmiðalisti (Lýsigögn)'!M$42:M$58,MATCH($C50,'Undirviðmiðalisti (Lýsigögn)'!$C$42:$C$58,0))="","",INDEX('Undirviðmiðalisti (Lýsigögn)'!M$42:M$58,MATCH($C50,'Undirviðmiðalisti (Lýsigögn)'!$C$42:$C$58,0))),""))))</f>
        <v/>
      </c>
    </row>
    <row r="51" customFormat="false" ht="15" hidden="false" customHeight="true" outlineLevel="0" collapsed="false">
      <c r="A51" s="22" t="str">
        <f aca="false">IF($B51="","",ROW()-5)</f>
        <v/>
      </c>
      <c r="B51" s="15"/>
      <c r="C51" s="15"/>
      <c r="D51" s="16" t="str">
        <f aca="false">IF($C51="","",IF($G51="Einstaklingsbundið",IFERROR(IF(INDEX('Undirviðmiðalisti (Lýsigögn)'!$D$42:$D$58,MATCH($C51,'Undirviðmiðalisti (Lýsigögn)'!$C$42:$C$58,0))="","",INDEX('Undirviðmiðalisti (Lýsigögn)'!$D$42:$D$58,MATCH($C51,'Undirviðmiðalisti (Lýsigögn)'!$C$42:$C$58,0))),""),IFERROR(IF(INDEX('Undirviðmiðalisti (Lýsigögn)'!$D$6:$D$41,MATCH($C51,'Undirviðmiðalisti (Lýsigögn)'!$C$6:$C$41,0))="","",INDEX('Undirviðmiðalisti (Lýsigögn)'!$D$6:$D$41,MATCH($C51,'Undirviðmiðalisti (Lýsigögn)'!$C$6:$C$41,0))),IFERROR(IF(INDEX('Undirviðmiðalisti (Lýsigögn)'!$D$42:$D$58,MATCH($C51,'Undirviðmiðalisti (Lýsigögn)'!$C$42:$C$58,0))="","",INDEX('Undirviðmiðalisti (Lýsigögn)'!$D$42:$D$58,MATCH($C51,'Undirviðmiðalisti (Lýsigögn)'!$C$42:$C$58,0))),""))))</f>
        <v/>
      </c>
      <c r="E51" s="14"/>
      <c r="F51" s="23" t="str">
        <f aca="false">IF($C51="","",IF($G51="Einstaklingsbundið",IFERROR(IF(INDEX('Undirviðmiðalisti (Lýsigögn)'!$E$42:$E$58,MATCH($C51,'Undirviðmiðalisti (Lýsigögn)'!$C$42:$C$58,0))="","",INDEX('Undirviðmiðalisti (Lýsigögn)'!$E$42:$E$58,MATCH($C51,'Undirviðmiðalisti (Lýsigögn)'!$C$42:$C$58,0))),""),IFERROR(IF(INDEX('Undirviðmiðalisti (Lýsigögn)'!$E$6:$E$41,MATCH($C51,'Undirviðmiðalisti (Lýsigögn)'!$C$6:$C$41,0))="","",INDEX('Undirviðmiðalisti (Lýsigögn)'!$E$6:$E$41,MATCH($C51,'Undirviðmiðalisti (Lýsigögn)'!$C$6:$C$41,0))),IFERROR(IF(INDEX('Undirviðmiðalisti (Lýsigögn)'!$E$42:$E$58,MATCH($C51,'Undirviðmiðalisti (Lýsigögn)'!$C$42:$C$58,0))="","",INDEX('Undirviðmiðalisti (Lýsigögn)'!$E$42:$E$58,MATCH($C51,'Undirviðmiðalisti (Lýsigögn)'!$C$42:$C$58,0))),""))))</f>
        <v/>
      </c>
      <c r="G51" s="24" t="str">
        <f aca="false">IFERROR(IF(B51="","",INDEX(Viðmið!$B$6:$B$10,MATCH(B51,Viðmið!$C$6:$C$10,0))),"")</f>
        <v/>
      </c>
      <c r="H51" s="25" t="str">
        <f aca="false">IF(OR(E51="",F51=""),"",E51*KVARDI)</f>
        <v/>
      </c>
      <c r="I51" s="26" t="str">
        <f aca="false">IF(B51="","",IF(ROUND(SUMIF($B$6:$B$205,B51,$E$6:$E$205),4)=ROUND(IFERROR(INDEX(Viðmið!$E$6:$E$10,MATCH(B51,Viðmið!$C$6:$C$10,0)),-1),4),"✓","✗"))</f>
        <v/>
      </c>
      <c r="J51" s="16" t="str">
        <f aca="false">IF($C51="","",IF($G51="Einstaklingsbundið",IFERROR(IF(INDEX('Undirviðmiðalisti (Lýsigögn)'!F$42:F$58,MATCH($C51,'Undirviðmiðalisti (Lýsigögn)'!$C$42:$C$58,0))="","",INDEX('Undirviðmiðalisti (Lýsigögn)'!F$42:F$58,MATCH($C51,'Undirviðmiðalisti (Lýsigögn)'!$C$42:$C$58,0))),""),IFERROR(IF(INDEX('Undirviðmiðalisti (Lýsigögn)'!F$6:F$41,MATCH($C51,'Undirviðmiðalisti (Lýsigögn)'!$C$6:$C$41,0))="","",INDEX('Undirviðmiðalisti (Lýsigögn)'!F$6:F$41,MATCH($C51,'Undirviðmiðalisti (Lýsigögn)'!$C$6:$C$41,0))),IFERROR(IF(INDEX('Undirviðmiðalisti (Lýsigögn)'!F$42:F$58,MATCH($C51,'Undirviðmiðalisti (Lýsigögn)'!$C$42:$C$58,0))="","",INDEX('Undirviðmiðalisti (Lýsigögn)'!F$42:F$58,MATCH($C51,'Undirviðmiðalisti (Lýsigögn)'!$C$42:$C$58,0))),""))))</f>
        <v/>
      </c>
      <c r="K51" s="16" t="str">
        <f aca="false">IF($C51="","",IF($G51="Einstaklingsbundið",IFERROR(IF(INDEX('Undirviðmiðalisti (Lýsigögn)'!G$42:G$58,MATCH($C51,'Undirviðmiðalisti (Lýsigögn)'!$C$42:$C$58,0))="","",INDEX('Undirviðmiðalisti (Lýsigögn)'!G$42:G$58,MATCH($C51,'Undirviðmiðalisti (Lýsigögn)'!$C$42:$C$58,0))),""),IFERROR(IF(INDEX('Undirviðmiðalisti (Lýsigögn)'!G$6:G$41,MATCH($C51,'Undirviðmiðalisti (Lýsigögn)'!$C$6:$C$41,0))="","",INDEX('Undirviðmiðalisti (Lýsigögn)'!G$6:G$41,MATCH($C51,'Undirviðmiðalisti (Lýsigögn)'!$C$6:$C$41,0))),IFERROR(IF(INDEX('Undirviðmiðalisti (Lýsigögn)'!G$42:G$58,MATCH($C51,'Undirviðmiðalisti (Lýsigögn)'!$C$42:$C$58,0))="","",INDEX('Undirviðmiðalisti (Lýsigögn)'!G$42:G$58,MATCH($C51,'Undirviðmiðalisti (Lýsigögn)'!$C$42:$C$58,0))),""))))</f>
        <v/>
      </c>
      <c r="L51" s="16" t="str">
        <f aca="false">IF($C51="","",IF($G51="Einstaklingsbundið",IFERROR(IF(INDEX('Undirviðmiðalisti (Lýsigögn)'!H$42:H$58,MATCH($C51,'Undirviðmiðalisti (Lýsigögn)'!$C$42:$C$58,0))="","",INDEX('Undirviðmiðalisti (Lýsigögn)'!H$42:H$58,MATCH($C51,'Undirviðmiðalisti (Lýsigögn)'!$C$42:$C$58,0))),""),IFERROR(IF(INDEX('Undirviðmiðalisti (Lýsigögn)'!H$6:H$41,MATCH($C51,'Undirviðmiðalisti (Lýsigögn)'!$C$6:$C$41,0))="","",INDEX('Undirviðmiðalisti (Lýsigögn)'!H$6:H$41,MATCH($C51,'Undirviðmiðalisti (Lýsigögn)'!$C$6:$C$41,0))),IFERROR(IF(INDEX('Undirviðmiðalisti (Lýsigögn)'!H$42:H$58,MATCH($C51,'Undirviðmiðalisti (Lýsigögn)'!$C$42:$C$58,0))="","",INDEX('Undirviðmiðalisti (Lýsigögn)'!H$42:H$58,MATCH($C51,'Undirviðmiðalisti (Lýsigögn)'!$C$42:$C$58,0))),""))))</f>
        <v/>
      </c>
      <c r="M51" s="16" t="str">
        <f aca="false">IF($C51="","",IF($G51="Einstaklingsbundið",IFERROR(IF(INDEX('Undirviðmiðalisti (Lýsigögn)'!I$42:I$58,MATCH($C51,'Undirviðmiðalisti (Lýsigögn)'!$C$42:$C$58,0))="","",INDEX('Undirviðmiðalisti (Lýsigögn)'!I$42:I$58,MATCH($C51,'Undirviðmiðalisti (Lýsigögn)'!$C$42:$C$58,0))),""),IFERROR(IF(INDEX('Undirviðmiðalisti (Lýsigögn)'!I$6:I$41,MATCH($C51,'Undirviðmiðalisti (Lýsigögn)'!$C$6:$C$41,0))="","",INDEX('Undirviðmiðalisti (Lýsigögn)'!I$6:I$41,MATCH($C51,'Undirviðmiðalisti (Lýsigögn)'!$C$6:$C$41,0))),IFERROR(IF(INDEX('Undirviðmiðalisti (Lýsigögn)'!I$42:I$58,MATCH($C51,'Undirviðmiðalisti (Lýsigögn)'!$C$42:$C$58,0))="","",INDEX('Undirviðmiðalisti (Lýsigögn)'!I$42:I$58,MATCH($C51,'Undirviðmiðalisti (Lýsigögn)'!$C$42:$C$58,0))),""))))</f>
        <v/>
      </c>
      <c r="N51" s="16" t="str">
        <f aca="false">IF($C51="","",IF($G51="Einstaklingsbundið",IFERROR(IF(INDEX('Undirviðmiðalisti (Lýsigögn)'!J$42:J$58,MATCH($C51,'Undirviðmiðalisti (Lýsigögn)'!$C$42:$C$58,0))="","",INDEX('Undirviðmiðalisti (Lýsigögn)'!J$42:J$58,MATCH($C51,'Undirviðmiðalisti (Lýsigögn)'!$C$42:$C$58,0))),""),IFERROR(IF(INDEX('Undirviðmiðalisti (Lýsigögn)'!J$6:J$41,MATCH($C51,'Undirviðmiðalisti (Lýsigögn)'!$C$6:$C$41,0))="","",INDEX('Undirviðmiðalisti (Lýsigögn)'!J$6:J$41,MATCH($C51,'Undirviðmiðalisti (Lýsigögn)'!$C$6:$C$41,0))),IFERROR(IF(INDEX('Undirviðmiðalisti (Lýsigögn)'!J$42:J$58,MATCH($C51,'Undirviðmiðalisti (Lýsigögn)'!$C$42:$C$58,0))="","",INDEX('Undirviðmiðalisti (Lýsigögn)'!J$42:J$58,MATCH($C51,'Undirviðmiðalisti (Lýsigögn)'!$C$42:$C$58,0))),""))))</f>
        <v/>
      </c>
      <c r="O51" s="16" t="str">
        <f aca="false">IF($C51="","",IF($G51="Einstaklingsbundið",IFERROR(IF(INDEX('Undirviðmiðalisti (Lýsigögn)'!K$42:K$58,MATCH($C51,'Undirviðmiðalisti (Lýsigögn)'!$C$42:$C$58,0))="","",INDEX('Undirviðmiðalisti (Lýsigögn)'!K$42:K$58,MATCH($C51,'Undirviðmiðalisti (Lýsigögn)'!$C$42:$C$58,0))),""),IFERROR(IF(INDEX('Undirviðmiðalisti (Lýsigögn)'!K$6:K$41,MATCH($C51,'Undirviðmiðalisti (Lýsigögn)'!$C$6:$C$41,0))="","",INDEX('Undirviðmiðalisti (Lýsigögn)'!K$6:K$41,MATCH($C51,'Undirviðmiðalisti (Lýsigögn)'!$C$6:$C$41,0))),IFERROR(IF(INDEX('Undirviðmiðalisti (Lýsigögn)'!K$42:K$58,MATCH($C51,'Undirviðmiðalisti (Lýsigögn)'!$C$42:$C$58,0))="","",INDEX('Undirviðmiðalisti (Lýsigögn)'!K$42:K$58,MATCH($C51,'Undirviðmiðalisti (Lýsigögn)'!$C$42:$C$58,0))),""))))</f>
        <v/>
      </c>
      <c r="P51" s="16" t="str">
        <f aca="false">IF($C51="","",IF($G51="Einstaklingsbundið",IFERROR(IF(INDEX('Undirviðmiðalisti (Lýsigögn)'!L$42:L$58,MATCH($C51,'Undirviðmiðalisti (Lýsigögn)'!$C$42:$C$58,0))="","",INDEX('Undirviðmiðalisti (Lýsigögn)'!L$42:L$58,MATCH($C51,'Undirviðmiðalisti (Lýsigögn)'!$C$42:$C$58,0))),""),IFERROR(IF(INDEX('Undirviðmiðalisti (Lýsigögn)'!L$6:L$41,MATCH($C51,'Undirviðmiðalisti (Lýsigögn)'!$C$6:$C$41,0))="","",INDEX('Undirviðmiðalisti (Lýsigögn)'!L$6:L$41,MATCH($C51,'Undirviðmiðalisti (Lýsigögn)'!$C$6:$C$41,0))),IFERROR(IF(INDEX('Undirviðmiðalisti (Lýsigögn)'!L$42:L$58,MATCH($C51,'Undirviðmiðalisti (Lýsigögn)'!$C$42:$C$58,0))="","",INDEX('Undirviðmiðalisti (Lýsigögn)'!L$42:L$58,MATCH($C51,'Undirviðmiðalisti (Lýsigögn)'!$C$42:$C$58,0))),""))))</f>
        <v/>
      </c>
      <c r="Q51" s="16" t="str">
        <f aca="false">IF($C51="","",IF($G51="Einstaklingsbundið",IFERROR(IF(INDEX('Undirviðmiðalisti (Lýsigögn)'!M$42:M$58,MATCH($C51,'Undirviðmiðalisti (Lýsigögn)'!$C$42:$C$58,0))="","",INDEX('Undirviðmiðalisti (Lýsigögn)'!M$42:M$58,MATCH($C51,'Undirviðmiðalisti (Lýsigögn)'!$C$42:$C$58,0))),""),IFERROR(IF(INDEX('Undirviðmiðalisti (Lýsigögn)'!M$6:M$41,MATCH($C51,'Undirviðmiðalisti (Lýsigögn)'!$C$6:$C$41,0))="","",INDEX('Undirviðmiðalisti (Lýsigögn)'!M$6:M$41,MATCH($C51,'Undirviðmiðalisti (Lýsigögn)'!$C$6:$C$41,0))),IFERROR(IF(INDEX('Undirviðmiðalisti (Lýsigögn)'!M$42:M$58,MATCH($C51,'Undirviðmiðalisti (Lýsigögn)'!$C$42:$C$58,0))="","",INDEX('Undirviðmiðalisti (Lýsigögn)'!M$42:M$58,MATCH($C51,'Undirviðmiðalisti (Lýsigögn)'!$C$42:$C$58,0))),""))))</f>
        <v/>
      </c>
    </row>
    <row r="52" customFormat="false" ht="15" hidden="false" customHeight="true" outlineLevel="0" collapsed="false">
      <c r="A52" s="22" t="str">
        <f aca="false">IF($B52="","",ROW()-5)</f>
        <v/>
      </c>
      <c r="B52" s="15"/>
      <c r="C52" s="15"/>
      <c r="D52" s="16" t="str">
        <f aca="false">IF($C52="","",IF($G52="Einstaklingsbundið",IFERROR(IF(INDEX('Undirviðmiðalisti (Lýsigögn)'!$D$42:$D$58,MATCH($C52,'Undirviðmiðalisti (Lýsigögn)'!$C$42:$C$58,0))="","",INDEX('Undirviðmiðalisti (Lýsigögn)'!$D$42:$D$58,MATCH($C52,'Undirviðmiðalisti (Lýsigögn)'!$C$42:$C$58,0))),""),IFERROR(IF(INDEX('Undirviðmiðalisti (Lýsigögn)'!$D$6:$D$41,MATCH($C52,'Undirviðmiðalisti (Lýsigögn)'!$C$6:$C$41,0))="","",INDEX('Undirviðmiðalisti (Lýsigögn)'!$D$6:$D$41,MATCH($C52,'Undirviðmiðalisti (Lýsigögn)'!$C$6:$C$41,0))),IFERROR(IF(INDEX('Undirviðmiðalisti (Lýsigögn)'!$D$42:$D$58,MATCH($C52,'Undirviðmiðalisti (Lýsigögn)'!$C$42:$C$58,0))="","",INDEX('Undirviðmiðalisti (Lýsigögn)'!$D$42:$D$58,MATCH($C52,'Undirviðmiðalisti (Lýsigögn)'!$C$42:$C$58,0))),""))))</f>
        <v/>
      </c>
      <c r="E52" s="14"/>
      <c r="F52" s="23" t="str">
        <f aca="false">IF($C52="","",IF($G52="Einstaklingsbundið",IFERROR(IF(INDEX('Undirviðmiðalisti (Lýsigögn)'!$E$42:$E$58,MATCH($C52,'Undirviðmiðalisti (Lýsigögn)'!$C$42:$C$58,0))="","",INDEX('Undirviðmiðalisti (Lýsigögn)'!$E$42:$E$58,MATCH($C52,'Undirviðmiðalisti (Lýsigögn)'!$C$42:$C$58,0))),""),IFERROR(IF(INDEX('Undirviðmiðalisti (Lýsigögn)'!$E$6:$E$41,MATCH($C52,'Undirviðmiðalisti (Lýsigögn)'!$C$6:$C$41,0))="","",INDEX('Undirviðmiðalisti (Lýsigögn)'!$E$6:$E$41,MATCH($C52,'Undirviðmiðalisti (Lýsigögn)'!$C$6:$C$41,0))),IFERROR(IF(INDEX('Undirviðmiðalisti (Lýsigögn)'!$E$42:$E$58,MATCH($C52,'Undirviðmiðalisti (Lýsigögn)'!$C$42:$C$58,0))="","",INDEX('Undirviðmiðalisti (Lýsigögn)'!$E$42:$E$58,MATCH($C52,'Undirviðmiðalisti (Lýsigögn)'!$C$42:$C$58,0))),""))))</f>
        <v/>
      </c>
      <c r="G52" s="24" t="str">
        <f aca="false">IFERROR(IF(B52="","",INDEX(Viðmið!$B$6:$B$10,MATCH(B52,Viðmið!$C$6:$C$10,0))),"")</f>
        <v/>
      </c>
      <c r="H52" s="25" t="str">
        <f aca="false">IF(OR(E52="",F52=""),"",E52*KVARDI)</f>
        <v/>
      </c>
      <c r="I52" s="26" t="str">
        <f aca="false">IF(B52="","",IF(ROUND(SUMIF($B$6:$B$205,B52,$E$6:$E$205),4)=ROUND(IFERROR(INDEX(Viðmið!$E$6:$E$10,MATCH(B52,Viðmið!$C$6:$C$10,0)),-1),4),"✓","✗"))</f>
        <v/>
      </c>
      <c r="J52" s="16" t="str">
        <f aca="false">IF($C52="","",IF($G52="Einstaklingsbundið",IFERROR(IF(INDEX('Undirviðmiðalisti (Lýsigögn)'!F$42:F$58,MATCH($C52,'Undirviðmiðalisti (Lýsigögn)'!$C$42:$C$58,0))="","",INDEX('Undirviðmiðalisti (Lýsigögn)'!F$42:F$58,MATCH($C52,'Undirviðmiðalisti (Lýsigögn)'!$C$42:$C$58,0))),""),IFERROR(IF(INDEX('Undirviðmiðalisti (Lýsigögn)'!F$6:F$41,MATCH($C52,'Undirviðmiðalisti (Lýsigögn)'!$C$6:$C$41,0))="","",INDEX('Undirviðmiðalisti (Lýsigögn)'!F$6:F$41,MATCH($C52,'Undirviðmiðalisti (Lýsigögn)'!$C$6:$C$41,0))),IFERROR(IF(INDEX('Undirviðmiðalisti (Lýsigögn)'!F$42:F$58,MATCH($C52,'Undirviðmiðalisti (Lýsigögn)'!$C$42:$C$58,0))="","",INDEX('Undirviðmiðalisti (Lýsigögn)'!F$42:F$58,MATCH($C52,'Undirviðmiðalisti (Lýsigögn)'!$C$42:$C$58,0))),""))))</f>
        <v/>
      </c>
      <c r="K52" s="16" t="str">
        <f aca="false">IF($C52="","",IF($G52="Einstaklingsbundið",IFERROR(IF(INDEX('Undirviðmiðalisti (Lýsigögn)'!G$42:G$58,MATCH($C52,'Undirviðmiðalisti (Lýsigögn)'!$C$42:$C$58,0))="","",INDEX('Undirviðmiðalisti (Lýsigögn)'!G$42:G$58,MATCH($C52,'Undirviðmiðalisti (Lýsigögn)'!$C$42:$C$58,0))),""),IFERROR(IF(INDEX('Undirviðmiðalisti (Lýsigögn)'!G$6:G$41,MATCH($C52,'Undirviðmiðalisti (Lýsigögn)'!$C$6:$C$41,0))="","",INDEX('Undirviðmiðalisti (Lýsigögn)'!G$6:G$41,MATCH($C52,'Undirviðmiðalisti (Lýsigögn)'!$C$6:$C$41,0))),IFERROR(IF(INDEX('Undirviðmiðalisti (Lýsigögn)'!G$42:G$58,MATCH($C52,'Undirviðmiðalisti (Lýsigögn)'!$C$42:$C$58,0))="","",INDEX('Undirviðmiðalisti (Lýsigögn)'!G$42:G$58,MATCH($C52,'Undirviðmiðalisti (Lýsigögn)'!$C$42:$C$58,0))),""))))</f>
        <v/>
      </c>
      <c r="L52" s="16" t="str">
        <f aca="false">IF($C52="","",IF($G52="Einstaklingsbundið",IFERROR(IF(INDEX('Undirviðmiðalisti (Lýsigögn)'!H$42:H$58,MATCH($C52,'Undirviðmiðalisti (Lýsigögn)'!$C$42:$C$58,0))="","",INDEX('Undirviðmiðalisti (Lýsigögn)'!H$42:H$58,MATCH($C52,'Undirviðmiðalisti (Lýsigögn)'!$C$42:$C$58,0))),""),IFERROR(IF(INDEX('Undirviðmiðalisti (Lýsigögn)'!H$6:H$41,MATCH($C52,'Undirviðmiðalisti (Lýsigögn)'!$C$6:$C$41,0))="","",INDEX('Undirviðmiðalisti (Lýsigögn)'!H$6:H$41,MATCH($C52,'Undirviðmiðalisti (Lýsigögn)'!$C$6:$C$41,0))),IFERROR(IF(INDEX('Undirviðmiðalisti (Lýsigögn)'!H$42:H$58,MATCH($C52,'Undirviðmiðalisti (Lýsigögn)'!$C$42:$C$58,0))="","",INDEX('Undirviðmiðalisti (Lýsigögn)'!H$42:H$58,MATCH($C52,'Undirviðmiðalisti (Lýsigögn)'!$C$42:$C$58,0))),""))))</f>
        <v/>
      </c>
      <c r="M52" s="16" t="str">
        <f aca="false">IF($C52="","",IF($G52="Einstaklingsbundið",IFERROR(IF(INDEX('Undirviðmiðalisti (Lýsigögn)'!I$42:I$58,MATCH($C52,'Undirviðmiðalisti (Lýsigögn)'!$C$42:$C$58,0))="","",INDEX('Undirviðmiðalisti (Lýsigögn)'!I$42:I$58,MATCH($C52,'Undirviðmiðalisti (Lýsigögn)'!$C$42:$C$58,0))),""),IFERROR(IF(INDEX('Undirviðmiðalisti (Lýsigögn)'!I$6:I$41,MATCH($C52,'Undirviðmiðalisti (Lýsigögn)'!$C$6:$C$41,0))="","",INDEX('Undirviðmiðalisti (Lýsigögn)'!I$6:I$41,MATCH($C52,'Undirviðmiðalisti (Lýsigögn)'!$C$6:$C$41,0))),IFERROR(IF(INDEX('Undirviðmiðalisti (Lýsigögn)'!I$42:I$58,MATCH($C52,'Undirviðmiðalisti (Lýsigögn)'!$C$42:$C$58,0))="","",INDEX('Undirviðmiðalisti (Lýsigögn)'!I$42:I$58,MATCH($C52,'Undirviðmiðalisti (Lýsigögn)'!$C$42:$C$58,0))),""))))</f>
        <v/>
      </c>
      <c r="N52" s="16" t="str">
        <f aca="false">IF($C52="","",IF($G52="Einstaklingsbundið",IFERROR(IF(INDEX('Undirviðmiðalisti (Lýsigögn)'!J$42:J$58,MATCH($C52,'Undirviðmiðalisti (Lýsigögn)'!$C$42:$C$58,0))="","",INDEX('Undirviðmiðalisti (Lýsigögn)'!J$42:J$58,MATCH($C52,'Undirviðmiðalisti (Lýsigögn)'!$C$42:$C$58,0))),""),IFERROR(IF(INDEX('Undirviðmiðalisti (Lýsigögn)'!J$6:J$41,MATCH($C52,'Undirviðmiðalisti (Lýsigögn)'!$C$6:$C$41,0))="","",INDEX('Undirviðmiðalisti (Lýsigögn)'!J$6:J$41,MATCH($C52,'Undirviðmiðalisti (Lýsigögn)'!$C$6:$C$41,0))),IFERROR(IF(INDEX('Undirviðmiðalisti (Lýsigögn)'!J$42:J$58,MATCH($C52,'Undirviðmiðalisti (Lýsigögn)'!$C$42:$C$58,0))="","",INDEX('Undirviðmiðalisti (Lýsigögn)'!J$42:J$58,MATCH($C52,'Undirviðmiðalisti (Lýsigögn)'!$C$42:$C$58,0))),""))))</f>
        <v/>
      </c>
      <c r="O52" s="16" t="str">
        <f aca="false">IF($C52="","",IF($G52="Einstaklingsbundið",IFERROR(IF(INDEX('Undirviðmiðalisti (Lýsigögn)'!K$42:K$58,MATCH($C52,'Undirviðmiðalisti (Lýsigögn)'!$C$42:$C$58,0))="","",INDEX('Undirviðmiðalisti (Lýsigögn)'!K$42:K$58,MATCH($C52,'Undirviðmiðalisti (Lýsigögn)'!$C$42:$C$58,0))),""),IFERROR(IF(INDEX('Undirviðmiðalisti (Lýsigögn)'!K$6:K$41,MATCH($C52,'Undirviðmiðalisti (Lýsigögn)'!$C$6:$C$41,0))="","",INDEX('Undirviðmiðalisti (Lýsigögn)'!K$6:K$41,MATCH($C52,'Undirviðmiðalisti (Lýsigögn)'!$C$6:$C$41,0))),IFERROR(IF(INDEX('Undirviðmiðalisti (Lýsigögn)'!K$42:K$58,MATCH($C52,'Undirviðmiðalisti (Lýsigögn)'!$C$42:$C$58,0))="","",INDEX('Undirviðmiðalisti (Lýsigögn)'!K$42:K$58,MATCH($C52,'Undirviðmiðalisti (Lýsigögn)'!$C$42:$C$58,0))),""))))</f>
        <v/>
      </c>
      <c r="P52" s="16" t="str">
        <f aca="false">IF($C52="","",IF($G52="Einstaklingsbundið",IFERROR(IF(INDEX('Undirviðmiðalisti (Lýsigögn)'!L$42:L$58,MATCH($C52,'Undirviðmiðalisti (Lýsigögn)'!$C$42:$C$58,0))="","",INDEX('Undirviðmiðalisti (Lýsigögn)'!L$42:L$58,MATCH($C52,'Undirviðmiðalisti (Lýsigögn)'!$C$42:$C$58,0))),""),IFERROR(IF(INDEX('Undirviðmiðalisti (Lýsigögn)'!L$6:L$41,MATCH($C52,'Undirviðmiðalisti (Lýsigögn)'!$C$6:$C$41,0))="","",INDEX('Undirviðmiðalisti (Lýsigögn)'!L$6:L$41,MATCH($C52,'Undirviðmiðalisti (Lýsigögn)'!$C$6:$C$41,0))),IFERROR(IF(INDEX('Undirviðmiðalisti (Lýsigögn)'!L$42:L$58,MATCH($C52,'Undirviðmiðalisti (Lýsigögn)'!$C$42:$C$58,0))="","",INDEX('Undirviðmiðalisti (Lýsigögn)'!L$42:L$58,MATCH($C52,'Undirviðmiðalisti (Lýsigögn)'!$C$42:$C$58,0))),""))))</f>
        <v/>
      </c>
      <c r="Q52" s="16" t="str">
        <f aca="false">IF($C52="","",IF($G52="Einstaklingsbundið",IFERROR(IF(INDEX('Undirviðmiðalisti (Lýsigögn)'!M$42:M$58,MATCH($C52,'Undirviðmiðalisti (Lýsigögn)'!$C$42:$C$58,0))="","",INDEX('Undirviðmiðalisti (Lýsigögn)'!M$42:M$58,MATCH($C52,'Undirviðmiðalisti (Lýsigögn)'!$C$42:$C$58,0))),""),IFERROR(IF(INDEX('Undirviðmiðalisti (Lýsigögn)'!M$6:M$41,MATCH($C52,'Undirviðmiðalisti (Lýsigögn)'!$C$6:$C$41,0))="","",INDEX('Undirviðmiðalisti (Lýsigögn)'!M$6:M$41,MATCH($C52,'Undirviðmiðalisti (Lýsigögn)'!$C$6:$C$41,0))),IFERROR(IF(INDEX('Undirviðmiðalisti (Lýsigögn)'!M$42:M$58,MATCH($C52,'Undirviðmiðalisti (Lýsigögn)'!$C$42:$C$58,0))="","",INDEX('Undirviðmiðalisti (Lýsigögn)'!M$42:M$58,MATCH($C52,'Undirviðmiðalisti (Lýsigögn)'!$C$42:$C$58,0))),""))))</f>
        <v/>
      </c>
    </row>
    <row r="53" customFormat="false" ht="15" hidden="false" customHeight="true" outlineLevel="0" collapsed="false">
      <c r="A53" s="22" t="str">
        <f aca="false">IF($B53="","",ROW()-5)</f>
        <v/>
      </c>
      <c r="B53" s="15"/>
      <c r="C53" s="15"/>
      <c r="D53" s="16" t="str">
        <f aca="false">IF($C53="","",IF($G53="Einstaklingsbundið",IFERROR(IF(INDEX('Undirviðmiðalisti (Lýsigögn)'!$D$42:$D$58,MATCH($C53,'Undirviðmiðalisti (Lýsigögn)'!$C$42:$C$58,0))="","",INDEX('Undirviðmiðalisti (Lýsigögn)'!$D$42:$D$58,MATCH($C53,'Undirviðmiðalisti (Lýsigögn)'!$C$42:$C$58,0))),""),IFERROR(IF(INDEX('Undirviðmiðalisti (Lýsigögn)'!$D$6:$D$41,MATCH($C53,'Undirviðmiðalisti (Lýsigögn)'!$C$6:$C$41,0))="","",INDEX('Undirviðmiðalisti (Lýsigögn)'!$D$6:$D$41,MATCH($C53,'Undirviðmiðalisti (Lýsigögn)'!$C$6:$C$41,0))),IFERROR(IF(INDEX('Undirviðmiðalisti (Lýsigögn)'!$D$42:$D$58,MATCH($C53,'Undirviðmiðalisti (Lýsigögn)'!$C$42:$C$58,0))="","",INDEX('Undirviðmiðalisti (Lýsigögn)'!$D$42:$D$58,MATCH($C53,'Undirviðmiðalisti (Lýsigögn)'!$C$42:$C$58,0))),""))))</f>
        <v/>
      </c>
      <c r="E53" s="14"/>
      <c r="F53" s="23" t="str">
        <f aca="false">IF($C53="","",IF($G53="Einstaklingsbundið",IFERROR(IF(INDEX('Undirviðmiðalisti (Lýsigögn)'!$E$42:$E$58,MATCH($C53,'Undirviðmiðalisti (Lýsigögn)'!$C$42:$C$58,0))="","",INDEX('Undirviðmiðalisti (Lýsigögn)'!$E$42:$E$58,MATCH($C53,'Undirviðmiðalisti (Lýsigögn)'!$C$42:$C$58,0))),""),IFERROR(IF(INDEX('Undirviðmiðalisti (Lýsigögn)'!$E$6:$E$41,MATCH($C53,'Undirviðmiðalisti (Lýsigögn)'!$C$6:$C$41,0))="","",INDEX('Undirviðmiðalisti (Lýsigögn)'!$E$6:$E$41,MATCH($C53,'Undirviðmiðalisti (Lýsigögn)'!$C$6:$C$41,0))),IFERROR(IF(INDEX('Undirviðmiðalisti (Lýsigögn)'!$E$42:$E$58,MATCH($C53,'Undirviðmiðalisti (Lýsigögn)'!$C$42:$C$58,0))="","",INDEX('Undirviðmiðalisti (Lýsigögn)'!$E$42:$E$58,MATCH($C53,'Undirviðmiðalisti (Lýsigögn)'!$C$42:$C$58,0))),""))))</f>
        <v/>
      </c>
      <c r="G53" s="24" t="str">
        <f aca="false">IFERROR(IF(B53="","",INDEX(Viðmið!$B$6:$B$10,MATCH(B53,Viðmið!$C$6:$C$10,0))),"")</f>
        <v/>
      </c>
      <c r="H53" s="25" t="str">
        <f aca="false">IF(OR(E53="",F53=""),"",E53*KVARDI)</f>
        <v/>
      </c>
      <c r="I53" s="26" t="str">
        <f aca="false">IF(B53="","",IF(ROUND(SUMIF($B$6:$B$205,B53,$E$6:$E$205),4)=ROUND(IFERROR(INDEX(Viðmið!$E$6:$E$10,MATCH(B53,Viðmið!$C$6:$C$10,0)),-1),4),"✓","✗"))</f>
        <v/>
      </c>
      <c r="J53" s="16" t="str">
        <f aca="false">IF($C53="","",IF($G53="Einstaklingsbundið",IFERROR(IF(INDEX('Undirviðmiðalisti (Lýsigögn)'!F$42:F$58,MATCH($C53,'Undirviðmiðalisti (Lýsigögn)'!$C$42:$C$58,0))="","",INDEX('Undirviðmiðalisti (Lýsigögn)'!F$42:F$58,MATCH($C53,'Undirviðmiðalisti (Lýsigögn)'!$C$42:$C$58,0))),""),IFERROR(IF(INDEX('Undirviðmiðalisti (Lýsigögn)'!F$6:F$41,MATCH($C53,'Undirviðmiðalisti (Lýsigögn)'!$C$6:$C$41,0))="","",INDEX('Undirviðmiðalisti (Lýsigögn)'!F$6:F$41,MATCH($C53,'Undirviðmiðalisti (Lýsigögn)'!$C$6:$C$41,0))),IFERROR(IF(INDEX('Undirviðmiðalisti (Lýsigögn)'!F$42:F$58,MATCH($C53,'Undirviðmiðalisti (Lýsigögn)'!$C$42:$C$58,0))="","",INDEX('Undirviðmiðalisti (Lýsigögn)'!F$42:F$58,MATCH($C53,'Undirviðmiðalisti (Lýsigögn)'!$C$42:$C$58,0))),""))))</f>
        <v/>
      </c>
      <c r="K53" s="16" t="str">
        <f aca="false">IF($C53="","",IF($G53="Einstaklingsbundið",IFERROR(IF(INDEX('Undirviðmiðalisti (Lýsigögn)'!G$42:G$58,MATCH($C53,'Undirviðmiðalisti (Lýsigögn)'!$C$42:$C$58,0))="","",INDEX('Undirviðmiðalisti (Lýsigögn)'!G$42:G$58,MATCH($C53,'Undirviðmiðalisti (Lýsigögn)'!$C$42:$C$58,0))),""),IFERROR(IF(INDEX('Undirviðmiðalisti (Lýsigögn)'!G$6:G$41,MATCH($C53,'Undirviðmiðalisti (Lýsigögn)'!$C$6:$C$41,0))="","",INDEX('Undirviðmiðalisti (Lýsigögn)'!G$6:G$41,MATCH($C53,'Undirviðmiðalisti (Lýsigögn)'!$C$6:$C$41,0))),IFERROR(IF(INDEX('Undirviðmiðalisti (Lýsigögn)'!G$42:G$58,MATCH($C53,'Undirviðmiðalisti (Lýsigögn)'!$C$42:$C$58,0))="","",INDEX('Undirviðmiðalisti (Lýsigögn)'!G$42:G$58,MATCH($C53,'Undirviðmiðalisti (Lýsigögn)'!$C$42:$C$58,0))),""))))</f>
        <v/>
      </c>
      <c r="L53" s="16" t="str">
        <f aca="false">IF($C53="","",IF($G53="Einstaklingsbundið",IFERROR(IF(INDEX('Undirviðmiðalisti (Lýsigögn)'!H$42:H$58,MATCH($C53,'Undirviðmiðalisti (Lýsigögn)'!$C$42:$C$58,0))="","",INDEX('Undirviðmiðalisti (Lýsigögn)'!H$42:H$58,MATCH($C53,'Undirviðmiðalisti (Lýsigögn)'!$C$42:$C$58,0))),""),IFERROR(IF(INDEX('Undirviðmiðalisti (Lýsigögn)'!H$6:H$41,MATCH($C53,'Undirviðmiðalisti (Lýsigögn)'!$C$6:$C$41,0))="","",INDEX('Undirviðmiðalisti (Lýsigögn)'!H$6:H$41,MATCH($C53,'Undirviðmiðalisti (Lýsigögn)'!$C$6:$C$41,0))),IFERROR(IF(INDEX('Undirviðmiðalisti (Lýsigögn)'!H$42:H$58,MATCH($C53,'Undirviðmiðalisti (Lýsigögn)'!$C$42:$C$58,0))="","",INDEX('Undirviðmiðalisti (Lýsigögn)'!H$42:H$58,MATCH($C53,'Undirviðmiðalisti (Lýsigögn)'!$C$42:$C$58,0))),""))))</f>
        <v/>
      </c>
      <c r="M53" s="16" t="str">
        <f aca="false">IF($C53="","",IF($G53="Einstaklingsbundið",IFERROR(IF(INDEX('Undirviðmiðalisti (Lýsigögn)'!I$42:I$58,MATCH($C53,'Undirviðmiðalisti (Lýsigögn)'!$C$42:$C$58,0))="","",INDEX('Undirviðmiðalisti (Lýsigögn)'!I$42:I$58,MATCH($C53,'Undirviðmiðalisti (Lýsigögn)'!$C$42:$C$58,0))),""),IFERROR(IF(INDEX('Undirviðmiðalisti (Lýsigögn)'!I$6:I$41,MATCH($C53,'Undirviðmiðalisti (Lýsigögn)'!$C$6:$C$41,0))="","",INDEX('Undirviðmiðalisti (Lýsigögn)'!I$6:I$41,MATCH($C53,'Undirviðmiðalisti (Lýsigögn)'!$C$6:$C$41,0))),IFERROR(IF(INDEX('Undirviðmiðalisti (Lýsigögn)'!I$42:I$58,MATCH($C53,'Undirviðmiðalisti (Lýsigögn)'!$C$42:$C$58,0))="","",INDEX('Undirviðmiðalisti (Lýsigögn)'!I$42:I$58,MATCH($C53,'Undirviðmiðalisti (Lýsigögn)'!$C$42:$C$58,0))),""))))</f>
        <v/>
      </c>
      <c r="N53" s="16" t="str">
        <f aca="false">IF($C53="","",IF($G53="Einstaklingsbundið",IFERROR(IF(INDEX('Undirviðmiðalisti (Lýsigögn)'!J$42:J$58,MATCH($C53,'Undirviðmiðalisti (Lýsigögn)'!$C$42:$C$58,0))="","",INDEX('Undirviðmiðalisti (Lýsigögn)'!J$42:J$58,MATCH($C53,'Undirviðmiðalisti (Lýsigögn)'!$C$42:$C$58,0))),""),IFERROR(IF(INDEX('Undirviðmiðalisti (Lýsigögn)'!J$6:J$41,MATCH($C53,'Undirviðmiðalisti (Lýsigögn)'!$C$6:$C$41,0))="","",INDEX('Undirviðmiðalisti (Lýsigögn)'!J$6:J$41,MATCH($C53,'Undirviðmiðalisti (Lýsigögn)'!$C$6:$C$41,0))),IFERROR(IF(INDEX('Undirviðmiðalisti (Lýsigögn)'!J$42:J$58,MATCH($C53,'Undirviðmiðalisti (Lýsigögn)'!$C$42:$C$58,0))="","",INDEX('Undirviðmiðalisti (Lýsigögn)'!J$42:J$58,MATCH($C53,'Undirviðmiðalisti (Lýsigögn)'!$C$42:$C$58,0))),""))))</f>
        <v/>
      </c>
      <c r="O53" s="16" t="str">
        <f aca="false">IF($C53="","",IF($G53="Einstaklingsbundið",IFERROR(IF(INDEX('Undirviðmiðalisti (Lýsigögn)'!K$42:K$58,MATCH($C53,'Undirviðmiðalisti (Lýsigögn)'!$C$42:$C$58,0))="","",INDEX('Undirviðmiðalisti (Lýsigögn)'!K$42:K$58,MATCH($C53,'Undirviðmiðalisti (Lýsigögn)'!$C$42:$C$58,0))),""),IFERROR(IF(INDEX('Undirviðmiðalisti (Lýsigögn)'!K$6:K$41,MATCH($C53,'Undirviðmiðalisti (Lýsigögn)'!$C$6:$C$41,0))="","",INDEX('Undirviðmiðalisti (Lýsigögn)'!K$6:K$41,MATCH($C53,'Undirviðmiðalisti (Lýsigögn)'!$C$6:$C$41,0))),IFERROR(IF(INDEX('Undirviðmiðalisti (Lýsigögn)'!K$42:K$58,MATCH($C53,'Undirviðmiðalisti (Lýsigögn)'!$C$42:$C$58,0))="","",INDEX('Undirviðmiðalisti (Lýsigögn)'!K$42:K$58,MATCH($C53,'Undirviðmiðalisti (Lýsigögn)'!$C$42:$C$58,0))),""))))</f>
        <v/>
      </c>
      <c r="P53" s="16" t="str">
        <f aca="false">IF($C53="","",IF($G53="Einstaklingsbundið",IFERROR(IF(INDEX('Undirviðmiðalisti (Lýsigögn)'!L$42:L$58,MATCH($C53,'Undirviðmiðalisti (Lýsigögn)'!$C$42:$C$58,0))="","",INDEX('Undirviðmiðalisti (Lýsigögn)'!L$42:L$58,MATCH($C53,'Undirviðmiðalisti (Lýsigögn)'!$C$42:$C$58,0))),""),IFERROR(IF(INDEX('Undirviðmiðalisti (Lýsigögn)'!L$6:L$41,MATCH($C53,'Undirviðmiðalisti (Lýsigögn)'!$C$6:$C$41,0))="","",INDEX('Undirviðmiðalisti (Lýsigögn)'!L$6:L$41,MATCH($C53,'Undirviðmiðalisti (Lýsigögn)'!$C$6:$C$41,0))),IFERROR(IF(INDEX('Undirviðmiðalisti (Lýsigögn)'!L$42:L$58,MATCH($C53,'Undirviðmiðalisti (Lýsigögn)'!$C$42:$C$58,0))="","",INDEX('Undirviðmiðalisti (Lýsigögn)'!L$42:L$58,MATCH($C53,'Undirviðmiðalisti (Lýsigögn)'!$C$42:$C$58,0))),""))))</f>
        <v/>
      </c>
      <c r="Q53" s="16" t="str">
        <f aca="false">IF($C53="","",IF($G53="Einstaklingsbundið",IFERROR(IF(INDEX('Undirviðmiðalisti (Lýsigögn)'!M$42:M$58,MATCH($C53,'Undirviðmiðalisti (Lýsigögn)'!$C$42:$C$58,0))="","",INDEX('Undirviðmiðalisti (Lýsigögn)'!M$42:M$58,MATCH($C53,'Undirviðmiðalisti (Lýsigögn)'!$C$42:$C$58,0))),""),IFERROR(IF(INDEX('Undirviðmiðalisti (Lýsigögn)'!M$6:M$41,MATCH($C53,'Undirviðmiðalisti (Lýsigögn)'!$C$6:$C$41,0))="","",INDEX('Undirviðmiðalisti (Lýsigögn)'!M$6:M$41,MATCH($C53,'Undirviðmiðalisti (Lýsigögn)'!$C$6:$C$41,0))),IFERROR(IF(INDEX('Undirviðmiðalisti (Lýsigögn)'!M$42:M$58,MATCH($C53,'Undirviðmiðalisti (Lýsigögn)'!$C$42:$C$58,0))="","",INDEX('Undirviðmiðalisti (Lýsigögn)'!M$42:M$58,MATCH($C53,'Undirviðmiðalisti (Lýsigögn)'!$C$42:$C$58,0))),""))))</f>
        <v/>
      </c>
    </row>
    <row r="54" customFormat="false" ht="15" hidden="false" customHeight="true" outlineLevel="0" collapsed="false">
      <c r="A54" s="22" t="str">
        <f aca="false">IF($B54="","",ROW()-5)</f>
        <v/>
      </c>
      <c r="B54" s="15"/>
      <c r="C54" s="15"/>
      <c r="D54" s="16" t="str">
        <f aca="false">IF($C54="","",IF($G54="Einstaklingsbundið",IFERROR(IF(INDEX('Undirviðmiðalisti (Lýsigögn)'!$D$42:$D$58,MATCH($C54,'Undirviðmiðalisti (Lýsigögn)'!$C$42:$C$58,0))="","",INDEX('Undirviðmiðalisti (Lýsigögn)'!$D$42:$D$58,MATCH($C54,'Undirviðmiðalisti (Lýsigögn)'!$C$42:$C$58,0))),""),IFERROR(IF(INDEX('Undirviðmiðalisti (Lýsigögn)'!$D$6:$D$41,MATCH($C54,'Undirviðmiðalisti (Lýsigögn)'!$C$6:$C$41,0))="","",INDEX('Undirviðmiðalisti (Lýsigögn)'!$D$6:$D$41,MATCH($C54,'Undirviðmiðalisti (Lýsigögn)'!$C$6:$C$41,0))),IFERROR(IF(INDEX('Undirviðmiðalisti (Lýsigögn)'!$D$42:$D$58,MATCH($C54,'Undirviðmiðalisti (Lýsigögn)'!$C$42:$C$58,0))="","",INDEX('Undirviðmiðalisti (Lýsigögn)'!$D$42:$D$58,MATCH($C54,'Undirviðmiðalisti (Lýsigögn)'!$C$42:$C$58,0))),""))))</f>
        <v/>
      </c>
      <c r="E54" s="14"/>
      <c r="F54" s="23" t="str">
        <f aca="false">IF($C54="","",IF($G54="Einstaklingsbundið",IFERROR(IF(INDEX('Undirviðmiðalisti (Lýsigögn)'!$E$42:$E$58,MATCH($C54,'Undirviðmiðalisti (Lýsigögn)'!$C$42:$C$58,0))="","",INDEX('Undirviðmiðalisti (Lýsigögn)'!$E$42:$E$58,MATCH($C54,'Undirviðmiðalisti (Lýsigögn)'!$C$42:$C$58,0))),""),IFERROR(IF(INDEX('Undirviðmiðalisti (Lýsigögn)'!$E$6:$E$41,MATCH($C54,'Undirviðmiðalisti (Lýsigögn)'!$C$6:$C$41,0))="","",INDEX('Undirviðmiðalisti (Lýsigögn)'!$E$6:$E$41,MATCH($C54,'Undirviðmiðalisti (Lýsigögn)'!$C$6:$C$41,0))),IFERROR(IF(INDEX('Undirviðmiðalisti (Lýsigögn)'!$E$42:$E$58,MATCH($C54,'Undirviðmiðalisti (Lýsigögn)'!$C$42:$C$58,0))="","",INDEX('Undirviðmiðalisti (Lýsigögn)'!$E$42:$E$58,MATCH($C54,'Undirviðmiðalisti (Lýsigögn)'!$C$42:$C$58,0))),""))))</f>
        <v/>
      </c>
      <c r="G54" s="24" t="str">
        <f aca="false">IFERROR(IF(B54="","",INDEX(Viðmið!$B$6:$B$10,MATCH(B54,Viðmið!$C$6:$C$10,0))),"")</f>
        <v/>
      </c>
      <c r="H54" s="25" t="str">
        <f aca="false">IF(OR(E54="",F54=""),"",E54*KVARDI)</f>
        <v/>
      </c>
      <c r="I54" s="26" t="str">
        <f aca="false">IF(B54="","",IF(ROUND(SUMIF($B$6:$B$205,B54,$E$6:$E$205),4)=ROUND(IFERROR(INDEX(Viðmið!$E$6:$E$10,MATCH(B54,Viðmið!$C$6:$C$10,0)),-1),4),"✓","✗"))</f>
        <v/>
      </c>
      <c r="J54" s="16" t="str">
        <f aca="false">IF($C54="","",IF($G54="Einstaklingsbundið",IFERROR(IF(INDEX('Undirviðmiðalisti (Lýsigögn)'!F$42:F$58,MATCH($C54,'Undirviðmiðalisti (Lýsigögn)'!$C$42:$C$58,0))="","",INDEX('Undirviðmiðalisti (Lýsigögn)'!F$42:F$58,MATCH($C54,'Undirviðmiðalisti (Lýsigögn)'!$C$42:$C$58,0))),""),IFERROR(IF(INDEX('Undirviðmiðalisti (Lýsigögn)'!F$6:F$41,MATCH($C54,'Undirviðmiðalisti (Lýsigögn)'!$C$6:$C$41,0))="","",INDEX('Undirviðmiðalisti (Lýsigögn)'!F$6:F$41,MATCH($C54,'Undirviðmiðalisti (Lýsigögn)'!$C$6:$C$41,0))),IFERROR(IF(INDEX('Undirviðmiðalisti (Lýsigögn)'!F$42:F$58,MATCH($C54,'Undirviðmiðalisti (Lýsigögn)'!$C$42:$C$58,0))="","",INDEX('Undirviðmiðalisti (Lýsigögn)'!F$42:F$58,MATCH($C54,'Undirviðmiðalisti (Lýsigögn)'!$C$42:$C$58,0))),""))))</f>
        <v/>
      </c>
      <c r="K54" s="16" t="str">
        <f aca="false">IF($C54="","",IF($G54="Einstaklingsbundið",IFERROR(IF(INDEX('Undirviðmiðalisti (Lýsigögn)'!G$42:G$58,MATCH($C54,'Undirviðmiðalisti (Lýsigögn)'!$C$42:$C$58,0))="","",INDEX('Undirviðmiðalisti (Lýsigögn)'!G$42:G$58,MATCH($C54,'Undirviðmiðalisti (Lýsigögn)'!$C$42:$C$58,0))),""),IFERROR(IF(INDEX('Undirviðmiðalisti (Lýsigögn)'!G$6:G$41,MATCH($C54,'Undirviðmiðalisti (Lýsigögn)'!$C$6:$C$41,0))="","",INDEX('Undirviðmiðalisti (Lýsigögn)'!G$6:G$41,MATCH($C54,'Undirviðmiðalisti (Lýsigögn)'!$C$6:$C$41,0))),IFERROR(IF(INDEX('Undirviðmiðalisti (Lýsigögn)'!G$42:G$58,MATCH($C54,'Undirviðmiðalisti (Lýsigögn)'!$C$42:$C$58,0))="","",INDEX('Undirviðmiðalisti (Lýsigögn)'!G$42:G$58,MATCH($C54,'Undirviðmiðalisti (Lýsigögn)'!$C$42:$C$58,0))),""))))</f>
        <v/>
      </c>
      <c r="L54" s="16" t="str">
        <f aca="false">IF($C54="","",IF($G54="Einstaklingsbundið",IFERROR(IF(INDEX('Undirviðmiðalisti (Lýsigögn)'!H$42:H$58,MATCH($C54,'Undirviðmiðalisti (Lýsigögn)'!$C$42:$C$58,0))="","",INDEX('Undirviðmiðalisti (Lýsigögn)'!H$42:H$58,MATCH($C54,'Undirviðmiðalisti (Lýsigögn)'!$C$42:$C$58,0))),""),IFERROR(IF(INDEX('Undirviðmiðalisti (Lýsigögn)'!H$6:H$41,MATCH($C54,'Undirviðmiðalisti (Lýsigögn)'!$C$6:$C$41,0))="","",INDEX('Undirviðmiðalisti (Lýsigögn)'!H$6:H$41,MATCH($C54,'Undirviðmiðalisti (Lýsigögn)'!$C$6:$C$41,0))),IFERROR(IF(INDEX('Undirviðmiðalisti (Lýsigögn)'!H$42:H$58,MATCH($C54,'Undirviðmiðalisti (Lýsigögn)'!$C$42:$C$58,0))="","",INDEX('Undirviðmiðalisti (Lýsigögn)'!H$42:H$58,MATCH($C54,'Undirviðmiðalisti (Lýsigögn)'!$C$42:$C$58,0))),""))))</f>
        <v/>
      </c>
      <c r="M54" s="16" t="str">
        <f aca="false">IF($C54="","",IF($G54="Einstaklingsbundið",IFERROR(IF(INDEX('Undirviðmiðalisti (Lýsigögn)'!I$42:I$58,MATCH($C54,'Undirviðmiðalisti (Lýsigögn)'!$C$42:$C$58,0))="","",INDEX('Undirviðmiðalisti (Lýsigögn)'!I$42:I$58,MATCH($C54,'Undirviðmiðalisti (Lýsigögn)'!$C$42:$C$58,0))),""),IFERROR(IF(INDEX('Undirviðmiðalisti (Lýsigögn)'!I$6:I$41,MATCH($C54,'Undirviðmiðalisti (Lýsigögn)'!$C$6:$C$41,0))="","",INDEX('Undirviðmiðalisti (Lýsigögn)'!I$6:I$41,MATCH($C54,'Undirviðmiðalisti (Lýsigögn)'!$C$6:$C$41,0))),IFERROR(IF(INDEX('Undirviðmiðalisti (Lýsigögn)'!I$42:I$58,MATCH($C54,'Undirviðmiðalisti (Lýsigögn)'!$C$42:$C$58,0))="","",INDEX('Undirviðmiðalisti (Lýsigögn)'!I$42:I$58,MATCH($C54,'Undirviðmiðalisti (Lýsigögn)'!$C$42:$C$58,0))),""))))</f>
        <v/>
      </c>
      <c r="N54" s="16" t="str">
        <f aca="false">IF($C54="","",IF($G54="Einstaklingsbundið",IFERROR(IF(INDEX('Undirviðmiðalisti (Lýsigögn)'!J$42:J$58,MATCH($C54,'Undirviðmiðalisti (Lýsigögn)'!$C$42:$C$58,0))="","",INDEX('Undirviðmiðalisti (Lýsigögn)'!J$42:J$58,MATCH($C54,'Undirviðmiðalisti (Lýsigögn)'!$C$42:$C$58,0))),""),IFERROR(IF(INDEX('Undirviðmiðalisti (Lýsigögn)'!J$6:J$41,MATCH($C54,'Undirviðmiðalisti (Lýsigögn)'!$C$6:$C$41,0))="","",INDEX('Undirviðmiðalisti (Lýsigögn)'!J$6:J$41,MATCH($C54,'Undirviðmiðalisti (Lýsigögn)'!$C$6:$C$41,0))),IFERROR(IF(INDEX('Undirviðmiðalisti (Lýsigögn)'!J$42:J$58,MATCH($C54,'Undirviðmiðalisti (Lýsigögn)'!$C$42:$C$58,0))="","",INDEX('Undirviðmiðalisti (Lýsigögn)'!J$42:J$58,MATCH($C54,'Undirviðmiðalisti (Lýsigögn)'!$C$42:$C$58,0))),""))))</f>
        <v/>
      </c>
      <c r="O54" s="16" t="str">
        <f aca="false">IF($C54="","",IF($G54="Einstaklingsbundið",IFERROR(IF(INDEX('Undirviðmiðalisti (Lýsigögn)'!K$42:K$58,MATCH($C54,'Undirviðmiðalisti (Lýsigögn)'!$C$42:$C$58,0))="","",INDEX('Undirviðmiðalisti (Lýsigögn)'!K$42:K$58,MATCH($C54,'Undirviðmiðalisti (Lýsigögn)'!$C$42:$C$58,0))),""),IFERROR(IF(INDEX('Undirviðmiðalisti (Lýsigögn)'!K$6:K$41,MATCH($C54,'Undirviðmiðalisti (Lýsigögn)'!$C$6:$C$41,0))="","",INDEX('Undirviðmiðalisti (Lýsigögn)'!K$6:K$41,MATCH($C54,'Undirviðmiðalisti (Lýsigögn)'!$C$6:$C$41,0))),IFERROR(IF(INDEX('Undirviðmiðalisti (Lýsigögn)'!K$42:K$58,MATCH($C54,'Undirviðmiðalisti (Lýsigögn)'!$C$42:$C$58,0))="","",INDEX('Undirviðmiðalisti (Lýsigögn)'!K$42:K$58,MATCH($C54,'Undirviðmiðalisti (Lýsigögn)'!$C$42:$C$58,0))),""))))</f>
        <v/>
      </c>
      <c r="P54" s="16" t="str">
        <f aca="false">IF($C54="","",IF($G54="Einstaklingsbundið",IFERROR(IF(INDEX('Undirviðmiðalisti (Lýsigögn)'!L$42:L$58,MATCH($C54,'Undirviðmiðalisti (Lýsigögn)'!$C$42:$C$58,0))="","",INDEX('Undirviðmiðalisti (Lýsigögn)'!L$42:L$58,MATCH($C54,'Undirviðmiðalisti (Lýsigögn)'!$C$42:$C$58,0))),""),IFERROR(IF(INDEX('Undirviðmiðalisti (Lýsigögn)'!L$6:L$41,MATCH($C54,'Undirviðmiðalisti (Lýsigögn)'!$C$6:$C$41,0))="","",INDEX('Undirviðmiðalisti (Lýsigögn)'!L$6:L$41,MATCH($C54,'Undirviðmiðalisti (Lýsigögn)'!$C$6:$C$41,0))),IFERROR(IF(INDEX('Undirviðmiðalisti (Lýsigögn)'!L$42:L$58,MATCH($C54,'Undirviðmiðalisti (Lýsigögn)'!$C$42:$C$58,0))="","",INDEX('Undirviðmiðalisti (Lýsigögn)'!L$42:L$58,MATCH($C54,'Undirviðmiðalisti (Lýsigögn)'!$C$42:$C$58,0))),""))))</f>
        <v/>
      </c>
      <c r="Q54" s="16" t="str">
        <f aca="false">IF($C54="","",IF($G54="Einstaklingsbundið",IFERROR(IF(INDEX('Undirviðmiðalisti (Lýsigögn)'!M$42:M$58,MATCH($C54,'Undirviðmiðalisti (Lýsigögn)'!$C$42:$C$58,0))="","",INDEX('Undirviðmiðalisti (Lýsigögn)'!M$42:M$58,MATCH($C54,'Undirviðmiðalisti (Lýsigögn)'!$C$42:$C$58,0))),""),IFERROR(IF(INDEX('Undirviðmiðalisti (Lýsigögn)'!M$6:M$41,MATCH($C54,'Undirviðmiðalisti (Lýsigögn)'!$C$6:$C$41,0))="","",INDEX('Undirviðmiðalisti (Lýsigögn)'!M$6:M$41,MATCH($C54,'Undirviðmiðalisti (Lýsigögn)'!$C$6:$C$41,0))),IFERROR(IF(INDEX('Undirviðmiðalisti (Lýsigögn)'!M$42:M$58,MATCH($C54,'Undirviðmiðalisti (Lýsigögn)'!$C$42:$C$58,0))="","",INDEX('Undirviðmiðalisti (Lýsigögn)'!M$42:M$58,MATCH($C54,'Undirviðmiðalisti (Lýsigögn)'!$C$42:$C$58,0))),""))))</f>
        <v/>
      </c>
    </row>
    <row r="55" customFormat="false" ht="15" hidden="false" customHeight="true" outlineLevel="0" collapsed="false">
      <c r="A55" s="22" t="str">
        <f aca="false">IF($B55="","",ROW()-5)</f>
        <v/>
      </c>
      <c r="B55" s="15"/>
      <c r="C55" s="15"/>
      <c r="D55" s="16" t="str">
        <f aca="false">IF($C55="","",IF($G55="Einstaklingsbundið",IFERROR(IF(INDEX('Undirviðmiðalisti (Lýsigögn)'!$D$42:$D$58,MATCH($C55,'Undirviðmiðalisti (Lýsigögn)'!$C$42:$C$58,0))="","",INDEX('Undirviðmiðalisti (Lýsigögn)'!$D$42:$D$58,MATCH($C55,'Undirviðmiðalisti (Lýsigögn)'!$C$42:$C$58,0))),""),IFERROR(IF(INDEX('Undirviðmiðalisti (Lýsigögn)'!$D$6:$D$41,MATCH($C55,'Undirviðmiðalisti (Lýsigögn)'!$C$6:$C$41,0))="","",INDEX('Undirviðmiðalisti (Lýsigögn)'!$D$6:$D$41,MATCH($C55,'Undirviðmiðalisti (Lýsigögn)'!$C$6:$C$41,0))),IFERROR(IF(INDEX('Undirviðmiðalisti (Lýsigögn)'!$D$42:$D$58,MATCH($C55,'Undirviðmiðalisti (Lýsigögn)'!$C$42:$C$58,0))="","",INDEX('Undirviðmiðalisti (Lýsigögn)'!$D$42:$D$58,MATCH($C55,'Undirviðmiðalisti (Lýsigögn)'!$C$42:$C$58,0))),""))))</f>
        <v/>
      </c>
      <c r="E55" s="14"/>
      <c r="F55" s="23" t="str">
        <f aca="false">IF($C55="","",IF($G55="Einstaklingsbundið",IFERROR(IF(INDEX('Undirviðmiðalisti (Lýsigögn)'!$E$42:$E$58,MATCH($C55,'Undirviðmiðalisti (Lýsigögn)'!$C$42:$C$58,0))="","",INDEX('Undirviðmiðalisti (Lýsigögn)'!$E$42:$E$58,MATCH($C55,'Undirviðmiðalisti (Lýsigögn)'!$C$42:$C$58,0))),""),IFERROR(IF(INDEX('Undirviðmiðalisti (Lýsigögn)'!$E$6:$E$41,MATCH($C55,'Undirviðmiðalisti (Lýsigögn)'!$C$6:$C$41,0))="","",INDEX('Undirviðmiðalisti (Lýsigögn)'!$E$6:$E$41,MATCH($C55,'Undirviðmiðalisti (Lýsigögn)'!$C$6:$C$41,0))),IFERROR(IF(INDEX('Undirviðmiðalisti (Lýsigögn)'!$E$42:$E$58,MATCH($C55,'Undirviðmiðalisti (Lýsigögn)'!$C$42:$C$58,0))="","",INDEX('Undirviðmiðalisti (Lýsigögn)'!$E$42:$E$58,MATCH($C55,'Undirviðmiðalisti (Lýsigögn)'!$C$42:$C$58,0))),""))))</f>
        <v/>
      </c>
      <c r="G55" s="24" t="str">
        <f aca="false">IFERROR(IF(B55="","",INDEX(Viðmið!$B$6:$B$10,MATCH(B55,Viðmið!$C$6:$C$10,0))),"")</f>
        <v/>
      </c>
      <c r="H55" s="25" t="str">
        <f aca="false">IF(OR(E55="",F55=""),"",E55*KVARDI)</f>
        <v/>
      </c>
      <c r="I55" s="26" t="str">
        <f aca="false">IF(B55="","",IF(ROUND(SUMIF($B$6:$B$205,B55,$E$6:$E$205),4)=ROUND(IFERROR(INDEX(Viðmið!$E$6:$E$10,MATCH(B55,Viðmið!$C$6:$C$10,0)),-1),4),"✓","✗"))</f>
        <v/>
      </c>
      <c r="J55" s="16" t="str">
        <f aca="false">IF($C55="","",IF($G55="Einstaklingsbundið",IFERROR(IF(INDEX('Undirviðmiðalisti (Lýsigögn)'!F$42:F$58,MATCH($C55,'Undirviðmiðalisti (Lýsigögn)'!$C$42:$C$58,0))="","",INDEX('Undirviðmiðalisti (Lýsigögn)'!F$42:F$58,MATCH($C55,'Undirviðmiðalisti (Lýsigögn)'!$C$42:$C$58,0))),""),IFERROR(IF(INDEX('Undirviðmiðalisti (Lýsigögn)'!F$6:F$41,MATCH($C55,'Undirviðmiðalisti (Lýsigögn)'!$C$6:$C$41,0))="","",INDEX('Undirviðmiðalisti (Lýsigögn)'!F$6:F$41,MATCH($C55,'Undirviðmiðalisti (Lýsigögn)'!$C$6:$C$41,0))),IFERROR(IF(INDEX('Undirviðmiðalisti (Lýsigögn)'!F$42:F$58,MATCH($C55,'Undirviðmiðalisti (Lýsigögn)'!$C$42:$C$58,0))="","",INDEX('Undirviðmiðalisti (Lýsigögn)'!F$42:F$58,MATCH($C55,'Undirviðmiðalisti (Lýsigögn)'!$C$42:$C$58,0))),""))))</f>
        <v/>
      </c>
      <c r="K55" s="16" t="str">
        <f aca="false">IF($C55="","",IF($G55="Einstaklingsbundið",IFERROR(IF(INDEX('Undirviðmiðalisti (Lýsigögn)'!G$42:G$58,MATCH($C55,'Undirviðmiðalisti (Lýsigögn)'!$C$42:$C$58,0))="","",INDEX('Undirviðmiðalisti (Lýsigögn)'!G$42:G$58,MATCH($C55,'Undirviðmiðalisti (Lýsigögn)'!$C$42:$C$58,0))),""),IFERROR(IF(INDEX('Undirviðmiðalisti (Lýsigögn)'!G$6:G$41,MATCH($C55,'Undirviðmiðalisti (Lýsigögn)'!$C$6:$C$41,0))="","",INDEX('Undirviðmiðalisti (Lýsigögn)'!G$6:G$41,MATCH($C55,'Undirviðmiðalisti (Lýsigögn)'!$C$6:$C$41,0))),IFERROR(IF(INDEX('Undirviðmiðalisti (Lýsigögn)'!G$42:G$58,MATCH($C55,'Undirviðmiðalisti (Lýsigögn)'!$C$42:$C$58,0))="","",INDEX('Undirviðmiðalisti (Lýsigögn)'!G$42:G$58,MATCH($C55,'Undirviðmiðalisti (Lýsigögn)'!$C$42:$C$58,0))),""))))</f>
        <v/>
      </c>
      <c r="L55" s="16" t="str">
        <f aca="false">IF($C55="","",IF($G55="Einstaklingsbundið",IFERROR(IF(INDEX('Undirviðmiðalisti (Lýsigögn)'!H$42:H$58,MATCH($C55,'Undirviðmiðalisti (Lýsigögn)'!$C$42:$C$58,0))="","",INDEX('Undirviðmiðalisti (Lýsigögn)'!H$42:H$58,MATCH($C55,'Undirviðmiðalisti (Lýsigögn)'!$C$42:$C$58,0))),""),IFERROR(IF(INDEX('Undirviðmiðalisti (Lýsigögn)'!H$6:H$41,MATCH($C55,'Undirviðmiðalisti (Lýsigögn)'!$C$6:$C$41,0))="","",INDEX('Undirviðmiðalisti (Lýsigögn)'!H$6:H$41,MATCH($C55,'Undirviðmiðalisti (Lýsigögn)'!$C$6:$C$41,0))),IFERROR(IF(INDEX('Undirviðmiðalisti (Lýsigögn)'!H$42:H$58,MATCH($C55,'Undirviðmiðalisti (Lýsigögn)'!$C$42:$C$58,0))="","",INDEX('Undirviðmiðalisti (Lýsigögn)'!H$42:H$58,MATCH($C55,'Undirviðmiðalisti (Lýsigögn)'!$C$42:$C$58,0))),""))))</f>
        <v/>
      </c>
      <c r="M55" s="16" t="str">
        <f aca="false">IF($C55="","",IF($G55="Einstaklingsbundið",IFERROR(IF(INDEX('Undirviðmiðalisti (Lýsigögn)'!I$42:I$58,MATCH($C55,'Undirviðmiðalisti (Lýsigögn)'!$C$42:$C$58,0))="","",INDEX('Undirviðmiðalisti (Lýsigögn)'!I$42:I$58,MATCH($C55,'Undirviðmiðalisti (Lýsigögn)'!$C$42:$C$58,0))),""),IFERROR(IF(INDEX('Undirviðmiðalisti (Lýsigögn)'!I$6:I$41,MATCH($C55,'Undirviðmiðalisti (Lýsigögn)'!$C$6:$C$41,0))="","",INDEX('Undirviðmiðalisti (Lýsigögn)'!I$6:I$41,MATCH($C55,'Undirviðmiðalisti (Lýsigögn)'!$C$6:$C$41,0))),IFERROR(IF(INDEX('Undirviðmiðalisti (Lýsigögn)'!I$42:I$58,MATCH($C55,'Undirviðmiðalisti (Lýsigögn)'!$C$42:$C$58,0))="","",INDEX('Undirviðmiðalisti (Lýsigögn)'!I$42:I$58,MATCH($C55,'Undirviðmiðalisti (Lýsigögn)'!$C$42:$C$58,0))),""))))</f>
        <v/>
      </c>
      <c r="N55" s="16" t="str">
        <f aca="false">IF($C55="","",IF($G55="Einstaklingsbundið",IFERROR(IF(INDEX('Undirviðmiðalisti (Lýsigögn)'!J$42:J$58,MATCH($C55,'Undirviðmiðalisti (Lýsigögn)'!$C$42:$C$58,0))="","",INDEX('Undirviðmiðalisti (Lýsigögn)'!J$42:J$58,MATCH($C55,'Undirviðmiðalisti (Lýsigögn)'!$C$42:$C$58,0))),""),IFERROR(IF(INDEX('Undirviðmiðalisti (Lýsigögn)'!J$6:J$41,MATCH($C55,'Undirviðmiðalisti (Lýsigögn)'!$C$6:$C$41,0))="","",INDEX('Undirviðmiðalisti (Lýsigögn)'!J$6:J$41,MATCH($C55,'Undirviðmiðalisti (Lýsigögn)'!$C$6:$C$41,0))),IFERROR(IF(INDEX('Undirviðmiðalisti (Lýsigögn)'!J$42:J$58,MATCH($C55,'Undirviðmiðalisti (Lýsigögn)'!$C$42:$C$58,0))="","",INDEX('Undirviðmiðalisti (Lýsigögn)'!J$42:J$58,MATCH($C55,'Undirviðmiðalisti (Lýsigögn)'!$C$42:$C$58,0))),""))))</f>
        <v/>
      </c>
      <c r="O55" s="16" t="str">
        <f aca="false">IF($C55="","",IF($G55="Einstaklingsbundið",IFERROR(IF(INDEX('Undirviðmiðalisti (Lýsigögn)'!K$42:K$58,MATCH($C55,'Undirviðmiðalisti (Lýsigögn)'!$C$42:$C$58,0))="","",INDEX('Undirviðmiðalisti (Lýsigögn)'!K$42:K$58,MATCH($C55,'Undirviðmiðalisti (Lýsigögn)'!$C$42:$C$58,0))),""),IFERROR(IF(INDEX('Undirviðmiðalisti (Lýsigögn)'!K$6:K$41,MATCH($C55,'Undirviðmiðalisti (Lýsigögn)'!$C$6:$C$41,0))="","",INDEX('Undirviðmiðalisti (Lýsigögn)'!K$6:K$41,MATCH($C55,'Undirviðmiðalisti (Lýsigögn)'!$C$6:$C$41,0))),IFERROR(IF(INDEX('Undirviðmiðalisti (Lýsigögn)'!K$42:K$58,MATCH($C55,'Undirviðmiðalisti (Lýsigögn)'!$C$42:$C$58,0))="","",INDEX('Undirviðmiðalisti (Lýsigögn)'!K$42:K$58,MATCH($C55,'Undirviðmiðalisti (Lýsigögn)'!$C$42:$C$58,0))),""))))</f>
        <v/>
      </c>
      <c r="P55" s="16" t="str">
        <f aca="false">IF($C55="","",IF($G55="Einstaklingsbundið",IFERROR(IF(INDEX('Undirviðmiðalisti (Lýsigögn)'!L$42:L$58,MATCH($C55,'Undirviðmiðalisti (Lýsigögn)'!$C$42:$C$58,0))="","",INDEX('Undirviðmiðalisti (Lýsigögn)'!L$42:L$58,MATCH($C55,'Undirviðmiðalisti (Lýsigögn)'!$C$42:$C$58,0))),""),IFERROR(IF(INDEX('Undirviðmiðalisti (Lýsigögn)'!L$6:L$41,MATCH($C55,'Undirviðmiðalisti (Lýsigögn)'!$C$6:$C$41,0))="","",INDEX('Undirviðmiðalisti (Lýsigögn)'!L$6:L$41,MATCH($C55,'Undirviðmiðalisti (Lýsigögn)'!$C$6:$C$41,0))),IFERROR(IF(INDEX('Undirviðmiðalisti (Lýsigögn)'!L$42:L$58,MATCH($C55,'Undirviðmiðalisti (Lýsigögn)'!$C$42:$C$58,0))="","",INDEX('Undirviðmiðalisti (Lýsigögn)'!L$42:L$58,MATCH($C55,'Undirviðmiðalisti (Lýsigögn)'!$C$42:$C$58,0))),""))))</f>
        <v/>
      </c>
      <c r="Q55" s="16" t="str">
        <f aca="false">IF($C55="","",IF($G55="Einstaklingsbundið",IFERROR(IF(INDEX('Undirviðmiðalisti (Lýsigögn)'!M$42:M$58,MATCH($C55,'Undirviðmiðalisti (Lýsigögn)'!$C$42:$C$58,0))="","",INDEX('Undirviðmiðalisti (Lýsigögn)'!M$42:M$58,MATCH($C55,'Undirviðmiðalisti (Lýsigögn)'!$C$42:$C$58,0))),""),IFERROR(IF(INDEX('Undirviðmiðalisti (Lýsigögn)'!M$6:M$41,MATCH($C55,'Undirviðmiðalisti (Lýsigögn)'!$C$6:$C$41,0))="","",INDEX('Undirviðmiðalisti (Lýsigögn)'!M$6:M$41,MATCH($C55,'Undirviðmiðalisti (Lýsigögn)'!$C$6:$C$41,0))),IFERROR(IF(INDEX('Undirviðmiðalisti (Lýsigögn)'!M$42:M$58,MATCH($C55,'Undirviðmiðalisti (Lýsigögn)'!$C$42:$C$58,0))="","",INDEX('Undirviðmiðalisti (Lýsigögn)'!M$42:M$58,MATCH($C55,'Undirviðmiðalisti (Lýsigögn)'!$C$42:$C$58,0))),""))))</f>
        <v/>
      </c>
    </row>
    <row r="56" customFormat="false" ht="15" hidden="false" customHeight="true" outlineLevel="0" collapsed="false">
      <c r="A56" s="22" t="str">
        <f aca="false">IF($B56="","",ROW()-5)</f>
        <v/>
      </c>
      <c r="B56" s="15"/>
      <c r="C56" s="15"/>
      <c r="D56" s="16" t="str">
        <f aca="false">IF($C56="","",IF($G56="Einstaklingsbundið",IFERROR(IF(INDEX('Undirviðmiðalisti (Lýsigögn)'!$D$42:$D$58,MATCH($C56,'Undirviðmiðalisti (Lýsigögn)'!$C$42:$C$58,0))="","",INDEX('Undirviðmiðalisti (Lýsigögn)'!$D$42:$D$58,MATCH($C56,'Undirviðmiðalisti (Lýsigögn)'!$C$42:$C$58,0))),""),IFERROR(IF(INDEX('Undirviðmiðalisti (Lýsigögn)'!$D$6:$D$41,MATCH($C56,'Undirviðmiðalisti (Lýsigögn)'!$C$6:$C$41,0))="","",INDEX('Undirviðmiðalisti (Lýsigögn)'!$D$6:$D$41,MATCH($C56,'Undirviðmiðalisti (Lýsigögn)'!$C$6:$C$41,0))),IFERROR(IF(INDEX('Undirviðmiðalisti (Lýsigögn)'!$D$42:$D$58,MATCH($C56,'Undirviðmiðalisti (Lýsigögn)'!$C$42:$C$58,0))="","",INDEX('Undirviðmiðalisti (Lýsigögn)'!$D$42:$D$58,MATCH($C56,'Undirviðmiðalisti (Lýsigögn)'!$C$42:$C$58,0))),""))))</f>
        <v/>
      </c>
      <c r="E56" s="14"/>
      <c r="F56" s="23" t="str">
        <f aca="false">IF($C56="","",IF($G56="Einstaklingsbundið",IFERROR(IF(INDEX('Undirviðmiðalisti (Lýsigögn)'!$E$42:$E$58,MATCH($C56,'Undirviðmiðalisti (Lýsigögn)'!$C$42:$C$58,0))="","",INDEX('Undirviðmiðalisti (Lýsigögn)'!$E$42:$E$58,MATCH($C56,'Undirviðmiðalisti (Lýsigögn)'!$C$42:$C$58,0))),""),IFERROR(IF(INDEX('Undirviðmiðalisti (Lýsigögn)'!$E$6:$E$41,MATCH($C56,'Undirviðmiðalisti (Lýsigögn)'!$C$6:$C$41,0))="","",INDEX('Undirviðmiðalisti (Lýsigögn)'!$E$6:$E$41,MATCH($C56,'Undirviðmiðalisti (Lýsigögn)'!$C$6:$C$41,0))),IFERROR(IF(INDEX('Undirviðmiðalisti (Lýsigögn)'!$E$42:$E$58,MATCH($C56,'Undirviðmiðalisti (Lýsigögn)'!$C$42:$C$58,0))="","",INDEX('Undirviðmiðalisti (Lýsigögn)'!$E$42:$E$58,MATCH($C56,'Undirviðmiðalisti (Lýsigögn)'!$C$42:$C$58,0))),""))))</f>
        <v/>
      </c>
      <c r="G56" s="24" t="str">
        <f aca="false">IFERROR(IF(B56="","",INDEX(Viðmið!$B$6:$B$10,MATCH(B56,Viðmið!$C$6:$C$10,0))),"")</f>
        <v/>
      </c>
      <c r="H56" s="25" t="str">
        <f aca="false">IF(OR(E56="",F56=""),"",E56*KVARDI)</f>
        <v/>
      </c>
      <c r="I56" s="26" t="str">
        <f aca="false">IF(B56="","",IF(ROUND(SUMIF($B$6:$B$205,B56,$E$6:$E$205),4)=ROUND(IFERROR(INDEX(Viðmið!$E$6:$E$10,MATCH(B56,Viðmið!$C$6:$C$10,0)),-1),4),"✓","✗"))</f>
        <v/>
      </c>
      <c r="J56" s="16" t="str">
        <f aca="false">IF($C56="","",IF($G56="Einstaklingsbundið",IFERROR(IF(INDEX('Undirviðmiðalisti (Lýsigögn)'!F$42:F$58,MATCH($C56,'Undirviðmiðalisti (Lýsigögn)'!$C$42:$C$58,0))="","",INDEX('Undirviðmiðalisti (Lýsigögn)'!F$42:F$58,MATCH($C56,'Undirviðmiðalisti (Lýsigögn)'!$C$42:$C$58,0))),""),IFERROR(IF(INDEX('Undirviðmiðalisti (Lýsigögn)'!F$6:F$41,MATCH($C56,'Undirviðmiðalisti (Lýsigögn)'!$C$6:$C$41,0))="","",INDEX('Undirviðmiðalisti (Lýsigögn)'!F$6:F$41,MATCH($C56,'Undirviðmiðalisti (Lýsigögn)'!$C$6:$C$41,0))),IFERROR(IF(INDEX('Undirviðmiðalisti (Lýsigögn)'!F$42:F$58,MATCH($C56,'Undirviðmiðalisti (Lýsigögn)'!$C$42:$C$58,0))="","",INDEX('Undirviðmiðalisti (Lýsigögn)'!F$42:F$58,MATCH($C56,'Undirviðmiðalisti (Lýsigögn)'!$C$42:$C$58,0))),""))))</f>
        <v/>
      </c>
      <c r="K56" s="16" t="str">
        <f aca="false">IF($C56="","",IF($G56="Einstaklingsbundið",IFERROR(IF(INDEX('Undirviðmiðalisti (Lýsigögn)'!G$42:G$58,MATCH($C56,'Undirviðmiðalisti (Lýsigögn)'!$C$42:$C$58,0))="","",INDEX('Undirviðmiðalisti (Lýsigögn)'!G$42:G$58,MATCH($C56,'Undirviðmiðalisti (Lýsigögn)'!$C$42:$C$58,0))),""),IFERROR(IF(INDEX('Undirviðmiðalisti (Lýsigögn)'!G$6:G$41,MATCH($C56,'Undirviðmiðalisti (Lýsigögn)'!$C$6:$C$41,0))="","",INDEX('Undirviðmiðalisti (Lýsigögn)'!G$6:G$41,MATCH($C56,'Undirviðmiðalisti (Lýsigögn)'!$C$6:$C$41,0))),IFERROR(IF(INDEX('Undirviðmiðalisti (Lýsigögn)'!G$42:G$58,MATCH($C56,'Undirviðmiðalisti (Lýsigögn)'!$C$42:$C$58,0))="","",INDEX('Undirviðmiðalisti (Lýsigögn)'!G$42:G$58,MATCH($C56,'Undirviðmiðalisti (Lýsigögn)'!$C$42:$C$58,0))),""))))</f>
        <v/>
      </c>
      <c r="L56" s="16" t="str">
        <f aca="false">IF($C56="","",IF($G56="Einstaklingsbundið",IFERROR(IF(INDEX('Undirviðmiðalisti (Lýsigögn)'!H$42:H$58,MATCH($C56,'Undirviðmiðalisti (Lýsigögn)'!$C$42:$C$58,0))="","",INDEX('Undirviðmiðalisti (Lýsigögn)'!H$42:H$58,MATCH($C56,'Undirviðmiðalisti (Lýsigögn)'!$C$42:$C$58,0))),""),IFERROR(IF(INDEX('Undirviðmiðalisti (Lýsigögn)'!H$6:H$41,MATCH($C56,'Undirviðmiðalisti (Lýsigögn)'!$C$6:$C$41,0))="","",INDEX('Undirviðmiðalisti (Lýsigögn)'!H$6:H$41,MATCH($C56,'Undirviðmiðalisti (Lýsigögn)'!$C$6:$C$41,0))),IFERROR(IF(INDEX('Undirviðmiðalisti (Lýsigögn)'!H$42:H$58,MATCH($C56,'Undirviðmiðalisti (Lýsigögn)'!$C$42:$C$58,0))="","",INDEX('Undirviðmiðalisti (Lýsigögn)'!H$42:H$58,MATCH($C56,'Undirviðmiðalisti (Lýsigögn)'!$C$42:$C$58,0))),""))))</f>
        <v/>
      </c>
      <c r="M56" s="16" t="str">
        <f aca="false">IF($C56="","",IF($G56="Einstaklingsbundið",IFERROR(IF(INDEX('Undirviðmiðalisti (Lýsigögn)'!I$42:I$58,MATCH($C56,'Undirviðmiðalisti (Lýsigögn)'!$C$42:$C$58,0))="","",INDEX('Undirviðmiðalisti (Lýsigögn)'!I$42:I$58,MATCH($C56,'Undirviðmiðalisti (Lýsigögn)'!$C$42:$C$58,0))),""),IFERROR(IF(INDEX('Undirviðmiðalisti (Lýsigögn)'!I$6:I$41,MATCH($C56,'Undirviðmiðalisti (Lýsigögn)'!$C$6:$C$41,0))="","",INDEX('Undirviðmiðalisti (Lýsigögn)'!I$6:I$41,MATCH($C56,'Undirviðmiðalisti (Lýsigögn)'!$C$6:$C$41,0))),IFERROR(IF(INDEX('Undirviðmiðalisti (Lýsigögn)'!I$42:I$58,MATCH($C56,'Undirviðmiðalisti (Lýsigögn)'!$C$42:$C$58,0))="","",INDEX('Undirviðmiðalisti (Lýsigögn)'!I$42:I$58,MATCH($C56,'Undirviðmiðalisti (Lýsigögn)'!$C$42:$C$58,0))),""))))</f>
        <v/>
      </c>
      <c r="N56" s="16" t="str">
        <f aca="false">IF($C56="","",IF($G56="Einstaklingsbundið",IFERROR(IF(INDEX('Undirviðmiðalisti (Lýsigögn)'!J$42:J$58,MATCH($C56,'Undirviðmiðalisti (Lýsigögn)'!$C$42:$C$58,0))="","",INDEX('Undirviðmiðalisti (Lýsigögn)'!J$42:J$58,MATCH($C56,'Undirviðmiðalisti (Lýsigögn)'!$C$42:$C$58,0))),""),IFERROR(IF(INDEX('Undirviðmiðalisti (Lýsigögn)'!J$6:J$41,MATCH($C56,'Undirviðmiðalisti (Lýsigögn)'!$C$6:$C$41,0))="","",INDEX('Undirviðmiðalisti (Lýsigögn)'!J$6:J$41,MATCH($C56,'Undirviðmiðalisti (Lýsigögn)'!$C$6:$C$41,0))),IFERROR(IF(INDEX('Undirviðmiðalisti (Lýsigögn)'!J$42:J$58,MATCH($C56,'Undirviðmiðalisti (Lýsigögn)'!$C$42:$C$58,0))="","",INDEX('Undirviðmiðalisti (Lýsigögn)'!J$42:J$58,MATCH($C56,'Undirviðmiðalisti (Lýsigögn)'!$C$42:$C$58,0))),""))))</f>
        <v/>
      </c>
      <c r="O56" s="16" t="str">
        <f aca="false">IF($C56="","",IF($G56="Einstaklingsbundið",IFERROR(IF(INDEX('Undirviðmiðalisti (Lýsigögn)'!K$42:K$58,MATCH($C56,'Undirviðmiðalisti (Lýsigögn)'!$C$42:$C$58,0))="","",INDEX('Undirviðmiðalisti (Lýsigögn)'!K$42:K$58,MATCH($C56,'Undirviðmiðalisti (Lýsigögn)'!$C$42:$C$58,0))),""),IFERROR(IF(INDEX('Undirviðmiðalisti (Lýsigögn)'!K$6:K$41,MATCH($C56,'Undirviðmiðalisti (Lýsigögn)'!$C$6:$C$41,0))="","",INDEX('Undirviðmiðalisti (Lýsigögn)'!K$6:K$41,MATCH($C56,'Undirviðmiðalisti (Lýsigögn)'!$C$6:$C$41,0))),IFERROR(IF(INDEX('Undirviðmiðalisti (Lýsigögn)'!K$42:K$58,MATCH($C56,'Undirviðmiðalisti (Lýsigögn)'!$C$42:$C$58,0))="","",INDEX('Undirviðmiðalisti (Lýsigögn)'!K$42:K$58,MATCH($C56,'Undirviðmiðalisti (Lýsigögn)'!$C$42:$C$58,0))),""))))</f>
        <v/>
      </c>
      <c r="P56" s="16" t="str">
        <f aca="false">IF($C56="","",IF($G56="Einstaklingsbundið",IFERROR(IF(INDEX('Undirviðmiðalisti (Lýsigögn)'!L$42:L$58,MATCH($C56,'Undirviðmiðalisti (Lýsigögn)'!$C$42:$C$58,0))="","",INDEX('Undirviðmiðalisti (Lýsigögn)'!L$42:L$58,MATCH($C56,'Undirviðmiðalisti (Lýsigögn)'!$C$42:$C$58,0))),""),IFERROR(IF(INDEX('Undirviðmiðalisti (Lýsigögn)'!L$6:L$41,MATCH($C56,'Undirviðmiðalisti (Lýsigögn)'!$C$6:$C$41,0))="","",INDEX('Undirviðmiðalisti (Lýsigögn)'!L$6:L$41,MATCH($C56,'Undirviðmiðalisti (Lýsigögn)'!$C$6:$C$41,0))),IFERROR(IF(INDEX('Undirviðmiðalisti (Lýsigögn)'!L$42:L$58,MATCH($C56,'Undirviðmiðalisti (Lýsigögn)'!$C$42:$C$58,0))="","",INDEX('Undirviðmiðalisti (Lýsigögn)'!L$42:L$58,MATCH($C56,'Undirviðmiðalisti (Lýsigögn)'!$C$42:$C$58,0))),""))))</f>
        <v/>
      </c>
      <c r="Q56" s="16" t="str">
        <f aca="false">IF($C56="","",IF($G56="Einstaklingsbundið",IFERROR(IF(INDEX('Undirviðmiðalisti (Lýsigögn)'!M$42:M$58,MATCH($C56,'Undirviðmiðalisti (Lýsigögn)'!$C$42:$C$58,0))="","",INDEX('Undirviðmiðalisti (Lýsigögn)'!M$42:M$58,MATCH($C56,'Undirviðmiðalisti (Lýsigögn)'!$C$42:$C$58,0))),""),IFERROR(IF(INDEX('Undirviðmiðalisti (Lýsigögn)'!M$6:M$41,MATCH($C56,'Undirviðmiðalisti (Lýsigögn)'!$C$6:$C$41,0))="","",INDEX('Undirviðmiðalisti (Lýsigögn)'!M$6:M$41,MATCH($C56,'Undirviðmiðalisti (Lýsigögn)'!$C$6:$C$41,0))),IFERROR(IF(INDEX('Undirviðmiðalisti (Lýsigögn)'!M$42:M$58,MATCH($C56,'Undirviðmiðalisti (Lýsigögn)'!$C$42:$C$58,0))="","",INDEX('Undirviðmiðalisti (Lýsigögn)'!M$42:M$58,MATCH($C56,'Undirviðmiðalisti (Lýsigögn)'!$C$42:$C$58,0))),""))))</f>
        <v/>
      </c>
    </row>
    <row r="57" customFormat="false" ht="15" hidden="false" customHeight="true" outlineLevel="0" collapsed="false">
      <c r="A57" s="22" t="str">
        <f aca="false">IF($B57="","",ROW()-5)</f>
        <v/>
      </c>
      <c r="B57" s="15"/>
      <c r="C57" s="15"/>
      <c r="D57" s="16" t="str">
        <f aca="false">IF($C57="","",IF($G57="Einstaklingsbundið",IFERROR(IF(INDEX('Undirviðmiðalisti (Lýsigögn)'!$D$42:$D$58,MATCH($C57,'Undirviðmiðalisti (Lýsigögn)'!$C$42:$C$58,0))="","",INDEX('Undirviðmiðalisti (Lýsigögn)'!$D$42:$D$58,MATCH($C57,'Undirviðmiðalisti (Lýsigögn)'!$C$42:$C$58,0))),""),IFERROR(IF(INDEX('Undirviðmiðalisti (Lýsigögn)'!$D$6:$D$41,MATCH($C57,'Undirviðmiðalisti (Lýsigögn)'!$C$6:$C$41,0))="","",INDEX('Undirviðmiðalisti (Lýsigögn)'!$D$6:$D$41,MATCH($C57,'Undirviðmiðalisti (Lýsigögn)'!$C$6:$C$41,0))),IFERROR(IF(INDEX('Undirviðmiðalisti (Lýsigögn)'!$D$42:$D$58,MATCH($C57,'Undirviðmiðalisti (Lýsigögn)'!$C$42:$C$58,0))="","",INDEX('Undirviðmiðalisti (Lýsigögn)'!$D$42:$D$58,MATCH($C57,'Undirviðmiðalisti (Lýsigögn)'!$C$42:$C$58,0))),""))))</f>
        <v/>
      </c>
      <c r="E57" s="14"/>
      <c r="F57" s="23" t="str">
        <f aca="false">IF($C57="","",IF($G57="Einstaklingsbundið",IFERROR(IF(INDEX('Undirviðmiðalisti (Lýsigögn)'!$E$42:$E$58,MATCH($C57,'Undirviðmiðalisti (Lýsigögn)'!$C$42:$C$58,0))="","",INDEX('Undirviðmiðalisti (Lýsigögn)'!$E$42:$E$58,MATCH($C57,'Undirviðmiðalisti (Lýsigögn)'!$C$42:$C$58,0))),""),IFERROR(IF(INDEX('Undirviðmiðalisti (Lýsigögn)'!$E$6:$E$41,MATCH($C57,'Undirviðmiðalisti (Lýsigögn)'!$C$6:$C$41,0))="","",INDEX('Undirviðmiðalisti (Lýsigögn)'!$E$6:$E$41,MATCH($C57,'Undirviðmiðalisti (Lýsigögn)'!$C$6:$C$41,0))),IFERROR(IF(INDEX('Undirviðmiðalisti (Lýsigögn)'!$E$42:$E$58,MATCH($C57,'Undirviðmiðalisti (Lýsigögn)'!$C$42:$C$58,0))="","",INDEX('Undirviðmiðalisti (Lýsigögn)'!$E$42:$E$58,MATCH($C57,'Undirviðmiðalisti (Lýsigögn)'!$C$42:$C$58,0))),""))))</f>
        <v/>
      </c>
      <c r="G57" s="24" t="str">
        <f aca="false">IFERROR(IF(B57="","",INDEX(Viðmið!$B$6:$B$10,MATCH(B57,Viðmið!$C$6:$C$10,0))),"")</f>
        <v/>
      </c>
      <c r="H57" s="25" t="str">
        <f aca="false">IF(OR(E57="",F57=""),"",E57*KVARDI)</f>
        <v/>
      </c>
      <c r="I57" s="26" t="str">
        <f aca="false">IF(B57="","",IF(ROUND(SUMIF($B$6:$B$205,B57,$E$6:$E$205),4)=ROUND(IFERROR(INDEX(Viðmið!$E$6:$E$10,MATCH(B57,Viðmið!$C$6:$C$10,0)),-1),4),"✓","✗"))</f>
        <v/>
      </c>
      <c r="J57" s="16" t="str">
        <f aca="false">IF($C57="","",IF($G57="Einstaklingsbundið",IFERROR(IF(INDEX('Undirviðmiðalisti (Lýsigögn)'!F$42:F$58,MATCH($C57,'Undirviðmiðalisti (Lýsigögn)'!$C$42:$C$58,0))="","",INDEX('Undirviðmiðalisti (Lýsigögn)'!F$42:F$58,MATCH($C57,'Undirviðmiðalisti (Lýsigögn)'!$C$42:$C$58,0))),""),IFERROR(IF(INDEX('Undirviðmiðalisti (Lýsigögn)'!F$6:F$41,MATCH($C57,'Undirviðmiðalisti (Lýsigögn)'!$C$6:$C$41,0))="","",INDEX('Undirviðmiðalisti (Lýsigögn)'!F$6:F$41,MATCH($C57,'Undirviðmiðalisti (Lýsigögn)'!$C$6:$C$41,0))),IFERROR(IF(INDEX('Undirviðmiðalisti (Lýsigögn)'!F$42:F$58,MATCH($C57,'Undirviðmiðalisti (Lýsigögn)'!$C$42:$C$58,0))="","",INDEX('Undirviðmiðalisti (Lýsigögn)'!F$42:F$58,MATCH($C57,'Undirviðmiðalisti (Lýsigögn)'!$C$42:$C$58,0))),""))))</f>
        <v/>
      </c>
      <c r="K57" s="16" t="str">
        <f aca="false">IF($C57="","",IF($G57="Einstaklingsbundið",IFERROR(IF(INDEX('Undirviðmiðalisti (Lýsigögn)'!G$42:G$58,MATCH($C57,'Undirviðmiðalisti (Lýsigögn)'!$C$42:$C$58,0))="","",INDEX('Undirviðmiðalisti (Lýsigögn)'!G$42:G$58,MATCH($C57,'Undirviðmiðalisti (Lýsigögn)'!$C$42:$C$58,0))),""),IFERROR(IF(INDEX('Undirviðmiðalisti (Lýsigögn)'!G$6:G$41,MATCH($C57,'Undirviðmiðalisti (Lýsigögn)'!$C$6:$C$41,0))="","",INDEX('Undirviðmiðalisti (Lýsigögn)'!G$6:G$41,MATCH($C57,'Undirviðmiðalisti (Lýsigögn)'!$C$6:$C$41,0))),IFERROR(IF(INDEX('Undirviðmiðalisti (Lýsigögn)'!G$42:G$58,MATCH($C57,'Undirviðmiðalisti (Lýsigögn)'!$C$42:$C$58,0))="","",INDEX('Undirviðmiðalisti (Lýsigögn)'!G$42:G$58,MATCH($C57,'Undirviðmiðalisti (Lýsigögn)'!$C$42:$C$58,0))),""))))</f>
        <v/>
      </c>
      <c r="L57" s="16" t="str">
        <f aca="false">IF($C57="","",IF($G57="Einstaklingsbundið",IFERROR(IF(INDEX('Undirviðmiðalisti (Lýsigögn)'!H$42:H$58,MATCH($C57,'Undirviðmiðalisti (Lýsigögn)'!$C$42:$C$58,0))="","",INDEX('Undirviðmiðalisti (Lýsigögn)'!H$42:H$58,MATCH($C57,'Undirviðmiðalisti (Lýsigögn)'!$C$42:$C$58,0))),""),IFERROR(IF(INDEX('Undirviðmiðalisti (Lýsigögn)'!H$6:H$41,MATCH($C57,'Undirviðmiðalisti (Lýsigögn)'!$C$6:$C$41,0))="","",INDEX('Undirviðmiðalisti (Lýsigögn)'!H$6:H$41,MATCH($C57,'Undirviðmiðalisti (Lýsigögn)'!$C$6:$C$41,0))),IFERROR(IF(INDEX('Undirviðmiðalisti (Lýsigögn)'!H$42:H$58,MATCH($C57,'Undirviðmiðalisti (Lýsigögn)'!$C$42:$C$58,0))="","",INDEX('Undirviðmiðalisti (Lýsigögn)'!H$42:H$58,MATCH($C57,'Undirviðmiðalisti (Lýsigögn)'!$C$42:$C$58,0))),""))))</f>
        <v/>
      </c>
      <c r="M57" s="16" t="str">
        <f aca="false">IF($C57="","",IF($G57="Einstaklingsbundið",IFERROR(IF(INDEX('Undirviðmiðalisti (Lýsigögn)'!I$42:I$58,MATCH($C57,'Undirviðmiðalisti (Lýsigögn)'!$C$42:$C$58,0))="","",INDEX('Undirviðmiðalisti (Lýsigögn)'!I$42:I$58,MATCH($C57,'Undirviðmiðalisti (Lýsigögn)'!$C$42:$C$58,0))),""),IFERROR(IF(INDEX('Undirviðmiðalisti (Lýsigögn)'!I$6:I$41,MATCH($C57,'Undirviðmiðalisti (Lýsigögn)'!$C$6:$C$41,0))="","",INDEX('Undirviðmiðalisti (Lýsigögn)'!I$6:I$41,MATCH($C57,'Undirviðmiðalisti (Lýsigögn)'!$C$6:$C$41,0))),IFERROR(IF(INDEX('Undirviðmiðalisti (Lýsigögn)'!I$42:I$58,MATCH($C57,'Undirviðmiðalisti (Lýsigögn)'!$C$42:$C$58,0))="","",INDEX('Undirviðmiðalisti (Lýsigögn)'!I$42:I$58,MATCH($C57,'Undirviðmiðalisti (Lýsigögn)'!$C$42:$C$58,0))),""))))</f>
        <v/>
      </c>
      <c r="N57" s="16" t="str">
        <f aca="false">IF($C57="","",IF($G57="Einstaklingsbundið",IFERROR(IF(INDEX('Undirviðmiðalisti (Lýsigögn)'!J$42:J$58,MATCH($C57,'Undirviðmiðalisti (Lýsigögn)'!$C$42:$C$58,0))="","",INDEX('Undirviðmiðalisti (Lýsigögn)'!J$42:J$58,MATCH($C57,'Undirviðmiðalisti (Lýsigögn)'!$C$42:$C$58,0))),""),IFERROR(IF(INDEX('Undirviðmiðalisti (Lýsigögn)'!J$6:J$41,MATCH($C57,'Undirviðmiðalisti (Lýsigögn)'!$C$6:$C$41,0))="","",INDEX('Undirviðmiðalisti (Lýsigögn)'!J$6:J$41,MATCH($C57,'Undirviðmiðalisti (Lýsigögn)'!$C$6:$C$41,0))),IFERROR(IF(INDEX('Undirviðmiðalisti (Lýsigögn)'!J$42:J$58,MATCH($C57,'Undirviðmiðalisti (Lýsigögn)'!$C$42:$C$58,0))="","",INDEX('Undirviðmiðalisti (Lýsigögn)'!J$42:J$58,MATCH($C57,'Undirviðmiðalisti (Lýsigögn)'!$C$42:$C$58,0))),""))))</f>
        <v/>
      </c>
      <c r="O57" s="16" t="str">
        <f aca="false">IF($C57="","",IF($G57="Einstaklingsbundið",IFERROR(IF(INDEX('Undirviðmiðalisti (Lýsigögn)'!K$42:K$58,MATCH($C57,'Undirviðmiðalisti (Lýsigögn)'!$C$42:$C$58,0))="","",INDEX('Undirviðmiðalisti (Lýsigögn)'!K$42:K$58,MATCH($C57,'Undirviðmiðalisti (Lýsigögn)'!$C$42:$C$58,0))),""),IFERROR(IF(INDEX('Undirviðmiðalisti (Lýsigögn)'!K$6:K$41,MATCH($C57,'Undirviðmiðalisti (Lýsigögn)'!$C$6:$C$41,0))="","",INDEX('Undirviðmiðalisti (Lýsigögn)'!K$6:K$41,MATCH($C57,'Undirviðmiðalisti (Lýsigögn)'!$C$6:$C$41,0))),IFERROR(IF(INDEX('Undirviðmiðalisti (Lýsigögn)'!K$42:K$58,MATCH($C57,'Undirviðmiðalisti (Lýsigögn)'!$C$42:$C$58,0))="","",INDEX('Undirviðmiðalisti (Lýsigögn)'!K$42:K$58,MATCH($C57,'Undirviðmiðalisti (Lýsigögn)'!$C$42:$C$58,0))),""))))</f>
        <v/>
      </c>
      <c r="P57" s="16" t="str">
        <f aca="false">IF($C57="","",IF($G57="Einstaklingsbundið",IFERROR(IF(INDEX('Undirviðmiðalisti (Lýsigögn)'!L$42:L$58,MATCH($C57,'Undirviðmiðalisti (Lýsigögn)'!$C$42:$C$58,0))="","",INDEX('Undirviðmiðalisti (Lýsigögn)'!L$42:L$58,MATCH($C57,'Undirviðmiðalisti (Lýsigögn)'!$C$42:$C$58,0))),""),IFERROR(IF(INDEX('Undirviðmiðalisti (Lýsigögn)'!L$6:L$41,MATCH($C57,'Undirviðmiðalisti (Lýsigögn)'!$C$6:$C$41,0))="","",INDEX('Undirviðmiðalisti (Lýsigögn)'!L$6:L$41,MATCH($C57,'Undirviðmiðalisti (Lýsigögn)'!$C$6:$C$41,0))),IFERROR(IF(INDEX('Undirviðmiðalisti (Lýsigögn)'!L$42:L$58,MATCH($C57,'Undirviðmiðalisti (Lýsigögn)'!$C$42:$C$58,0))="","",INDEX('Undirviðmiðalisti (Lýsigögn)'!L$42:L$58,MATCH($C57,'Undirviðmiðalisti (Lýsigögn)'!$C$42:$C$58,0))),""))))</f>
        <v/>
      </c>
      <c r="Q57" s="16" t="str">
        <f aca="false">IF($C57="","",IF($G57="Einstaklingsbundið",IFERROR(IF(INDEX('Undirviðmiðalisti (Lýsigögn)'!M$42:M$58,MATCH($C57,'Undirviðmiðalisti (Lýsigögn)'!$C$42:$C$58,0))="","",INDEX('Undirviðmiðalisti (Lýsigögn)'!M$42:M$58,MATCH($C57,'Undirviðmiðalisti (Lýsigögn)'!$C$42:$C$58,0))),""),IFERROR(IF(INDEX('Undirviðmiðalisti (Lýsigögn)'!M$6:M$41,MATCH($C57,'Undirviðmiðalisti (Lýsigögn)'!$C$6:$C$41,0))="","",INDEX('Undirviðmiðalisti (Lýsigögn)'!M$6:M$41,MATCH($C57,'Undirviðmiðalisti (Lýsigögn)'!$C$6:$C$41,0))),IFERROR(IF(INDEX('Undirviðmiðalisti (Lýsigögn)'!M$42:M$58,MATCH($C57,'Undirviðmiðalisti (Lýsigögn)'!$C$42:$C$58,0))="","",INDEX('Undirviðmiðalisti (Lýsigögn)'!M$42:M$58,MATCH($C57,'Undirviðmiðalisti (Lýsigögn)'!$C$42:$C$58,0))),""))))</f>
        <v/>
      </c>
    </row>
    <row r="58" customFormat="false" ht="15" hidden="false" customHeight="true" outlineLevel="0" collapsed="false">
      <c r="A58" s="22" t="str">
        <f aca="false">IF($B58="","",ROW()-5)</f>
        <v/>
      </c>
      <c r="B58" s="15"/>
      <c r="C58" s="15"/>
      <c r="D58" s="16" t="str">
        <f aca="false">IF($C58="","",IF($G58="Einstaklingsbundið",IFERROR(IF(INDEX('Undirviðmiðalisti (Lýsigögn)'!$D$42:$D$58,MATCH($C58,'Undirviðmiðalisti (Lýsigögn)'!$C$42:$C$58,0))="","",INDEX('Undirviðmiðalisti (Lýsigögn)'!$D$42:$D$58,MATCH($C58,'Undirviðmiðalisti (Lýsigögn)'!$C$42:$C$58,0))),""),IFERROR(IF(INDEX('Undirviðmiðalisti (Lýsigögn)'!$D$6:$D$41,MATCH($C58,'Undirviðmiðalisti (Lýsigögn)'!$C$6:$C$41,0))="","",INDEX('Undirviðmiðalisti (Lýsigögn)'!$D$6:$D$41,MATCH($C58,'Undirviðmiðalisti (Lýsigögn)'!$C$6:$C$41,0))),IFERROR(IF(INDEX('Undirviðmiðalisti (Lýsigögn)'!$D$42:$D$58,MATCH($C58,'Undirviðmiðalisti (Lýsigögn)'!$C$42:$C$58,0))="","",INDEX('Undirviðmiðalisti (Lýsigögn)'!$D$42:$D$58,MATCH($C58,'Undirviðmiðalisti (Lýsigögn)'!$C$42:$C$58,0))),""))))</f>
        <v/>
      </c>
      <c r="E58" s="14"/>
      <c r="F58" s="23" t="str">
        <f aca="false">IF($C58="","",IF($G58="Einstaklingsbundið",IFERROR(IF(INDEX('Undirviðmiðalisti (Lýsigögn)'!$E$42:$E$58,MATCH($C58,'Undirviðmiðalisti (Lýsigögn)'!$C$42:$C$58,0))="","",INDEX('Undirviðmiðalisti (Lýsigögn)'!$E$42:$E$58,MATCH($C58,'Undirviðmiðalisti (Lýsigögn)'!$C$42:$C$58,0))),""),IFERROR(IF(INDEX('Undirviðmiðalisti (Lýsigögn)'!$E$6:$E$41,MATCH($C58,'Undirviðmiðalisti (Lýsigögn)'!$C$6:$C$41,0))="","",INDEX('Undirviðmiðalisti (Lýsigögn)'!$E$6:$E$41,MATCH($C58,'Undirviðmiðalisti (Lýsigögn)'!$C$6:$C$41,0))),IFERROR(IF(INDEX('Undirviðmiðalisti (Lýsigögn)'!$E$42:$E$58,MATCH($C58,'Undirviðmiðalisti (Lýsigögn)'!$C$42:$C$58,0))="","",INDEX('Undirviðmiðalisti (Lýsigögn)'!$E$42:$E$58,MATCH($C58,'Undirviðmiðalisti (Lýsigögn)'!$C$42:$C$58,0))),""))))</f>
        <v/>
      </c>
      <c r="G58" s="24" t="str">
        <f aca="false">IFERROR(IF(B58="","",INDEX(Viðmið!$B$6:$B$10,MATCH(B58,Viðmið!$C$6:$C$10,0))),"")</f>
        <v/>
      </c>
      <c r="H58" s="25" t="str">
        <f aca="false">IF(OR(E58="",F58=""),"",E58*KVARDI)</f>
        <v/>
      </c>
      <c r="I58" s="26" t="str">
        <f aca="false">IF(B58="","",IF(ROUND(SUMIF($B$6:$B$205,B58,$E$6:$E$205),4)=ROUND(IFERROR(INDEX(Viðmið!$E$6:$E$10,MATCH(B58,Viðmið!$C$6:$C$10,0)),-1),4),"✓","✗"))</f>
        <v/>
      </c>
      <c r="J58" s="16" t="str">
        <f aca="false">IF($C58="","",IF($G58="Einstaklingsbundið",IFERROR(IF(INDEX('Undirviðmiðalisti (Lýsigögn)'!F$42:F$58,MATCH($C58,'Undirviðmiðalisti (Lýsigögn)'!$C$42:$C$58,0))="","",INDEX('Undirviðmiðalisti (Lýsigögn)'!F$42:F$58,MATCH($C58,'Undirviðmiðalisti (Lýsigögn)'!$C$42:$C$58,0))),""),IFERROR(IF(INDEX('Undirviðmiðalisti (Lýsigögn)'!F$6:F$41,MATCH($C58,'Undirviðmiðalisti (Lýsigögn)'!$C$6:$C$41,0))="","",INDEX('Undirviðmiðalisti (Lýsigögn)'!F$6:F$41,MATCH($C58,'Undirviðmiðalisti (Lýsigögn)'!$C$6:$C$41,0))),IFERROR(IF(INDEX('Undirviðmiðalisti (Lýsigögn)'!F$42:F$58,MATCH($C58,'Undirviðmiðalisti (Lýsigögn)'!$C$42:$C$58,0))="","",INDEX('Undirviðmiðalisti (Lýsigögn)'!F$42:F$58,MATCH($C58,'Undirviðmiðalisti (Lýsigögn)'!$C$42:$C$58,0))),""))))</f>
        <v/>
      </c>
      <c r="K58" s="16" t="str">
        <f aca="false">IF($C58="","",IF($G58="Einstaklingsbundið",IFERROR(IF(INDEX('Undirviðmiðalisti (Lýsigögn)'!G$42:G$58,MATCH($C58,'Undirviðmiðalisti (Lýsigögn)'!$C$42:$C$58,0))="","",INDEX('Undirviðmiðalisti (Lýsigögn)'!G$42:G$58,MATCH($C58,'Undirviðmiðalisti (Lýsigögn)'!$C$42:$C$58,0))),""),IFERROR(IF(INDEX('Undirviðmiðalisti (Lýsigögn)'!G$6:G$41,MATCH($C58,'Undirviðmiðalisti (Lýsigögn)'!$C$6:$C$41,0))="","",INDEX('Undirviðmiðalisti (Lýsigögn)'!G$6:G$41,MATCH($C58,'Undirviðmiðalisti (Lýsigögn)'!$C$6:$C$41,0))),IFERROR(IF(INDEX('Undirviðmiðalisti (Lýsigögn)'!G$42:G$58,MATCH($C58,'Undirviðmiðalisti (Lýsigögn)'!$C$42:$C$58,0))="","",INDEX('Undirviðmiðalisti (Lýsigögn)'!G$42:G$58,MATCH($C58,'Undirviðmiðalisti (Lýsigögn)'!$C$42:$C$58,0))),""))))</f>
        <v/>
      </c>
      <c r="L58" s="16" t="str">
        <f aca="false">IF($C58="","",IF($G58="Einstaklingsbundið",IFERROR(IF(INDEX('Undirviðmiðalisti (Lýsigögn)'!H$42:H$58,MATCH($C58,'Undirviðmiðalisti (Lýsigögn)'!$C$42:$C$58,0))="","",INDEX('Undirviðmiðalisti (Lýsigögn)'!H$42:H$58,MATCH($C58,'Undirviðmiðalisti (Lýsigögn)'!$C$42:$C$58,0))),""),IFERROR(IF(INDEX('Undirviðmiðalisti (Lýsigögn)'!H$6:H$41,MATCH($C58,'Undirviðmiðalisti (Lýsigögn)'!$C$6:$C$41,0))="","",INDEX('Undirviðmiðalisti (Lýsigögn)'!H$6:H$41,MATCH($C58,'Undirviðmiðalisti (Lýsigögn)'!$C$6:$C$41,0))),IFERROR(IF(INDEX('Undirviðmiðalisti (Lýsigögn)'!H$42:H$58,MATCH($C58,'Undirviðmiðalisti (Lýsigögn)'!$C$42:$C$58,0))="","",INDEX('Undirviðmiðalisti (Lýsigögn)'!H$42:H$58,MATCH($C58,'Undirviðmiðalisti (Lýsigögn)'!$C$42:$C$58,0))),""))))</f>
        <v/>
      </c>
      <c r="M58" s="16" t="str">
        <f aca="false">IF($C58="","",IF($G58="Einstaklingsbundið",IFERROR(IF(INDEX('Undirviðmiðalisti (Lýsigögn)'!I$42:I$58,MATCH($C58,'Undirviðmiðalisti (Lýsigögn)'!$C$42:$C$58,0))="","",INDEX('Undirviðmiðalisti (Lýsigögn)'!I$42:I$58,MATCH($C58,'Undirviðmiðalisti (Lýsigögn)'!$C$42:$C$58,0))),""),IFERROR(IF(INDEX('Undirviðmiðalisti (Lýsigögn)'!I$6:I$41,MATCH($C58,'Undirviðmiðalisti (Lýsigögn)'!$C$6:$C$41,0))="","",INDEX('Undirviðmiðalisti (Lýsigögn)'!I$6:I$41,MATCH($C58,'Undirviðmiðalisti (Lýsigögn)'!$C$6:$C$41,0))),IFERROR(IF(INDEX('Undirviðmiðalisti (Lýsigögn)'!I$42:I$58,MATCH($C58,'Undirviðmiðalisti (Lýsigögn)'!$C$42:$C$58,0))="","",INDEX('Undirviðmiðalisti (Lýsigögn)'!I$42:I$58,MATCH($C58,'Undirviðmiðalisti (Lýsigögn)'!$C$42:$C$58,0))),""))))</f>
        <v/>
      </c>
      <c r="N58" s="16" t="str">
        <f aca="false">IF($C58="","",IF($G58="Einstaklingsbundið",IFERROR(IF(INDEX('Undirviðmiðalisti (Lýsigögn)'!J$42:J$58,MATCH($C58,'Undirviðmiðalisti (Lýsigögn)'!$C$42:$C$58,0))="","",INDEX('Undirviðmiðalisti (Lýsigögn)'!J$42:J$58,MATCH($C58,'Undirviðmiðalisti (Lýsigögn)'!$C$42:$C$58,0))),""),IFERROR(IF(INDEX('Undirviðmiðalisti (Lýsigögn)'!J$6:J$41,MATCH($C58,'Undirviðmiðalisti (Lýsigögn)'!$C$6:$C$41,0))="","",INDEX('Undirviðmiðalisti (Lýsigögn)'!J$6:J$41,MATCH($C58,'Undirviðmiðalisti (Lýsigögn)'!$C$6:$C$41,0))),IFERROR(IF(INDEX('Undirviðmiðalisti (Lýsigögn)'!J$42:J$58,MATCH($C58,'Undirviðmiðalisti (Lýsigögn)'!$C$42:$C$58,0))="","",INDEX('Undirviðmiðalisti (Lýsigögn)'!J$42:J$58,MATCH($C58,'Undirviðmiðalisti (Lýsigögn)'!$C$42:$C$58,0))),""))))</f>
        <v/>
      </c>
      <c r="O58" s="16" t="str">
        <f aca="false">IF($C58="","",IF($G58="Einstaklingsbundið",IFERROR(IF(INDEX('Undirviðmiðalisti (Lýsigögn)'!K$42:K$58,MATCH($C58,'Undirviðmiðalisti (Lýsigögn)'!$C$42:$C$58,0))="","",INDEX('Undirviðmiðalisti (Lýsigögn)'!K$42:K$58,MATCH($C58,'Undirviðmiðalisti (Lýsigögn)'!$C$42:$C$58,0))),""),IFERROR(IF(INDEX('Undirviðmiðalisti (Lýsigögn)'!K$6:K$41,MATCH($C58,'Undirviðmiðalisti (Lýsigögn)'!$C$6:$C$41,0))="","",INDEX('Undirviðmiðalisti (Lýsigögn)'!K$6:K$41,MATCH($C58,'Undirviðmiðalisti (Lýsigögn)'!$C$6:$C$41,0))),IFERROR(IF(INDEX('Undirviðmiðalisti (Lýsigögn)'!K$42:K$58,MATCH($C58,'Undirviðmiðalisti (Lýsigögn)'!$C$42:$C$58,0))="","",INDEX('Undirviðmiðalisti (Lýsigögn)'!K$42:K$58,MATCH($C58,'Undirviðmiðalisti (Lýsigögn)'!$C$42:$C$58,0))),""))))</f>
        <v/>
      </c>
      <c r="P58" s="16" t="str">
        <f aca="false">IF($C58="","",IF($G58="Einstaklingsbundið",IFERROR(IF(INDEX('Undirviðmiðalisti (Lýsigögn)'!L$42:L$58,MATCH($C58,'Undirviðmiðalisti (Lýsigögn)'!$C$42:$C$58,0))="","",INDEX('Undirviðmiðalisti (Lýsigögn)'!L$42:L$58,MATCH($C58,'Undirviðmiðalisti (Lýsigögn)'!$C$42:$C$58,0))),""),IFERROR(IF(INDEX('Undirviðmiðalisti (Lýsigögn)'!L$6:L$41,MATCH($C58,'Undirviðmiðalisti (Lýsigögn)'!$C$6:$C$41,0))="","",INDEX('Undirviðmiðalisti (Lýsigögn)'!L$6:L$41,MATCH($C58,'Undirviðmiðalisti (Lýsigögn)'!$C$6:$C$41,0))),IFERROR(IF(INDEX('Undirviðmiðalisti (Lýsigögn)'!L$42:L$58,MATCH($C58,'Undirviðmiðalisti (Lýsigögn)'!$C$42:$C$58,0))="","",INDEX('Undirviðmiðalisti (Lýsigögn)'!L$42:L$58,MATCH($C58,'Undirviðmiðalisti (Lýsigögn)'!$C$42:$C$58,0))),""))))</f>
        <v/>
      </c>
      <c r="Q58" s="16" t="str">
        <f aca="false">IF($C58="","",IF($G58="Einstaklingsbundið",IFERROR(IF(INDEX('Undirviðmiðalisti (Lýsigögn)'!M$42:M$58,MATCH($C58,'Undirviðmiðalisti (Lýsigögn)'!$C$42:$C$58,0))="","",INDEX('Undirviðmiðalisti (Lýsigögn)'!M$42:M$58,MATCH($C58,'Undirviðmiðalisti (Lýsigögn)'!$C$42:$C$58,0))),""),IFERROR(IF(INDEX('Undirviðmiðalisti (Lýsigögn)'!M$6:M$41,MATCH($C58,'Undirviðmiðalisti (Lýsigögn)'!$C$6:$C$41,0))="","",INDEX('Undirviðmiðalisti (Lýsigögn)'!M$6:M$41,MATCH($C58,'Undirviðmiðalisti (Lýsigögn)'!$C$6:$C$41,0))),IFERROR(IF(INDEX('Undirviðmiðalisti (Lýsigögn)'!M$42:M$58,MATCH($C58,'Undirviðmiðalisti (Lýsigögn)'!$C$42:$C$58,0))="","",INDEX('Undirviðmiðalisti (Lýsigögn)'!M$42:M$58,MATCH($C58,'Undirviðmiðalisti (Lýsigögn)'!$C$42:$C$58,0))),""))))</f>
        <v/>
      </c>
    </row>
    <row r="59" customFormat="false" ht="15" hidden="false" customHeight="true" outlineLevel="0" collapsed="false">
      <c r="A59" s="22" t="str">
        <f aca="false">IF($B59="","",ROW()-5)</f>
        <v/>
      </c>
      <c r="B59" s="15"/>
      <c r="C59" s="15"/>
      <c r="D59" s="16" t="str">
        <f aca="false">IF($C59="","",IF($G59="Einstaklingsbundið",IFERROR(IF(INDEX('Undirviðmiðalisti (Lýsigögn)'!$D$42:$D$58,MATCH($C59,'Undirviðmiðalisti (Lýsigögn)'!$C$42:$C$58,0))="","",INDEX('Undirviðmiðalisti (Lýsigögn)'!$D$42:$D$58,MATCH($C59,'Undirviðmiðalisti (Lýsigögn)'!$C$42:$C$58,0))),""),IFERROR(IF(INDEX('Undirviðmiðalisti (Lýsigögn)'!$D$6:$D$41,MATCH($C59,'Undirviðmiðalisti (Lýsigögn)'!$C$6:$C$41,0))="","",INDEX('Undirviðmiðalisti (Lýsigögn)'!$D$6:$D$41,MATCH($C59,'Undirviðmiðalisti (Lýsigögn)'!$C$6:$C$41,0))),IFERROR(IF(INDEX('Undirviðmiðalisti (Lýsigögn)'!$D$42:$D$58,MATCH($C59,'Undirviðmiðalisti (Lýsigögn)'!$C$42:$C$58,0))="","",INDEX('Undirviðmiðalisti (Lýsigögn)'!$D$42:$D$58,MATCH($C59,'Undirviðmiðalisti (Lýsigögn)'!$C$42:$C$58,0))),""))))</f>
        <v/>
      </c>
      <c r="E59" s="14"/>
      <c r="F59" s="23" t="str">
        <f aca="false">IF($C59="","",IF($G59="Einstaklingsbundið",IFERROR(IF(INDEX('Undirviðmiðalisti (Lýsigögn)'!$E$42:$E$58,MATCH($C59,'Undirviðmiðalisti (Lýsigögn)'!$C$42:$C$58,0))="","",INDEX('Undirviðmiðalisti (Lýsigögn)'!$E$42:$E$58,MATCH($C59,'Undirviðmiðalisti (Lýsigögn)'!$C$42:$C$58,0))),""),IFERROR(IF(INDEX('Undirviðmiðalisti (Lýsigögn)'!$E$6:$E$41,MATCH($C59,'Undirviðmiðalisti (Lýsigögn)'!$C$6:$C$41,0))="","",INDEX('Undirviðmiðalisti (Lýsigögn)'!$E$6:$E$41,MATCH($C59,'Undirviðmiðalisti (Lýsigögn)'!$C$6:$C$41,0))),IFERROR(IF(INDEX('Undirviðmiðalisti (Lýsigögn)'!$E$42:$E$58,MATCH($C59,'Undirviðmiðalisti (Lýsigögn)'!$C$42:$C$58,0))="","",INDEX('Undirviðmiðalisti (Lýsigögn)'!$E$42:$E$58,MATCH($C59,'Undirviðmiðalisti (Lýsigögn)'!$C$42:$C$58,0))),""))))</f>
        <v/>
      </c>
      <c r="G59" s="24" t="str">
        <f aca="false">IFERROR(IF(B59="","",INDEX(Viðmið!$B$6:$B$10,MATCH(B59,Viðmið!$C$6:$C$10,0))),"")</f>
        <v/>
      </c>
      <c r="H59" s="25" t="str">
        <f aca="false">IF(OR(E59="",F59=""),"",E59*KVARDI)</f>
        <v/>
      </c>
      <c r="I59" s="26" t="str">
        <f aca="false">IF(B59="","",IF(ROUND(SUMIF($B$6:$B$205,B59,$E$6:$E$205),4)=ROUND(IFERROR(INDEX(Viðmið!$E$6:$E$10,MATCH(B59,Viðmið!$C$6:$C$10,0)),-1),4),"✓","✗"))</f>
        <v/>
      </c>
      <c r="J59" s="16" t="str">
        <f aca="false">IF($C59="","",IF($G59="Einstaklingsbundið",IFERROR(IF(INDEX('Undirviðmiðalisti (Lýsigögn)'!F$42:F$58,MATCH($C59,'Undirviðmiðalisti (Lýsigögn)'!$C$42:$C$58,0))="","",INDEX('Undirviðmiðalisti (Lýsigögn)'!F$42:F$58,MATCH($C59,'Undirviðmiðalisti (Lýsigögn)'!$C$42:$C$58,0))),""),IFERROR(IF(INDEX('Undirviðmiðalisti (Lýsigögn)'!F$6:F$41,MATCH($C59,'Undirviðmiðalisti (Lýsigögn)'!$C$6:$C$41,0))="","",INDEX('Undirviðmiðalisti (Lýsigögn)'!F$6:F$41,MATCH($C59,'Undirviðmiðalisti (Lýsigögn)'!$C$6:$C$41,0))),IFERROR(IF(INDEX('Undirviðmiðalisti (Lýsigögn)'!F$42:F$58,MATCH($C59,'Undirviðmiðalisti (Lýsigögn)'!$C$42:$C$58,0))="","",INDEX('Undirviðmiðalisti (Lýsigögn)'!F$42:F$58,MATCH($C59,'Undirviðmiðalisti (Lýsigögn)'!$C$42:$C$58,0))),""))))</f>
        <v/>
      </c>
      <c r="K59" s="16" t="str">
        <f aca="false">IF($C59="","",IF($G59="Einstaklingsbundið",IFERROR(IF(INDEX('Undirviðmiðalisti (Lýsigögn)'!G$42:G$58,MATCH($C59,'Undirviðmiðalisti (Lýsigögn)'!$C$42:$C$58,0))="","",INDEX('Undirviðmiðalisti (Lýsigögn)'!G$42:G$58,MATCH($C59,'Undirviðmiðalisti (Lýsigögn)'!$C$42:$C$58,0))),""),IFERROR(IF(INDEX('Undirviðmiðalisti (Lýsigögn)'!G$6:G$41,MATCH($C59,'Undirviðmiðalisti (Lýsigögn)'!$C$6:$C$41,0))="","",INDEX('Undirviðmiðalisti (Lýsigögn)'!G$6:G$41,MATCH($C59,'Undirviðmiðalisti (Lýsigögn)'!$C$6:$C$41,0))),IFERROR(IF(INDEX('Undirviðmiðalisti (Lýsigögn)'!G$42:G$58,MATCH($C59,'Undirviðmiðalisti (Lýsigögn)'!$C$42:$C$58,0))="","",INDEX('Undirviðmiðalisti (Lýsigögn)'!G$42:G$58,MATCH($C59,'Undirviðmiðalisti (Lýsigögn)'!$C$42:$C$58,0))),""))))</f>
        <v/>
      </c>
      <c r="L59" s="16" t="str">
        <f aca="false">IF($C59="","",IF($G59="Einstaklingsbundið",IFERROR(IF(INDEX('Undirviðmiðalisti (Lýsigögn)'!H$42:H$58,MATCH($C59,'Undirviðmiðalisti (Lýsigögn)'!$C$42:$C$58,0))="","",INDEX('Undirviðmiðalisti (Lýsigögn)'!H$42:H$58,MATCH($C59,'Undirviðmiðalisti (Lýsigögn)'!$C$42:$C$58,0))),""),IFERROR(IF(INDEX('Undirviðmiðalisti (Lýsigögn)'!H$6:H$41,MATCH($C59,'Undirviðmiðalisti (Lýsigögn)'!$C$6:$C$41,0))="","",INDEX('Undirviðmiðalisti (Lýsigögn)'!H$6:H$41,MATCH($C59,'Undirviðmiðalisti (Lýsigögn)'!$C$6:$C$41,0))),IFERROR(IF(INDEX('Undirviðmiðalisti (Lýsigögn)'!H$42:H$58,MATCH($C59,'Undirviðmiðalisti (Lýsigögn)'!$C$42:$C$58,0))="","",INDEX('Undirviðmiðalisti (Lýsigögn)'!H$42:H$58,MATCH($C59,'Undirviðmiðalisti (Lýsigögn)'!$C$42:$C$58,0))),""))))</f>
        <v/>
      </c>
      <c r="M59" s="16" t="str">
        <f aca="false">IF($C59="","",IF($G59="Einstaklingsbundið",IFERROR(IF(INDEX('Undirviðmiðalisti (Lýsigögn)'!I$42:I$58,MATCH($C59,'Undirviðmiðalisti (Lýsigögn)'!$C$42:$C$58,0))="","",INDEX('Undirviðmiðalisti (Lýsigögn)'!I$42:I$58,MATCH($C59,'Undirviðmiðalisti (Lýsigögn)'!$C$42:$C$58,0))),""),IFERROR(IF(INDEX('Undirviðmiðalisti (Lýsigögn)'!I$6:I$41,MATCH($C59,'Undirviðmiðalisti (Lýsigögn)'!$C$6:$C$41,0))="","",INDEX('Undirviðmiðalisti (Lýsigögn)'!I$6:I$41,MATCH($C59,'Undirviðmiðalisti (Lýsigögn)'!$C$6:$C$41,0))),IFERROR(IF(INDEX('Undirviðmiðalisti (Lýsigögn)'!I$42:I$58,MATCH($C59,'Undirviðmiðalisti (Lýsigögn)'!$C$42:$C$58,0))="","",INDEX('Undirviðmiðalisti (Lýsigögn)'!I$42:I$58,MATCH($C59,'Undirviðmiðalisti (Lýsigögn)'!$C$42:$C$58,0))),""))))</f>
        <v/>
      </c>
      <c r="N59" s="16" t="str">
        <f aca="false">IF($C59="","",IF($G59="Einstaklingsbundið",IFERROR(IF(INDEX('Undirviðmiðalisti (Lýsigögn)'!J$42:J$58,MATCH($C59,'Undirviðmiðalisti (Lýsigögn)'!$C$42:$C$58,0))="","",INDEX('Undirviðmiðalisti (Lýsigögn)'!J$42:J$58,MATCH($C59,'Undirviðmiðalisti (Lýsigögn)'!$C$42:$C$58,0))),""),IFERROR(IF(INDEX('Undirviðmiðalisti (Lýsigögn)'!J$6:J$41,MATCH($C59,'Undirviðmiðalisti (Lýsigögn)'!$C$6:$C$41,0))="","",INDEX('Undirviðmiðalisti (Lýsigögn)'!J$6:J$41,MATCH($C59,'Undirviðmiðalisti (Lýsigögn)'!$C$6:$C$41,0))),IFERROR(IF(INDEX('Undirviðmiðalisti (Lýsigögn)'!J$42:J$58,MATCH($C59,'Undirviðmiðalisti (Lýsigögn)'!$C$42:$C$58,0))="","",INDEX('Undirviðmiðalisti (Lýsigögn)'!J$42:J$58,MATCH($C59,'Undirviðmiðalisti (Lýsigögn)'!$C$42:$C$58,0))),""))))</f>
        <v/>
      </c>
      <c r="O59" s="16" t="str">
        <f aca="false">IF($C59="","",IF($G59="Einstaklingsbundið",IFERROR(IF(INDEX('Undirviðmiðalisti (Lýsigögn)'!K$42:K$58,MATCH($C59,'Undirviðmiðalisti (Lýsigögn)'!$C$42:$C$58,0))="","",INDEX('Undirviðmiðalisti (Lýsigögn)'!K$42:K$58,MATCH($C59,'Undirviðmiðalisti (Lýsigögn)'!$C$42:$C$58,0))),""),IFERROR(IF(INDEX('Undirviðmiðalisti (Lýsigögn)'!K$6:K$41,MATCH($C59,'Undirviðmiðalisti (Lýsigögn)'!$C$6:$C$41,0))="","",INDEX('Undirviðmiðalisti (Lýsigögn)'!K$6:K$41,MATCH($C59,'Undirviðmiðalisti (Lýsigögn)'!$C$6:$C$41,0))),IFERROR(IF(INDEX('Undirviðmiðalisti (Lýsigögn)'!K$42:K$58,MATCH($C59,'Undirviðmiðalisti (Lýsigögn)'!$C$42:$C$58,0))="","",INDEX('Undirviðmiðalisti (Lýsigögn)'!K$42:K$58,MATCH($C59,'Undirviðmiðalisti (Lýsigögn)'!$C$42:$C$58,0))),""))))</f>
        <v/>
      </c>
      <c r="P59" s="16" t="str">
        <f aca="false">IF($C59="","",IF($G59="Einstaklingsbundið",IFERROR(IF(INDEX('Undirviðmiðalisti (Lýsigögn)'!L$42:L$58,MATCH($C59,'Undirviðmiðalisti (Lýsigögn)'!$C$42:$C$58,0))="","",INDEX('Undirviðmiðalisti (Lýsigögn)'!L$42:L$58,MATCH($C59,'Undirviðmiðalisti (Lýsigögn)'!$C$42:$C$58,0))),""),IFERROR(IF(INDEX('Undirviðmiðalisti (Lýsigögn)'!L$6:L$41,MATCH($C59,'Undirviðmiðalisti (Lýsigögn)'!$C$6:$C$41,0))="","",INDEX('Undirviðmiðalisti (Lýsigögn)'!L$6:L$41,MATCH($C59,'Undirviðmiðalisti (Lýsigögn)'!$C$6:$C$41,0))),IFERROR(IF(INDEX('Undirviðmiðalisti (Lýsigögn)'!L$42:L$58,MATCH($C59,'Undirviðmiðalisti (Lýsigögn)'!$C$42:$C$58,0))="","",INDEX('Undirviðmiðalisti (Lýsigögn)'!L$42:L$58,MATCH($C59,'Undirviðmiðalisti (Lýsigögn)'!$C$42:$C$58,0))),""))))</f>
        <v/>
      </c>
      <c r="Q59" s="16" t="str">
        <f aca="false">IF($C59="","",IF($G59="Einstaklingsbundið",IFERROR(IF(INDEX('Undirviðmiðalisti (Lýsigögn)'!M$42:M$58,MATCH($C59,'Undirviðmiðalisti (Lýsigögn)'!$C$42:$C$58,0))="","",INDEX('Undirviðmiðalisti (Lýsigögn)'!M$42:M$58,MATCH($C59,'Undirviðmiðalisti (Lýsigögn)'!$C$42:$C$58,0))),""),IFERROR(IF(INDEX('Undirviðmiðalisti (Lýsigögn)'!M$6:M$41,MATCH($C59,'Undirviðmiðalisti (Lýsigögn)'!$C$6:$C$41,0))="","",INDEX('Undirviðmiðalisti (Lýsigögn)'!M$6:M$41,MATCH($C59,'Undirviðmiðalisti (Lýsigögn)'!$C$6:$C$41,0))),IFERROR(IF(INDEX('Undirviðmiðalisti (Lýsigögn)'!M$42:M$58,MATCH($C59,'Undirviðmiðalisti (Lýsigögn)'!$C$42:$C$58,0))="","",INDEX('Undirviðmiðalisti (Lýsigögn)'!M$42:M$58,MATCH($C59,'Undirviðmiðalisti (Lýsigögn)'!$C$42:$C$58,0))),""))))</f>
        <v/>
      </c>
    </row>
    <row r="60" customFormat="false" ht="15" hidden="false" customHeight="true" outlineLevel="0" collapsed="false">
      <c r="A60" s="22" t="str">
        <f aca="false">IF($B60="","",ROW()-5)</f>
        <v/>
      </c>
      <c r="B60" s="15"/>
      <c r="C60" s="15"/>
      <c r="D60" s="16" t="str">
        <f aca="false">IF($C60="","",IF($G60="Einstaklingsbundið",IFERROR(IF(INDEX('Undirviðmiðalisti (Lýsigögn)'!$D$42:$D$58,MATCH($C60,'Undirviðmiðalisti (Lýsigögn)'!$C$42:$C$58,0))="","",INDEX('Undirviðmiðalisti (Lýsigögn)'!$D$42:$D$58,MATCH($C60,'Undirviðmiðalisti (Lýsigögn)'!$C$42:$C$58,0))),""),IFERROR(IF(INDEX('Undirviðmiðalisti (Lýsigögn)'!$D$6:$D$41,MATCH($C60,'Undirviðmiðalisti (Lýsigögn)'!$C$6:$C$41,0))="","",INDEX('Undirviðmiðalisti (Lýsigögn)'!$D$6:$D$41,MATCH($C60,'Undirviðmiðalisti (Lýsigögn)'!$C$6:$C$41,0))),IFERROR(IF(INDEX('Undirviðmiðalisti (Lýsigögn)'!$D$42:$D$58,MATCH($C60,'Undirviðmiðalisti (Lýsigögn)'!$C$42:$C$58,0))="","",INDEX('Undirviðmiðalisti (Lýsigögn)'!$D$42:$D$58,MATCH($C60,'Undirviðmiðalisti (Lýsigögn)'!$C$42:$C$58,0))),""))))</f>
        <v/>
      </c>
      <c r="E60" s="14"/>
      <c r="F60" s="23" t="str">
        <f aca="false">IF($C60="","",IF($G60="Einstaklingsbundið",IFERROR(IF(INDEX('Undirviðmiðalisti (Lýsigögn)'!$E$42:$E$58,MATCH($C60,'Undirviðmiðalisti (Lýsigögn)'!$C$42:$C$58,0))="","",INDEX('Undirviðmiðalisti (Lýsigögn)'!$E$42:$E$58,MATCH($C60,'Undirviðmiðalisti (Lýsigögn)'!$C$42:$C$58,0))),""),IFERROR(IF(INDEX('Undirviðmiðalisti (Lýsigögn)'!$E$6:$E$41,MATCH($C60,'Undirviðmiðalisti (Lýsigögn)'!$C$6:$C$41,0))="","",INDEX('Undirviðmiðalisti (Lýsigögn)'!$E$6:$E$41,MATCH($C60,'Undirviðmiðalisti (Lýsigögn)'!$C$6:$C$41,0))),IFERROR(IF(INDEX('Undirviðmiðalisti (Lýsigögn)'!$E$42:$E$58,MATCH($C60,'Undirviðmiðalisti (Lýsigögn)'!$C$42:$C$58,0))="","",INDEX('Undirviðmiðalisti (Lýsigögn)'!$E$42:$E$58,MATCH($C60,'Undirviðmiðalisti (Lýsigögn)'!$C$42:$C$58,0))),""))))</f>
        <v/>
      </c>
      <c r="G60" s="24" t="str">
        <f aca="false">IFERROR(IF(B60="","",INDEX(Viðmið!$B$6:$B$10,MATCH(B60,Viðmið!$C$6:$C$10,0))),"")</f>
        <v/>
      </c>
      <c r="H60" s="25" t="str">
        <f aca="false">IF(OR(E60="",F60=""),"",E60*KVARDI)</f>
        <v/>
      </c>
      <c r="I60" s="26" t="str">
        <f aca="false">IF(B60="","",IF(ROUND(SUMIF($B$6:$B$205,B60,$E$6:$E$205),4)=ROUND(IFERROR(INDEX(Viðmið!$E$6:$E$10,MATCH(B60,Viðmið!$C$6:$C$10,0)),-1),4),"✓","✗"))</f>
        <v/>
      </c>
      <c r="J60" s="16" t="str">
        <f aca="false">IF($C60="","",IF($G60="Einstaklingsbundið",IFERROR(IF(INDEX('Undirviðmiðalisti (Lýsigögn)'!F$42:F$58,MATCH($C60,'Undirviðmiðalisti (Lýsigögn)'!$C$42:$C$58,0))="","",INDEX('Undirviðmiðalisti (Lýsigögn)'!F$42:F$58,MATCH($C60,'Undirviðmiðalisti (Lýsigögn)'!$C$42:$C$58,0))),""),IFERROR(IF(INDEX('Undirviðmiðalisti (Lýsigögn)'!F$6:F$41,MATCH($C60,'Undirviðmiðalisti (Lýsigögn)'!$C$6:$C$41,0))="","",INDEX('Undirviðmiðalisti (Lýsigögn)'!F$6:F$41,MATCH($C60,'Undirviðmiðalisti (Lýsigögn)'!$C$6:$C$41,0))),IFERROR(IF(INDEX('Undirviðmiðalisti (Lýsigögn)'!F$42:F$58,MATCH($C60,'Undirviðmiðalisti (Lýsigögn)'!$C$42:$C$58,0))="","",INDEX('Undirviðmiðalisti (Lýsigögn)'!F$42:F$58,MATCH($C60,'Undirviðmiðalisti (Lýsigögn)'!$C$42:$C$58,0))),""))))</f>
        <v/>
      </c>
      <c r="K60" s="16" t="str">
        <f aca="false">IF($C60="","",IF($G60="Einstaklingsbundið",IFERROR(IF(INDEX('Undirviðmiðalisti (Lýsigögn)'!G$42:G$58,MATCH($C60,'Undirviðmiðalisti (Lýsigögn)'!$C$42:$C$58,0))="","",INDEX('Undirviðmiðalisti (Lýsigögn)'!G$42:G$58,MATCH($C60,'Undirviðmiðalisti (Lýsigögn)'!$C$42:$C$58,0))),""),IFERROR(IF(INDEX('Undirviðmiðalisti (Lýsigögn)'!G$6:G$41,MATCH($C60,'Undirviðmiðalisti (Lýsigögn)'!$C$6:$C$41,0))="","",INDEX('Undirviðmiðalisti (Lýsigögn)'!G$6:G$41,MATCH($C60,'Undirviðmiðalisti (Lýsigögn)'!$C$6:$C$41,0))),IFERROR(IF(INDEX('Undirviðmiðalisti (Lýsigögn)'!G$42:G$58,MATCH($C60,'Undirviðmiðalisti (Lýsigögn)'!$C$42:$C$58,0))="","",INDEX('Undirviðmiðalisti (Lýsigögn)'!G$42:G$58,MATCH($C60,'Undirviðmiðalisti (Lýsigögn)'!$C$42:$C$58,0))),""))))</f>
        <v/>
      </c>
      <c r="L60" s="16" t="str">
        <f aca="false">IF($C60="","",IF($G60="Einstaklingsbundið",IFERROR(IF(INDEX('Undirviðmiðalisti (Lýsigögn)'!H$42:H$58,MATCH($C60,'Undirviðmiðalisti (Lýsigögn)'!$C$42:$C$58,0))="","",INDEX('Undirviðmiðalisti (Lýsigögn)'!H$42:H$58,MATCH($C60,'Undirviðmiðalisti (Lýsigögn)'!$C$42:$C$58,0))),""),IFERROR(IF(INDEX('Undirviðmiðalisti (Lýsigögn)'!H$6:H$41,MATCH($C60,'Undirviðmiðalisti (Lýsigögn)'!$C$6:$C$41,0))="","",INDEX('Undirviðmiðalisti (Lýsigögn)'!H$6:H$41,MATCH($C60,'Undirviðmiðalisti (Lýsigögn)'!$C$6:$C$41,0))),IFERROR(IF(INDEX('Undirviðmiðalisti (Lýsigögn)'!H$42:H$58,MATCH($C60,'Undirviðmiðalisti (Lýsigögn)'!$C$42:$C$58,0))="","",INDEX('Undirviðmiðalisti (Lýsigögn)'!H$42:H$58,MATCH($C60,'Undirviðmiðalisti (Lýsigögn)'!$C$42:$C$58,0))),""))))</f>
        <v/>
      </c>
      <c r="M60" s="16" t="str">
        <f aca="false">IF($C60="","",IF($G60="Einstaklingsbundið",IFERROR(IF(INDEX('Undirviðmiðalisti (Lýsigögn)'!I$42:I$58,MATCH($C60,'Undirviðmiðalisti (Lýsigögn)'!$C$42:$C$58,0))="","",INDEX('Undirviðmiðalisti (Lýsigögn)'!I$42:I$58,MATCH($C60,'Undirviðmiðalisti (Lýsigögn)'!$C$42:$C$58,0))),""),IFERROR(IF(INDEX('Undirviðmiðalisti (Lýsigögn)'!I$6:I$41,MATCH($C60,'Undirviðmiðalisti (Lýsigögn)'!$C$6:$C$41,0))="","",INDEX('Undirviðmiðalisti (Lýsigögn)'!I$6:I$41,MATCH($C60,'Undirviðmiðalisti (Lýsigögn)'!$C$6:$C$41,0))),IFERROR(IF(INDEX('Undirviðmiðalisti (Lýsigögn)'!I$42:I$58,MATCH($C60,'Undirviðmiðalisti (Lýsigögn)'!$C$42:$C$58,0))="","",INDEX('Undirviðmiðalisti (Lýsigögn)'!I$42:I$58,MATCH($C60,'Undirviðmiðalisti (Lýsigögn)'!$C$42:$C$58,0))),""))))</f>
        <v/>
      </c>
      <c r="N60" s="16" t="str">
        <f aca="false">IF($C60="","",IF($G60="Einstaklingsbundið",IFERROR(IF(INDEX('Undirviðmiðalisti (Lýsigögn)'!J$42:J$58,MATCH($C60,'Undirviðmiðalisti (Lýsigögn)'!$C$42:$C$58,0))="","",INDEX('Undirviðmiðalisti (Lýsigögn)'!J$42:J$58,MATCH($C60,'Undirviðmiðalisti (Lýsigögn)'!$C$42:$C$58,0))),""),IFERROR(IF(INDEX('Undirviðmiðalisti (Lýsigögn)'!J$6:J$41,MATCH($C60,'Undirviðmiðalisti (Lýsigögn)'!$C$6:$C$41,0))="","",INDEX('Undirviðmiðalisti (Lýsigögn)'!J$6:J$41,MATCH($C60,'Undirviðmiðalisti (Lýsigögn)'!$C$6:$C$41,0))),IFERROR(IF(INDEX('Undirviðmiðalisti (Lýsigögn)'!J$42:J$58,MATCH($C60,'Undirviðmiðalisti (Lýsigögn)'!$C$42:$C$58,0))="","",INDEX('Undirviðmiðalisti (Lýsigögn)'!J$42:J$58,MATCH($C60,'Undirviðmiðalisti (Lýsigögn)'!$C$42:$C$58,0))),""))))</f>
        <v/>
      </c>
      <c r="O60" s="16" t="str">
        <f aca="false">IF($C60="","",IF($G60="Einstaklingsbundið",IFERROR(IF(INDEX('Undirviðmiðalisti (Lýsigögn)'!K$42:K$58,MATCH($C60,'Undirviðmiðalisti (Lýsigögn)'!$C$42:$C$58,0))="","",INDEX('Undirviðmiðalisti (Lýsigögn)'!K$42:K$58,MATCH($C60,'Undirviðmiðalisti (Lýsigögn)'!$C$42:$C$58,0))),""),IFERROR(IF(INDEX('Undirviðmiðalisti (Lýsigögn)'!K$6:K$41,MATCH($C60,'Undirviðmiðalisti (Lýsigögn)'!$C$6:$C$41,0))="","",INDEX('Undirviðmiðalisti (Lýsigögn)'!K$6:K$41,MATCH($C60,'Undirviðmiðalisti (Lýsigögn)'!$C$6:$C$41,0))),IFERROR(IF(INDEX('Undirviðmiðalisti (Lýsigögn)'!K$42:K$58,MATCH($C60,'Undirviðmiðalisti (Lýsigögn)'!$C$42:$C$58,0))="","",INDEX('Undirviðmiðalisti (Lýsigögn)'!K$42:K$58,MATCH($C60,'Undirviðmiðalisti (Lýsigögn)'!$C$42:$C$58,0))),""))))</f>
        <v/>
      </c>
      <c r="P60" s="16" t="str">
        <f aca="false">IF($C60="","",IF($G60="Einstaklingsbundið",IFERROR(IF(INDEX('Undirviðmiðalisti (Lýsigögn)'!L$42:L$58,MATCH($C60,'Undirviðmiðalisti (Lýsigögn)'!$C$42:$C$58,0))="","",INDEX('Undirviðmiðalisti (Lýsigögn)'!L$42:L$58,MATCH($C60,'Undirviðmiðalisti (Lýsigögn)'!$C$42:$C$58,0))),""),IFERROR(IF(INDEX('Undirviðmiðalisti (Lýsigögn)'!L$6:L$41,MATCH($C60,'Undirviðmiðalisti (Lýsigögn)'!$C$6:$C$41,0))="","",INDEX('Undirviðmiðalisti (Lýsigögn)'!L$6:L$41,MATCH($C60,'Undirviðmiðalisti (Lýsigögn)'!$C$6:$C$41,0))),IFERROR(IF(INDEX('Undirviðmiðalisti (Lýsigögn)'!L$42:L$58,MATCH($C60,'Undirviðmiðalisti (Lýsigögn)'!$C$42:$C$58,0))="","",INDEX('Undirviðmiðalisti (Lýsigögn)'!L$42:L$58,MATCH($C60,'Undirviðmiðalisti (Lýsigögn)'!$C$42:$C$58,0))),""))))</f>
        <v/>
      </c>
      <c r="Q60" s="16" t="str">
        <f aca="false">IF($C60="","",IF($G60="Einstaklingsbundið",IFERROR(IF(INDEX('Undirviðmiðalisti (Lýsigögn)'!M$42:M$58,MATCH($C60,'Undirviðmiðalisti (Lýsigögn)'!$C$42:$C$58,0))="","",INDEX('Undirviðmiðalisti (Lýsigögn)'!M$42:M$58,MATCH($C60,'Undirviðmiðalisti (Lýsigögn)'!$C$42:$C$58,0))),""),IFERROR(IF(INDEX('Undirviðmiðalisti (Lýsigögn)'!M$6:M$41,MATCH($C60,'Undirviðmiðalisti (Lýsigögn)'!$C$6:$C$41,0))="","",INDEX('Undirviðmiðalisti (Lýsigögn)'!M$6:M$41,MATCH($C60,'Undirviðmiðalisti (Lýsigögn)'!$C$6:$C$41,0))),IFERROR(IF(INDEX('Undirviðmiðalisti (Lýsigögn)'!M$42:M$58,MATCH($C60,'Undirviðmiðalisti (Lýsigögn)'!$C$42:$C$58,0))="","",INDEX('Undirviðmiðalisti (Lýsigögn)'!M$42:M$58,MATCH($C60,'Undirviðmiðalisti (Lýsigögn)'!$C$42:$C$58,0))),""))))</f>
        <v/>
      </c>
    </row>
    <row r="61" customFormat="false" ht="15" hidden="false" customHeight="true" outlineLevel="0" collapsed="false">
      <c r="A61" s="22" t="str">
        <f aca="false">IF($B61="","",ROW()-5)</f>
        <v/>
      </c>
      <c r="B61" s="15"/>
      <c r="C61" s="15"/>
      <c r="D61" s="16" t="str">
        <f aca="false">IF($C61="","",IF($G61="Einstaklingsbundið",IFERROR(IF(INDEX('Undirviðmiðalisti (Lýsigögn)'!$D$42:$D$58,MATCH($C61,'Undirviðmiðalisti (Lýsigögn)'!$C$42:$C$58,0))="","",INDEX('Undirviðmiðalisti (Lýsigögn)'!$D$42:$D$58,MATCH($C61,'Undirviðmiðalisti (Lýsigögn)'!$C$42:$C$58,0))),""),IFERROR(IF(INDEX('Undirviðmiðalisti (Lýsigögn)'!$D$6:$D$41,MATCH($C61,'Undirviðmiðalisti (Lýsigögn)'!$C$6:$C$41,0))="","",INDEX('Undirviðmiðalisti (Lýsigögn)'!$D$6:$D$41,MATCH($C61,'Undirviðmiðalisti (Lýsigögn)'!$C$6:$C$41,0))),IFERROR(IF(INDEX('Undirviðmiðalisti (Lýsigögn)'!$D$42:$D$58,MATCH($C61,'Undirviðmiðalisti (Lýsigögn)'!$C$42:$C$58,0))="","",INDEX('Undirviðmiðalisti (Lýsigögn)'!$D$42:$D$58,MATCH($C61,'Undirviðmiðalisti (Lýsigögn)'!$C$42:$C$58,0))),""))))</f>
        <v/>
      </c>
      <c r="E61" s="14"/>
      <c r="F61" s="23" t="str">
        <f aca="false">IF($C61="","",IF($G61="Einstaklingsbundið",IFERROR(IF(INDEX('Undirviðmiðalisti (Lýsigögn)'!$E$42:$E$58,MATCH($C61,'Undirviðmiðalisti (Lýsigögn)'!$C$42:$C$58,0))="","",INDEX('Undirviðmiðalisti (Lýsigögn)'!$E$42:$E$58,MATCH($C61,'Undirviðmiðalisti (Lýsigögn)'!$C$42:$C$58,0))),""),IFERROR(IF(INDEX('Undirviðmiðalisti (Lýsigögn)'!$E$6:$E$41,MATCH($C61,'Undirviðmiðalisti (Lýsigögn)'!$C$6:$C$41,0))="","",INDEX('Undirviðmiðalisti (Lýsigögn)'!$E$6:$E$41,MATCH($C61,'Undirviðmiðalisti (Lýsigögn)'!$C$6:$C$41,0))),IFERROR(IF(INDEX('Undirviðmiðalisti (Lýsigögn)'!$E$42:$E$58,MATCH($C61,'Undirviðmiðalisti (Lýsigögn)'!$C$42:$C$58,0))="","",INDEX('Undirviðmiðalisti (Lýsigögn)'!$E$42:$E$58,MATCH($C61,'Undirviðmiðalisti (Lýsigögn)'!$C$42:$C$58,0))),""))))</f>
        <v/>
      </c>
      <c r="G61" s="24" t="str">
        <f aca="false">IFERROR(IF(B61="","",INDEX(Viðmið!$B$6:$B$10,MATCH(B61,Viðmið!$C$6:$C$10,0))),"")</f>
        <v/>
      </c>
      <c r="H61" s="25" t="str">
        <f aca="false">IF(OR(E61="",F61=""),"",E61*KVARDI)</f>
        <v/>
      </c>
      <c r="I61" s="26" t="str">
        <f aca="false">IF(B61="","",IF(ROUND(SUMIF($B$6:$B$205,B61,$E$6:$E$205),4)=ROUND(IFERROR(INDEX(Viðmið!$E$6:$E$10,MATCH(B61,Viðmið!$C$6:$C$10,0)),-1),4),"✓","✗"))</f>
        <v/>
      </c>
      <c r="J61" s="16" t="str">
        <f aca="false">IF($C61="","",IF($G61="Einstaklingsbundið",IFERROR(IF(INDEX('Undirviðmiðalisti (Lýsigögn)'!F$42:F$58,MATCH($C61,'Undirviðmiðalisti (Lýsigögn)'!$C$42:$C$58,0))="","",INDEX('Undirviðmiðalisti (Lýsigögn)'!F$42:F$58,MATCH($C61,'Undirviðmiðalisti (Lýsigögn)'!$C$42:$C$58,0))),""),IFERROR(IF(INDEX('Undirviðmiðalisti (Lýsigögn)'!F$6:F$41,MATCH($C61,'Undirviðmiðalisti (Lýsigögn)'!$C$6:$C$41,0))="","",INDEX('Undirviðmiðalisti (Lýsigögn)'!F$6:F$41,MATCH($C61,'Undirviðmiðalisti (Lýsigögn)'!$C$6:$C$41,0))),IFERROR(IF(INDEX('Undirviðmiðalisti (Lýsigögn)'!F$42:F$58,MATCH($C61,'Undirviðmiðalisti (Lýsigögn)'!$C$42:$C$58,0))="","",INDEX('Undirviðmiðalisti (Lýsigögn)'!F$42:F$58,MATCH($C61,'Undirviðmiðalisti (Lýsigögn)'!$C$42:$C$58,0))),""))))</f>
        <v/>
      </c>
      <c r="K61" s="16" t="str">
        <f aca="false">IF($C61="","",IF($G61="Einstaklingsbundið",IFERROR(IF(INDEX('Undirviðmiðalisti (Lýsigögn)'!G$42:G$58,MATCH($C61,'Undirviðmiðalisti (Lýsigögn)'!$C$42:$C$58,0))="","",INDEX('Undirviðmiðalisti (Lýsigögn)'!G$42:G$58,MATCH($C61,'Undirviðmiðalisti (Lýsigögn)'!$C$42:$C$58,0))),""),IFERROR(IF(INDEX('Undirviðmiðalisti (Lýsigögn)'!G$6:G$41,MATCH($C61,'Undirviðmiðalisti (Lýsigögn)'!$C$6:$C$41,0))="","",INDEX('Undirviðmiðalisti (Lýsigögn)'!G$6:G$41,MATCH($C61,'Undirviðmiðalisti (Lýsigögn)'!$C$6:$C$41,0))),IFERROR(IF(INDEX('Undirviðmiðalisti (Lýsigögn)'!G$42:G$58,MATCH($C61,'Undirviðmiðalisti (Lýsigögn)'!$C$42:$C$58,0))="","",INDEX('Undirviðmiðalisti (Lýsigögn)'!G$42:G$58,MATCH($C61,'Undirviðmiðalisti (Lýsigögn)'!$C$42:$C$58,0))),""))))</f>
        <v/>
      </c>
      <c r="L61" s="16" t="str">
        <f aca="false">IF($C61="","",IF($G61="Einstaklingsbundið",IFERROR(IF(INDEX('Undirviðmiðalisti (Lýsigögn)'!H$42:H$58,MATCH($C61,'Undirviðmiðalisti (Lýsigögn)'!$C$42:$C$58,0))="","",INDEX('Undirviðmiðalisti (Lýsigögn)'!H$42:H$58,MATCH($C61,'Undirviðmiðalisti (Lýsigögn)'!$C$42:$C$58,0))),""),IFERROR(IF(INDEX('Undirviðmiðalisti (Lýsigögn)'!H$6:H$41,MATCH($C61,'Undirviðmiðalisti (Lýsigögn)'!$C$6:$C$41,0))="","",INDEX('Undirviðmiðalisti (Lýsigögn)'!H$6:H$41,MATCH($C61,'Undirviðmiðalisti (Lýsigögn)'!$C$6:$C$41,0))),IFERROR(IF(INDEX('Undirviðmiðalisti (Lýsigögn)'!H$42:H$58,MATCH($C61,'Undirviðmiðalisti (Lýsigögn)'!$C$42:$C$58,0))="","",INDEX('Undirviðmiðalisti (Lýsigögn)'!H$42:H$58,MATCH($C61,'Undirviðmiðalisti (Lýsigögn)'!$C$42:$C$58,0))),""))))</f>
        <v/>
      </c>
      <c r="M61" s="16" t="str">
        <f aca="false">IF($C61="","",IF($G61="Einstaklingsbundið",IFERROR(IF(INDEX('Undirviðmiðalisti (Lýsigögn)'!I$42:I$58,MATCH($C61,'Undirviðmiðalisti (Lýsigögn)'!$C$42:$C$58,0))="","",INDEX('Undirviðmiðalisti (Lýsigögn)'!I$42:I$58,MATCH($C61,'Undirviðmiðalisti (Lýsigögn)'!$C$42:$C$58,0))),""),IFERROR(IF(INDEX('Undirviðmiðalisti (Lýsigögn)'!I$6:I$41,MATCH($C61,'Undirviðmiðalisti (Lýsigögn)'!$C$6:$C$41,0))="","",INDEX('Undirviðmiðalisti (Lýsigögn)'!I$6:I$41,MATCH($C61,'Undirviðmiðalisti (Lýsigögn)'!$C$6:$C$41,0))),IFERROR(IF(INDEX('Undirviðmiðalisti (Lýsigögn)'!I$42:I$58,MATCH($C61,'Undirviðmiðalisti (Lýsigögn)'!$C$42:$C$58,0))="","",INDEX('Undirviðmiðalisti (Lýsigögn)'!I$42:I$58,MATCH($C61,'Undirviðmiðalisti (Lýsigögn)'!$C$42:$C$58,0))),""))))</f>
        <v/>
      </c>
      <c r="N61" s="16" t="str">
        <f aca="false">IF($C61="","",IF($G61="Einstaklingsbundið",IFERROR(IF(INDEX('Undirviðmiðalisti (Lýsigögn)'!J$42:J$58,MATCH($C61,'Undirviðmiðalisti (Lýsigögn)'!$C$42:$C$58,0))="","",INDEX('Undirviðmiðalisti (Lýsigögn)'!J$42:J$58,MATCH($C61,'Undirviðmiðalisti (Lýsigögn)'!$C$42:$C$58,0))),""),IFERROR(IF(INDEX('Undirviðmiðalisti (Lýsigögn)'!J$6:J$41,MATCH($C61,'Undirviðmiðalisti (Lýsigögn)'!$C$6:$C$41,0))="","",INDEX('Undirviðmiðalisti (Lýsigögn)'!J$6:J$41,MATCH($C61,'Undirviðmiðalisti (Lýsigögn)'!$C$6:$C$41,0))),IFERROR(IF(INDEX('Undirviðmiðalisti (Lýsigögn)'!J$42:J$58,MATCH($C61,'Undirviðmiðalisti (Lýsigögn)'!$C$42:$C$58,0))="","",INDEX('Undirviðmiðalisti (Lýsigögn)'!J$42:J$58,MATCH($C61,'Undirviðmiðalisti (Lýsigögn)'!$C$42:$C$58,0))),""))))</f>
        <v/>
      </c>
      <c r="O61" s="16" t="str">
        <f aca="false">IF($C61="","",IF($G61="Einstaklingsbundið",IFERROR(IF(INDEX('Undirviðmiðalisti (Lýsigögn)'!K$42:K$58,MATCH($C61,'Undirviðmiðalisti (Lýsigögn)'!$C$42:$C$58,0))="","",INDEX('Undirviðmiðalisti (Lýsigögn)'!K$42:K$58,MATCH($C61,'Undirviðmiðalisti (Lýsigögn)'!$C$42:$C$58,0))),""),IFERROR(IF(INDEX('Undirviðmiðalisti (Lýsigögn)'!K$6:K$41,MATCH($C61,'Undirviðmiðalisti (Lýsigögn)'!$C$6:$C$41,0))="","",INDEX('Undirviðmiðalisti (Lýsigögn)'!K$6:K$41,MATCH($C61,'Undirviðmiðalisti (Lýsigögn)'!$C$6:$C$41,0))),IFERROR(IF(INDEX('Undirviðmiðalisti (Lýsigögn)'!K$42:K$58,MATCH($C61,'Undirviðmiðalisti (Lýsigögn)'!$C$42:$C$58,0))="","",INDEX('Undirviðmiðalisti (Lýsigögn)'!K$42:K$58,MATCH($C61,'Undirviðmiðalisti (Lýsigögn)'!$C$42:$C$58,0))),""))))</f>
        <v/>
      </c>
      <c r="P61" s="16" t="str">
        <f aca="false">IF($C61="","",IF($G61="Einstaklingsbundið",IFERROR(IF(INDEX('Undirviðmiðalisti (Lýsigögn)'!L$42:L$58,MATCH($C61,'Undirviðmiðalisti (Lýsigögn)'!$C$42:$C$58,0))="","",INDEX('Undirviðmiðalisti (Lýsigögn)'!L$42:L$58,MATCH($C61,'Undirviðmiðalisti (Lýsigögn)'!$C$42:$C$58,0))),""),IFERROR(IF(INDEX('Undirviðmiðalisti (Lýsigögn)'!L$6:L$41,MATCH($C61,'Undirviðmiðalisti (Lýsigögn)'!$C$6:$C$41,0))="","",INDEX('Undirviðmiðalisti (Lýsigögn)'!L$6:L$41,MATCH($C61,'Undirviðmiðalisti (Lýsigögn)'!$C$6:$C$41,0))),IFERROR(IF(INDEX('Undirviðmiðalisti (Lýsigögn)'!L$42:L$58,MATCH($C61,'Undirviðmiðalisti (Lýsigögn)'!$C$42:$C$58,0))="","",INDEX('Undirviðmiðalisti (Lýsigögn)'!L$42:L$58,MATCH($C61,'Undirviðmiðalisti (Lýsigögn)'!$C$42:$C$58,0))),""))))</f>
        <v/>
      </c>
      <c r="Q61" s="16" t="str">
        <f aca="false">IF($C61="","",IF($G61="Einstaklingsbundið",IFERROR(IF(INDEX('Undirviðmiðalisti (Lýsigögn)'!M$42:M$58,MATCH($C61,'Undirviðmiðalisti (Lýsigögn)'!$C$42:$C$58,0))="","",INDEX('Undirviðmiðalisti (Lýsigögn)'!M$42:M$58,MATCH($C61,'Undirviðmiðalisti (Lýsigögn)'!$C$42:$C$58,0))),""),IFERROR(IF(INDEX('Undirviðmiðalisti (Lýsigögn)'!M$6:M$41,MATCH($C61,'Undirviðmiðalisti (Lýsigögn)'!$C$6:$C$41,0))="","",INDEX('Undirviðmiðalisti (Lýsigögn)'!M$6:M$41,MATCH($C61,'Undirviðmiðalisti (Lýsigögn)'!$C$6:$C$41,0))),IFERROR(IF(INDEX('Undirviðmiðalisti (Lýsigögn)'!M$42:M$58,MATCH($C61,'Undirviðmiðalisti (Lýsigögn)'!$C$42:$C$58,0))="","",INDEX('Undirviðmiðalisti (Lýsigögn)'!M$42:M$58,MATCH($C61,'Undirviðmiðalisti (Lýsigögn)'!$C$42:$C$58,0))),""))))</f>
        <v/>
      </c>
    </row>
    <row r="62" customFormat="false" ht="15" hidden="false" customHeight="true" outlineLevel="0" collapsed="false">
      <c r="A62" s="22" t="str">
        <f aca="false">IF($B62="","",ROW()-5)</f>
        <v/>
      </c>
      <c r="B62" s="15"/>
      <c r="C62" s="15"/>
      <c r="D62" s="16" t="str">
        <f aca="false">IF($C62="","",IF($G62="Einstaklingsbundið",IFERROR(IF(INDEX('Undirviðmiðalisti (Lýsigögn)'!$D$42:$D$58,MATCH($C62,'Undirviðmiðalisti (Lýsigögn)'!$C$42:$C$58,0))="","",INDEX('Undirviðmiðalisti (Lýsigögn)'!$D$42:$D$58,MATCH($C62,'Undirviðmiðalisti (Lýsigögn)'!$C$42:$C$58,0))),""),IFERROR(IF(INDEX('Undirviðmiðalisti (Lýsigögn)'!$D$6:$D$41,MATCH($C62,'Undirviðmiðalisti (Lýsigögn)'!$C$6:$C$41,0))="","",INDEX('Undirviðmiðalisti (Lýsigögn)'!$D$6:$D$41,MATCH($C62,'Undirviðmiðalisti (Lýsigögn)'!$C$6:$C$41,0))),IFERROR(IF(INDEX('Undirviðmiðalisti (Lýsigögn)'!$D$42:$D$58,MATCH($C62,'Undirviðmiðalisti (Lýsigögn)'!$C$42:$C$58,0))="","",INDEX('Undirviðmiðalisti (Lýsigögn)'!$D$42:$D$58,MATCH($C62,'Undirviðmiðalisti (Lýsigögn)'!$C$42:$C$58,0))),""))))</f>
        <v/>
      </c>
      <c r="E62" s="14"/>
      <c r="F62" s="23" t="str">
        <f aca="false">IF($C62="","",IF($G62="Einstaklingsbundið",IFERROR(IF(INDEX('Undirviðmiðalisti (Lýsigögn)'!$E$42:$E$58,MATCH($C62,'Undirviðmiðalisti (Lýsigögn)'!$C$42:$C$58,0))="","",INDEX('Undirviðmiðalisti (Lýsigögn)'!$E$42:$E$58,MATCH($C62,'Undirviðmiðalisti (Lýsigögn)'!$C$42:$C$58,0))),""),IFERROR(IF(INDEX('Undirviðmiðalisti (Lýsigögn)'!$E$6:$E$41,MATCH($C62,'Undirviðmiðalisti (Lýsigögn)'!$C$6:$C$41,0))="","",INDEX('Undirviðmiðalisti (Lýsigögn)'!$E$6:$E$41,MATCH($C62,'Undirviðmiðalisti (Lýsigögn)'!$C$6:$C$41,0))),IFERROR(IF(INDEX('Undirviðmiðalisti (Lýsigögn)'!$E$42:$E$58,MATCH($C62,'Undirviðmiðalisti (Lýsigögn)'!$C$42:$C$58,0))="","",INDEX('Undirviðmiðalisti (Lýsigögn)'!$E$42:$E$58,MATCH($C62,'Undirviðmiðalisti (Lýsigögn)'!$C$42:$C$58,0))),""))))</f>
        <v/>
      </c>
      <c r="G62" s="24" t="str">
        <f aca="false">IFERROR(IF(B62="","",INDEX(Viðmið!$B$6:$B$10,MATCH(B62,Viðmið!$C$6:$C$10,0))),"")</f>
        <v/>
      </c>
      <c r="H62" s="25" t="str">
        <f aca="false">IF(OR(E62="",F62=""),"",E62*KVARDI)</f>
        <v/>
      </c>
      <c r="I62" s="26" t="str">
        <f aca="false">IF(B62="","",IF(ROUND(SUMIF($B$6:$B$205,B62,$E$6:$E$205),4)=ROUND(IFERROR(INDEX(Viðmið!$E$6:$E$10,MATCH(B62,Viðmið!$C$6:$C$10,0)),-1),4),"✓","✗"))</f>
        <v/>
      </c>
      <c r="J62" s="16" t="str">
        <f aca="false">IF($C62="","",IF($G62="Einstaklingsbundið",IFERROR(IF(INDEX('Undirviðmiðalisti (Lýsigögn)'!F$42:F$58,MATCH($C62,'Undirviðmiðalisti (Lýsigögn)'!$C$42:$C$58,0))="","",INDEX('Undirviðmiðalisti (Lýsigögn)'!F$42:F$58,MATCH($C62,'Undirviðmiðalisti (Lýsigögn)'!$C$42:$C$58,0))),""),IFERROR(IF(INDEX('Undirviðmiðalisti (Lýsigögn)'!F$6:F$41,MATCH($C62,'Undirviðmiðalisti (Lýsigögn)'!$C$6:$C$41,0))="","",INDEX('Undirviðmiðalisti (Lýsigögn)'!F$6:F$41,MATCH($C62,'Undirviðmiðalisti (Lýsigögn)'!$C$6:$C$41,0))),IFERROR(IF(INDEX('Undirviðmiðalisti (Lýsigögn)'!F$42:F$58,MATCH($C62,'Undirviðmiðalisti (Lýsigögn)'!$C$42:$C$58,0))="","",INDEX('Undirviðmiðalisti (Lýsigögn)'!F$42:F$58,MATCH($C62,'Undirviðmiðalisti (Lýsigögn)'!$C$42:$C$58,0))),""))))</f>
        <v/>
      </c>
      <c r="K62" s="16" t="str">
        <f aca="false">IF($C62="","",IF($G62="Einstaklingsbundið",IFERROR(IF(INDEX('Undirviðmiðalisti (Lýsigögn)'!G$42:G$58,MATCH($C62,'Undirviðmiðalisti (Lýsigögn)'!$C$42:$C$58,0))="","",INDEX('Undirviðmiðalisti (Lýsigögn)'!G$42:G$58,MATCH($C62,'Undirviðmiðalisti (Lýsigögn)'!$C$42:$C$58,0))),""),IFERROR(IF(INDEX('Undirviðmiðalisti (Lýsigögn)'!G$6:G$41,MATCH($C62,'Undirviðmiðalisti (Lýsigögn)'!$C$6:$C$41,0))="","",INDEX('Undirviðmiðalisti (Lýsigögn)'!G$6:G$41,MATCH($C62,'Undirviðmiðalisti (Lýsigögn)'!$C$6:$C$41,0))),IFERROR(IF(INDEX('Undirviðmiðalisti (Lýsigögn)'!G$42:G$58,MATCH($C62,'Undirviðmiðalisti (Lýsigögn)'!$C$42:$C$58,0))="","",INDEX('Undirviðmiðalisti (Lýsigögn)'!G$42:G$58,MATCH($C62,'Undirviðmiðalisti (Lýsigögn)'!$C$42:$C$58,0))),""))))</f>
        <v/>
      </c>
      <c r="L62" s="16" t="str">
        <f aca="false">IF($C62="","",IF($G62="Einstaklingsbundið",IFERROR(IF(INDEX('Undirviðmiðalisti (Lýsigögn)'!H$42:H$58,MATCH($C62,'Undirviðmiðalisti (Lýsigögn)'!$C$42:$C$58,0))="","",INDEX('Undirviðmiðalisti (Lýsigögn)'!H$42:H$58,MATCH($C62,'Undirviðmiðalisti (Lýsigögn)'!$C$42:$C$58,0))),""),IFERROR(IF(INDEX('Undirviðmiðalisti (Lýsigögn)'!H$6:H$41,MATCH($C62,'Undirviðmiðalisti (Lýsigögn)'!$C$6:$C$41,0))="","",INDEX('Undirviðmiðalisti (Lýsigögn)'!H$6:H$41,MATCH($C62,'Undirviðmiðalisti (Lýsigögn)'!$C$6:$C$41,0))),IFERROR(IF(INDEX('Undirviðmiðalisti (Lýsigögn)'!H$42:H$58,MATCH($C62,'Undirviðmiðalisti (Lýsigögn)'!$C$42:$C$58,0))="","",INDEX('Undirviðmiðalisti (Lýsigögn)'!H$42:H$58,MATCH($C62,'Undirviðmiðalisti (Lýsigögn)'!$C$42:$C$58,0))),""))))</f>
        <v/>
      </c>
      <c r="M62" s="16" t="str">
        <f aca="false">IF($C62="","",IF($G62="Einstaklingsbundið",IFERROR(IF(INDEX('Undirviðmiðalisti (Lýsigögn)'!I$42:I$58,MATCH($C62,'Undirviðmiðalisti (Lýsigögn)'!$C$42:$C$58,0))="","",INDEX('Undirviðmiðalisti (Lýsigögn)'!I$42:I$58,MATCH($C62,'Undirviðmiðalisti (Lýsigögn)'!$C$42:$C$58,0))),""),IFERROR(IF(INDEX('Undirviðmiðalisti (Lýsigögn)'!I$6:I$41,MATCH($C62,'Undirviðmiðalisti (Lýsigögn)'!$C$6:$C$41,0))="","",INDEX('Undirviðmiðalisti (Lýsigögn)'!I$6:I$41,MATCH($C62,'Undirviðmiðalisti (Lýsigögn)'!$C$6:$C$41,0))),IFERROR(IF(INDEX('Undirviðmiðalisti (Lýsigögn)'!I$42:I$58,MATCH($C62,'Undirviðmiðalisti (Lýsigögn)'!$C$42:$C$58,0))="","",INDEX('Undirviðmiðalisti (Lýsigögn)'!I$42:I$58,MATCH($C62,'Undirviðmiðalisti (Lýsigögn)'!$C$42:$C$58,0))),""))))</f>
        <v/>
      </c>
      <c r="N62" s="16" t="str">
        <f aca="false">IF($C62="","",IF($G62="Einstaklingsbundið",IFERROR(IF(INDEX('Undirviðmiðalisti (Lýsigögn)'!J$42:J$58,MATCH($C62,'Undirviðmiðalisti (Lýsigögn)'!$C$42:$C$58,0))="","",INDEX('Undirviðmiðalisti (Lýsigögn)'!J$42:J$58,MATCH($C62,'Undirviðmiðalisti (Lýsigögn)'!$C$42:$C$58,0))),""),IFERROR(IF(INDEX('Undirviðmiðalisti (Lýsigögn)'!J$6:J$41,MATCH($C62,'Undirviðmiðalisti (Lýsigögn)'!$C$6:$C$41,0))="","",INDEX('Undirviðmiðalisti (Lýsigögn)'!J$6:J$41,MATCH($C62,'Undirviðmiðalisti (Lýsigögn)'!$C$6:$C$41,0))),IFERROR(IF(INDEX('Undirviðmiðalisti (Lýsigögn)'!J$42:J$58,MATCH($C62,'Undirviðmiðalisti (Lýsigögn)'!$C$42:$C$58,0))="","",INDEX('Undirviðmiðalisti (Lýsigögn)'!J$42:J$58,MATCH($C62,'Undirviðmiðalisti (Lýsigögn)'!$C$42:$C$58,0))),""))))</f>
        <v/>
      </c>
      <c r="O62" s="16" t="str">
        <f aca="false">IF($C62="","",IF($G62="Einstaklingsbundið",IFERROR(IF(INDEX('Undirviðmiðalisti (Lýsigögn)'!K$42:K$58,MATCH($C62,'Undirviðmiðalisti (Lýsigögn)'!$C$42:$C$58,0))="","",INDEX('Undirviðmiðalisti (Lýsigögn)'!K$42:K$58,MATCH($C62,'Undirviðmiðalisti (Lýsigögn)'!$C$42:$C$58,0))),""),IFERROR(IF(INDEX('Undirviðmiðalisti (Lýsigögn)'!K$6:K$41,MATCH($C62,'Undirviðmiðalisti (Lýsigögn)'!$C$6:$C$41,0))="","",INDEX('Undirviðmiðalisti (Lýsigögn)'!K$6:K$41,MATCH($C62,'Undirviðmiðalisti (Lýsigögn)'!$C$6:$C$41,0))),IFERROR(IF(INDEX('Undirviðmiðalisti (Lýsigögn)'!K$42:K$58,MATCH($C62,'Undirviðmiðalisti (Lýsigögn)'!$C$42:$C$58,0))="","",INDEX('Undirviðmiðalisti (Lýsigögn)'!K$42:K$58,MATCH($C62,'Undirviðmiðalisti (Lýsigögn)'!$C$42:$C$58,0))),""))))</f>
        <v/>
      </c>
      <c r="P62" s="16" t="str">
        <f aca="false">IF($C62="","",IF($G62="Einstaklingsbundið",IFERROR(IF(INDEX('Undirviðmiðalisti (Lýsigögn)'!L$42:L$58,MATCH($C62,'Undirviðmiðalisti (Lýsigögn)'!$C$42:$C$58,0))="","",INDEX('Undirviðmiðalisti (Lýsigögn)'!L$42:L$58,MATCH($C62,'Undirviðmiðalisti (Lýsigögn)'!$C$42:$C$58,0))),""),IFERROR(IF(INDEX('Undirviðmiðalisti (Lýsigögn)'!L$6:L$41,MATCH($C62,'Undirviðmiðalisti (Lýsigögn)'!$C$6:$C$41,0))="","",INDEX('Undirviðmiðalisti (Lýsigögn)'!L$6:L$41,MATCH($C62,'Undirviðmiðalisti (Lýsigögn)'!$C$6:$C$41,0))),IFERROR(IF(INDEX('Undirviðmiðalisti (Lýsigögn)'!L$42:L$58,MATCH($C62,'Undirviðmiðalisti (Lýsigögn)'!$C$42:$C$58,0))="","",INDEX('Undirviðmiðalisti (Lýsigögn)'!L$42:L$58,MATCH($C62,'Undirviðmiðalisti (Lýsigögn)'!$C$42:$C$58,0))),""))))</f>
        <v/>
      </c>
      <c r="Q62" s="16" t="str">
        <f aca="false">IF($C62="","",IF($G62="Einstaklingsbundið",IFERROR(IF(INDEX('Undirviðmiðalisti (Lýsigögn)'!M$42:M$58,MATCH($C62,'Undirviðmiðalisti (Lýsigögn)'!$C$42:$C$58,0))="","",INDEX('Undirviðmiðalisti (Lýsigögn)'!M$42:M$58,MATCH($C62,'Undirviðmiðalisti (Lýsigögn)'!$C$42:$C$58,0))),""),IFERROR(IF(INDEX('Undirviðmiðalisti (Lýsigögn)'!M$6:M$41,MATCH($C62,'Undirviðmiðalisti (Lýsigögn)'!$C$6:$C$41,0))="","",INDEX('Undirviðmiðalisti (Lýsigögn)'!M$6:M$41,MATCH($C62,'Undirviðmiðalisti (Lýsigögn)'!$C$6:$C$41,0))),IFERROR(IF(INDEX('Undirviðmiðalisti (Lýsigögn)'!M$42:M$58,MATCH($C62,'Undirviðmiðalisti (Lýsigögn)'!$C$42:$C$58,0))="","",INDEX('Undirviðmiðalisti (Lýsigögn)'!M$42:M$58,MATCH($C62,'Undirviðmiðalisti (Lýsigögn)'!$C$42:$C$58,0))),""))))</f>
        <v/>
      </c>
    </row>
    <row r="63" customFormat="false" ht="15" hidden="false" customHeight="true" outlineLevel="0" collapsed="false">
      <c r="A63" s="22" t="str">
        <f aca="false">IF($B63="","",ROW()-5)</f>
        <v/>
      </c>
      <c r="B63" s="15"/>
      <c r="C63" s="15"/>
      <c r="D63" s="16" t="str">
        <f aca="false">IF($C63="","",IF($G63="Einstaklingsbundið",IFERROR(IF(INDEX('Undirviðmiðalisti (Lýsigögn)'!$D$42:$D$58,MATCH($C63,'Undirviðmiðalisti (Lýsigögn)'!$C$42:$C$58,0))="","",INDEX('Undirviðmiðalisti (Lýsigögn)'!$D$42:$D$58,MATCH($C63,'Undirviðmiðalisti (Lýsigögn)'!$C$42:$C$58,0))),""),IFERROR(IF(INDEX('Undirviðmiðalisti (Lýsigögn)'!$D$6:$D$41,MATCH($C63,'Undirviðmiðalisti (Lýsigögn)'!$C$6:$C$41,0))="","",INDEX('Undirviðmiðalisti (Lýsigögn)'!$D$6:$D$41,MATCH($C63,'Undirviðmiðalisti (Lýsigögn)'!$C$6:$C$41,0))),IFERROR(IF(INDEX('Undirviðmiðalisti (Lýsigögn)'!$D$42:$D$58,MATCH($C63,'Undirviðmiðalisti (Lýsigögn)'!$C$42:$C$58,0))="","",INDEX('Undirviðmiðalisti (Lýsigögn)'!$D$42:$D$58,MATCH($C63,'Undirviðmiðalisti (Lýsigögn)'!$C$42:$C$58,0))),""))))</f>
        <v/>
      </c>
      <c r="E63" s="14"/>
      <c r="F63" s="23" t="str">
        <f aca="false">IF($C63="","",IF($G63="Einstaklingsbundið",IFERROR(IF(INDEX('Undirviðmiðalisti (Lýsigögn)'!$E$42:$E$58,MATCH($C63,'Undirviðmiðalisti (Lýsigögn)'!$C$42:$C$58,0))="","",INDEX('Undirviðmiðalisti (Lýsigögn)'!$E$42:$E$58,MATCH($C63,'Undirviðmiðalisti (Lýsigögn)'!$C$42:$C$58,0))),""),IFERROR(IF(INDEX('Undirviðmiðalisti (Lýsigögn)'!$E$6:$E$41,MATCH($C63,'Undirviðmiðalisti (Lýsigögn)'!$C$6:$C$41,0))="","",INDEX('Undirviðmiðalisti (Lýsigögn)'!$E$6:$E$41,MATCH($C63,'Undirviðmiðalisti (Lýsigögn)'!$C$6:$C$41,0))),IFERROR(IF(INDEX('Undirviðmiðalisti (Lýsigögn)'!$E$42:$E$58,MATCH($C63,'Undirviðmiðalisti (Lýsigögn)'!$C$42:$C$58,0))="","",INDEX('Undirviðmiðalisti (Lýsigögn)'!$E$42:$E$58,MATCH($C63,'Undirviðmiðalisti (Lýsigögn)'!$C$42:$C$58,0))),""))))</f>
        <v/>
      </c>
      <c r="G63" s="24" t="str">
        <f aca="false">IFERROR(IF(B63="","",INDEX(Viðmið!$B$6:$B$10,MATCH(B63,Viðmið!$C$6:$C$10,0))),"")</f>
        <v/>
      </c>
      <c r="H63" s="25" t="str">
        <f aca="false">IF(OR(E63="",F63=""),"",E63*KVARDI)</f>
        <v/>
      </c>
      <c r="I63" s="26" t="str">
        <f aca="false">IF(B63="","",IF(ROUND(SUMIF($B$6:$B$205,B63,$E$6:$E$205),4)=ROUND(IFERROR(INDEX(Viðmið!$E$6:$E$10,MATCH(B63,Viðmið!$C$6:$C$10,0)),-1),4),"✓","✗"))</f>
        <v/>
      </c>
      <c r="J63" s="16" t="str">
        <f aca="false">IF($C63="","",IF($G63="Einstaklingsbundið",IFERROR(IF(INDEX('Undirviðmiðalisti (Lýsigögn)'!F$42:F$58,MATCH($C63,'Undirviðmiðalisti (Lýsigögn)'!$C$42:$C$58,0))="","",INDEX('Undirviðmiðalisti (Lýsigögn)'!F$42:F$58,MATCH($C63,'Undirviðmiðalisti (Lýsigögn)'!$C$42:$C$58,0))),""),IFERROR(IF(INDEX('Undirviðmiðalisti (Lýsigögn)'!F$6:F$41,MATCH($C63,'Undirviðmiðalisti (Lýsigögn)'!$C$6:$C$41,0))="","",INDEX('Undirviðmiðalisti (Lýsigögn)'!F$6:F$41,MATCH($C63,'Undirviðmiðalisti (Lýsigögn)'!$C$6:$C$41,0))),IFERROR(IF(INDEX('Undirviðmiðalisti (Lýsigögn)'!F$42:F$58,MATCH($C63,'Undirviðmiðalisti (Lýsigögn)'!$C$42:$C$58,0))="","",INDEX('Undirviðmiðalisti (Lýsigögn)'!F$42:F$58,MATCH($C63,'Undirviðmiðalisti (Lýsigögn)'!$C$42:$C$58,0))),""))))</f>
        <v/>
      </c>
      <c r="K63" s="16" t="str">
        <f aca="false">IF($C63="","",IF($G63="Einstaklingsbundið",IFERROR(IF(INDEX('Undirviðmiðalisti (Lýsigögn)'!G$42:G$58,MATCH($C63,'Undirviðmiðalisti (Lýsigögn)'!$C$42:$C$58,0))="","",INDEX('Undirviðmiðalisti (Lýsigögn)'!G$42:G$58,MATCH($C63,'Undirviðmiðalisti (Lýsigögn)'!$C$42:$C$58,0))),""),IFERROR(IF(INDEX('Undirviðmiðalisti (Lýsigögn)'!G$6:G$41,MATCH($C63,'Undirviðmiðalisti (Lýsigögn)'!$C$6:$C$41,0))="","",INDEX('Undirviðmiðalisti (Lýsigögn)'!G$6:G$41,MATCH($C63,'Undirviðmiðalisti (Lýsigögn)'!$C$6:$C$41,0))),IFERROR(IF(INDEX('Undirviðmiðalisti (Lýsigögn)'!G$42:G$58,MATCH($C63,'Undirviðmiðalisti (Lýsigögn)'!$C$42:$C$58,0))="","",INDEX('Undirviðmiðalisti (Lýsigögn)'!G$42:G$58,MATCH($C63,'Undirviðmiðalisti (Lýsigögn)'!$C$42:$C$58,0))),""))))</f>
        <v/>
      </c>
      <c r="L63" s="16" t="str">
        <f aca="false">IF($C63="","",IF($G63="Einstaklingsbundið",IFERROR(IF(INDEX('Undirviðmiðalisti (Lýsigögn)'!H$42:H$58,MATCH($C63,'Undirviðmiðalisti (Lýsigögn)'!$C$42:$C$58,0))="","",INDEX('Undirviðmiðalisti (Lýsigögn)'!H$42:H$58,MATCH($C63,'Undirviðmiðalisti (Lýsigögn)'!$C$42:$C$58,0))),""),IFERROR(IF(INDEX('Undirviðmiðalisti (Lýsigögn)'!H$6:H$41,MATCH($C63,'Undirviðmiðalisti (Lýsigögn)'!$C$6:$C$41,0))="","",INDEX('Undirviðmiðalisti (Lýsigögn)'!H$6:H$41,MATCH($C63,'Undirviðmiðalisti (Lýsigögn)'!$C$6:$C$41,0))),IFERROR(IF(INDEX('Undirviðmiðalisti (Lýsigögn)'!H$42:H$58,MATCH($C63,'Undirviðmiðalisti (Lýsigögn)'!$C$42:$C$58,0))="","",INDEX('Undirviðmiðalisti (Lýsigögn)'!H$42:H$58,MATCH($C63,'Undirviðmiðalisti (Lýsigögn)'!$C$42:$C$58,0))),""))))</f>
        <v/>
      </c>
      <c r="M63" s="16" t="str">
        <f aca="false">IF($C63="","",IF($G63="Einstaklingsbundið",IFERROR(IF(INDEX('Undirviðmiðalisti (Lýsigögn)'!I$42:I$58,MATCH($C63,'Undirviðmiðalisti (Lýsigögn)'!$C$42:$C$58,0))="","",INDEX('Undirviðmiðalisti (Lýsigögn)'!I$42:I$58,MATCH($C63,'Undirviðmiðalisti (Lýsigögn)'!$C$42:$C$58,0))),""),IFERROR(IF(INDEX('Undirviðmiðalisti (Lýsigögn)'!I$6:I$41,MATCH($C63,'Undirviðmiðalisti (Lýsigögn)'!$C$6:$C$41,0))="","",INDEX('Undirviðmiðalisti (Lýsigögn)'!I$6:I$41,MATCH($C63,'Undirviðmiðalisti (Lýsigögn)'!$C$6:$C$41,0))),IFERROR(IF(INDEX('Undirviðmiðalisti (Lýsigögn)'!I$42:I$58,MATCH($C63,'Undirviðmiðalisti (Lýsigögn)'!$C$42:$C$58,0))="","",INDEX('Undirviðmiðalisti (Lýsigögn)'!I$42:I$58,MATCH($C63,'Undirviðmiðalisti (Lýsigögn)'!$C$42:$C$58,0))),""))))</f>
        <v/>
      </c>
      <c r="N63" s="16" t="str">
        <f aca="false">IF($C63="","",IF($G63="Einstaklingsbundið",IFERROR(IF(INDEX('Undirviðmiðalisti (Lýsigögn)'!J$42:J$58,MATCH($C63,'Undirviðmiðalisti (Lýsigögn)'!$C$42:$C$58,0))="","",INDEX('Undirviðmiðalisti (Lýsigögn)'!J$42:J$58,MATCH($C63,'Undirviðmiðalisti (Lýsigögn)'!$C$42:$C$58,0))),""),IFERROR(IF(INDEX('Undirviðmiðalisti (Lýsigögn)'!J$6:J$41,MATCH($C63,'Undirviðmiðalisti (Lýsigögn)'!$C$6:$C$41,0))="","",INDEX('Undirviðmiðalisti (Lýsigögn)'!J$6:J$41,MATCH($C63,'Undirviðmiðalisti (Lýsigögn)'!$C$6:$C$41,0))),IFERROR(IF(INDEX('Undirviðmiðalisti (Lýsigögn)'!J$42:J$58,MATCH($C63,'Undirviðmiðalisti (Lýsigögn)'!$C$42:$C$58,0))="","",INDEX('Undirviðmiðalisti (Lýsigögn)'!J$42:J$58,MATCH($C63,'Undirviðmiðalisti (Lýsigögn)'!$C$42:$C$58,0))),""))))</f>
        <v/>
      </c>
      <c r="O63" s="16" t="str">
        <f aca="false">IF($C63="","",IF($G63="Einstaklingsbundið",IFERROR(IF(INDEX('Undirviðmiðalisti (Lýsigögn)'!K$42:K$58,MATCH($C63,'Undirviðmiðalisti (Lýsigögn)'!$C$42:$C$58,0))="","",INDEX('Undirviðmiðalisti (Lýsigögn)'!K$42:K$58,MATCH($C63,'Undirviðmiðalisti (Lýsigögn)'!$C$42:$C$58,0))),""),IFERROR(IF(INDEX('Undirviðmiðalisti (Lýsigögn)'!K$6:K$41,MATCH($C63,'Undirviðmiðalisti (Lýsigögn)'!$C$6:$C$41,0))="","",INDEX('Undirviðmiðalisti (Lýsigögn)'!K$6:K$41,MATCH($C63,'Undirviðmiðalisti (Lýsigögn)'!$C$6:$C$41,0))),IFERROR(IF(INDEX('Undirviðmiðalisti (Lýsigögn)'!K$42:K$58,MATCH($C63,'Undirviðmiðalisti (Lýsigögn)'!$C$42:$C$58,0))="","",INDEX('Undirviðmiðalisti (Lýsigögn)'!K$42:K$58,MATCH($C63,'Undirviðmiðalisti (Lýsigögn)'!$C$42:$C$58,0))),""))))</f>
        <v/>
      </c>
      <c r="P63" s="16" t="str">
        <f aca="false">IF($C63="","",IF($G63="Einstaklingsbundið",IFERROR(IF(INDEX('Undirviðmiðalisti (Lýsigögn)'!L$42:L$58,MATCH($C63,'Undirviðmiðalisti (Lýsigögn)'!$C$42:$C$58,0))="","",INDEX('Undirviðmiðalisti (Lýsigögn)'!L$42:L$58,MATCH($C63,'Undirviðmiðalisti (Lýsigögn)'!$C$42:$C$58,0))),""),IFERROR(IF(INDEX('Undirviðmiðalisti (Lýsigögn)'!L$6:L$41,MATCH($C63,'Undirviðmiðalisti (Lýsigögn)'!$C$6:$C$41,0))="","",INDEX('Undirviðmiðalisti (Lýsigögn)'!L$6:L$41,MATCH($C63,'Undirviðmiðalisti (Lýsigögn)'!$C$6:$C$41,0))),IFERROR(IF(INDEX('Undirviðmiðalisti (Lýsigögn)'!L$42:L$58,MATCH($C63,'Undirviðmiðalisti (Lýsigögn)'!$C$42:$C$58,0))="","",INDEX('Undirviðmiðalisti (Lýsigögn)'!L$42:L$58,MATCH($C63,'Undirviðmiðalisti (Lýsigögn)'!$C$42:$C$58,0))),""))))</f>
        <v/>
      </c>
      <c r="Q63" s="16" t="str">
        <f aca="false">IF($C63="","",IF($G63="Einstaklingsbundið",IFERROR(IF(INDEX('Undirviðmiðalisti (Lýsigögn)'!M$42:M$58,MATCH($C63,'Undirviðmiðalisti (Lýsigögn)'!$C$42:$C$58,0))="","",INDEX('Undirviðmiðalisti (Lýsigögn)'!M$42:M$58,MATCH($C63,'Undirviðmiðalisti (Lýsigögn)'!$C$42:$C$58,0))),""),IFERROR(IF(INDEX('Undirviðmiðalisti (Lýsigögn)'!M$6:M$41,MATCH($C63,'Undirviðmiðalisti (Lýsigögn)'!$C$6:$C$41,0))="","",INDEX('Undirviðmiðalisti (Lýsigögn)'!M$6:M$41,MATCH($C63,'Undirviðmiðalisti (Lýsigögn)'!$C$6:$C$41,0))),IFERROR(IF(INDEX('Undirviðmiðalisti (Lýsigögn)'!M$42:M$58,MATCH($C63,'Undirviðmiðalisti (Lýsigögn)'!$C$42:$C$58,0))="","",INDEX('Undirviðmiðalisti (Lýsigögn)'!M$42:M$58,MATCH($C63,'Undirviðmiðalisti (Lýsigögn)'!$C$42:$C$58,0))),""))))</f>
        <v/>
      </c>
    </row>
    <row r="64" customFormat="false" ht="15" hidden="false" customHeight="true" outlineLevel="0" collapsed="false">
      <c r="A64" s="22" t="str">
        <f aca="false">IF($B64="","",ROW()-5)</f>
        <v/>
      </c>
      <c r="B64" s="15"/>
      <c r="C64" s="15"/>
      <c r="D64" s="16" t="str">
        <f aca="false">IF($C64="","",IF($G64="Einstaklingsbundið",IFERROR(IF(INDEX('Undirviðmiðalisti (Lýsigögn)'!$D$42:$D$58,MATCH($C64,'Undirviðmiðalisti (Lýsigögn)'!$C$42:$C$58,0))="","",INDEX('Undirviðmiðalisti (Lýsigögn)'!$D$42:$D$58,MATCH($C64,'Undirviðmiðalisti (Lýsigögn)'!$C$42:$C$58,0))),""),IFERROR(IF(INDEX('Undirviðmiðalisti (Lýsigögn)'!$D$6:$D$41,MATCH($C64,'Undirviðmiðalisti (Lýsigögn)'!$C$6:$C$41,0))="","",INDEX('Undirviðmiðalisti (Lýsigögn)'!$D$6:$D$41,MATCH($C64,'Undirviðmiðalisti (Lýsigögn)'!$C$6:$C$41,0))),IFERROR(IF(INDEX('Undirviðmiðalisti (Lýsigögn)'!$D$42:$D$58,MATCH($C64,'Undirviðmiðalisti (Lýsigögn)'!$C$42:$C$58,0))="","",INDEX('Undirviðmiðalisti (Lýsigögn)'!$D$42:$D$58,MATCH($C64,'Undirviðmiðalisti (Lýsigögn)'!$C$42:$C$58,0))),""))))</f>
        <v/>
      </c>
      <c r="E64" s="14"/>
      <c r="F64" s="23" t="str">
        <f aca="false">IF($C64="","",IF($G64="Einstaklingsbundið",IFERROR(IF(INDEX('Undirviðmiðalisti (Lýsigögn)'!$E$42:$E$58,MATCH($C64,'Undirviðmiðalisti (Lýsigögn)'!$C$42:$C$58,0))="","",INDEX('Undirviðmiðalisti (Lýsigögn)'!$E$42:$E$58,MATCH($C64,'Undirviðmiðalisti (Lýsigögn)'!$C$42:$C$58,0))),""),IFERROR(IF(INDEX('Undirviðmiðalisti (Lýsigögn)'!$E$6:$E$41,MATCH($C64,'Undirviðmiðalisti (Lýsigögn)'!$C$6:$C$41,0))="","",INDEX('Undirviðmiðalisti (Lýsigögn)'!$E$6:$E$41,MATCH($C64,'Undirviðmiðalisti (Lýsigögn)'!$C$6:$C$41,0))),IFERROR(IF(INDEX('Undirviðmiðalisti (Lýsigögn)'!$E$42:$E$58,MATCH($C64,'Undirviðmiðalisti (Lýsigögn)'!$C$42:$C$58,0))="","",INDEX('Undirviðmiðalisti (Lýsigögn)'!$E$42:$E$58,MATCH($C64,'Undirviðmiðalisti (Lýsigögn)'!$C$42:$C$58,0))),""))))</f>
        <v/>
      </c>
      <c r="G64" s="24" t="str">
        <f aca="false">IFERROR(IF(B64="","",INDEX(Viðmið!$B$6:$B$10,MATCH(B64,Viðmið!$C$6:$C$10,0))),"")</f>
        <v/>
      </c>
      <c r="H64" s="25" t="str">
        <f aca="false">IF(OR(E64="",F64=""),"",E64*KVARDI)</f>
        <v/>
      </c>
      <c r="I64" s="26" t="str">
        <f aca="false">IF(B64="","",IF(ROUND(SUMIF($B$6:$B$205,B64,$E$6:$E$205),4)=ROUND(IFERROR(INDEX(Viðmið!$E$6:$E$10,MATCH(B64,Viðmið!$C$6:$C$10,0)),-1),4),"✓","✗"))</f>
        <v/>
      </c>
      <c r="J64" s="16" t="str">
        <f aca="false">IF($C64="","",IF($G64="Einstaklingsbundið",IFERROR(IF(INDEX('Undirviðmiðalisti (Lýsigögn)'!F$42:F$58,MATCH($C64,'Undirviðmiðalisti (Lýsigögn)'!$C$42:$C$58,0))="","",INDEX('Undirviðmiðalisti (Lýsigögn)'!F$42:F$58,MATCH($C64,'Undirviðmiðalisti (Lýsigögn)'!$C$42:$C$58,0))),""),IFERROR(IF(INDEX('Undirviðmiðalisti (Lýsigögn)'!F$6:F$41,MATCH($C64,'Undirviðmiðalisti (Lýsigögn)'!$C$6:$C$41,0))="","",INDEX('Undirviðmiðalisti (Lýsigögn)'!F$6:F$41,MATCH($C64,'Undirviðmiðalisti (Lýsigögn)'!$C$6:$C$41,0))),IFERROR(IF(INDEX('Undirviðmiðalisti (Lýsigögn)'!F$42:F$58,MATCH($C64,'Undirviðmiðalisti (Lýsigögn)'!$C$42:$C$58,0))="","",INDEX('Undirviðmiðalisti (Lýsigögn)'!F$42:F$58,MATCH($C64,'Undirviðmiðalisti (Lýsigögn)'!$C$42:$C$58,0))),""))))</f>
        <v/>
      </c>
      <c r="K64" s="16" t="str">
        <f aca="false">IF($C64="","",IF($G64="Einstaklingsbundið",IFERROR(IF(INDEX('Undirviðmiðalisti (Lýsigögn)'!G$42:G$58,MATCH($C64,'Undirviðmiðalisti (Lýsigögn)'!$C$42:$C$58,0))="","",INDEX('Undirviðmiðalisti (Lýsigögn)'!G$42:G$58,MATCH($C64,'Undirviðmiðalisti (Lýsigögn)'!$C$42:$C$58,0))),""),IFERROR(IF(INDEX('Undirviðmiðalisti (Lýsigögn)'!G$6:G$41,MATCH($C64,'Undirviðmiðalisti (Lýsigögn)'!$C$6:$C$41,0))="","",INDEX('Undirviðmiðalisti (Lýsigögn)'!G$6:G$41,MATCH($C64,'Undirviðmiðalisti (Lýsigögn)'!$C$6:$C$41,0))),IFERROR(IF(INDEX('Undirviðmiðalisti (Lýsigögn)'!G$42:G$58,MATCH($C64,'Undirviðmiðalisti (Lýsigögn)'!$C$42:$C$58,0))="","",INDEX('Undirviðmiðalisti (Lýsigögn)'!G$42:G$58,MATCH($C64,'Undirviðmiðalisti (Lýsigögn)'!$C$42:$C$58,0))),""))))</f>
        <v/>
      </c>
      <c r="L64" s="16" t="str">
        <f aca="false">IF($C64="","",IF($G64="Einstaklingsbundið",IFERROR(IF(INDEX('Undirviðmiðalisti (Lýsigögn)'!H$42:H$58,MATCH($C64,'Undirviðmiðalisti (Lýsigögn)'!$C$42:$C$58,0))="","",INDEX('Undirviðmiðalisti (Lýsigögn)'!H$42:H$58,MATCH($C64,'Undirviðmiðalisti (Lýsigögn)'!$C$42:$C$58,0))),""),IFERROR(IF(INDEX('Undirviðmiðalisti (Lýsigögn)'!H$6:H$41,MATCH($C64,'Undirviðmiðalisti (Lýsigögn)'!$C$6:$C$41,0))="","",INDEX('Undirviðmiðalisti (Lýsigögn)'!H$6:H$41,MATCH($C64,'Undirviðmiðalisti (Lýsigögn)'!$C$6:$C$41,0))),IFERROR(IF(INDEX('Undirviðmiðalisti (Lýsigögn)'!H$42:H$58,MATCH($C64,'Undirviðmiðalisti (Lýsigögn)'!$C$42:$C$58,0))="","",INDEX('Undirviðmiðalisti (Lýsigögn)'!H$42:H$58,MATCH($C64,'Undirviðmiðalisti (Lýsigögn)'!$C$42:$C$58,0))),""))))</f>
        <v/>
      </c>
      <c r="M64" s="16" t="str">
        <f aca="false">IF($C64="","",IF($G64="Einstaklingsbundið",IFERROR(IF(INDEX('Undirviðmiðalisti (Lýsigögn)'!I$42:I$58,MATCH($C64,'Undirviðmiðalisti (Lýsigögn)'!$C$42:$C$58,0))="","",INDEX('Undirviðmiðalisti (Lýsigögn)'!I$42:I$58,MATCH($C64,'Undirviðmiðalisti (Lýsigögn)'!$C$42:$C$58,0))),""),IFERROR(IF(INDEX('Undirviðmiðalisti (Lýsigögn)'!I$6:I$41,MATCH($C64,'Undirviðmiðalisti (Lýsigögn)'!$C$6:$C$41,0))="","",INDEX('Undirviðmiðalisti (Lýsigögn)'!I$6:I$41,MATCH($C64,'Undirviðmiðalisti (Lýsigögn)'!$C$6:$C$41,0))),IFERROR(IF(INDEX('Undirviðmiðalisti (Lýsigögn)'!I$42:I$58,MATCH($C64,'Undirviðmiðalisti (Lýsigögn)'!$C$42:$C$58,0))="","",INDEX('Undirviðmiðalisti (Lýsigögn)'!I$42:I$58,MATCH($C64,'Undirviðmiðalisti (Lýsigögn)'!$C$42:$C$58,0))),""))))</f>
        <v/>
      </c>
      <c r="N64" s="16" t="str">
        <f aca="false">IF($C64="","",IF($G64="Einstaklingsbundið",IFERROR(IF(INDEX('Undirviðmiðalisti (Lýsigögn)'!J$42:J$58,MATCH($C64,'Undirviðmiðalisti (Lýsigögn)'!$C$42:$C$58,0))="","",INDEX('Undirviðmiðalisti (Lýsigögn)'!J$42:J$58,MATCH($C64,'Undirviðmiðalisti (Lýsigögn)'!$C$42:$C$58,0))),""),IFERROR(IF(INDEX('Undirviðmiðalisti (Lýsigögn)'!J$6:J$41,MATCH($C64,'Undirviðmiðalisti (Lýsigögn)'!$C$6:$C$41,0))="","",INDEX('Undirviðmiðalisti (Lýsigögn)'!J$6:J$41,MATCH($C64,'Undirviðmiðalisti (Lýsigögn)'!$C$6:$C$41,0))),IFERROR(IF(INDEX('Undirviðmiðalisti (Lýsigögn)'!J$42:J$58,MATCH($C64,'Undirviðmiðalisti (Lýsigögn)'!$C$42:$C$58,0))="","",INDEX('Undirviðmiðalisti (Lýsigögn)'!J$42:J$58,MATCH($C64,'Undirviðmiðalisti (Lýsigögn)'!$C$42:$C$58,0))),""))))</f>
        <v/>
      </c>
      <c r="O64" s="16" t="str">
        <f aca="false">IF($C64="","",IF($G64="Einstaklingsbundið",IFERROR(IF(INDEX('Undirviðmiðalisti (Lýsigögn)'!K$42:K$58,MATCH($C64,'Undirviðmiðalisti (Lýsigögn)'!$C$42:$C$58,0))="","",INDEX('Undirviðmiðalisti (Lýsigögn)'!K$42:K$58,MATCH($C64,'Undirviðmiðalisti (Lýsigögn)'!$C$42:$C$58,0))),""),IFERROR(IF(INDEX('Undirviðmiðalisti (Lýsigögn)'!K$6:K$41,MATCH($C64,'Undirviðmiðalisti (Lýsigögn)'!$C$6:$C$41,0))="","",INDEX('Undirviðmiðalisti (Lýsigögn)'!K$6:K$41,MATCH($C64,'Undirviðmiðalisti (Lýsigögn)'!$C$6:$C$41,0))),IFERROR(IF(INDEX('Undirviðmiðalisti (Lýsigögn)'!K$42:K$58,MATCH($C64,'Undirviðmiðalisti (Lýsigögn)'!$C$42:$C$58,0))="","",INDEX('Undirviðmiðalisti (Lýsigögn)'!K$42:K$58,MATCH($C64,'Undirviðmiðalisti (Lýsigögn)'!$C$42:$C$58,0))),""))))</f>
        <v/>
      </c>
      <c r="P64" s="16" t="str">
        <f aca="false">IF($C64="","",IF($G64="Einstaklingsbundið",IFERROR(IF(INDEX('Undirviðmiðalisti (Lýsigögn)'!L$42:L$58,MATCH($C64,'Undirviðmiðalisti (Lýsigögn)'!$C$42:$C$58,0))="","",INDEX('Undirviðmiðalisti (Lýsigögn)'!L$42:L$58,MATCH($C64,'Undirviðmiðalisti (Lýsigögn)'!$C$42:$C$58,0))),""),IFERROR(IF(INDEX('Undirviðmiðalisti (Lýsigögn)'!L$6:L$41,MATCH($C64,'Undirviðmiðalisti (Lýsigögn)'!$C$6:$C$41,0))="","",INDEX('Undirviðmiðalisti (Lýsigögn)'!L$6:L$41,MATCH($C64,'Undirviðmiðalisti (Lýsigögn)'!$C$6:$C$41,0))),IFERROR(IF(INDEX('Undirviðmiðalisti (Lýsigögn)'!L$42:L$58,MATCH($C64,'Undirviðmiðalisti (Lýsigögn)'!$C$42:$C$58,0))="","",INDEX('Undirviðmiðalisti (Lýsigögn)'!L$42:L$58,MATCH($C64,'Undirviðmiðalisti (Lýsigögn)'!$C$42:$C$58,0))),""))))</f>
        <v/>
      </c>
      <c r="Q64" s="16" t="str">
        <f aca="false">IF($C64="","",IF($G64="Einstaklingsbundið",IFERROR(IF(INDEX('Undirviðmiðalisti (Lýsigögn)'!M$42:M$58,MATCH($C64,'Undirviðmiðalisti (Lýsigögn)'!$C$42:$C$58,0))="","",INDEX('Undirviðmiðalisti (Lýsigögn)'!M$42:M$58,MATCH($C64,'Undirviðmiðalisti (Lýsigögn)'!$C$42:$C$58,0))),""),IFERROR(IF(INDEX('Undirviðmiðalisti (Lýsigögn)'!M$6:M$41,MATCH($C64,'Undirviðmiðalisti (Lýsigögn)'!$C$6:$C$41,0))="","",INDEX('Undirviðmiðalisti (Lýsigögn)'!M$6:M$41,MATCH($C64,'Undirviðmiðalisti (Lýsigögn)'!$C$6:$C$41,0))),IFERROR(IF(INDEX('Undirviðmiðalisti (Lýsigögn)'!M$42:M$58,MATCH($C64,'Undirviðmiðalisti (Lýsigögn)'!$C$42:$C$58,0))="","",INDEX('Undirviðmiðalisti (Lýsigögn)'!M$42:M$58,MATCH($C64,'Undirviðmiðalisti (Lýsigögn)'!$C$42:$C$58,0))),""))))</f>
        <v/>
      </c>
    </row>
    <row r="65" customFormat="false" ht="15" hidden="false" customHeight="true" outlineLevel="0" collapsed="false">
      <c r="A65" s="22" t="str">
        <f aca="false">IF($B65="","",ROW()-5)</f>
        <v/>
      </c>
      <c r="B65" s="15"/>
      <c r="C65" s="15"/>
      <c r="D65" s="16" t="str">
        <f aca="false">IF($C65="","",IF($G65="Einstaklingsbundið",IFERROR(IF(INDEX('Undirviðmiðalisti (Lýsigögn)'!$D$42:$D$58,MATCH($C65,'Undirviðmiðalisti (Lýsigögn)'!$C$42:$C$58,0))="","",INDEX('Undirviðmiðalisti (Lýsigögn)'!$D$42:$D$58,MATCH($C65,'Undirviðmiðalisti (Lýsigögn)'!$C$42:$C$58,0))),""),IFERROR(IF(INDEX('Undirviðmiðalisti (Lýsigögn)'!$D$6:$D$41,MATCH($C65,'Undirviðmiðalisti (Lýsigögn)'!$C$6:$C$41,0))="","",INDEX('Undirviðmiðalisti (Lýsigögn)'!$D$6:$D$41,MATCH($C65,'Undirviðmiðalisti (Lýsigögn)'!$C$6:$C$41,0))),IFERROR(IF(INDEX('Undirviðmiðalisti (Lýsigögn)'!$D$42:$D$58,MATCH($C65,'Undirviðmiðalisti (Lýsigögn)'!$C$42:$C$58,0))="","",INDEX('Undirviðmiðalisti (Lýsigögn)'!$D$42:$D$58,MATCH($C65,'Undirviðmiðalisti (Lýsigögn)'!$C$42:$C$58,0))),""))))</f>
        <v/>
      </c>
      <c r="E65" s="14"/>
      <c r="F65" s="23" t="str">
        <f aca="false">IF($C65="","",IF($G65="Einstaklingsbundið",IFERROR(IF(INDEX('Undirviðmiðalisti (Lýsigögn)'!$E$42:$E$58,MATCH($C65,'Undirviðmiðalisti (Lýsigögn)'!$C$42:$C$58,0))="","",INDEX('Undirviðmiðalisti (Lýsigögn)'!$E$42:$E$58,MATCH($C65,'Undirviðmiðalisti (Lýsigögn)'!$C$42:$C$58,0))),""),IFERROR(IF(INDEX('Undirviðmiðalisti (Lýsigögn)'!$E$6:$E$41,MATCH($C65,'Undirviðmiðalisti (Lýsigögn)'!$C$6:$C$41,0))="","",INDEX('Undirviðmiðalisti (Lýsigögn)'!$E$6:$E$41,MATCH($C65,'Undirviðmiðalisti (Lýsigögn)'!$C$6:$C$41,0))),IFERROR(IF(INDEX('Undirviðmiðalisti (Lýsigögn)'!$E$42:$E$58,MATCH($C65,'Undirviðmiðalisti (Lýsigögn)'!$C$42:$C$58,0))="","",INDEX('Undirviðmiðalisti (Lýsigögn)'!$E$42:$E$58,MATCH($C65,'Undirviðmiðalisti (Lýsigögn)'!$C$42:$C$58,0))),""))))</f>
        <v/>
      </c>
      <c r="G65" s="24" t="str">
        <f aca="false">IFERROR(IF(B65="","",INDEX(Viðmið!$B$6:$B$10,MATCH(B65,Viðmið!$C$6:$C$10,0))),"")</f>
        <v/>
      </c>
      <c r="H65" s="25" t="str">
        <f aca="false">IF(OR(E65="",F65=""),"",E65*KVARDI)</f>
        <v/>
      </c>
      <c r="I65" s="26" t="str">
        <f aca="false">IF(B65="","",IF(ROUND(SUMIF($B$6:$B$205,B65,$E$6:$E$205),4)=ROUND(IFERROR(INDEX(Viðmið!$E$6:$E$10,MATCH(B65,Viðmið!$C$6:$C$10,0)),-1),4),"✓","✗"))</f>
        <v/>
      </c>
      <c r="J65" s="16" t="str">
        <f aca="false">IF($C65="","",IF($G65="Einstaklingsbundið",IFERROR(IF(INDEX('Undirviðmiðalisti (Lýsigögn)'!F$42:F$58,MATCH($C65,'Undirviðmiðalisti (Lýsigögn)'!$C$42:$C$58,0))="","",INDEX('Undirviðmiðalisti (Lýsigögn)'!F$42:F$58,MATCH($C65,'Undirviðmiðalisti (Lýsigögn)'!$C$42:$C$58,0))),""),IFERROR(IF(INDEX('Undirviðmiðalisti (Lýsigögn)'!F$6:F$41,MATCH($C65,'Undirviðmiðalisti (Lýsigögn)'!$C$6:$C$41,0))="","",INDEX('Undirviðmiðalisti (Lýsigögn)'!F$6:F$41,MATCH($C65,'Undirviðmiðalisti (Lýsigögn)'!$C$6:$C$41,0))),IFERROR(IF(INDEX('Undirviðmiðalisti (Lýsigögn)'!F$42:F$58,MATCH($C65,'Undirviðmiðalisti (Lýsigögn)'!$C$42:$C$58,0))="","",INDEX('Undirviðmiðalisti (Lýsigögn)'!F$42:F$58,MATCH($C65,'Undirviðmiðalisti (Lýsigögn)'!$C$42:$C$58,0))),""))))</f>
        <v/>
      </c>
      <c r="K65" s="16" t="str">
        <f aca="false">IF($C65="","",IF($G65="Einstaklingsbundið",IFERROR(IF(INDEX('Undirviðmiðalisti (Lýsigögn)'!G$42:G$58,MATCH($C65,'Undirviðmiðalisti (Lýsigögn)'!$C$42:$C$58,0))="","",INDEX('Undirviðmiðalisti (Lýsigögn)'!G$42:G$58,MATCH($C65,'Undirviðmiðalisti (Lýsigögn)'!$C$42:$C$58,0))),""),IFERROR(IF(INDEX('Undirviðmiðalisti (Lýsigögn)'!G$6:G$41,MATCH($C65,'Undirviðmiðalisti (Lýsigögn)'!$C$6:$C$41,0))="","",INDEX('Undirviðmiðalisti (Lýsigögn)'!G$6:G$41,MATCH($C65,'Undirviðmiðalisti (Lýsigögn)'!$C$6:$C$41,0))),IFERROR(IF(INDEX('Undirviðmiðalisti (Lýsigögn)'!G$42:G$58,MATCH($C65,'Undirviðmiðalisti (Lýsigögn)'!$C$42:$C$58,0))="","",INDEX('Undirviðmiðalisti (Lýsigögn)'!G$42:G$58,MATCH($C65,'Undirviðmiðalisti (Lýsigögn)'!$C$42:$C$58,0))),""))))</f>
        <v/>
      </c>
      <c r="L65" s="16" t="str">
        <f aca="false">IF($C65="","",IF($G65="Einstaklingsbundið",IFERROR(IF(INDEX('Undirviðmiðalisti (Lýsigögn)'!H$42:H$58,MATCH($C65,'Undirviðmiðalisti (Lýsigögn)'!$C$42:$C$58,0))="","",INDEX('Undirviðmiðalisti (Lýsigögn)'!H$42:H$58,MATCH($C65,'Undirviðmiðalisti (Lýsigögn)'!$C$42:$C$58,0))),""),IFERROR(IF(INDEX('Undirviðmiðalisti (Lýsigögn)'!H$6:H$41,MATCH($C65,'Undirviðmiðalisti (Lýsigögn)'!$C$6:$C$41,0))="","",INDEX('Undirviðmiðalisti (Lýsigögn)'!H$6:H$41,MATCH($C65,'Undirviðmiðalisti (Lýsigögn)'!$C$6:$C$41,0))),IFERROR(IF(INDEX('Undirviðmiðalisti (Lýsigögn)'!H$42:H$58,MATCH($C65,'Undirviðmiðalisti (Lýsigögn)'!$C$42:$C$58,0))="","",INDEX('Undirviðmiðalisti (Lýsigögn)'!H$42:H$58,MATCH($C65,'Undirviðmiðalisti (Lýsigögn)'!$C$42:$C$58,0))),""))))</f>
        <v/>
      </c>
      <c r="M65" s="16" t="str">
        <f aca="false">IF($C65="","",IF($G65="Einstaklingsbundið",IFERROR(IF(INDEX('Undirviðmiðalisti (Lýsigögn)'!I$42:I$58,MATCH($C65,'Undirviðmiðalisti (Lýsigögn)'!$C$42:$C$58,0))="","",INDEX('Undirviðmiðalisti (Lýsigögn)'!I$42:I$58,MATCH($C65,'Undirviðmiðalisti (Lýsigögn)'!$C$42:$C$58,0))),""),IFERROR(IF(INDEX('Undirviðmiðalisti (Lýsigögn)'!I$6:I$41,MATCH($C65,'Undirviðmiðalisti (Lýsigögn)'!$C$6:$C$41,0))="","",INDEX('Undirviðmiðalisti (Lýsigögn)'!I$6:I$41,MATCH($C65,'Undirviðmiðalisti (Lýsigögn)'!$C$6:$C$41,0))),IFERROR(IF(INDEX('Undirviðmiðalisti (Lýsigögn)'!I$42:I$58,MATCH($C65,'Undirviðmiðalisti (Lýsigögn)'!$C$42:$C$58,0))="","",INDEX('Undirviðmiðalisti (Lýsigögn)'!I$42:I$58,MATCH($C65,'Undirviðmiðalisti (Lýsigögn)'!$C$42:$C$58,0))),""))))</f>
        <v/>
      </c>
      <c r="N65" s="16" t="str">
        <f aca="false">IF($C65="","",IF($G65="Einstaklingsbundið",IFERROR(IF(INDEX('Undirviðmiðalisti (Lýsigögn)'!J$42:J$58,MATCH($C65,'Undirviðmiðalisti (Lýsigögn)'!$C$42:$C$58,0))="","",INDEX('Undirviðmiðalisti (Lýsigögn)'!J$42:J$58,MATCH($C65,'Undirviðmiðalisti (Lýsigögn)'!$C$42:$C$58,0))),""),IFERROR(IF(INDEX('Undirviðmiðalisti (Lýsigögn)'!J$6:J$41,MATCH($C65,'Undirviðmiðalisti (Lýsigögn)'!$C$6:$C$41,0))="","",INDEX('Undirviðmiðalisti (Lýsigögn)'!J$6:J$41,MATCH($C65,'Undirviðmiðalisti (Lýsigögn)'!$C$6:$C$41,0))),IFERROR(IF(INDEX('Undirviðmiðalisti (Lýsigögn)'!J$42:J$58,MATCH($C65,'Undirviðmiðalisti (Lýsigögn)'!$C$42:$C$58,0))="","",INDEX('Undirviðmiðalisti (Lýsigögn)'!J$42:J$58,MATCH($C65,'Undirviðmiðalisti (Lýsigögn)'!$C$42:$C$58,0))),""))))</f>
        <v/>
      </c>
      <c r="O65" s="16" t="str">
        <f aca="false">IF($C65="","",IF($G65="Einstaklingsbundið",IFERROR(IF(INDEX('Undirviðmiðalisti (Lýsigögn)'!K$42:K$58,MATCH($C65,'Undirviðmiðalisti (Lýsigögn)'!$C$42:$C$58,0))="","",INDEX('Undirviðmiðalisti (Lýsigögn)'!K$42:K$58,MATCH($C65,'Undirviðmiðalisti (Lýsigögn)'!$C$42:$C$58,0))),""),IFERROR(IF(INDEX('Undirviðmiðalisti (Lýsigögn)'!K$6:K$41,MATCH($C65,'Undirviðmiðalisti (Lýsigögn)'!$C$6:$C$41,0))="","",INDEX('Undirviðmiðalisti (Lýsigögn)'!K$6:K$41,MATCH($C65,'Undirviðmiðalisti (Lýsigögn)'!$C$6:$C$41,0))),IFERROR(IF(INDEX('Undirviðmiðalisti (Lýsigögn)'!K$42:K$58,MATCH($C65,'Undirviðmiðalisti (Lýsigögn)'!$C$42:$C$58,0))="","",INDEX('Undirviðmiðalisti (Lýsigögn)'!K$42:K$58,MATCH($C65,'Undirviðmiðalisti (Lýsigögn)'!$C$42:$C$58,0))),""))))</f>
        <v/>
      </c>
      <c r="P65" s="16" t="str">
        <f aca="false">IF($C65="","",IF($G65="Einstaklingsbundið",IFERROR(IF(INDEX('Undirviðmiðalisti (Lýsigögn)'!L$42:L$58,MATCH($C65,'Undirviðmiðalisti (Lýsigögn)'!$C$42:$C$58,0))="","",INDEX('Undirviðmiðalisti (Lýsigögn)'!L$42:L$58,MATCH($C65,'Undirviðmiðalisti (Lýsigögn)'!$C$42:$C$58,0))),""),IFERROR(IF(INDEX('Undirviðmiðalisti (Lýsigögn)'!L$6:L$41,MATCH($C65,'Undirviðmiðalisti (Lýsigögn)'!$C$6:$C$41,0))="","",INDEX('Undirviðmiðalisti (Lýsigögn)'!L$6:L$41,MATCH($C65,'Undirviðmiðalisti (Lýsigögn)'!$C$6:$C$41,0))),IFERROR(IF(INDEX('Undirviðmiðalisti (Lýsigögn)'!L$42:L$58,MATCH($C65,'Undirviðmiðalisti (Lýsigögn)'!$C$42:$C$58,0))="","",INDEX('Undirviðmiðalisti (Lýsigögn)'!L$42:L$58,MATCH($C65,'Undirviðmiðalisti (Lýsigögn)'!$C$42:$C$58,0))),""))))</f>
        <v/>
      </c>
      <c r="Q65" s="16" t="str">
        <f aca="false">IF($C65="","",IF($G65="Einstaklingsbundið",IFERROR(IF(INDEX('Undirviðmiðalisti (Lýsigögn)'!M$42:M$58,MATCH($C65,'Undirviðmiðalisti (Lýsigögn)'!$C$42:$C$58,0))="","",INDEX('Undirviðmiðalisti (Lýsigögn)'!M$42:M$58,MATCH($C65,'Undirviðmiðalisti (Lýsigögn)'!$C$42:$C$58,0))),""),IFERROR(IF(INDEX('Undirviðmiðalisti (Lýsigögn)'!M$6:M$41,MATCH($C65,'Undirviðmiðalisti (Lýsigögn)'!$C$6:$C$41,0))="","",INDEX('Undirviðmiðalisti (Lýsigögn)'!M$6:M$41,MATCH($C65,'Undirviðmiðalisti (Lýsigögn)'!$C$6:$C$41,0))),IFERROR(IF(INDEX('Undirviðmiðalisti (Lýsigögn)'!M$42:M$58,MATCH($C65,'Undirviðmiðalisti (Lýsigögn)'!$C$42:$C$58,0))="","",INDEX('Undirviðmiðalisti (Lýsigögn)'!M$42:M$58,MATCH($C65,'Undirviðmiðalisti (Lýsigögn)'!$C$42:$C$58,0))),""))))</f>
        <v/>
      </c>
    </row>
    <row r="66" customFormat="false" ht="15" hidden="false" customHeight="true" outlineLevel="0" collapsed="false">
      <c r="A66" s="22" t="str">
        <f aca="false">IF($B66="","",ROW()-5)</f>
        <v/>
      </c>
      <c r="B66" s="15"/>
      <c r="C66" s="15"/>
      <c r="D66" s="16" t="str">
        <f aca="false">IF($C66="","",IF($G66="Einstaklingsbundið",IFERROR(IF(INDEX('Undirviðmiðalisti (Lýsigögn)'!$D$42:$D$58,MATCH($C66,'Undirviðmiðalisti (Lýsigögn)'!$C$42:$C$58,0))="","",INDEX('Undirviðmiðalisti (Lýsigögn)'!$D$42:$D$58,MATCH($C66,'Undirviðmiðalisti (Lýsigögn)'!$C$42:$C$58,0))),""),IFERROR(IF(INDEX('Undirviðmiðalisti (Lýsigögn)'!$D$6:$D$41,MATCH($C66,'Undirviðmiðalisti (Lýsigögn)'!$C$6:$C$41,0))="","",INDEX('Undirviðmiðalisti (Lýsigögn)'!$D$6:$D$41,MATCH($C66,'Undirviðmiðalisti (Lýsigögn)'!$C$6:$C$41,0))),IFERROR(IF(INDEX('Undirviðmiðalisti (Lýsigögn)'!$D$42:$D$58,MATCH($C66,'Undirviðmiðalisti (Lýsigögn)'!$C$42:$C$58,0))="","",INDEX('Undirviðmiðalisti (Lýsigögn)'!$D$42:$D$58,MATCH($C66,'Undirviðmiðalisti (Lýsigögn)'!$C$42:$C$58,0))),""))))</f>
        <v/>
      </c>
      <c r="E66" s="14"/>
      <c r="F66" s="23" t="str">
        <f aca="false">IF($C66="","",IF($G66="Einstaklingsbundið",IFERROR(IF(INDEX('Undirviðmiðalisti (Lýsigögn)'!$E$42:$E$58,MATCH($C66,'Undirviðmiðalisti (Lýsigögn)'!$C$42:$C$58,0))="","",INDEX('Undirviðmiðalisti (Lýsigögn)'!$E$42:$E$58,MATCH($C66,'Undirviðmiðalisti (Lýsigögn)'!$C$42:$C$58,0))),""),IFERROR(IF(INDEX('Undirviðmiðalisti (Lýsigögn)'!$E$6:$E$41,MATCH($C66,'Undirviðmiðalisti (Lýsigögn)'!$C$6:$C$41,0))="","",INDEX('Undirviðmiðalisti (Lýsigögn)'!$E$6:$E$41,MATCH($C66,'Undirviðmiðalisti (Lýsigögn)'!$C$6:$C$41,0))),IFERROR(IF(INDEX('Undirviðmiðalisti (Lýsigögn)'!$E$42:$E$58,MATCH($C66,'Undirviðmiðalisti (Lýsigögn)'!$C$42:$C$58,0))="","",INDEX('Undirviðmiðalisti (Lýsigögn)'!$E$42:$E$58,MATCH($C66,'Undirviðmiðalisti (Lýsigögn)'!$C$42:$C$58,0))),""))))</f>
        <v/>
      </c>
      <c r="G66" s="24" t="str">
        <f aca="false">IFERROR(IF(B66="","",INDEX(Viðmið!$B$6:$B$10,MATCH(B66,Viðmið!$C$6:$C$10,0))),"")</f>
        <v/>
      </c>
      <c r="H66" s="25" t="str">
        <f aca="false">IF(OR(E66="",F66=""),"",E66*KVARDI)</f>
        <v/>
      </c>
      <c r="I66" s="26" t="str">
        <f aca="false">IF(B66="","",IF(ROUND(SUMIF($B$6:$B$205,B66,$E$6:$E$205),4)=ROUND(IFERROR(INDEX(Viðmið!$E$6:$E$10,MATCH(B66,Viðmið!$C$6:$C$10,0)),-1),4),"✓","✗"))</f>
        <v/>
      </c>
      <c r="J66" s="16" t="str">
        <f aca="false">IF($C66="","",IF($G66="Einstaklingsbundið",IFERROR(IF(INDEX('Undirviðmiðalisti (Lýsigögn)'!F$42:F$58,MATCH($C66,'Undirviðmiðalisti (Lýsigögn)'!$C$42:$C$58,0))="","",INDEX('Undirviðmiðalisti (Lýsigögn)'!F$42:F$58,MATCH($C66,'Undirviðmiðalisti (Lýsigögn)'!$C$42:$C$58,0))),""),IFERROR(IF(INDEX('Undirviðmiðalisti (Lýsigögn)'!F$6:F$41,MATCH($C66,'Undirviðmiðalisti (Lýsigögn)'!$C$6:$C$41,0))="","",INDEX('Undirviðmiðalisti (Lýsigögn)'!F$6:F$41,MATCH($C66,'Undirviðmiðalisti (Lýsigögn)'!$C$6:$C$41,0))),IFERROR(IF(INDEX('Undirviðmiðalisti (Lýsigögn)'!F$42:F$58,MATCH($C66,'Undirviðmiðalisti (Lýsigögn)'!$C$42:$C$58,0))="","",INDEX('Undirviðmiðalisti (Lýsigögn)'!F$42:F$58,MATCH($C66,'Undirviðmiðalisti (Lýsigögn)'!$C$42:$C$58,0))),""))))</f>
        <v/>
      </c>
      <c r="K66" s="16" t="str">
        <f aca="false">IF($C66="","",IF($G66="Einstaklingsbundið",IFERROR(IF(INDEX('Undirviðmiðalisti (Lýsigögn)'!G$42:G$58,MATCH($C66,'Undirviðmiðalisti (Lýsigögn)'!$C$42:$C$58,0))="","",INDEX('Undirviðmiðalisti (Lýsigögn)'!G$42:G$58,MATCH($C66,'Undirviðmiðalisti (Lýsigögn)'!$C$42:$C$58,0))),""),IFERROR(IF(INDEX('Undirviðmiðalisti (Lýsigögn)'!G$6:G$41,MATCH($C66,'Undirviðmiðalisti (Lýsigögn)'!$C$6:$C$41,0))="","",INDEX('Undirviðmiðalisti (Lýsigögn)'!G$6:G$41,MATCH($C66,'Undirviðmiðalisti (Lýsigögn)'!$C$6:$C$41,0))),IFERROR(IF(INDEX('Undirviðmiðalisti (Lýsigögn)'!G$42:G$58,MATCH($C66,'Undirviðmiðalisti (Lýsigögn)'!$C$42:$C$58,0))="","",INDEX('Undirviðmiðalisti (Lýsigögn)'!G$42:G$58,MATCH($C66,'Undirviðmiðalisti (Lýsigögn)'!$C$42:$C$58,0))),""))))</f>
        <v/>
      </c>
      <c r="L66" s="16" t="str">
        <f aca="false">IF($C66="","",IF($G66="Einstaklingsbundið",IFERROR(IF(INDEX('Undirviðmiðalisti (Lýsigögn)'!H$42:H$58,MATCH($C66,'Undirviðmiðalisti (Lýsigögn)'!$C$42:$C$58,0))="","",INDEX('Undirviðmiðalisti (Lýsigögn)'!H$42:H$58,MATCH($C66,'Undirviðmiðalisti (Lýsigögn)'!$C$42:$C$58,0))),""),IFERROR(IF(INDEX('Undirviðmiðalisti (Lýsigögn)'!H$6:H$41,MATCH($C66,'Undirviðmiðalisti (Lýsigögn)'!$C$6:$C$41,0))="","",INDEX('Undirviðmiðalisti (Lýsigögn)'!H$6:H$41,MATCH($C66,'Undirviðmiðalisti (Lýsigögn)'!$C$6:$C$41,0))),IFERROR(IF(INDEX('Undirviðmiðalisti (Lýsigögn)'!H$42:H$58,MATCH($C66,'Undirviðmiðalisti (Lýsigögn)'!$C$42:$C$58,0))="","",INDEX('Undirviðmiðalisti (Lýsigögn)'!H$42:H$58,MATCH($C66,'Undirviðmiðalisti (Lýsigögn)'!$C$42:$C$58,0))),""))))</f>
        <v/>
      </c>
      <c r="M66" s="16" t="str">
        <f aca="false">IF($C66="","",IF($G66="Einstaklingsbundið",IFERROR(IF(INDEX('Undirviðmiðalisti (Lýsigögn)'!I$42:I$58,MATCH($C66,'Undirviðmiðalisti (Lýsigögn)'!$C$42:$C$58,0))="","",INDEX('Undirviðmiðalisti (Lýsigögn)'!I$42:I$58,MATCH($C66,'Undirviðmiðalisti (Lýsigögn)'!$C$42:$C$58,0))),""),IFERROR(IF(INDEX('Undirviðmiðalisti (Lýsigögn)'!I$6:I$41,MATCH($C66,'Undirviðmiðalisti (Lýsigögn)'!$C$6:$C$41,0))="","",INDEX('Undirviðmiðalisti (Lýsigögn)'!I$6:I$41,MATCH($C66,'Undirviðmiðalisti (Lýsigögn)'!$C$6:$C$41,0))),IFERROR(IF(INDEX('Undirviðmiðalisti (Lýsigögn)'!I$42:I$58,MATCH($C66,'Undirviðmiðalisti (Lýsigögn)'!$C$42:$C$58,0))="","",INDEX('Undirviðmiðalisti (Lýsigögn)'!I$42:I$58,MATCH($C66,'Undirviðmiðalisti (Lýsigögn)'!$C$42:$C$58,0))),""))))</f>
        <v/>
      </c>
      <c r="N66" s="16" t="str">
        <f aca="false">IF($C66="","",IF($G66="Einstaklingsbundið",IFERROR(IF(INDEX('Undirviðmiðalisti (Lýsigögn)'!J$42:J$58,MATCH($C66,'Undirviðmiðalisti (Lýsigögn)'!$C$42:$C$58,0))="","",INDEX('Undirviðmiðalisti (Lýsigögn)'!J$42:J$58,MATCH($C66,'Undirviðmiðalisti (Lýsigögn)'!$C$42:$C$58,0))),""),IFERROR(IF(INDEX('Undirviðmiðalisti (Lýsigögn)'!J$6:J$41,MATCH($C66,'Undirviðmiðalisti (Lýsigögn)'!$C$6:$C$41,0))="","",INDEX('Undirviðmiðalisti (Lýsigögn)'!J$6:J$41,MATCH($C66,'Undirviðmiðalisti (Lýsigögn)'!$C$6:$C$41,0))),IFERROR(IF(INDEX('Undirviðmiðalisti (Lýsigögn)'!J$42:J$58,MATCH($C66,'Undirviðmiðalisti (Lýsigögn)'!$C$42:$C$58,0))="","",INDEX('Undirviðmiðalisti (Lýsigögn)'!J$42:J$58,MATCH($C66,'Undirviðmiðalisti (Lýsigögn)'!$C$42:$C$58,0))),""))))</f>
        <v/>
      </c>
      <c r="O66" s="16" t="str">
        <f aca="false">IF($C66="","",IF($G66="Einstaklingsbundið",IFERROR(IF(INDEX('Undirviðmiðalisti (Lýsigögn)'!K$42:K$58,MATCH($C66,'Undirviðmiðalisti (Lýsigögn)'!$C$42:$C$58,0))="","",INDEX('Undirviðmiðalisti (Lýsigögn)'!K$42:K$58,MATCH($C66,'Undirviðmiðalisti (Lýsigögn)'!$C$42:$C$58,0))),""),IFERROR(IF(INDEX('Undirviðmiðalisti (Lýsigögn)'!K$6:K$41,MATCH($C66,'Undirviðmiðalisti (Lýsigögn)'!$C$6:$C$41,0))="","",INDEX('Undirviðmiðalisti (Lýsigögn)'!K$6:K$41,MATCH($C66,'Undirviðmiðalisti (Lýsigögn)'!$C$6:$C$41,0))),IFERROR(IF(INDEX('Undirviðmiðalisti (Lýsigögn)'!K$42:K$58,MATCH($C66,'Undirviðmiðalisti (Lýsigögn)'!$C$42:$C$58,0))="","",INDEX('Undirviðmiðalisti (Lýsigögn)'!K$42:K$58,MATCH($C66,'Undirviðmiðalisti (Lýsigögn)'!$C$42:$C$58,0))),""))))</f>
        <v/>
      </c>
      <c r="P66" s="16" t="str">
        <f aca="false">IF($C66="","",IF($G66="Einstaklingsbundið",IFERROR(IF(INDEX('Undirviðmiðalisti (Lýsigögn)'!L$42:L$58,MATCH($C66,'Undirviðmiðalisti (Lýsigögn)'!$C$42:$C$58,0))="","",INDEX('Undirviðmiðalisti (Lýsigögn)'!L$42:L$58,MATCH($C66,'Undirviðmiðalisti (Lýsigögn)'!$C$42:$C$58,0))),""),IFERROR(IF(INDEX('Undirviðmiðalisti (Lýsigögn)'!L$6:L$41,MATCH($C66,'Undirviðmiðalisti (Lýsigögn)'!$C$6:$C$41,0))="","",INDEX('Undirviðmiðalisti (Lýsigögn)'!L$6:L$41,MATCH($C66,'Undirviðmiðalisti (Lýsigögn)'!$C$6:$C$41,0))),IFERROR(IF(INDEX('Undirviðmiðalisti (Lýsigögn)'!L$42:L$58,MATCH($C66,'Undirviðmiðalisti (Lýsigögn)'!$C$42:$C$58,0))="","",INDEX('Undirviðmiðalisti (Lýsigögn)'!L$42:L$58,MATCH($C66,'Undirviðmiðalisti (Lýsigögn)'!$C$42:$C$58,0))),""))))</f>
        <v/>
      </c>
      <c r="Q66" s="16" t="str">
        <f aca="false">IF($C66="","",IF($G66="Einstaklingsbundið",IFERROR(IF(INDEX('Undirviðmiðalisti (Lýsigögn)'!M$42:M$58,MATCH($C66,'Undirviðmiðalisti (Lýsigögn)'!$C$42:$C$58,0))="","",INDEX('Undirviðmiðalisti (Lýsigögn)'!M$42:M$58,MATCH($C66,'Undirviðmiðalisti (Lýsigögn)'!$C$42:$C$58,0))),""),IFERROR(IF(INDEX('Undirviðmiðalisti (Lýsigögn)'!M$6:M$41,MATCH($C66,'Undirviðmiðalisti (Lýsigögn)'!$C$6:$C$41,0))="","",INDEX('Undirviðmiðalisti (Lýsigögn)'!M$6:M$41,MATCH($C66,'Undirviðmiðalisti (Lýsigögn)'!$C$6:$C$41,0))),IFERROR(IF(INDEX('Undirviðmiðalisti (Lýsigögn)'!M$42:M$58,MATCH($C66,'Undirviðmiðalisti (Lýsigögn)'!$C$42:$C$58,0))="","",INDEX('Undirviðmiðalisti (Lýsigögn)'!M$42:M$58,MATCH($C66,'Undirviðmiðalisti (Lýsigögn)'!$C$42:$C$58,0))),""))))</f>
        <v/>
      </c>
    </row>
    <row r="67" customFormat="false" ht="15" hidden="false" customHeight="true" outlineLevel="0" collapsed="false">
      <c r="A67" s="22" t="str">
        <f aca="false">IF($B67="","",ROW()-5)</f>
        <v/>
      </c>
      <c r="B67" s="15"/>
      <c r="C67" s="15"/>
      <c r="D67" s="16" t="str">
        <f aca="false">IF($C67="","",IF($G67="Einstaklingsbundið",IFERROR(IF(INDEX('Undirviðmiðalisti (Lýsigögn)'!$D$42:$D$58,MATCH($C67,'Undirviðmiðalisti (Lýsigögn)'!$C$42:$C$58,0))="","",INDEX('Undirviðmiðalisti (Lýsigögn)'!$D$42:$D$58,MATCH($C67,'Undirviðmiðalisti (Lýsigögn)'!$C$42:$C$58,0))),""),IFERROR(IF(INDEX('Undirviðmiðalisti (Lýsigögn)'!$D$6:$D$41,MATCH($C67,'Undirviðmiðalisti (Lýsigögn)'!$C$6:$C$41,0))="","",INDEX('Undirviðmiðalisti (Lýsigögn)'!$D$6:$D$41,MATCH($C67,'Undirviðmiðalisti (Lýsigögn)'!$C$6:$C$41,0))),IFERROR(IF(INDEX('Undirviðmiðalisti (Lýsigögn)'!$D$42:$D$58,MATCH($C67,'Undirviðmiðalisti (Lýsigögn)'!$C$42:$C$58,0))="","",INDEX('Undirviðmiðalisti (Lýsigögn)'!$D$42:$D$58,MATCH($C67,'Undirviðmiðalisti (Lýsigögn)'!$C$42:$C$58,0))),""))))</f>
        <v/>
      </c>
      <c r="E67" s="14"/>
      <c r="F67" s="23" t="str">
        <f aca="false">IF($C67="","",IF($G67="Einstaklingsbundið",IFERROR(IF(INDEX('Undirviðmiðalisti (Lýsigögn)'!$E$42:$E$58,MATCH($C67,'Undirviðmiðalisti (Lýsigögn)'!$C$42:$C$58,0))="","",INDEX('Undirviðmiðalisti (Lýsigögn)'!$E$42:$E$58,MATCH($C67,'Undirviðmiðalisti (Lýsigögn)'!$C$42:$C$58,0))),""),IFERROR(IF(INDEX('Undirviðmiðalisti (Lýsigögn)'!$E$6:$E$41,MATCH($C67,'Undirviðmiðalisti (Lýsigögn)'!$C$6:$C$41,0))="","",INDEX('Undirviðmiðalisti (Lýsigögn)'!$E$6:$E$41,MATCH($C67,'Undirviðmiðalisti (Lýsigögn)'!$C$6:$C$41,0))),IFERROR(IF(INDEX('Undirviðmiðalisti (Lýsigögn)'!$E$42:$E$58,MATCH($C67,'Undirviðmiðalisti (Lýsigögn)'!$C$42:$C$58,0))="","",INDEX('Undirviðmiðalisti (Lýsigögn)'!$E$42:$E$58,MATCH($C67,'Undirviðmiðalisti (Lýsigögn)'!$C$42:$C$58,0))),""))))</f>
        <v/>
      </c>
      <c r="G67" s="24" t="str">
        <f aca="false">IFERROR(IF(B67="","",INDEX(Viðmið!$B$6:$B$10,MATCH(B67,Viðmið!$C$6:$C$10,0))),"")</f>
        <v/>
      </c>
      <c r="H67" s="25" t="str">
        <f aca="false">IF(OR(E67="",F67=""),"",E67*KVARDI)</f>
        <v/>
      </c>
      <c r="I67" s="26" t="str">
        <f aca="false">IF(B67="","",IF(ROUND(SUMIF($B$6:$B$205,B67,$E$6:$E$205),4)=ROUND(IFERROR(INDEX(Viðmið!$E$6:$E$10,MATCH(B67,Viðmið!$C$6:$C$10,0)),-1),4),"✓","✗"))</f>
        <v/>
      </c>
      <c r="J67" s="16" t="str">
        <f aca="false">IF($C67="","",IF($G67="Einstaklingsbundið",IFERROR(IF(INDEX('Undirviðmiðalisti (Lýsigögn)'!F$42:F$58,MATCH($C67,'Undirviðmiðalisti (Lýsigögn)'!$C$42:$C$58,0))="","",INDEX('Undirviðmiðalisti (Lýsigögn)'!F$42:F$58,MATCH($C67,'Undirviðmiðalisti (Lýsigögn)'!$C$42:$C$58,0))),""),IFERROR(IF(INDEX('Undirviðmiðalisti (Lýsigögn)'!F$6:F$41,MATCH($C67,'Undirviðmiðalisti (Lýsigögn)'!$C$6:$C$41,0))="","",INDEX('Undirviðmiðalisti (Lýsigögn)'!F$6:F$41,MATCH($C67,'Undirviðmiðalisti (Lýsigögn)'!$C$6:$C$41,0))),IFERROR(IF(INDEX('Undirviðmiðalisti (Lýsigögn)'!F$42:F$58,MATCH($C67,'Undirviðmiðalisti (Lýsigögn)'!$C$42:$C$58,0))="","",INDEX('Undirviðmiðalisti (Lýsigögn)'!F$42:F$58,MATCH($C67,'Undirviðmiðalisti (Lýsigögn)'!$C$42:$C$58,0))),""))))</f>
        <v/>
      </c>
      <c r="K67" s="16" t="str">
        <f aca="false">IF($C67="","",IF($G67="Einstaklingsbundið",IFERROR(IF(INDEX('Undirviðmiðalisti (Lýsigögn)'!G$42:G$58,MATCH($C67,'Undirviðmiðalisti (Lýsigögn)'!$C$42:$C$58,0))="","",INDEX('Undirviðmiðalisti (Lýsigögn)'!G$42:G$58,MATCH($C67,'Undirviðmiðalisti (Lýsigögn)'!$C$42:$C$58,0))),""),IFERROR(IF(INDEX('Undirviðmiðalisti (Lýsigögn)'!G$6:G$41,MATCH($C67,'Undirviðmiðalisti (Lýsigögn)'!$C$6:$C$41,0))="","",INDEX('Undirviðmiðalisti (Lýsigögn)'!G$6:G$41,MATCH($C67,'Undirviðmiðalisti (Lýsigögn)'!$C$6:$C$41,0))),IFERROR(IF(INDEX('Undirviðmiðalisti (Lýsigögn)'!G$42:G$58,MATCH($C67,'Undirviðmiðalisti (Lýsigögn)'!$C$42:$C$58,0))="","",INDEX('Undirviðmiðalisti (Lýsigögn)'!G$42:G$58,MATCH($C67,'Undirviðmiðalisti (Lýsigögn)'!$C$42:$C$58,0))),""))))</f>
        <v/>
      </c>
      <c r="L67" s="16" t="str">
        <f aca="false">IF($C67="","",IF($G67="Einstaklingsbundið",IFERROR(IF(INDEX('Undirviðmiðalisti (Lýsigögn)'!H$42:H$58,MATCH($C67,'Undirviðmiðalisti (Lýsigögn)'!$C$42:$C$58,0))="","",INDEX('Undirviðmiðalisti (Lýsigögn)'!H$42:H$58,MATCH($C67,'Undirviðmiðalisti (Lýsigögn)'!$C$42:$C$58,0))),""),IFERROR(IF(INDEX('Undirviðmiðalisti (Lýsigögn)'!H$6:H$41,MATCH($C67,'Undirviðmiðalisti (Lýsigögn)'!$C$6:$C$41,0))="","",INDEX('Undirviðmiðalisti (Lýsigögn)'!H$6:H$41,MATCH($C67,'Undirviðmiðalisti (Lýsigögn)'!$C$6:$C$41,0))),IFERROR(IF(INDEX('Undirviðmiðalisti (Lýsigögn)'!H$42:H$58,MATCH($C67,'Undirviðmiðalisti (Lýsigögn)'!$C$42:$C$58,0))="","",INDEX('Undirviðmiðalisti (Lýsigögn)'!H$42:H$58,MATCH($C67,'Undirviðmiðalisti (Lýsigögn)'!$C$42:$C$58,0))),""))))</f>
        <v/>
      </c>
      <c r="M67" s="16" t="str">
        <f aca="false">IF($C67="","",IF($G67="Einstaklingsbundið",IFERROR(IF(INDEX('Undirviðmiðalisti (Lýsigögn)'!I$42:I$58,MATCH($C67,'Undirviðmiðalisti (Lýsigögn)'!$C$42:$C$58,0))="","",INDEX('Undirviðmiðalisti (Lýsigögn)'!I$42:I$58,MATCH($C67,'Undirviðmiðalisti (Lýsigögn)'!$C$42:$C$58,0))),""),IFERROR(IF(INDEX('Undirviðmiðalisti (Lýsigögn)'!I$6:I$41,MATCH($C67,'Undirviðmiðalisti (Lýsigögn)'!$C$6:$C$41,0))="","",INDEX('Undirviðmiðalisti (Lýsigögn)'!I$6:I$41,MATCH($C67,'Undirviðmiðalisti (Lýsigögn)'!$C$6:$C$41,0))),IFERROR(IF(INDEX('Undirviðmiðalisti (Lýsigögn)'!I$42:I$58,MATCH($C67,'Undirviðmiðalisti (Lýsigögn)'!$C$42:$C$58,0))="","",INDEX('Undirviðmiðalisti (Lýsigögn)'!I$42:I$58,MATCH($C67,'Undirviðmiðalisti (Lýsigögn)'!$C$42:$C$58,0))),""))))</f>
        <v/>
      </c>
      <c r="N67" s="16" t="str">
        <f aca="false">IF($C67="","",IF($G67="Einstaklingsbundið",IFERROR(IF(INDEX('Undirviðmiðalisti (Lýsigögn)'!J$42:J$58,MATCH($C67,'Undirviðmiðalisti (Lýsigögn)'!$C$42:$C$58,0))="","",INDEX('Undirviðmiðalisti (Lýsigögn)'!J$42:J$58,MATCH($C67,'Undirviðmiðalisti (Lýsigögn)'!$C$42:$C$58,0))),""),IFERROR(IF(INDEX('Undirviðmiðalisti (Lýsigögn)'!J$6:J$41,MATCH($C67,'Undirviðmiðalisti (Lýsigögn)'!$C$6:$C$41,0))="","",INDEX('Undirviðmiðalisti (Lýsigögn)'!J$6:J$41,MATCH($C67,'Undirviðmiðalisti (Lýsigögn)'!$C$6:$C$41,0))),IFERROR(IF(INDEX('Undirviðmiðalisti (Lýsigögn)'!J$42:J$58,MATCH($C67,'Undirviðmiðalisti (Lýsigögn)'!$C$42:$C$58,0))="","",INDEX('Undirviðmiðalisti (Lýsigögn)'!J$42:J$58,MATCH($C67,'Undirviðmiðalisti (Lýsigögn)'!$C$42:$C$58,0))),""))))</f>
        <v/>
      </c>
      <c r="O67" s="16" t="str">
        <f aca="false">IF($C67="","",IF($G67="Einstaklingsbundið",IFERROR(IF(INDEX('Undirviðmiðalisti (Lýsigögn)'!K$42:K$58,MATCH($C67,'Undirviðmiðalisti (Lýsigögn)'!$C$42:$C$58,0))="","",INDEX('Undirviðmiðalisti (Lýsigögn)'!K$42:K$58,MATCH($C67,'Undirviðmiðalisti (Lýsigögn)'!$C$42:$C$58,0))),""),IFERROR(IF(INDEX('Undirviðmiðalisti (Lýsigögn)'!K$6:K$41,MATCH($C67,'Undirviðmiðalisti (Lýsigögn)'!$C$6:$C$41,0))="","",INDEX('Undirviðmiðalisti (Lýsigögn)'!K$6:K$41,MATCH($C67,'Undirviðmiðalisti (Lýsigögn)'!$C$6:$C$41,0))),IFERROR(IF(INDEX('Undirviðmiðalisti (Lýsigögn)'!K$42:K$58,MATCH($C67,'Undirviðmiðalisti (Lýsigögn)'!$C$42:$C$58,0))="","",INDEX('Undirviðmiðalisti (Lýsigögn)'!K$42:K$58,MATCH($C67,'Undirviðmiðalisti (Lýsigögn)'!$C$42:$C$58,0))),""))))</f>
        <v/>
      </c>
      <c r="P67" s="16" t="str">
        <f aca="false">IF($C67="","",IF($G67="Einstaklingsbundið",IFERROR(IF(INDEX('Undirviðmiðalisti (Lýsigögn)'!L$42:L$58,MATCH($C67,'Undirviðmiðalisti (Lýsigögn)'!$C$42:$C$58,0))="","",INDEX('Undirviðmiðalisti (Lýsigögn)'!L$42:L$58,MATCH($C67,'Undirviðmiðalisti (Lýsigögn)'!$C$42:$C$58,0))),""),IFERROR(IF(INDEX('Undirviðmiðalisti (Lýsigögn)'!L$6:L$41,MATCH($C67,'Undirviðmiðalisti (Lýsigögn)'!$C$6:$C$41,0))="","",INDEX('Undirviðmiðalisti (Lýsigögn)'!L$6:L$41,MATCH($C67,'Undirviðmiðalisti (Lýsigögn)'!$C$6:$C$41,0))),IFERROR(IF(INDEX('Undirviðmiðalisti (Lýsigögn)'!L$42:L$58,MATCH($C67,'Undirviðmiðalisti (Lýsigögn)'!$C$42:$C$58,0))="","",INDEX('Undirviðmiðalisti (Lýsigögn)'!L$42:L$58,MATCH($C67,'Undirviðmiðalisti (Lýsigögn)'!$C$42:$C$58,0))),""))))</f>
        <v/>
      </c>
      <c r="Q67" s="16" t="str">
        <f aca="false">IF($C67="","",IF($G67="Einstaklingsbundið",IFERROR(IF(INDEX('Undirviðmiðalisti (Lýsigögn)'!M$42:M$58,MATCH($C67,'Undirviðmiðalisti (Lýsigögn)'!$C$42:$C$58,0))="","",INDEX('Undirviðmiðalisti (Lýsigögn)'!M$42:M$58,MATCH($C67,'Undirviðmiðalisti (Lýsigögn)'!$C$42:$C$58,0))),""),IFERROR(IF(INDEX('Undirviðmiðalisti (Lýsigögn)'!M$6:M$41,MATCH($C67,'Undirviðmiðalisti (Lýsigögn)'!$C$6:$C$41,0))="","",INDEX('Undirviðmiðalisti (Lýsigögn)'!M$6:M$41,MATCH($C67,'Undirviðmiðalisti (Lýsigögn)'!$C$6:$C$41,0))),IFERROR(IF(INDEX('Undirviðmiðalisti (Lýsigögn)'!M$42:M$58,MATCH($C67,'Undirviðmiðalisti (Lýsigögn)'!$C$42:$C$58,0))="","",INDEX('Undirviðmiðalisti (Lýsigögn)'!M$42:M$58,MATCH($C67,'Undirviðmiðalisti (Lýsigögn)'!$C$42:$C$58,0))),""))))</f>
        <v/>
      </c>
    </row>
    <row r="68" customFormat="false" ht="15" hidden="false" customHeight="true" outlineLevel="0" collapsed="false">
      <c r="A68" s="22" t="str">
        <f aca="false">IF($B68="","",ROW()-5)</f>
        <v/>
      </c>
      <c r="B68" s="15"/>
      <c r="C68" s="15"/>
      <c r="D68" s="16" t="str">
        <f aca="false">IF($C68="","",IF($G68="Einstaklingsbundið",IFERROR(IF(INDEX('Undirviðmiðalisti (Lýsigögn)'!$D$42:$D$58,MATCH($C68,'Undirviðmiðalisti (Lýsigögn)'!$C$42:$C$58,0))="","",INDEX('Undirviðmiðalisti (Lýsigögn)'!$D$42:$D$58,MATCH($C68,'Undirviðmiðalisti (Lýsigögn)'!$C$42:$C$58,0))),""),IFERROR(IF(INDEX('Undirviðmiðalisti (Lýsigögn)'!$D$6:$D$41,MATCH($C68,'Undirviðmiðalisti (Lýsigögn)'!$C$6:$C$41,0))="","",INDEX('Undirviðmiðalisti (Lýsigögn)'!$D$6:$D$41,MATCH($C68,'Undirviðmiðalisti (Lýsigögn)'!$C$6:$C$41,0))),IFERROR(IF(INDEX('Undirviðmiðalisti (Lýsigögn)'!$D$42:$D$58,MATCH($C68,'Undirviðmiðalisti (Lýsigögn)'!$C$42:$C$58,0))="","",INDEX('Undirviðmiðalisti (Lýsigögn)'!$D$42:$D$58,MATCH($C68,'Undirviðmiðalisti (Lýsigögn)'!$C$42:$C$58,0))),""))))</f>
        <v/>
      </c>
      <c r="E68" s="14"/>
      <c r="F68" s="23" t="str">
        <f aca="false">IF($C68="","",IF($G68="Einstaklingsbundið",IFERROR(IF(INDEX('Undirviðmiðalisti (Lýsigögn)'!$E$42:$E$58,MATCH($C68,'Undirviðmiðalisti (Lýsigögn)'!$C$42:$C$58,0))="","",INDEX('Undirviðmiðalisti (Lýsigögn)'!$E$42:$E$58,MATCH($C68,'Undirviðmiðalisti (Lýsigögn)'!$C$42:$C$58,0))),""),IFERROR(IF(INDEX('Undirviðmiðalisti (Lýsigögn)'!$E$6:$E$41,MATCH($C68,'Undirviðmiðalisti (Lýsigögn)'!$C$6:$C$41,0))="","",INDEX('Undirviðmiðalisti (Lýsigögn)'!$E$6:$E$41,MATCH($C68,'Undirviðmiðalisti (Lýsigögn)'!$C$6:$C$41,0))),IFERROR(IF(INDEX('Undirviðmiðalisti (Lýsigögn)'!$E$42:$E$58,MATCH($C68,'Undirviðmiðalisti (Lýsigögn)'!$C$42:$C$58,0))="","",INDEX('Undirviðmiðalisti (Lýsigögn)'!$E$42:$E$58,MATCH($C68,'Undirviðmiðalisti (Lýsigögn)'!$C$42:$C$58,0))),""))))</f>
        <v/>
      </c>
      <c r="G68" s="24" t="str">
        <f aca="false">IFERROR(IF(B68="","",INDEX(Viðmið!$B$6:$B$10,MATCH(B68,Viðmið!$C$6:$C$10,0))),"")</f>
        <v/>
      </c>
      <c r="H68" s="25" t="str">
        <f aca="false">IF(OR(E68="",F68=""),"",E68*KVARDI)</f>
        <v/>
      </c>
      <c r="I68" s="26" t="str">
        <f aca="false">IF(B68="","",IF(ROUND(SUMIF($B$6:$B$205,B68,$E$6:$E$205),4)=ROUND(IFERROR(INDEX(Viðmið!$E$6:$E$10,MATCH(B68,Viðmið!$C$6:$C$10,0)),-1),4),"✓","✗"))</f>
        <v/>
      </c>
      <c r="J68" s="16" t="str">
        <f aca="false">IF($C68="","",IF($G68="Einstaklingsbundið",IFERROR(IF(INDEX('Undirviðmiðalisti (Lýsigögn)'!F$42:F$58,MATCH($C68,'Undirviðmiðalisti (Lýsigögn)'!$C$42:$C$58,0))="","",INDEX('Undirviðmiðalisti (Lýsigögn)'!F$42:F$58,MATCH($C68,'Undirviðmiðalisti (Lýsigögn)'!$C$42:$C$58,0))),""),IFERROR(IF(INDEX('Undirviðmiðalisti (Lýsigögn)'!F$6:F$41,MATCH($C68,'Undirviðmiðalisti (Lýsigögn)'!$C$6:$C$41,0))="","",INDEX('Undirviðmiðalisti (Lýsigögn)'!F$6:F$41,MATCH($C68,'Undirviðmiðalisti (Lýsigögn)'!$C$6:$C$41,0))),IFERROR(IF(INDEX('Undirviðmiðalisti (Lýsigögn)'!F$42:F$58,MATCH($C68,'Undirviðmiðalisti (Lýsigögn)'!$C$42:$C$58,0))="","",INDEX('Undirviðmiðalisti (Lýsigögn)'!F$42:F$58,MATCH($C68,'Undirviðmiðalisti (Lýsigögn)'!$C$42:$C$58,0))),""))))</f>
        <v/>
      </c>
      <c r="K68" s="16" t="str">
        <f aca="false">IF($C68="","",IF($G68="Einstaklingsbundið",IFERROR(IF(INDEX('Undirviðmiðalisti (Lýsigögn)'!G$42:G$58,MATCH($C68,'Undirviðmiðalisti (Lýsigögn)'!$C$42:$C$58,0))="","",INDEX('Undirviðmiðalisti (Lýsigögn)'!G$42:G$58,MATCH($C68,'Undirviðmiðalisti (Lýsigögn)'!$C$42:$C$58,0))),""),IFERROR(IF(INDEX('Undirviðmiðalisti (Lýsigögn)'!G$6:G$41,MATCH($C68,'Undirviðmiðalisti (Lýsigögn)'!$C$6:$C$41,0))="","",INDEX('Undirviðmiðalisti (Lýsigögn)'!G$6:G$41,MATCH($C68,'Undirviðmiðalisti (Lýsigögn)'!$C$6:$C$41,0))),IFERROR(IF(INDEX('Undirviðmiðalisti (Lýsigögn)'!G$42:G$58,MATCH($C68,'Undirviðmiðalisti (Lýsigögn)'!$C$42:$C$58,0))="","",INDEX('Undirviðmiðalisti (Lýsigögn)'!G$42:G$58,MATCH($C68,'Undirviðmiðalisti (Lýsigögn)'!$C$42:$C$58,0))),""))))</f>
        <v/>
      </c>
      <c r="L68" s="16" t="str">
        <f aca="false">IF($C68="","",IF($G68="Einstaklingsbundið",IFERROR(IF(INDEX('Undirviðmiðalisti (Lýsigögn)'!H$42:H$58,MATCH($C68,'Undirviðmiðalisti (Lýsigögn)'!$C$42:$C$58,0))="","",INDEX('Undirviðmiðalisti (Lýsigögn)'!H$42:H$58,MATCH($C68,'Undirviðmiðalisti (Lýsigögn)'!$C$42:$C$58,0))),""),IFERROR(IF(INDEX('Undirviðmiðalisti (Lýsigögn)'!H$6:H$41,MATCH($C68,'Undirviðmiðalisti (Lýsigögn)'!$C$6:$C$41,0))="","",INDEX('Undirviðmiðalisti (Lýsigögn)'!H$6:H$41,MATCH($C68,'Undirviðmiðalisti (Lýsigögn)'!$C$6:$C$41,0))),IFERROR(IF(INDEX('Undirviðmiðalisti (Lýsigögn)'!H$42:H$58,MATCH($C68,'Undirviðmiðalisti (Lýsigögn)'!$C$42:$C$58,0))="","",INDEX('Undirviðmiðalisti (Lýsigögn)'!H$42:H$58,MATCH($C68,'Undirviðmiðalisti (Lýsigögn)'!$C$42:$C$58,0))),""))))</f>
        <v/>
      </c>
      <c r="M68" s="16" t="str">
        <f aca="false">IF($C68="","",IF($G68="Einstaklingsbundið",IFERROR(IF(INDEX('Undirviðmiðalisti (Lýsigögn)'!I$42:I$58,MATCH($C68,'Undirviðmiðalisti (Lýsigögn)'!$C$42:$C$58,0))="","",INDEX('Undirviðmiðalisti (Lýsigögn)'!I$42:I$58,MATCH($C68,'Undirviðmiðalisti (Lýsigögn)'!$C$42:$C$58,0))),""),IFERROR(IF(INDEX('Undirviðmiðalisti (Lýsigögn)'!I$6:I$41,MATCH($C68,'Undirviðmiðalisti (Lýsigögn)'!$C$6:$C$41,0))="","",INDEX('Undirviðmiðalisti (Lýsigögn)'!I$6:I$41,MATCH($C68,'Undirviðmiðalisti (Lýsigögn)'!$C$6:$C$41,0))),IFERROR(IF(INDEX('Undirviðmiðalisti (Lýsigögn)'!I$42:I$58,MATCH($C68,'Undirviðmiðalisti (Lýsigögn)'!$C$42:$C$58,0))="","",INDEX('Undirviðmiðalisti (Lýsigögn)'!I$42:I$58,MATCH($C68,'Undirviðmiðalisti (Lýsigögn)'!$C$42:$C$58,0))),""))))</f>
        <v/>
      </c>
      <c r="N68" s="16" t="str">
        <f aca="false">IF($C68="","",IF($G68="Einstaklingsbundið",IFERROR(IF(INDEX('Undirviðmiðalisti (Lýsigögn)'!J$42:J$58,MATCH($C68,'Undirviðmiðalisti (Lýsigögn)'!$C$42:$C$58,0))="","",INDEX('Undirviðmiðalisti (Lýsigögn)'!J$42:J$58,MATCH($C68,'Undirviðmiðalisti (Lýsigögn)'!$C$42:$C$58,0))),""),IFERROR(IF(INDEX('Undirviðmiðalisti (Lýsigögn)'!J$6:J$41,MATCH($C68,'Undirviðmiðalisti (Lýsigögn)'!$C$6:$C$41,0))="","",INDEX('Undirviðmiðalisti (Lýsigögn)'!J$6:J$41,MATCH($C68,'Undirviðmiðalisti (Lýsigögn)'!$C$6:$C$41,0))),IFERROR(IF(INDEX('Undirviðmiðalisti (Lýsigögn)'!J$42:J$58,MATCH($C68,'Undirviðmiðalisti (Lýsigögn)'!$C$42:$C$58,0))="","",INDEX('Undirviðmiðalisti (Lýsigögn)'!J$42:J$58,MATCH($C68,'Undirviðmiðalisti (Lýsigögn)'!$C$42:$C$58,0))),""))))</f>
        <v/>
      </c>
      <c r="O68" s="16" t="str">
        <f aca="false">IF($C68="","",IF($G68="Einstaklingsbundið",IFERROR(IF(INDEX('Undirviðmiðalisti (Lýsigögn)'!K$42:K$58,MATCH($C68,'Undirviðmiðalisti (Lýsigögn)'!$C$42:$C$58,0))="","",INDEX('Undirviðmiðalisti (Lýsigögn)'!K$42:K$58,MATCH($C68,'Undirviðmiðalisti (Lýsigögn)'!$C$42:$C$58,0))),""),IFERROR(IF(INDEX('Undirviðmiðalisti (Lýsigögn)'!K$6:K$41,MATCH($C68,'Undirviðmiðalisti (Lýsigögn)'!$C$6:$C$41,0))="","",INDEX('Undirviðmiðalisti (Lýsigögn)'!K$6:K$41,MATCH($C68,'Undirviðmiðalisti (Lýsigögn)'!$C$6:$C$41,0))),IFERROR(IF(INDEX('Undirviðmiðalisti (Lýsigögn)'!K$42:K$58,MATCH($C68,'Undirviðmiðalisti (Lýsigögn)'!$C$42:$C$58,0))="","",INDEX('Undirviðmiðalisti (Lýsigögn)'!K$42:K$58,MATCH($C68,'Undirviðmiðalisti (Lýsigögn)'!$C$42:$C$58,0))),""))))</f>
        <v/>
      </c>
      <c r="P68" s="16" t="str">
        <f aca="false">IF($C68="","",IF($G68="Einstaklingsbundið",IFERROR(IF(INDEX('Undirviðmiðalisti (Lýsigögn)'!L$42:L$58,MATCH($C68,'Undirviðmiðalisti (Lýsigögn)'!$C$42:$C$58,0))="","",INDEX('Undirviðmiðalisti (Lýsigögn)'!L$42:L$58,MATCH($C68,'Undirviðmiðalisti (Lýsigögn)'!$C$42:$C$58,0))),""),IFERROR(IF(INDEX('Undirviðmiðalisti (Lýsigögn)'!L$6:L$41,MATCH($C68,'Undirviðmiðalisti (Lýsigögn)'!$C$6:$C$41,0))="","",INDEX('Undirviðmiðalisti (Lýsigögn)'!L$6:L$41,MATCH($C68,'Undirviðmiðalisti (Lýsigögn)'!$C$6:$C$41,0))),IFERROR(IF(INDEX('Undirviðmiðalisti (Lýsigögn)'!L$42:L$58,MATCH($C68,'Undirviðmiðalisti (Lýsigögn)'!$C$42:$C$58,0))="","",INDEX('Undirviðmiðalisti (Lýsigögn)'!L$42:L$58,MATCH($C68,'Undirviðmiðalisti (Lýsigögn)'!$C$42:$C$58,0))),""))))</f>
        <v/>
      </c>
      <c r="Q68" s="16" t="str">
        <f aca="false">IF($C68="","",IF($G68="Einstaklingsbundið",IFERROR(IF(INDEX('Undirviðmiðalisti (Lýsigögn)'!M$42:M$58,MATCH($C68,'Undirviðmiðalisti (Lýsigögn)'!$C$42:$C$58,0))="","",INDEX('Undirviðmiðalisti (Lýsigögn)'!M$42:M$58,MATCH($C68,'Undirviðmiðalisti (Lýsigögn)'!$C$42:$C$58,0))),""),IFERROR(IF(INDEX('Undirviðmiðalisti (Lýsigögn)'!M$6:M$41,MATCH($C68,'Undirviðmiðalisti (Lýsigögn)'!$C$6:$C$41,0))="","",INDEX('Undirviðmiðalisti (Lýsigögn)'!M$6:M$41,MATCH($C68,'Undirviðmiðalisti (Lýsigögn)'!$C$6:$C$41,0))),IFERROR(IF(INDEX('Undirviðmiðalisti (Lýsigögn)'!M$42:M$58,MATCH($C68,'Undirviðmiðalisti (Lýsigögn)'!$C$42:$C$58,0))="","",INDEX('Undirviðmiðalisti (Lýsigögn)'!M$42:M$58,MATCH($C68,'Undirviðmiðalisti (Lýsigögn)'!$C$42:$C$58,0))),""))))</f>
        <v/>
      </c>
    </row>
    <row r="69" customFormat="false" ht="15" hidden="false" customHeight="true" outlineLevel="0" collapsed="false">
      <c r="A69" s="22" t="str">
        <f aca="false">IF($B69="","",ROW()-5)</f>
        <v/>
      </c>
      <c r="B69" s="15"/>
      <c r="C69" s="15"/>
      <c r="D69" s="16" t="str">
        <f aca="false">IF($C69="","",IF($G69="Einstaklingsbundið",IFERROR(IF(INDEX('Undirviðmiðalisti (Lýsigögn)'!$D$42:$D$58,MATCH($C69,'Undirviðmiðalisti (Lýsigögn)'!$C$42:$C$58,0))="","",INDEX('Undirviðmiðalisti (Lýsigögn)'!$D$42:$D$58,MATCH($C69,'Undirviðmiðalisti (Lýsigögn)'!$C$42:$C$58,0))),""),IFERROR(IF(INDEX('Undirviðmiðalisti (Lýsigögn)'!$D$6:$D$41,MATCH($C69,'Undirviðmiðalisti (Lýsigögn)'!$C$6:$C$41,0))="","",INDEX('Undirviðmiðalisti (Lýsigögn)'!$D$6:$D$41,MATCH($C69,'Undirviðmiðalisti (Lýsigögn)'!$C$6:$C$41,0))),IFERROR(IF(INDEX('Undirviðmiðalisti (Lýsigögn)'!$D$42:$D$58,MATCH($C69,'Undirviðmiðalisti (Lýsigögn)'!$C$42:$C$58,0))="","",INDEX('Undirviðmiðalisti (Lýsigögn)'!$D$42:$D$58,MATCH($C69,'Undirviðmiðalisti (Lýsigögn)'!$C$42:$C$58,0))),""))))</f>
        <v/>
      </c>
      <c r="E69" s="14"/>
      <c r="F69" s="23" t="str">
        <f aca="false">IF($C69="","",IF($G69="Einstaklingsbundið",IFERROR(IF(INDEX('Undirviðmiðalisti (Lýsigögn)'!$E$42:$E$58,MATCH($C69,'Undirviðmiðalisti (Lýsigögn)'!$C$42:$C$58,0))="","",INDEX('Undirviðmiðalisti (Lýsigögn)'!$E$42:$E$58,MATCH($C69,'Undirviðmiðalisti (Lýsigögn)'!$C$42:$C$58,0))),""),IFERROR(IF(INDEX('Undirviðmiðalisti (Lýsigögn)'!$E$6:$E$41,MATCH($C69,'Undirviðmiðalisti (Lýsigögn)'!$C$6:$C$41,0))="","",INDEX('Undirviðmiðalisti (Lýsigögn)'!$E$6:$E$41,MATCH($C69,'Undirviðmiðalisti (Lýsigögn)'!$C$6:$C$41,0))),IFERROR(IF(INDEX('Undirviðmiðalisti (Lýsigögn)'!$E$42:$E$58,MATCH($C69,'Undirviðmiðalisti (Lýsigögn)'!$C$42:$C$58,0))="","",INDEX('Undirviðmiðalisti (Lýsigögn)'!$E$42:$E$58,MATCH($C69,'Undirviðmiðalisti (Lýsigögn)'!$C$42:$C$58,0))),""))))</f>
        <v/>
      </c>
      <c r="G69" s="24" t="str">
        <f aca="false">IFERROR(IF(B69="","",INDEX(Viðmið!$B$6:$B$10,MATCH(B69,Viðmið!$C$6:$C$10,0))),"")</f>
        <v/>
      </c>
      <c r="H69" s="25" t="str">
        <f aca="false">IF(OR(E69="",F69=""),"",E69*KVARDI)</f>
        <v/>
      </c>
      <c r="I69" s="26" t="str">
        <f aca="false">IF(B69="","",IF(ROUND(SUMIF($B$6:$B$205,B69,$E$6:$E$205),4)=ROUND(IFERROR(INDEX(Viðmið!$E$6:$E$10,MATCH(B69,Viðmið!$C$6:$C$10,0)),-1),4),"✓","✗"))</f>
        <v/>
      </c>
      <c r="J69" s="16" t="str">
        <f aca="false">IF($C69="","",IF($G69="Einstaklingsbundið",IFERROR(IF(INDEX('Undirviðmiðalisti (Lýsigögn)'!F$42:F$58,MATCH($C69,'Undirviðmiðalisti (Lýsigögn)'!$C$42:$C$58,0))="","",INDEX('Undirviðmiðalisti (Lýsigögn)'!F$42:F$58,MATCH($C69,'Undirviðmiðalisti (Lýsigögn)'!$C$42:$C$58,0))),""),IFERROR(IF(INDEX('Undirviðmiðalisti (Lýsigögn)'!F$6:F$41,MATCH($C69,'Undirviðmiðalisti (Lýsigögn)'!$C$6:$C$41,0))="","",INDEX('Undirviðmiðalisti (Lýsigögn)'!F$6:F$41,MATCH($C69,'Undirviðmiðalisti (Lýsigögn)'!$C$6:$C$41,0))),IFERROR(IF(INDEX('Undirviðmiðalisti (Lýsigögn)'!F$42:F$58,MATCH($C69,'Undirviðmiðalisti (Lýsigögn)'!$C$42:$C$58,0))="","",INDEX('Undirviðmiðalisti (Lýsigögn)'!F$42:F$58,MATCH($C69,'Undirviðmiðalisti (Lýsigögn)'!$C$42:$C$58,0))),""))))</f>
        <v/>
      </c>
      <c r="K69" s="16" t="str">
        <f aca="false">IF($C69="","",IF($G69="Einstaklingsbundið",IFERROR(IF(INDEX('Undirviðmiðalisti (Lýsigögn)'!G$42:G$58,MATCH($C69,'Undirviðmiðalisti (Lýsigögn)'!$C$42:$C$58,0))="","",INDEX('Undirviðmiðalisti (Lýsigögn)'!G$42:G$58,MATCH($C69,'Undirviðmiðalisti (Lýsigögn)'!$C$42:$C$58,0))),""),IFERROR(IF(INDEX('Undirviðmiðalisti (Lýsigögn)'!G$6:G$41,MATCH($C69,'Undirviðmiðalisti (Lýsigögn)'!$C$6:$C$41,0))="","",INDEX('Undirviðmiðalisti (Lýsigögn)'!G$6:G$41,MATCH($C69,'Undirviðmiðalisti (Lýsigögn)'!$C$6:$C$41,0))),IFERROR(IF(INDEX('Undirviðmiðalisti (Lýsigögn)'!G$42:G$58,MATCH($C69,'Undirviðmiðalisti (Lýsigögn)'!$C$42:$C$58,0))="","",INDEX('Undirviðmiðalisti (Lýsigögn)'!G$42:G$58,MATCH($C69,'Undirviðmiðalisti (Lýsigögn)'!$C$42:$C$58,0))),""))))</f>
        <v/>
      </c>
      <c r="L69" s="16" t="str">
        <f aca="false">IF($C69="","",IF($G69="Einstaklingsbundið",IFERROR(IF(INDEX('Undirviðmiðalisti (Lýsigögn)'!H$42:H$58,MATCH($C69,'Undirviðmiðalisti (Lýsigögn)'!$C$42:$C$58,0))="","",INDEX('Undirviðmiðalisti (Lýsigögn)'!H$42:H$58,MATCH($C69,'Undirviðmiðalisti (Lýsigögn)'!$C$42:$C$58,0))),""),IFERROR(IF(INDEX('Undirviðmiðalisti (Lýsigögn)'!H$6:H$41,MATCH($C69,'Undirviðmiðalisti (Lýsigögn)'!$C$6:$C$41,0))="","",INDEX('Undirviðmiðalisti (Lýsigögn)'!H$6:H$41,MATCH($C69,'Undirviðmiðalisti (Lýsigögn)'!$C$6:$C$41,0))),IFERROR(IF(INDEX('Undirviðmiðalisti (Lýsigögn)'!H$42:H$58,MATCH($C69,'Undirviðmiðalisti (Lýsigögn)'!$C$42:$C$58,0))="","",INDEX('Undirviðmiðalisti (Lýsigögn)'!H$42:H$58,MATCH($C69,'Undirviðmiðalisti (Lýsigögn)'!$C$42:$C$58,0))),""))))</f>
        <v/>
      </c>
      <c r="M69" s="16" t="str">
        <f aca="false">IF($C69="","",IF($G69="Einstaklingsbundið",IFERROR(IF(INDEX('Undirviðmiðalisti (Lýsigögn)'!I$42:I$58,MATCH($C69,'Undirviðmiðalisti (Lýsigögn)'!$C$42:$C$58,0))="","",INDEX('Undirviðmiðalisti (Lýsigögn)'!I$42:I$58,MATCH($C69,'Undirviðmiðalisti (Lýsigögn)'!$C$42:$C$58,0))),""),IFERROR(IF(INDEX('Undirviðmiðalisti (Lýsigögn)'!I$6:I$41,MATCH($C69,'Undirviðmiðalisti (Lýsigögn)'!$C$6:$C$41,0))="","",INDEX('Undirviðmiðalisti (Lýsigögn)'!I$6:I$41,MATCH($C69,'Undirviðmiðalisti (Lýsigögn)'!$C$6:$C$41,0))),IFERROR(IF(INDEX('Undirviðmiðalisti (Lýsigögn)'!I$42:I$58,MATCH($C69,'Undirviðmiðalisti (Lýsigögn)'!$C$42:$C$58,0))="","",INDEX('Undirviðmiðalisti (Lýsigögn)'!I$42:I$58,MATCH($C69,'Undirviðmiðalisti (Lýsigögn)'!$C$42:$C$58,0))),""))))</f>
        <v/>
      </c>
      <c r="N69" s="16" t="str">
        <f aca="false">IF($C69="","",IF($G69="Einstaklingsbundið",IFERROR(IF(INDEX('Undirviðmiðalisti (Lýsigögn)'!J$42:J$58,MATCH($C69,'Undirviðmiðalisti (Lýsigögn)'!$C$42:$C$58,0))="","",INDEX('Undirviðmiðalisti (Lýsigögn)'!J$42:J$58,MATCH($C69,'Undirviðmiðalisti (Lýsigögn)'!$C$42:$C$58,0))),""),IFERROR(IF(INDEX('Undirviðmiðalisti (Lýsigögn)'!J$6:J$41,MATCH($C69,'Undirviðmiðalisti (Lýsigögn)'!$C$6:$C$41,0))="","",INDEX('Undirviðmiðalisti (Lýsigögn)'!J$6:J$41,MATCH($C69,'Undirviðmiðalisti (Lýsigögn)'!$C$6:$C$41,0))),IFERROR(IF(INDEX('Undirviðmiðalisti (Lýsigögn)'!J$42:J$58,MATCH($C69,'Undirviðmiðalisti (Lýsigögn)'!$C$42:$C$58,0))="","",INDEX('Undirviðmiðalisti (Lýsigögn)'!J$42:J$58,MATCH($C69,'Undirviðmiðalisti (Lýsigögn)'!$C$42:$C$58,0))),""))))</f>
        <v/>
      </c>
      <c r="O69" s="16" t="str">
        <f aca="false">IF($C69="","",IF($G69="Einstaklingsbundið",IFERROR(IF(INDEX('Undirviðmiðalisti (Lýsigögn)'!K$42:K$58,MATCH($C69,'Undirviðmiðalisti (Lýsigögn)'!$C$42:$C$58,0))="","",INDEX('Undirviðmiðalisti (Lýsigögn)'!K$42:K$58,MATCH($C69,'Undirviðmiðalisti (Lýsigögn)'!$C$42:$C$58,0))),""),IFERROR(IF(INDEX('Undirviðmiðalisti (Lýsigögn)'!K$6:K$41,MATCH($C69,'Undirviðmiðalisti (Lýsigögn)'!$C$6:$C$41,0))="","",INDEX('Undirviðmiðalisti (Lýsigögn)'!K$6:K$41,MATCH($C69,'Undirviðmiðalisti (Lýsigögn)'!$C$6:$C$41,0))),IFERROR(IF(INDEX('Undirviðmiðalisti (Lýsigögn)'!K$42:K$58,MATCH($C69,'Undirviðmiðalisti (Lýsigögn)'!$C$42:$C$58,0))="","",INDEX('Undirviðmiðalisti (Lýsigögn)'!K$42:K$58,MATCH($C69,'Undirviðmiðalisti (Lýsigögn)'!$C$42:$C$58,0))),""))))</f>
        <v/>
      </c>
      <c r="P69" s="16" t="str">
        <f aca="false">IF($C69="","",IF($G69="Einstaklingsbundið",IFERROR(IF(INDEX('Undirviðmiðalisti (Lýsigögn)'!L$42:L$58,MATCH($C69,'Undirviðmiðalisti (Lýsigögn)'!$C$42:$C$58,0))="","",INDEX('Undirviðmiðalisti (Lýsigögn)'!L$42:L$58,MATCH($C69,'Undirviðmiðalisti (Lýsigögn)'!$C$42:$C$58,0))),""),IFERROR(IF(INDEX('Undirviðmiðalisti (Lýsigögn)'!L$6:L$41,MATCH($C69,'Undirviðmiðalisti (Lýsigögn)'!$C$6:$C$41,0))="","",INDEX('Undirviðmiðalisti (Lýsigögn)'!L$6:L$41,MATCH($C69,'Undirviðmiðalisti (Lýsigögn)'!$C$6:$C$41,0))),IFERROR(IF(INDEX('Undirviðmiðalisti (Lýsigögn)'!L$42:L$58,MATCH($C69,'Undirviðmiðalisti (Lýsigögn)'!$C$42:$C$58,0))="","",INDEX('Undirviðmiðalisti (Lýsigögn)'!L$42:L$58,MATCH($C69,'Undirviðmiðalisti (Lýsigögn)'!$C$42:$C$58,0))),""))))</f>
        <v/>
      </c>
      <c r="Q69" s="16" t="str">
        <f aca="false">IF($C69="","",IF($G69="Einstaklingsbundið",IFERROR(IF(INDEX('Undirviðmiðalisti (Lýsigögn)'!M$42:M$58,MATCH($C69,'Undirviðmiðalisti (Lýsigögn)'!$C$42:$C$58,0))="","",INDEX('Undirviðmiðalisti (Lýsigögn)'!M$42:M$58,MATCH($C69,'Undirviðmiðalisti (Lýsigögn)'!$C$42:$C$58,0))),""),IFERROR(IF(INDEX('Undirviðmiðalisti (Lýsigögn)'!M$6:M$41,MATCH($C69,'Undirviðmiðalisti (Lýsigögn)'!$C$6:$C$41,0))="","",INDEX('Undirviðmiðalisti (Lýsigögn)'!M$6:M$41,MATCH($C69,'Undirviðmiðalisti (Lýsigögn)'!$C$6:$C$41,0))),IFERROR(IF(INDEX('Undirviðmiðalisti (Lýsigögn)'!M$42:M$58,MATCH($C69,'Undirviðmiðalisti (Lýsigögn)'!$C$42:$C$58,0))="","",INDEX('Undirviðmiðalisti (Lýsigögn)'!M$42:M$58,MATCH($C69,'Undirviðmiðalisti (Lýsigögn)'!$C$42:$C$58,0))),""))))</f>
        <v/>
      </c>
    </row>
    <row r="70" customFormat="false" ht="15" hidden="false" customHeight="true" outlineLevel="0" collapsed="false">
      <c r="A70" s="22" t="str">
        <f aca="false">IF($B70="","",ROW()-5)</f>
        <v/>
      </c>
      <c r="B70" s="15"/>
      <c r="C70" s="15"/>
      <c r="D70" s="16" t="str">
        <f aca="false">IF($C70="","",IF($G70="Einstaklingsbundið",IFERROR(IF(INDEX('Undirviðmiðalisti (Lýsigögn)'!$D$42:$D$58,MATCH($C70,'Undirviðmiðalisti (Lýsigögn)'!$C$42:$C$58,0))="","",INDEX('Undirviðmiðalisti (Lýsigögn)'!$D$42:$D$58,MATCH($C70,'Undirviðmiðalisti (Lýsigögn)'!$C$42:$C$58,0))),""),IFERROR(IF(INDEX('Undirviðmiðalisti (Lýsigögn)'!$D$6:$D$41,MATCH($C70,'Undirviðmiðalisti (Lýsigögn)'!$C$6:$C$41,0))="","",INDEX('Undirviðmiðalisti (Lýsigögn)'!$D$6:$D$41,MATCH($C70,'Undirviðmiðalisti (Lýsigögn)'!$C$6:$C$41,0))),IFERROR(IF(INDEX('Undirviðmiðalisti (Lýsigögn)'!$D$42:$D$58,MATCH($C70,'Undirviðmiðalisti (Lýsigögn)'!$C$42:$C$58,0))="","",INDEX('Undirviðmiðalisti (Lýsigögn)'!$D$42:$D$58,MATCH($C70,'Undirviðmiðalisti (Lýsigögn)'!$C$42:$C$58,0))),""))))</f>
        <v/>
      </c>
      <c r="E70" s="14"/>
      <c r="F70" s="23" t="str">
        <f aca="false">IF($C70="","",IF($G70="Einstaklingsbundið",IFERROR(IF(INDEX('Undirviðmiðalisti (Lýsigögn)'!$E$42:$E$58,MATCH($C70,'Undirviðmiðalisti (Lýsigögn)'!$C$42:$C$58,0))="","",INDEX('Undirviðmiðalisti (Lýsigögn)'!$E$42:$E$58,MATCH($C70,'Undirviðmiðalisti (Lýsigögn)'!$C$42:$C$58,0))),""),IFERROR(IF(INDEX('Undirviðmiðalisti (Lýsigögn)'!$E$6:$E$41,MATCH($C70,'Undirviðmiðalisti (Lýsigögn)'!$C$6:$C$41,0))="","",INDEX('Undirviðmiðalisti (Lýsigögn)'!$E$6:$E$41,MATCH($C70,'Undirviðmiðalisti (Lýsigögn)'!$C$6:$C$41,0))),IFERROR(IF(INDEX('Undirviðmiðalisti (Lýsigögn)'!$E$42:$E$58,MATCH($C70,'Undirviðmiðalisti (Lýsigögn)'!$C$42:$C$58,0))="","",INDEX('Undirviðmiðalisti (Lýsigögn)'!$E$42:$E$58,MATCH($C70,'Undirviðmiðalisti (Lýsigögn)'!$C$42:$C$58,0))),""))))</f>
        <v/>
      </c>
      <c r="G70" s="24" t="str">
        <f aca="false">IFERROR(IF(B70="","",INDEX(Viðmið!$B$6:$B$10,MATCH(B70,Viðmið!$C$6:$C$10,0))),"")</f>
        <v/>
      </c>
      <c r="H70" s="25" t="str">
        <f aca="false">IF(OR(E70="",F70=""),"",E70*KVARDI)</f>
        <v/>
      </c>
      <c r="I70" s="26" t="str">
        <f aca="false">IF(B70="","",IF(ROUND(SUMIF($B$6:$B$205,B70,$E$6:$E$205),4)=ROUND(IFERROR(INDEX(Viðmið!$E$6:$E$10,MATCH(B70,Viðmið!$C$6:$C$10,0)),-1),4),"✓","✗"))</f>
        <v/>
      </c>
      <c r="J70" s="16" t="str">
        <f aca="false">IF($C70="","",IF($G70="Einstaklingsbundið",IFERROR(IF(INDEX('Undirviðmiðalisti (Lýsigögn)'!F$42:F$58,MATCH($C70,'Undirviðmiðalisti (Lýsigögn)'!$C$42:$C$58,0))="","",INDEX('Undirviðmiðalisti (Lýsigögn)'!F$42:F$58,MATCH($C70,'Undirviðmiðalisti (Lýsigögn)'!$C$42:$C$58,0))),""),IFERROR(IF(INDEX('Undirviðmiðalisti (Lýsigögn)'!F$6:F$41,MATCH($C70,'Undirviðmiðalisti (Lýsigögn)'!$C$6:$C$41,0))="","",INDEX('Undirviðmiðalisti (Lýsigögn)'!F$6:F$41,MATCH($C70,'Undirviðmiðalisti (Lýsigögn)'!$C$6:$C$41,0))),IFERROR(IF(INDEX('Undirviðmiðalisti (Lýsigögn)'!F$42:F$58,MATCH($C70,'Undirviðmiðalisti (Lýsigögn)'!$C$42:$C$58,0))="","",INDEX('Undirviðmiðalisti (Lýsigögn)'!F$42:F$58,MATCH($C70,'Undirviðmiðalisti (Lýsigögn)'!$C$42:$C$58,0))),""))))</f>
        <v/>
      </c>
      <c r="K70" s="16" t="str">
        <f aca="false">IF($C70="","",IF($G70="Einstaklingsbundið",IFERROR(IF(INDEX('Undirviðmiðalisti (Lýsigögn)'!G$42:G$58,MATCH($C70,'Undirviðmiðalisti (Lýsigögn)'!$C$42:$C$58,0))="","",INDEX('Undirviðmiðalisti (Lýsigögn)'!G$42:G$58,MATCH($C70,'Undirviðmiðalisti (Lýsigögn)'!$C$42:$C$58,0))),""),IFERROR(IF(INDEX('Undirviðmiðalisti (Lýsigögn)'!G$6:G$41,MATCH($C70,'Undirviðmiðalisti (Lýsigögn)'!$C$6:$C$41,0))="","",INDEX('Undirviðmiðalisti (Lýsigögn)'!G$6:G$41,MATCH($C70,'Undirviðmiðalisti (Lýsigögn)'!$C$6:$C$41,0))),IFERROR(IF(INDEX('Undirviðmiðalisti (Lýsigögn)'!G$42:G$58,MATCH($C70,'Undirviðmiðalisti (Lýsigögn)'!$C$42:$C$58,0))="","",INDEX('Undirviðmiðalisti (Lýsigögn)'!G$42:G$58,MATCH($C70,'Undirviðmiðalisti (Lýsigögn)'!$C$42:$C$58,0))),""))))</f>
        <v/>
      </c>
      <c r="L70" s="16" t="str">
        <f aca="false">IF($C70="","",IF($G70="Einstaklingsbundið",IFERROR(IF(INDEX('Undirviðmiðalisti (Lýsigögn)'!H$42:H$58,MATCH($C70,'Undirviðmiðalisti (Lýsigögn)'!$C$42:$C$58,0))="","",INDEX('Undirviðmiðalisti (Lýsigögn)'!H$42:H$58,MATCH($C70,'Undirviðmiðalisti (Lýsigögn)'!$C$42:$C$58,0))),""),IFERROR(IF(INDEX('Undirviðmiðalisti (Lýsigögn)'!H$6:H$41,MATCH($C70,'Undirviðmiðalisti (Lýsigögn)'!$C$6:$C$41,0))="","",INDEX('Undirviðmiðalisti (Lýsigögn)'!H$6:H$41,MATCH($C70,'Undirviðmiðalisti (Lýsigögn)'!$C$6:$C$41,0))),IFERROR(IF(INDEX('Undirviðmiðalisti (Lýsigögn)'!H$42:H$58,MATCH($C70,'Undirviðmiðalisti (Lýsigögn)'!$C$42:$C$58,0))="","",INDEX('Undirviðmiðalisti (Lýsigögn)'!H$42:H$58,MATCH($C70,'Undirviðmiðalisti (Lýsigögn)'!$C$42:$C$58,0))),""))))</f>
        <v/>
      </c>
      <c r="M70" s="16" t="str">
        <f aca="false">IF($C70="","",IF($G70="Einstaklingsbundið",IFERROR(IF(INDEX('Undirviðmiðalisti (Lýsigögn)'!I$42:I$58,MATCH($C70,'Undirviðmiðalisti (Lýsigögn)'!$C$42:$C$58,0))="","",INDEX('Undirviðmiðalisti (Lýsigögn)'!I$42:I$58,MATCH($C70,'Undirviðmiðalisti (Lýsigögn)'!$C$42:$C$58,0))),""),IFERROR(IF(INDEX('Undirviðmiðalisti (Lýsigögn)'!I$6:I$41,MATCH($C70,'Undirviðmiðalisti (Lýsigögn)'!$C$6:$C$41,0))="","",INDEX('Undirviðmiðalisti (Lýsigögn)'!I$6:I$41,MATCH($C70,'Undirviðmiðalisti (Lýsigögn)'!$C$6:$C$41,0))),IFERROR(IF(INDEX('Undirviðmiðalisti (Lýsigögn)'!I$42:I$58,MATCH($C70,'Undirviðmiðalisti (Lýsigögn)'!$C$42:$C$58,0))="","",INDEX('Undirviðmiðalisti (Lýsigögn)'!I$42:I$58,MATCH($C70,'Undirviðmiðalisti (Lýsigögn)'!$C$42:$C$58,0))),""))))</f>
        <v/>
      </c>
      <c r="N70" s="16" t="str">
        <f aca="false">IF($C70="","",IF($G70="Einstaklingsbundið",IFERROR(IF(INDEX('Undirviðmiðalisti (Lýsigögn)'!J$42:J$58,MATCH($C70,'Undirviðmiðalisti (Lýsigögn)'!$C$42:$C$58,0))="","",INDEX('Undirviðmiðalisti (Lýsigögn)'!J$42:J$58,MATCH($C70,'Undirviðmiðalisti (Lýsigögn)'!$C$42:$C$58,0))),""),IFERROR(IF(INDEX('Undirviðmiðalisti (Lýsigögn)'!J$6:J$41,MATCH($C70,'Undirviðmiðalisti (Lýsigögn)'!$C$6:$C$41,0))="","",INDEX('Undirviðmiðalisti (Lýsigögn)'!J$6:J$41,MATCH($C70,'Undirviðmiðalisti (Lýsigögn)'!$C$6:$C$41,0))),IFERROR(IF(INDEX('Undirviðmiðalisti (Lýsigögn)'!J$42:J$58,MATCH($C70,'Undirviðmiðalisti (Lýsigögn)'!$C$42:$C$58,0))="","",INDEX('Undirviðmiðalisti (Lýsigögn)'!J$42:J$58,MATCH($C70,'Undirviðmiðalisti (Lýsigögn)'!$C$42:$C$58,0))),""))))</f>
        <v/>
      </c>
      <c r="O70" s="16" t="str">
        <f aca="false">IF($C70="","",IF($G70="Einstaklingsbundið",IFERROR(IF(INDEX('Undirviðmiðalisti (Lýsigögn)'!K$42:K$58,MATCH($C70,'Undirviðmiðalisti (Lýsigögn)'!$C$42:$C$58,0))="","",INDEX('Undirviðmiðalisti (Lýsigögn)'!K$42:K$58,MATCH($C70,'Undirviðmiðalisti (Lýsigögn)'!$C$42:$C$58,0))),""),IFERROR(IF(INDEX('Undirviðmiðalisti (Lýsigögn)'!K$6:K$41,MATCH($C70,'Undirviðmiðalisti (Lýsigögn)'!$C$6:$C$41,0))="","",INDEX('Undirviðmiðalisti (Lýsigögn)'!K$6:K$41,MATCH($C70,'Undirviðmiðalisti (Lýsigögn)'!$C$6:$C$41,0))),IFERROR(IF(INDEX('Undirviðmiðalisti (Lýsigögn)'!K$42:K$58,MATCH($C70,'Undirviðmiðalisti (Lýsigögn)'!$C$42:$C$58,0))="","",INDEX('Undirviðmiðalisti (Lýsigögn)'!K$42:K$58,MATCH($C70,'Undirviðmiðalisti (Lýsigögn)'!$C$42:$C$58,0))),""))))</f>
        <v/>
      </c>
      <c r="P70" s="16" t="str">
        <f aca="false">IF($C70="","",IF($G70="Einstaklingsbundið",IFERROR(IF(INDEX('Undirviðmiðalisti (Lýsigögn)'!L$42:L$58,MATCH($C70,'Undirviðmiðalisti (Lýsigögn)'!$C$42:$C$58,0))="","",INDEX('Undirviðmiðalisti (Lýsigögn)'!L$42:L$58,MATCH($C70,'Undirviðmiðalisti (Lýsigögn)'!$C$42:$C$58,0))),""),IFERROR(IF(INDEX('Undirviðmiðalisti (Lýsigögn)'!L$6:L$41,MATCH($C70,'Undirviðmiðalisti (Lýsigögn)'!$C$6:$C$41,0))="","",INDEX('Undirviðmiðalisti (Lýsigögn)'!L$6:L$41,MATCH($C70,'Undirviðmiðalisti (Lýsigögn)'!$C$6:$C$41,0))),IFERROR(IF(INDEX('Undirviðmiðalisti (Lýsigögn)'!L$42:L$58,MATCH($C70,'Undirviðmiðalisti (Lýsigögn)'!$C$42:$C$58,0))="","",INDEX('Undirviðmiðalisti (Lýsigögn)'!L$42:L$58,MATCH($C70,'Undirviðmiðalisti (Lýsigögn)'!$C$42:$C$58,0))),""))))</f>
        <v/>
      </c>
      <c r="Q70" s="16" t="str">
        <f aca="false">IF($C70="","",IF($G70="Einstaklingsbundið",IFERROR(IF(INDEX('Undirviðmiðalisti (Lýsigögn)'!M$42:M$58,MATCH($C70,'Undirviðmiðalisti (Lýsigögn)'!$C$42:$C$58,0))="","",INDEX('Undirviðmiðalisti (Lýsigögn)'!M$42:M$58,MATCH($C70,'Undirviðmiðalisti (Lýsigögn)'!$C$42:$C$58,0))),""),IFERROR(IF(INDEX('Undirviðmiðalisti (Lýsigögn)'!M$6:M$41,MATCH($C70,'Undirviðmiðalisti (Lýsigögn)'!$C$6:$C$41,0))="","",INDEX('Undirviðmiðalisti (Lýsigögn)'!M$6:M$41,MATCH($C70,'Undirviðmiðalisti (Lýsigögn)'!$C$6:$C$41,0))),IFERROR(IF(INDEX('Undirviðmiðalisti (Lýsigögn)'!M$42:M$58,MATCH($C70,'Undirviðmiðalisti (Lýsigögn)'!$C$42:$C$58,0))="","",INDEX('Undirviðmiðalisti (Lýsigögn)'!M$42:M$58,MATCH($C70,'Undirviðmiðalisti (Lýsigögn)'!$C$42:$C$58,0))),""))))</f>
        <v/>
      </c>
    </row>
    <row r="71" customFormat="false" ht="15" hidden="false" customHeight="true" outlineLevel="0" collapsed="false">
      <c r="A71" s="22" t="str">
        <f aca="false">IF($B71="","",ROW()-5)</f>
        <v/>
      </c>
      <c r="B71" s="15"/>
      <c r="C71" s="15"/>
      <c r="D71" s="16" t="str">
        <f aca="false">IF($C71="","",IF($G71="Einstaklingsbundið",IFERROR(IF(INDEX('Undirviðmiðalisti (Lýsigögn)'!$D$42:$D$58,MATCH($C71,'Undirviðmiðalisti (Lýsigögn)'!$C$42:$C$58,0))="","",INDEX('Undirviðmiðalisti (Lýsigögn)'!$D$42:$D$58,MATCH($C71,'Undirviðmiðalisti (Lýsigögn)'!$C$42:$C$58,0))),""),IFERROR(IF(INDEX('Undirviðmiðalisti (Lýsigögn)'!$D$6:$D$41,MATCH($C71,'Undirviðmiðalisti (Lýsigögn)'!$C$6:$C$41,0))="","",INDEX('Undirviðmiðalisti (Lýsigögn)'!$D$6:$D$41,MATCH($C71,'Undirviðmiðalisti (Lýsigögn)'!$C$6:$C$41,0))),IFERROR(IF(INDEX('Undirviðmiðalisti (Lýsigögn)'!$D$42:$D$58,MATCH($C71,'Undirviðmiðalisti (Lýsigögn)'!$C$42:$C$58,0))="","",INDEX('Undirviðmiðalisti (Lýsigögn)'!$D$42:$D$58,MATCH($C71,'Undirviðmiðalisti (Lýsigögn)'!$C$42:$C$58,0))),""))))</f>
        <v/>
      </c>
      <c r="E71" s="14"/>
      <c r="F71" s="23" t="str">
        <f aca="false">IF($C71="","",IF($G71="Einstaklingsbundið",IFERROR(IF(INDEX('Undirviðmiðalisti (Lýsigögn)'!$E$42:$E$58,MATCH($C71,'Undirviðmiðalisti (Lýsigögn)'!$C$42:$C$58,0))="","",INDEX('Undirviðmiðalisti (Lýsigögn)'!$E$42:$E$58,MATCH($C71,'Undirviðmiðalisti (Lýsigögn)'!$C$42:$C$58,0))),""),IFERROR(IF(INDEX('Undirviðmiðalisti (Lýsigögn)'!$E$6:$E$41,MATCH($C71,'Undirviðmiðalisti (Lýsigögn)'!$C$6:$C$41,0))="","",INDEX('Undirviðmiðalisti (Lýsigögn)'!$E$6:$E$41,MATCH($C71,'Undirviðmiðalisti (Lýsigögn)'!$C$6:$C$41,0))),IFERROR(IF(INDEX('Undirviðmiðalisti (Lýsigögn)'!$E$42:$E$58,MATCH($C71,'Undirviðmiðalisti (Lýsigögn)'!$C$42:$C$58,0))="","",INDEX('Undirviðmiðalisti (Lýsigögn)'!$E$42:$E$58,MATCH($C71,'Undirviðmiðalisti (Lýsigögn)'!$C$42:$C$58,0))),""))))</f>
        <v/>
      </c>
      <c r="G71" s="24" t="str">
        <f aca="false">IFERROR(IF(B71="","",INDEX(Viðmið!$B$6:$B$10,MATCH(B71,Viðmið!$C$6:$C$10,0))),"")</f>
        <v/>
      </c>
      <c r="H71" s="25" t="str">
        <f aca="false">IF(OR(E71="",F71=""),"",E71*KVARDI)</f>
        <v/>
      </c>
      <c r="I71" s="26" t="str">
        <f aca="false">IF(B71="","",IF(ROUND(SUMIF($B$6:$B$205,B71,$E$6:$E$205),4)=ROUND(IFERROR(INDEX(Viðmið!$E$6:$E$10,MATCH(B71,Viðmið!$C$6:$C$10,0)),-1),4),"✓","✗"))</f>
        <v/>
      </c>
      <c r="J71" s="16" t="str">
        <f aca="false">IF($C71="","",IF($G71="Einstaklingsbundið",IFERROR(IF(INDEX('Undirviðmiðalisti (Lýsigögn)'!F$42:F$58,MATCH($C71,'Undirviðmiðalisti (Lýsigögn)'!$C$42:$C$58,0))="","",INDEX('Undirviðmiðalisti (Lýsigögn)'!F$42:F$58,MATCH($C71,'Undirviðmiðalisti (Lýsigögn)'!$C$42:$C$58,0))),""),IFERROR(IF(INDEX('Undirviðmiðalisti (Lýsigögn)'!F$6:F$41,MATCH($C71,'Undirviðmiðalisti (Lýsigögn)'!$C$6:$C$41,0))="","",INDEX('Undirviðmiðalisti (Lýsigögn)'!F$6:F$41,MATCH($C71,'Undirviðmiðalisti (Lýsigögn)'!$C$6:$C$41,0))),IFERROR(IF(INDEX('Undirviðmiðalisti (Lýsigögn)'!F$42:F$58,MATCH($C71,'Undirviðmiðalisti (Lýsigögn)'!$C$42:$C$58,0))="","",INDEX('Undirviðmiðalisti (Lýsigögn)'!F$42:F$58,MATCH($C71,'Undirviðmiðalisti (Lýsigögn)'!$C$42:$C$58,0))),""))))</f>
        <v/>
      </c>
      <c r="K71" s="16" t="str">
        <f aca="false">IF($C71="","",IF($G71="Einstaklingsbundið",IFERROR(IF(INDEX('Undirviðmiðalisti (Lýsigögn)'!G$42:G$58,MATCH($C71,'Undirviðmiðalisti (Lýsigögn)'!$C$42:$C$58,0))="","",INDEX('Undirviðmiðalisti (Lýsigögn)'!G$42:G$58,MATCH($C71,'Undirviðmiðalisti (Lýsigögn)'!$C$42:$C$58,0))),""),IFERROR(IF(INDEX('Undirviðmiðalisti (Lýsigögn)'!G$6:G$41,MATCH($C71,'Undirviðmiðalisti (Lýsigögn)'!$C$6:$C$41,0))="","",INDEX('Undirviðmiðalisti (Lýsigögn)'!G$6:G$41,MATCH($C71,'Undirviðmiðalisti (Lýsigögn)'!$C$6:$C$41,0))),IFERROR(IF(INDEX('Undirviðmiðalisti (Lýsigögn)'!G$42:G$58,MATCH($C71,'Undirviðmiðalisti (Lýsigögn)'!$C$42:$C$58,0))="","",INDEX('Undirviðmiðalisti (Lýsigögn)'!G$42:G$58,MATCH($C71,'Undirviðmiðalisti (Lýsigögn)'!$C$42:$C$58,0))),""))))</f>
        <v/>
      </c>
      <c r="L71" s="16" t="str">
        <f aca="false">IF($C71="","",IF($G71="Einstaklingsbundið",IFERROR(IF(INDEX('Undirviðmiðalisti (Lýsigögn)'!H$42:H$58,MATCH($C71,'Undirviðmiðalisti (Lýsigögn)'!$C$42:$C$58,0))="","",INDEX('Undirviðmiðalisti (Lýsigögn)'!H$42:H$58,MATCH($C71,'Undirviðmiðalisti (Lýsigögn)'!$C$42:$C$58,0))),""),IFERROR(IF(INDEX('Undirviðmiðalisti (Lýsigögn)'!H$6:H$41,MATCH($C71,'Undirviðmiðalisti (Lýsigögn)'!$C$6:$C$41,0))="","",INDEX('Undirviðmiðalisti (Lýsigögn)'!H$6:H$41,MATCH($C71,'Undirviðmiðalisti (Lýsigögn)'!$C$6:$C$41,0))),IFERROR(IF(INDEX('Undirviðmiðalisti (Lýsigögn)'!H$42:H$58,MATCH($C71,'Undirviðmiðalisti (Lýsigögn)'!$C$42:$C$58,0))="","",INDEX('Undirviðmiðalisti (Lýsigögn)'!H$42:H$58,MATCH($C71,'Undirviðmiðalisti (Lýsigögn)'!$C$42:$C$58,0))),""))))</f>
        <v/>
      </c>
      <c r="M71" s="16" t="str">
        <f aca="false">IF($C71="","",IF($G71="Einstaklingsbundið",IFERROR(IF(INDEX('Undirviðmiðalisti (Lýsigögn)'!I$42:I$58,MATCH($C71,'Undirviðmiðalisti (Lýsigögn)'!$C$42:$C$58,0))="","",INDEX('Undirviðmiðalisti (Lýsigögn)'!I$42:I$58,MATCH($C71,'Undirviðmiðalisti (Lýsigögn)'!$C$42:$C$58,0))),""),IFERROR(IF(INDEX('Undirviðmiðalisti (Lýsigögn)'!I$6:I$41,MATCH($C71,'Undirviðmiðalisti (Lýsigögn)'!$C$6:$C$41,0))="","",INDEX('Undirviðmiðalisti (Lýsigögn)'!I$6:I$41,MATCH($C71,'Undirviðmiðalisti (Lýsigögn)'!$C$6:$C$41,0))),IFERROR(IF(INDEX('Undirviðmiðalisti (Lýsigögn)'!I$42:I$58,MATCH($C71,'Undirviðmiðalisti (Lýsigögn)'!$C$42:$C$58,0))="","",INDEX('Undirviðmiðalisti (Lýsigögn)'!I$42:I$58,MATCH($C71,'Undirviðmiðalisti (Lýsigögn)'!$C$42:$C$58,0))),""))))</f>
        <v/>
      </c>
      <c r="N71" s="16" t="str">
        <f aca="false">IF($C71="","",IF($G71="Einstaklingsbundið",IFERROR(IF(INDEX('Undirviðmiðalisti (Lýsigögn)'!J$42:J$58,MATCH($C71,'Undirviðmiðalisti (Lýsigögn)'!$C$42:$C$58,0))="","",INDEX('Undirviðmiðalisti (Lýsigögn)'!J$42:J$58,MATCH($C71,'Undirviðmiðalisti (Lýsigögn)'!$C$42:$C$58,0))),""),IFERROR(IF(INDEX('Undirviðmiðalisti (Lýsigögn)'!J$6:J$41,MATCH($C71,'Undirviðmiðalisti (Lýsigögn)'!$C$6:$C$41,0))="","",INDEX('Undirviðmiðalisti (Lýsigögn)'!J$6:J$41,MATCH($C71,'Undirviðmiðalisti (Lýsigögn)'!$C$6:$C$41,0))),IFERROR(IF(INDEX('Undirviðmiðalisti (Lýsigögn)'!J$42:J$58,MATCH($C71,'Undirviðmiðalisti (Lýsigögn)'!$C$42:$C$58,0))="","",INDEX('Undirviðmiðalisti (Lýsigögn)'!J$42:J$58,MATCH($C71,'Undirviðmiðalisti (Lýsigögn)'!$C$42:$C$58,0))),""))))</f>
        <v/>
      </c>
      <c r="O71" s="16" t="str">
        <f aca="false">IF($C71="","",IF($G71="Einstaklingsbundið",IFERROR(IF(INDEX('Undirviðmiðalisti (Lýsigögn)'!K$42:K$58,MATCH($C71,'Undirviðmiðalisti (Lýsigögn)'!$C$42:$C$58,0))="","",INDEX('Undirviðmiðalisti (Lýsigögn)'!K$42:K$58,MATCH($C71,'Undirviðmiðalisti (Lýsigögn)'!$C$42:$C$58,0))),""),IFERROR(IF(INDEX('Undirviðmiðalisti (Lýsigögn)'!K$6:K$41,MATCH($C71,'Undirviðmiðalisti (Lýsigögn)'!$C$6:$C$41,0))="","",INDEX('Undirviðmiðalisti (Lýsigögn)'!K$6:K$41,MATCH($C71,'Undirviðmiðalisti (Lýsigögn)'!$C$6:$C$41,0))),IFERROR(IF(INDEX('Undirviðmiðalisti (Lýsigögn)'!K$42:K$58,MATCH($C71,'Undirviðmiðalisti (Lýsigögn)'!$C$42:$C$58,0))="","",INDEX('Undirviðmiðalisti (Lýsigögn)'!K$42:K$58,MATCH($C71,'Undirviðmiðalisti (Lýsigögn)'!$C$42:$C$58,0))),""))))</f>
        <v/>
      </c>
      <c r="P71" s="16" t="str">
        <f aca="false">IF($C71="","",IF($G71="Einstaklingsbundið",IFERROR(IF(INDEX('Undirviðmiðalisti (Lýsigögn)'!L$42:L$58,MATCH($C71,'Undirviðmiðalisti (Lýsigögn)'!$C$42:$C$58,0))="","",INDEX('Undirviðmiðalisti (Lýsigögn)'!L$42:L$58,MATCH($C71,'Undirviðmiðalisti (Lýsigögn)'!$C$42:$C$58,0))),""),IFERROR(IF(INDEX('Undirviðmiðalisti (Lýsigögn)'!L$6:L$41,MATCH($C71,'Undirviðmiðalisti (Lýsigögn)'!$C$6:$C$41,0))="","",INDEX('Undirviðmiðalisti (Lýsigögn)'!L$6:L$41,MATCH($C71,'Undirviðmiðalisti (Lýsigögn)'!$C$6:$C$41,0))),IFERROR(IF(INDEX('Undirviðmiðalisti (Lýsigögn)'!L$42:L$58,MATCH($C71,'Undirviðmiðalisti (Lýsigögn)'!$C$42:$C$58,0))="","",INDEX('Undirviðmiðalisti (Lýsigögn)'!L$42:L$58,MATCH($C71,'Undirviðmiðalisti (Lýsigögn)'!$C$42:$C$58,0))),""))))</f>
        <v/>
      </c>
      <c r="Q71" s="16" t="str">
        <f aca="false">IF($C71="","",IF($G71="Einstaklingsbundið",IFERROR(IF(INDEX('Undirviðmiðalisti (Lýsigögn)'!M$42:M$58,MATCH($C71,'Undirviðmiðalisti (Lýsigögn)'!$C$42:$C$58,0))="","",INDEX('Undirviðmiðalisti (Lýsigögn)'!M$42:M$58,MATCH($C71,'Undirviðmiðalisti (Lýsigögn)'!$C$42:$C$58,0))),""),IFERROR(IF(INDEX('Undirviðmiðalisti (Lýsigögn)'!M$6:M$41,MATCH($C71,'Undirviðmiðalisti (Lýsigögn)'!$C$6:$C$41,0))="","",INDEX('Undirviðmiðalisti (Lýsigögn)'!M$6:M$41,MATCH($C71,'Undirviðmiðalisti (Lýsigögn)'!$C$6:$C$41,0))),IFERROR(IF(INDEX('Undirviðmiðalisti (Lýsigögn)'!M$42:M$58,MATCH($C71,'Undirviðmiðalisti (Lýsigögn)'!$C$42:$C$58,0))="","",INDEX('Undirviðmiðalisti (Lýsigögn)'!M$42:M$58,MATCH($C71,'Undirviðmiðalisti (Lýsigögn)'!$C$42:$C$58,0))),""))))</f>
        <v/>
      </c>
    </row>
    <row r="72" customFormat="false" ht="15" hidden="false" customHeight="true" outlineLevel="0" collapsed="false">
      <c r="A72" s="22" t="str">
        <f aca="false">IF($B72="","",ROW()-5)</f>
        <v/>
      </c>
      <c r="B72" s="15"/>
      <c r="C72" s="15"/>
      <c r="D72" s="16" t="str">
        <f aca="false">IF($C72="","",IF($G72="Einstaklingsbundið",IFERROR(IF(INDEX('Undirviðmiðalisti (Lýsigögn)'!$D$42:$D$58,MATCH($C72,'Undirviðmiðalisti (Lýsigögn)'!$C$42:$C$58,0))="","",INDEX('Undirviðmiðalisti (Lýsigögn)'!$D$42:$D$58,MATCH($C72,'Undirviðmiðalisti (Lýsigögn)'!$C$42:$C$58,0))),""),IFERROR(IF(INDEX('Undirviðmiðalisti (Lýsigögn)'!$D$6:$D$41,MATCH($C72,'Undirviðmiðalisti (Lýsigögn)'!$C$6:$C$41,0))="","",INDEX('Undirviðmiðalisti (Lýsigögn)'!$D$6:$D$41,MATCH($C72,'Undirviðmiðalisti (Lýsigögn)'!$C$6:$C$41,0))),IFERROR(IF(INDEX('Undirviðmiðalisti (Lýsigögn)'!$D$42:$D$58,MATCH($C72,'Undirviðmiðalisti (Lýsigögn)'!$C$42:$C$58,0))="","",INDEX('Undirviðmiðalisti (Lýsigögn)'!$D$42:$D$58,MATCH($C72,'Undirviðmiðalisti (Lýsigögn)'!$C$42:$C$58,0))),""))))</f>
        <v/>
      </c>
      <c r="E72" s="14"/>
      <c r="F72" s="23" t="str">
        <f aca="false">IF($C72="","",IF($G72="Einstaklingsbundið",IFERROR(IF(INDEX('Undirviðmiðalisti (Lýsigögn)'!$E$42:$E$58,MATCH($C72,'Undirviðmiðalisti (Lýsigögn)'!$C$42:$C$58,0))="","",INDEX('Undirviðmiðalisti (Lýsigögn)'!$E$42:$E$58,MATCH($C72,'Undirviðmiðalisti (Lýsigögn)'!$C$42:$C$58,0))),""),IFERROR(IF(INDEX('Undirviðmiðalisti (Lýsigögn)'!$E$6:$E$41,MATCH($C72,'Undirviðmiðalisti (Lýsigögn)'!$C$6:$C$41,0))="","",INDEX('Undirviðmiðalisti (Lýsigögn)'!$E$6:$E$41,MATCH($C72,'Undirviðmiðalisti (Lýsigögn)'!$C$6:$C$41,0))),IFERROR(IF(INDEX('Undirviðmiðalisti (Lýsigögn)'!$E$42:$E$58,MATCH($C72,'Undirviðmiðalisti (Lýsigögn)'!$C$42:$C$58,0))="","",INDEX('Undirviðmiðalisti (Lýsigögn)'!$E$42:$E$58,MATCH($C72,'Undirviðmiðalisti (Lýsigögn)'!$C$42:$C$58,0))),""))))</f>
        <v/>
      </c>
      <c r="G72" s="24" t="str">
        <f aca="false">IFERROR(IF(B72="","",INDEX(Viðmið!$B$6:$B$10,MATCH(B72,Viðmið!$C$6:$C$10,0))),"")</f>
        <v/>
      </c>
      <c r="H72" s="25" t="str">
        <f aca="false">IF(OR(E72="",F72=""),"",E72*KVARDI)</f>
        <v/>
      </c>
      <c r="I72" s="26" t="str">
        <f aca="false">IF(B72="","",IF(ROUND(SUMIF($B$6:$B$205,B72,$E$6:$E$205),4)=ROUND(IFERROR(INDEX(Viðmið!$E$6:$E$10,MATCH(B72,Viðmið!$C$6:$C$10,0)),-1),4),"✓","✗"))</f>
        <v/>
      </c>
      <c r="J72" s="16" t="str">
        <f aca="false">IF($C72="","",IF($G72="Einstaklingsbundið",IFERROR(IF(INDEX('Undirviðmiðalisti (Lýsigögn)'!F$42:F$58,MATCH($C72,'Undirviðmiðalisti (Lýsigögn)'!$C$42:$C$58,0))="","",INDEX('Undirviðmiðalisti (Lýsigögn)'!F$42:F$58,MATCH($C72,'Undirviðmiðalisti (Lýsigögn)'!$C$42:$C$58,0))),""),IFERROR(IF(INDEX('Undirviðmiðalisti (Lýsigögn)'!F$6:F$41,MATCH($C72,'Undirviðmiðalisti (Lýsigögn)'!$C$6:$C$41,0))="","",INDEX('Undirviðmiðalisti (Lýsigögn)'!F$6:F$41,MATCH($C72,'Undirviðmiðalisti (Lýsigögn)'!$C$6:$C$41,0))),IFERROR(IF(INDEX('Undirviðmiðalisti (Lýsigögn)'!F$42:F$58,MATCH($C72,'Undirviðmiðalisti (Lýsigögn)'!$C$42:$C$58,0))="","",INDEX('Undirviðmiðalisti (Lýsigögn)'!F$42:F$58,MATCH($C72,'Undirviðmiðalisti (Lýsigögn)'!$C$42:$C$58,0))),""))))</f>
        <v/>
      </c>
      <c r="K72" s="16" t="str">
        <f aca="false">IF($C72="","",IF($G72="Einstaklingsbundið",IFERROR(IF(INDEX('Undirviðmiðalisti (Lýsigögn)'!G$42:G$58,MATCH($C72,'Undirviðmiðalisti (Lýsigögn)'!$C$42:$C$58,0))="","",INDEX('Undirviðmiðalisti (Lýsigögn)'!G$42:G$58,MATCH($C72,'Undirviðmiðalisti (Lýsigögn)'!$C$42:$C$58,0))),""),IFERROR(IF(INDEX('Undirviðmiðalisti (Lýsigögn)'!G$6:G$41,MATCH($C72,'Undirviðmiðalisti (Lýsigögn)'!$C$6:$C$41,0))="","",INDEX('Undirviðmiðalisti (Lýsigögn)'!G$6:G$41,MATCH($C72,'Undirviðmiðalisti (Lýsigögn)'!$C$6:$C$41,0))),IFERROR(IF(INDEX('Undirviðmiðalisti (Lýsigögn)'!G$42:G$58,MATCH($C72,'Undirviðmiðalisti (Lýsigögn)'!$C$42:$C$58,0))="","",INDEX('Undirviðmiðalisti (Lýsigögn)'!G$42:G$58,MATCH($C72,'Undirviðmiðalisti (Lýsigögn)'!$C$42:$C$58,0))),""))))</f>
        <v/>
      </c>
      <c r="L72" s="16" t="str">
        <f aca="false">IF($C72="","",IF($G72="Einstaklingsbundið",IFERROR(IF(INDEX('Undirviðmiðalisti (Lýsigögn)'!H$42:H$58,MATCH($C72,'Undirviðmiðalisti (Lýsigögn)'!$C$42:$C$58,0))="","",INDEX('Undirviðmiðalisti (Lýsigögn)'!H$42:H$58,MATCH($C72,'Undirviðmiðalisti (Lýsigögn)'!$C$42:$C$58,0))),""),IFERROR(IF(INDEX('Undirviðmiðalisti (Lýsigögn)'!H$6:H$41,MATCH($C72,'Undirviðmiðalisti (Lýsigögn)'!$C$6:$C$41,0))="","",INDEX('Undirviðmiðalisti (Lýsigögn)'!H$6:H$41,MATCH($C72,'Undirviðmiðalisti (Lýsigögn)'!$C$6:$C$41,0))),IFERROR(IF(INDEX('Undirviðmiðalisti (Lýsigögn)'!H$42:H$58,MATCH($C72,'Undirviðmiðalisti (Lýsigögn)'!$C$42:$C$58,0))="","",INDEX('Undirviðmiðalisti (Lýsigögn)'!H$42:H$58,MATCH($C72,'Undirviðmiðalisti (Lýsigögn)'!$C$42:$C$58,0))),""))))</f>
        <v/>
      </c>
      <c r="M72" s="16" t="str">
        <f aca="false">IF($C72="","",IF($G72="Einstaklingsbundið",IFERROR(IF(INDEX('Undirviðmiðalisti (Lýsigögn)'!I$42:I$58,MATCH($C72,'Undirviðmiðalisti (Lýsigögn)'!$C$42:$C$58,0))="","",INDEX('Undirviðmiðalisti (Lýsigögn)'!I$42:I$58,MATCH($C72,'Undirviðmiðalisti (Lýsigögn)'!$C$42:$C$58,0))),""),IFERROR(IF(INDEX('Undirviðmiðalisti (Lýsigögn)'!I$6:I$41,MATCH($C72,'Undirviðmiðalisti (Lýsigögn)'!$C$6:$C$41,0))="","",INDEX('Undirviðmiðalisti (Lýsigögn)'!I$6:I$41,MATCH($C72,'Undirviðmiðalisti (Lýsigögn)'!$C$6:$C$41,0))),IFERROR(IF(INDEX('Undirviðmiðalisti (Lýsigögn)'!I$42:I$58,MATCH($C72,'Undirviðmiðalisti (Lýsigögn)'!$C$42:$C$58,0))="","",INDEX('Undirviðmiðalisti (Lýsigögn)'!I$42:I$58,MATCH($C72,'Undirviðmiðalisti (Lýsigögn)'!$C$42:$C$58,0))),""))))</f>
        <v/>
      </c>
      <c r="N72" s="16" t="str">
        <f aca="false">IF($C72="","",IF($G72="Einstaklingsbundið",IFERROR(IF(INDEX('Undirviðmiðalisti (Lýsigögn)'!J$42:J$58,MATCH($C72,'Undirviðmiðalisti (Lýsigögn)'!$C$42:$C$58,0))="","",INDEX('Undirviðmiðalisti (Lýsigögn)'!J$42:J$58,MATCH($C72,'Undirviðmiðalisti (Lýsigögn)'!$C$42:$C$58,0))),""),IFERROR(IF(INDEX('Undirviðmiðalisti (Lýsigögn)'!J$6:J$41,MATCH($C72,'Undirviðmiðalisti (Lýsigögn)'!$C$6:$C$41,0))="","",INDEX('Undirviðmiðalisti (Lýsigögn)'!J$6:J$41,MATCH($C72,'Undirviðmiðalisti (Lýsigögn)'!$C$6:$C$41,0))),IFERROR(IF(INDEX('Undirviðmiðalisti (Lýsigögn)'!J$42:J$58,MATCH($C72,'Undirviðmiðalisti (Lýsigögn)'!$C$42:$C$58,0))="","",INDEX('Undirviðmiðalisti (Lýsigögn)'!J$42:J$58,MATCH($C72,'Undirviðmiðalisti (Lýsigögn)'!$C$42:$C$58,0))),""))))</f>
        <v/>
      </c>
      <c r="O72" s="16" t="str">
        <f aca="false">IF($C72="","",IF($G72="Einstaklingsbundið",IFERROR(IF(INDEX('Undirviðmiðalisti (Lýsigögn)'!K$42:K$58,MATCH($C72,'Undirviðmiðalisti (Lýsigögn)'!$C$42:$C$58,0))="","",INDEX('Undirviðmiðalisti (Lýsigögn)'!K$42:K$58,MATCH($C72,'Undirviðmiðalisti (Lýsigögn)'!$C$42:$C$58,0))),""),IFERROR(IF(INDEX('Undirviðmiðalisti (Lýsigögn)'!K$6:K$41,MATCH($C72,'Undirviðmiðalisti (Lýsigögn)'!$C$6:$C$41,0))="","",INDEX('Undirviðmiðalisti (Lýsigögn)'!K$6:K$41,MATCH($C72,'Undirviðmiðalisti (Lýsigögn)'!$C$6:$C$41,0))),IFERROR(IF(INDEX('Undirviðmiðalisti (Lýsigögn)'!K$42:K$58,MATCH($C72,'Undirviðmiðalisti (Lýsigögn)'!$C$42:$C$58,0))="","",INDEX('Undirviðmiðalisti (Lýsigögn)'!K$42:K$58,MATCH($C72,'Undirviðmiðalisti (Lýsigögn)'!$C$42:$C$58,0))),""))))</f>
        <v/>
      </c>
      <c r="P72" s="16" t="str">
        <f aca="false">IF($C72="","",IF($G72="Einstaklingsbundið",IFERROR(IF(INDEX('Undirviðmiðalisti (Lýsigögn)'!L$42:L$58,MATCH($C72,'Undirviðmiðalisti (Lýsigögn)'!$C$42:$C$58,0))="","",INDEX('Undirviðmiðalisti (Lýsigögn)'!L$42:L$58,MATCH($C72,'Undirviðmiðalisti (Lýsigögn)'!$C$42:$C$58,0))),""),IFERROR(IF(INDEX('Undirviðmiðalisti (Lýsigögn)'!L$6:L$41,MATCH($C72,'Undirviðmiðalisti (Lýsigögn)'!$C$6:$C$41,0))="","",INDEX('Undirviðmiðalisti (Lýsigögn)'!L$6:L$41,MATCH($C72,'Undirviðmiðalisti (Lýsigögn)'!$C$6:$C$41,0))),IFERROR(IF(INDEX('Undirviðmiðalisti (Lýsigögn)'!L$42:L$58,MATCH($C72,'Undirviðmiðalisti (Lýsigögn)'!$C$42:$C$58,0))="","",INDEX('Undirviðmiðalisti (Lýsigögn)'!L$42:L$58,MATCH($C72,'Undirviðmiðalisti (Lýsigögn)'!$C$42:$C$58,0))),""))))</f>
        <v/>
      </c>
      <c r="Q72" s="16" t="str">
        <f aca="false">IF($C72="","",IF($G72="Einstaklingsbundið",IFERROR(IF(INDEX('Undirviðmiðalisti (Lýsigögn)'!M$42:M$58,MATCH($C72,'Undirviðmiðalisti (Lýsigögn)'!$C$42:$C$58,0))="","",INDEX('Undirviðmiðalisti (Lýsigögn)'!M$42:M$58,MATCH($C72,'Undirviðmiðalisti (Lýsigögn)'!$C$42:$C$58,0))),""),IFERROR(IF(INDEX('Undirviðmiðalisti (Lýsigögn)'!M$6:M$41,MATCH($C72,'Undirviðmiðalisti (Lýsigögn)'!$C$6:$C$41,0))="","",INDEX('Undirviðmiðalisti (Lýsigögn)'!M$6:M$41,MATCH($C72,'Undirviðmiðalisti (Lýsigögn)'!$C$6:$C$41,0))),IFERROR(IF(INDEX('Undirviðmiðalisti (Lýsigögn)'!M$42:M$58,MATCH($C72,'Undirviðmiðalisti (Lýsigögn)'!$C$42:$C$58,0))="","",INDEX('Undirviðmiðalisti (Lýsigögn)'!M$42:M$58,MATCH($C72,'Undirviðmiðalisti (Lýsigögn)'!$C$42:$C$58,0))),""))))</f>
        <v/>
      </c>
    </row>
    <row r="73" customFormat="false" ht="15" hidden="false" customHeight="true" outlineLevel="0" collapsed="false">
      <c r="A73" s="22" t="str">
        <f aca="false">IF($B73="","",ROW()-5)</f>
        <v/>
      </c>
      <c r="B73" s="15"/>
      <c r="C73" s="15"/>
      <c r="D73" s="16" t="str">
        <f aca="false">IF($C73="","",IF($G73="Einstaklingsbundið",IFERROR(IF(INDEX('Undirviðmiðalisti (Lýsigögn)'!$D$42:$D$58,MATCH($C73,'Undirviðmiðalisti (Lýsigögn)'!$C$42:$C$58,0))="","",INDEX('Undirviðmiðalisti (Lýsigögn)'!$D$42:$D$58,MATCH($C73,'Undirviðmiðalisti (Lýsigögn)'!$C$42:$C$58,0))),""),IFERROR(IF(INDEX('Undirviðmiðalisti (Lýsigögn)'!$D$6:$D$41,MATCH($C73,'Undirviðmiðalisti (Lýsigögn)'!$C$6:$C$41,0))="","",INDEX('Undirviðmiðalisti (Lýsigögn)'!$D$6:$D$41,MATCH($C73,'Undirviðmiðalisti (Lýsigögn)'!$C$6:$C$41,0))),IFERROR(IF(INDEX('Undirviðmiðalisti (Lýsigögn)'!$D$42:$D$58,MATCH($C73,'Undirviðmiðalisti (Lýsigögn)'!$C$42:$C$58,0))="","",INDEX('Undirviðmiðalisti (Lýsigögn)'!$D$42:$D$58,MATCH($C73,'Undirviðmiðalisti (Lýsigögn)'!$C$42:$C$58,0))),""))))</f>
        <v/>
      </c>
      <c r="E73" s="14"/>
      <c r="F73" s="23" t="str">
        <f aca="false">IF($C73="","",IF($G73="Einstaklingsbundið",IFERROR(IF(INDEX('Undirviðmiðalisti (Lýsigögn)'!$E$42:$E$58,MATCH($C73,'Undirviðmiðalisti (Lýsigögn)'!$C$42:$C$58,0))="","",INDEX('Undirviðmiðalisti (Lýsigögn)'!$E$42:$E$58,MATCH($C73,'Undirviðmiðalisti (Lýsigögn)'!$C$42:$C$58,0))),""),IFERROR(IF(INDEX('Undirviðmiðalisti (Lýsigögn)'!$E$6:$E$41,MATCH($C73,'Undirviðmiðalisti (Lýsigögn)'!$C$6:$C$41,0))="","",INDEX('Undirviðmiðalisti (Lýsigögn)'!$E$6:$E$41,MATCH($C73,'Undirviðmiðalisti (Lýsigögn)'!$C$6:$C$41,0))),IFERROR(IF(INDEX('Undirviðmiðalisti (Lýsigögn)'!$E$42:$E$58,MATCH($C73,'Undirviðmiðalisti (Lýsigögn)'!$C$42:$C$58,0))="","",INDEX('Undirviðmiðalisti (Lýsigögn)'!$E$42:$E$58,MATCH($C73,'Undirviðmiðalisti (Lýsigögn)'!$C$42:$C$58,0))),""))))</f>
        <v/>
      </c>
      <c r="G73" s="24" t="str">
        <f aca="false">IFERROR(IF(B73="","",INDEX(Viðmið!$B$6:$B$10,MATCH(B73,Viðmið!$C$6:$C$10,0))),"")</f>
        <v/>
      </c>
      <c r="H73" s="25" t="str">
        <f aca="false">IF(OR(E73="",F73=""),"",E73*KVARDI)</f>
        <v/>
      </c>
      <c r="I73" s="26" t="str">
        <f aca="false">IF(B73="","",IF(ROUND(SUMIF($B$6:$B$205,B73,$E$6:$E$205),4)=ROUND(IFERROR(INDEX(Viðmið!$E$6:$E$10,MATCH(B73,Viðmið!$C$6:$C$10,0)),-1),4),"✓","✗"))</f>
        <v/>
      </c>
      <c r="J73" s="16" t="str">
        <f aca="false">IF($C73="","",IF($G73="Einstaklingsbundið",IFERROR(IF(INDEX('Undirviðmiðalisti (Lýsigögn)'!F$42:F$58,MATCH($C73,'Undirviðmiðalisti (Lýsigögn)'!$C$42:$C$58,0))="","",INDEX('Undirviðmiðalisti (Lýsigögn)'!F$42:F$58,MATCH($C73,'Undirviðmiðalisti (Lýsigögn)'!$C$42:$C$58,0))),""),IFERROR(IF(INDEX('Undirviðmiðalisti (Lýsigögn)'!F$6:F$41,MATCH($C73,'Undirviðmiðalisti (Lýsigögn)'!$C$6:$C$41,0))="","",INDEX('Undirviðmiðalisti (Lýsigögn)'!F$6:F$41,MATCH($C73,'Undirviðmiðalisti (Lýsigögn)'!$C$6:$C$41,0))),IFERROR(IF(INDEX('Undirviðmiðalisti (Lýsigögn)'!F$42:F$58,MATCH($C73,'Undirviðmiðalisti (Lýsigögn)'!$C$42:$C$58,0))="","",INDEX('Undirviðmiðalisti (Lýsigögn)'!F$42:F$58,MATCH($C73,'Undirviðmiðalisti (Lýsigögn)'!$C$42:$C$58,0))),""))))</f>
        <v/>
      </c>
      <c r="K73" s="16" t="str">
        <f aca="false">IF($C73="","",IF($G73="Einstaklingsbundið",IFERROR(IF(INDEX('Undirviðmiðalisti (Lýsigögn)'!G$42:G$58,MATCH($C73,'Undirviðmiðalisti (Lýsigögn)'!$C$42:$C$58,0))="","",INDEX('Undirviðmiðalisti (Lýsigögn)'!G$42:G$58,MATCH($C73,'Undirviðmiðalisti (Lýsigögn)'!$C$42:$C$58,0))),""),IFERROR(IF(INDEX('Undirviðmiðalisti (Lýsigögn)'!G$6:G$41,MATCH($C73,'Undirviðmiðalisti (Lýsigögn)'!$C$6:$C$41,0))="","",INDEX('Undirviðmiðalisti (Lýsigögn)'!G$6:G$41,MATCH($C73,'Undirviðmiðalisti (Lýsigögn)'!$C$6:$C$41,0))),IFERROR(IF(INDEX('Undirviðmiðalisti (Lýsigögn)'!G$42:G$58,MATCH($C73,'Undirviðmiðalisti (Lýsigögn)'!$C$42:$C$58,0))="","",INDEX('Undirviðmiðalisti (Lýsigögn)'!G$42:G$58,MATCH($C73,'Undirviðmiðalisti (Lýsigögn)'!$C$42:$C$58,0))),""))))</f>
        <v/>
      </c>
      <c r="L73" s="16" t="str">
        <f aca="false">IF($C73="","",IF($G73="Einstaklingsbundið",IFERROR(IF(INDEX('Undirviðmiðalisti (Lýsigögn)'!H$42:H$58,MATCH($C73,'Undirviðmiðalisti (Lýsigögn)'!$C$42:$C$58,0))="","",INDEX('Undirviðmiðalisti (Lýsigögn)'!H$42:H$58,MATCH($C73,'Undirviðmiðalisti (Lýsigögn)'!$C$42:$C$58,0))),""),IFERROR(IF(INDEX('Undirviðmiðalisti (Lýsigögn)'!H$6:H$41,MATCH($C73,'Undirviðmiðalisti (Lýsigögn)'!$C$6:$C$41,0))="","",INDEX('Undirviðmiðalisti (Lýsigögn)'!H$6:H$41,MATCH($C73,'Undirviðmiðalisti (Lýsigögn)'!$C$6:$C$41,0))),IFERROR(IF(INDEX('Undirviðmiðalisti (Lýsigögn)'!H$42:H$58,MATCH($C73,'Undirviðmiðalisti (Lýsigögn)'!$C$42:$C$58,0))="","",INDEX('Undirviðmiðalisti (Lýsigögn)'!H$42:H$58,MATCH($C73,'Undirviðmiðalisti (Lýsigögn)'!$C$42:$C$58,0))),""))))</f>
        <v/>
      </c>
      <c r="M73" s="16" t="str">
        <f aca="false">IF($C73="","",IF($G73="Einstaklingsbundið",IFERROR(IF(INDEX('Undirviðmiðalisti (Lýsigögn)'!I$42:I$58,MATCH($C73,'Undirviðmiðalisti (Lýsigögn)'!$C$42:$C$58,0))="","",INDEX('Undirviðmiðalisti (Lýsigögn)'!I$42:I$58,MATCH($C73,'Undirviðmiðalisti (Lýsigögn)'!$C$42:$C$58,0))),""),IFERROR(IF(INDEX('Undirviðmiðalisti (Lýsigögn)'!I$6:I$41,MATCH($C73,'Undirviðmiðalisti (Lýsigögn)'!$C$6:$C$41,0))="","",INDEX('Undirviðmiðalisti (Lýsigögn)'!I$6:I$41,MATCH($C73,'Undirviðmiðalisti (Lýsigögn)'!$C$6:$C$41,0))),IFERROR(IF(INDEX('Undirviðmiðalisti (Lýsigögn)'!I$42:I$58,MATCH($C73,'Undirviðmiðalisti (Lýsigögn)'!$C$42:$C$58,0))="","",INDEX('Undirviðmiðalisti (Lýsigögn)'!I$42:I$58,MATCH($C73,'Undirviðmiðalisti (Lýsigögn)'!$C$42:$C$58,0))),""))))</f>
        <v/>
      </c>
      <c r="N73" s="16" t="str">
        <f aca="false">IF($C73="","",IF($G73="Einstaklingsbundið",IFERROR(IF(INDEX('Undirviðmiðalisti (Lýsigögn)'!J$42:J$58,MATCH($C73,'Undirviðmiðalisti (Lýsigögn)'!$C$42:$C$58,0))="","",INDEX('Undirviðmiðalisti (Lýsigögn)'!J$42:J$58,MATCH($C73,'Undirviðmiðalisti (Lýsigögn)'!$C$42:$C$58,0))),""),IFERROR(IF(INDEX('Undirviðmiðalisti (Lýsigögn)'!J$6:J$41,MATCH($C73,'Undirviðmiðalisti (Lýsigögn)'!$C$6:$C$41,0))="","",INDEX('Undirviðmiðalisti (Lýsigögn)'!J$6:J$41,MATCH($C73,'Undirviðmiðalisti (Lýsigögn)'!$C$6:$C$41,0))),IFERROR(IF(INDEX('Undirviðmiðalisti (Lýsigögn)'!J$42:J$58,MATCH($C73,'Undirviðmiðalisti (Lýsigögn)'!$C$42:$C$58,0))="","",INDEX('Undirviðmiðalisti (Lýsigögn)'!J$42:J$58,MATCH($C73,'Undirviðmiðalisti (Lýsigögn)'!$C$42:$C$58,0))),""))))</f>
        <v/>
      </c>
      <c r="O73" s="16" t="str">
        <f aca="false">IF($C73="","",IF($G73="Einstaklingsbundið",IFERROR(IF(INDEX('Undirviðmiðalisti (Lýsigögn)'!K$42:K$58,MATCH($C73,'Undirviðmiðalisti (Lýsigögn)'!$C$42:$C$58,0))="","",INDEX('Undirviðmiðalisti (Lýsigögn)'!K$42:K$58,MATCH($C73,'Undirviðmiðalisti (Lýsigögn)'!$C$42:$C$58,0))),""),IFERROR(IF(INDEX('Undirviðmiðalisti (Lýsigögn)'!K$6:K$41,MATCH($C73,'Undirviðmiðalisti (Lýsigögn)'!$C$6:$C$41,0))="","",INDEX('Undirviðmiðalisti (Lýsigögn)'!K$6:K$41,MATCH($C73,'Undirviðmiðalisti (Lýsigögn)'!$C$6:$C$41,0))),IFERROR(IF(INDEX('Undirviðmiðalisti (Lýsigögn)'!K$42:K$58,MATCH($C73,'Undirviðmiðalisti (Lýsigögn)'!$C$42:$C$58,0))="","",INDEX('Undirviðmiðalisti (Lýsigögn)'!K$42:K$58,MATCH($C73,'Undirviðmiðalisti (Lýsigögn)'!$C$42:$C$58,0))),""))))</f>
        <v/>
      </c>
      <c r="P73" s="16" t="str">
        <f aca="false">IF($C73="","",IF($G73="Einstaklingsbundið",IFERROR(IF(INDEX('Undirviðmiðalisti (Lýsigögn)'!L$42:L$58,MATCH($C73,'Undirviðmiðalisti (Lýsigögn)'!$C$42:$C$58,0))="","",INDEX('Undirviðmiðalisti (Lýsigögn)'!L$42:L$58,MATCH($C73,'Undirviðmiðalisti (Lýsigögn)'!$C$42:$C$58,0))),""),IFERROR(IF(INDEX('Undirviðmiðalisti (Lýsigögn)'!L$6:L$41,MATCH($C73,'Undirviðmiðalisti (Lýsigögn)'!$C$6:$C$41,0))="","",INDEX('Undirviðmiðalisti (Lýsigögn)'!L$6:L$41,MATCH($C73,'Undirviðmiðalisti (Lýsigögn)'!$C$6:$C$41,0))),IFERROR(IF(INDEX('Undirviðmiðalisti (Lýsigögn)'!L$42:L$58,MATCH($C73,'Undirviðmiðalisti (Lýsigögn)'!$C$42:$C$58,0))="","",INDEX('Undirviðmiðalisti (Lýsigögn)'!L$42:L$58,MATCH($C73,'Undirviðmiðalisti (Lýsigögn)'!$C$42:$C$58,0))),""))))</f>
        <v/>
      </c>
      <c r="Q73" s="16" t="str">
        <f aca="false">IF($C73="","",IF($G73="Einstaklingsbundið",IFERROR(IF(INDEX('Undirviðmiðalisti (Lýsigögn)'!M$42:M$58,MATCH($C73,'Undirviðmiðalisti (Lýsigögn)'!$C$42:$C$58,0))="","",INDEX('Undirviðmiðalisti (Lýsigögn)'!M$42:M$58,MATCH($C73,'Undirviðmiðalisti (Lýsigögn)'!$C$42:$C$58,0))),""),IFERROR(IF(INDEX('Undirviðmiðalisti (Lýsigögn)'!M$6:M$41,MATCH($C73,'Undirviðmiðalisti (Lýsigögn)'!$C$6:$C$41,0))="","",INDEX('Undirviðmiðalisti (Lýsigögn)'!M$6:M$41,MATCH($C73,'Undirviðmiðalisti (Lýsigögn)'!$C$6:$C$41,0))),IFERROR(IF(INDEX('Undirviðmiðalisti (Lýsigögn)'!M$42:M$58,MATCH($C73,'Undirviðmiðalisti (Lýsigögn)'!$C$42:$C$58,0))="","",INDEX('Undirviðmiðalisti (Lýsigögn)'!M$42:M$58,MATCH($C73,'Undirviðmiðalisti (Lýsigögn)'!$C$42:$C$58,0))),""))))</f>
        <v/>
      </c>
    </row>
    <row r="74" customFormat="false" ht="15" hidden="false" customHeight="true" outlineLevel="0" collapsed="false">
      <c r="A74" s="22" t="str">
        <f aca="false">IF($B74="","",ROW()-5)</f>
        <v/>
      </c>
      <c r="B74" s="15"/>
      <c r="C74" s="15"/>
      <c r="D74" s="16" t="str">
        <f aca="false">IF($C74="","",IF($G74="Einstaklingsbundið",IFERROR(IF(INDEX('Undirviðmiðalisti (Lýsigögn)'!$D$42:$D$58,MATCH($C74,'Undirviðmiðalisti (Lýsigögn)'!$C$42:$C$58,0))="","",INDEX('Undirviðmiðalisti (Lýsigögn)'!$D$42:$D$58,MATCH($C74,'Undirviðmiðalisti (Lýsigögn)'!$C$42:$C$58,0))),""),IFERROR(IF(INDEX('Undirviðmiðalisti (Lýsigögn)'!$D$6:$D$41,MATCH($C74,'Undirviðmiðalisti (Lýsigögn)'!$C$6:$C$41,0))="","",INDEX('Undirviðmiðalisti (Lýsigögn)'!$D$6:$D$41,MATCH($C74,'Undirviðmiðalisti (Lýsigögn)'!$C$6:$C$41,0))),IFERROR(IF(INDEX('Undirviðmiðalisti (Lýsigögn)'!$D$42:$D$58,MATCH($C74,'Undirviðmiðalisti (Lýsigögn)'!$C$42:$C$58,0))="","",INDEX('Undirviðmiðalisti (Lýsigögn)'!$D$42:$D$58,MATCH($C74,'Undirviðmiðalisti (Lýsigögn)'!$C$42:$C$58,0))),""))))</f>
        <v/>
      </c>
      <c r="E74" s="14"/>
      <c r="F74" s="23" t="str">
        <f aca="false">IF($C74="","",IF($G74="Einstaklingsbundið",IFERROR(IF(INDEX('Undirviðmiðalisti (Lýsigögn)'!$E$42:$E$58,MATCH($C74,'Undirviðmiðalisti (Lýsigögn)'!$C$42:$C$58,0))="","",INDEX('Undirviðmiðalisti (Lýsigögn)'!$E$42:$E$58,MATCH($C74,'Undirviðmiðalisti (Lýsigögn)'!$C$42:$C$58,0))),""),IFERROR(IF(INDEX('Undirviðmiðalisti (Lýsigögn)'!$E$6:$E$41,MATCH($C74,'Undirviðmiðalisti (Lýsigögn)'!$C$6:$C$41,0))="","",INDEX('Undirviðmiðalisti (Lýsigögn)'!$E$6:$E$41,MATCH($C74,'Undirviðmiðalisti (Lýsigögn)'!$C$6:$C$41,0))),IFERROR(IF(INDEX('Undirviðmiðalisti (Lýsigögn)'!$E$42:$E$58,MATCH($C74,'Undirviðmiðalisti (Lýsigögn)'!$C$42:$C$58,0))="","",INDEX('Undirviðmiðalisti (Lýsigögn)'!$E$42:$E$58,MATCH($C74,'Undirviðmiðalisti (Lýsigögn)'!$C$42:$C$58,0))),""))))</f>
        <v/>
      </c>
      <c r="G74" s="24" t="str">
        <f aca="false">IFERROR(IF(B74="","",INDEX(Viðmið!$B$6:$B$10,MATCH(B74,Viðmið!$C$6:$C$10,0))),"")</f>
        <v/>
      </c>
      <c r="H74" s="25" t="str">
        <f aca="false">IF(OR(E74="",F74=""),"",E74*KVARDI)</f>
        <v/>
      </c>
      <c r="I74" s="26" t="str">
        <f aca="false">IF(B74="","",IF(ROUND(SUMIF($B$6:$B$205,B74,$E$6:$E$205),4)=ROUND(IFERROR(INDEX(Viðmið!$E$6:$E$10,MATCH(B74,Viðmið!$C$6:$C$10,0)),-1),4),"✓","✗"))</f>
        <v/>
      </c>
      <c r="J74" s="16" t="str">
        <f aca="false">IF($C74="","",IF($G74="Einstaklingsbundið",IFERROR(IF(INDEX('Undirviðmiðalisti (Lýsigögn)'!F$42:F$58,MATCH($C74,'Undirviðmiðalisti (Lýsigögn)'!$C$42:$C$58,0))="","",INDEX('Undirviðmiðalisti (Lýsigögn)'!F$42:F$58,MATCH($C74,'Undirviðmiðalisti (Lýsigögn)'!$C$42:$C$58,0))),""),IFERROR(IF(INDEX('Undirviðmiðalisti (Lýsigögn)'!F$6:F$41,MATCH($C74,'Undirviðmiðalisti (Lýsigögn)'!$C$6:$C$41,0))="","",INDEX('Undirviðmiðalisti (Lýsigögn)'!F$6:F$41,MATCH($C74,'Undirviðmiðalisti (Lýsigögn)'!$C$6:$C$41,0))),IFERROR(IF(INDEX('Undirviðmiðalisti (Lýsigögn)'!F$42:F$58,MATCH($C74,'Undirviðmiðalisti (Lýsigögn)'!$C$42:$C$58,0))="","",INDEX('Undirviðmiðalisti (Lýsigögn)'!F$42:F$58,MATCH($C74,'Undirviðmiðalisti (Lýsigögn)'!$C$42:$C$58,0))),""))))</f>
        <v/>
      </c>
      <c r="K74" s="16" t="str">
        <f aca="false">IF($C74="","",IF($G74="Einstaklingsbundið",IFERROR(IF(INDEX('Undirviðmiðalisti (Lýsigögn)'!G$42:G$58,MATCH($C74,'Undirviðmiðalisti (Lýsigögn)'!$C$42:$C$58,0))="","",INDEX('Undirviðmiðalisti (Lýsigögn)'!G$42:G$58,MATCH($C74,'Undirviðmiðalisti (Lýsigögn)'!$C$42:$C$58,0))),""),IFERROR(IF(INDEX('Undirviðmiðalisti (Lýsigögn)'!G$6:G$41,MATCH($C74,'Undirviðmiðalisti (Lýsigögn)'!$C$6:$C$41,0))="","",INDEX('Undirviðmiðalisti (Lýsigögn)'!G$6:G$41,MATCH($C74,'Undirviðmiðalisti (Lýsigögn)'!$C$6:$C$41,0))),IFERROR(IF(INDEX('Undirviðmiðalisti (Lýsigögn)'!G$42:G$58,MATCH($C74,'Undirviðmiðalisti (Lýsigögn)'!$C$42:$C$58,0))="","",INDEX('Undirviðmiðalisti (Lýsigögn)'!G$42:G$58,MATCH($C74,'Undirviðmiðalisti (Lýsigögn)'!$C$42:$C$58,0))),""))))</f>
        <v/>
      </c>
      <c r="L74" s="16" t="str">
        <f aca="false">IF($C74="","",IF($G74="Einstaklingsbundið",IFERROR(IF(INDEX('Undirviðmiðalisti (Lýsigögn)'!H$42:H$58,MATCH($C74,'Undirviðmiðalisti (Lýsigögn)'!$C$42:$C$58,0))="","",INDEX('Undirviðmiðalisti (Lýsigögn)'!H$42:H$58,MATCH($C74,'Undirviðmiðalisti (Lýsigögn)'!$C$42:$C$58,0))),""),IFERROR(IF(INDEX('Undirviðmiðalisti (Lýsigögn)'!H$6:H$41,MATCH($C74,'Undirviðmiðalisti (Lýsigögn)'!$C$6:$C$41,0))="","",INDEX('Undirviðmiðalisti (Lýsigögn)'!H$6:H$41,MATCH($C74,'Undirviðmiðalisti (Lýsigögn)'!$C$6:$C$41,0))),IFERROR(IF(INDEX('Undirviðmiðalisti (Lýsigögn)'!H$42:H$58,MATCH($C74,'Undirviðmiðalisti (Lýsigögn)'!$C$42:$C$58,0))="","",INDEX('Undirviðmiðalisti (Lýsigögn)'!H$42:H$58,MATCH($C74,'Undirviðmiðalisti (Lýsigögn)'!$C$42:$C$58,0))),""))))</f>
        <v/>
      </c>
      <c r="M74" s="16" t="str">
        <f aca="false">IF($C74="","",IF($G74="Einstaklingsbundið",IFERROR(IF(INDEX('Undirviðmiðalisti (Lýsigögn)'!I$42:I$58,MATCH($C74,'Undirviðmiðalisti (Lýsigögn)'!$C$42:$C$58,0))="","",INDEX('Undirviðmiðalisti (Lýsigögn)'!I$42:I$58,MATCH($C74,'Undirviðmiðalisti (Lýsigögn)'!$C$42:$C$58,0))),""),IFERROR(IF(INDEX('Undirviðmiðalisti (Lýsigögn)'!I$6:I$41,MATCH($C74,'Undirviðmiðalisti (Lýsigögn)'!$C$6:$C$41,0))="","",INDEX('Undirviðmiðalisti (Lýsigögn)'!I$6:I$41,MATCH($C74,'Undirviðmiðalisti (Lýsigögn)'!$C$6:$C$41,0))),IFERROR(IF(INDEX('Undirviðmiðalisti (Lýsigögn)'!I$42:I$58,MATCH($C74,'Undirviðmiðalisti (Lýsigögn)'!$C$42:$C$58,0))="","",INDEX('Undirviðmiðalisti (Lýsigögn)'!I$42:I$58,MATCH($C74,'Undirviðmiðalisti (Lýsigögn)'!$C$42:$C$58,0))),""))))</f>
        <v/>
      </c>
      <c r="N74" s="16" t="str">
        <f aca="false">IF($C74="","",IF($G74="Einstaklingsbundið",IFERROR(IF(INDEX('Undirviðmiðalisti (Lýsigögn)'!J$42:J$58,MATCH($C74,'Undirviðmiðalisti (Lýsigögn)'!$C$42:$C$58,0))="","",INDEX('Undirviðmiðalisti (Lýsigögn)'!J$42:J$58,MATCH($C74,'Undirviðmiðalisti (Lýsigögn)'!$C$42:$C$58,0))),""),IFERROR(IF(INDEX('Undirviðmiðalisti (Lýsigögn)'!J$6:J$41,MATCH($C74,'Undirviðmiðalisti (Lýsigögn)'!$C$6:$C$41,0))="","",INDEX('Undirviðmiðalisti (Lýsigögn)'!J$6:J$41,MATCH($C74,'Undirviðmiðalisti (Lýsigögn)'!$C$6:$C$41,0))),IFERROR(IF(INDEX('Undirviðmiðalisti (Lýsigögn)'!J$42:J$58,MATCH($C74,'Undirviðmiðalisti (Lýsigögn)'!$C$42:$C$58,0))="","",INDEX('Undirviðmiðalisti (Lýsigögn)'!J$42:J$58,MATCH($C74,'Undirviðmiðalisti (Lýsigögn)'!$C$42:$C$58,0))),""))))</f>
        <v/>
      </c>
      <c r="O74" s="16" t="str">
        <f aca="false">IF($C74="","",IF($G74="Einstaklingsbundið",IFERROR(IF(INDEX('Undirviðmiðalisti (Lýsigögn)'!K$42:K$58,MATCH($C74,'Undirviðmiðalisti (Lýsigögn)'!$C$42:$C$58,0))="","",INDEX('Undirviðmiðalisti (Lýsigögn)'!K$42:K$58,MATCH($C74,'Undirviðmiðalisti (Lýsigögn)'!$C$42:$C$58,0))),""),IFERROR(IF(INDEX('Undirviðmiðalisti (Lýsigögn)'!K$6:K$41,MATCH($C74,'Undirviðmiðalisti (Lýsigögn)'!$C$6:$C$41,0))="","",INDEX('Undirviðmiðalisti (Lýsigögn)'!K$6:K$41,MATCH($C74,'Undirviðmiðalisti (Lýsigögn)'!$C$6:$C$41,0))),IFERROR(IF(INDEX('Undirviðmiðalisti (Lýsigögn)'!K$42:K$58,MATCH($C74,'Undirviðmiðalisti (Lýsigögn)'!$C$42:$C$58,0))="","",INDEX('Undirviðmiðalisti (Lýsigögn)'!K$42:K$58,MATCH($C74,'Undirviðmiðalisti (Lýsigögn)'!$C$42:$C$58,0))),""))))</f>
        <v/>
      </c>
      <c r="P74" s="16" t="str">
        <f aca="false">IF($C74="","",IF($G74="Einstaklingsbundið",IFERROR(IF(INDEX('Undirviðmiðalisti (Lýsigögn)'!L$42:L$58,MATCH($C74,'Undirviðmiðalisti (Lýsigögn)'!$C$42:$C$58,0))="","",INDEX('Undirviðmiðalisti (Lýsigögn)'!L$42:L$58,MATCH($C74,'Undirviðmiðalisti (Lýsigögn)'!$C$42:$C$58,0))),""),IFERROR(IF(INDEX('Undirviðmiðalisti (Lýsigögn)'!L$6:L$41,MATCH($C74,'Undirviðmiðalisti (Lýsigögn)'!$C$6:$C$41,0))="","",INDEX('Undirviðmiðalisti (Lýsigögn)'!L$6:L$41,MATCH($C74,'Undirviðmiðalisti (Lýsigögn)'!$C$6:$C$41,0))),IFERROR(IF(INDEX('Undirviðmiðalisti (Lýsigögn)'!L$42:L$58,MATCH($C74,'Undirviðmiðalisti (Lýsigögn)'!$C$42:$C$58,0))="","",INDEX('Undirviðmiðalisti (Lýsigögn)'!L$42:L$58,MATCH($C74,'Undirviðmiðalisti (Lýsigögn)'!$C$42:$C$58,0))),""))))</f>
        <v/>
      </c>
      <c r="Q74" s="16" t="str">
        <f aca="false">IF($C74="","",IF($G74="Einstaklingsbundið",IFERROR(IF(INDEX('Undirviðmiðalisti (Lýsigögn)'!M$42:M$58,MATCH($C74,'Undirviðmiðalisti (Lýsigögn)'!$C$42:$C$58,0))="","",INDEX('Undirviðmiðalisti (Lýsigögn)'!M$42:M$58,MATCH($C74,'Undirviðmiðalisti (Lýsigögn)'!$C$42:$C$58,0))),""),IFERROR(IF(INDEX('Undirviðmiðalisti (Lýsigögn)'!M$6:M$41,MATCH($C74,'Undirviðmiðalisti (Lýsigögn)'!$C$6:$C$41,0))="","",INDEX('Undirviðmiðalisti (Lýsigögn)'!M$6:M$41,MATCH($C74,'Undirviðmiðalisti (Lýsigögn)'!$C$6:$C$41,0))),IFERROR(IF(INDEX('Undirviðmiðalisti (Lýsigögn)'!M$42:M$58,MATCH($C74,'Undirviðmiðalisti (Lýsigögn)'!$C$42:$C$58,0))="","",INDEX('Undirviðmiðalisti (Lýsigögn)'!M$42:M$58,MATCH($C74,'Undirviðmiðalisti (Lýsigögn)'!$C$42:$C$58,0))),""))))</f>
        <v/>
      </c>
    </row>
    <row r="75" customFormat="false" ht="15" hidden="false" customHeight="true" outlineLevel="0" collapsed="false">
      <c r="A75" s="22" t="str">
        <f aca="false">IF($B75="","",ROW()-5)</f>
        <v/>
      </c>
      <c r="B75" s="15"/>
      <c r="C75" s="15"/>
      <c r="D75" s="16" t="str">
        <f aca="false">IF($C75="","",IF($G75="Einstaklingsbundið",IFERROR(IF(INDEX('Undirviðmiðalisti (Lýsigögn)'!$D$42:$D$58,MATCH($C75,'Undirviðmiðalisti (Lýsigögn)'!$C$42:$C$58,0))="","",INDEX('Undirviðmiðalisti (Lýsigögn)'!$D$42:$D$58,MATCH($C75,'Undirviðmiðalisti (Lýsigögn)'!$C$42:$C$58,0))),""),IFERROR(IF(INDEX('Undirviðmiðalisti (Lýsigögn)'!$D$6:$D$41,MATCH($C75,'Undirviðmiðalisti (Lýsigögn)'!$C$6:$C$41,0))="","",INDEX('Undirviðmiðalisti (Lýsigögn)'!$D$6:$D$41,MATCH($C75,'Undirviðmiðalisti (Lýsigögn)'!$C$6:$C$41,0))),IFERROR(IF(INDEX('Undirviðmiðalisti (Lýsigögn)'!$D$42:$D$58,MATCH($C75,'Undirviðmiðalisti (Lýsigögn)'!$C$42:$C$58,0))="","",INDEX('Undirviðmiðalisti (Lýsigögn)'!$D$42:$D$58,MATCH($C75,'Undirviðmiðalisti (Lýsigögn)'!$C$42:$C$58,0))),""))))</f>
        <v/>
      </c>
      <c r="E75" s="14"/>
      <c r="F75" s="23" t="str">
        <f aca="false">IF($C75="","",IF($G75="Einstaklingsbundið",IFERROR(IF(INDEX('Undirviðmiðalisti (Lýsigögn)'!$E$42:$E$58,MATCH($C75,'Undirviðmiðalisti (Lýsigögn)'!$C$42:$C$58,0))="","",INDEX('Undirviðmiðalisti (Lýsigögn)'!$E$42:$E$58,MATCH($C75,'Undirviðmiðalisti (Lýsigögn)'!$C$42:$C$58,0))),""),IFERROR(IF(INDEX('Undirviðmiðalisti (Lýsigögn)'!$E$6:$E$41,MATCH($C75,'Undirviðmiðalisti (Lýsigögn)'!$C$6:$C$41,0))="","",INDEX('Undirviðmiðalisti (Lýsigögn)'!$E$6:$E$41,MATCH($C75,'Undirviðmiðalisti (Lýsigögn)'!$C$6:$C$41,0))),IFERROR(IF(INDEX('Undirviðmiðalisti (Lýsigögn)'!$E$42:$E$58,MATCH($C75,'Undirviðmiðalisti (Lýsigögn)'!$C$42:$C$58,0))="","",INDEX('Undirviðmiðalisti (Lýsigögn)'!$E$42:$E$58,MATCH($C75,'Undirviðmiðalisti (Lýsigögn)'!$C$42:$C$58,0))),""))))</f>
        <v/>
      </c>
      <c r="G75" s="24" t="str">
        <f aca="false">IFERROR(IF(B75="","",INDEX(Viðmið!$B$6:$B$10,MATCH(B75,Viðmið!$C$6:$C$10,0))),"")</f>
        <v/>
      </c>
      <c r="H75" s="25" t="str">
        <f aca="false">IF(OR(E75="",F75=""),"",E75*KVARDI)</f>
        <v/>
      </c>
      <c r="I75" s="26" t="str">
        <f aca="false">IF(B75="","",IF(ROUND(SUMIF($B$6:$B$205,B75,$E$6:$E$205),4)=ROUND(IFERROR(INDEX(Viðmið!$E$6:$E$10,MATCH(B75,Viðmið!$C$6:$C$10,0)),-1),4),"✓","✗"))</f>
        <v/>
      </c>
      <c r="J75" s="16" t="str">
        <f aca="false">IF($C75="","",IF($G75="Einstaklingsbundið",IFERROR(IF(INDEX('Undirviðmiðalisti (Lýsigögn)'!F$42:F$58,MATCH($C75,'Undirviðmiðalisti (Lýsigögn)'!$C$42:$C$58,0))="","",INDEX('Undirviðmiðalisti (Lýsigögn)'!F$42:F$58,MATCH($C75,'Undirviðmiðalisti (Lýsigögn)'!$C$42:$C$58,0))),""),IFERROR(IF(INDEX('Undirviðmiðalisti (Lýsigögn)'!F$6:F$41,MATCH($C75,'Undirviðmiðalisti (Lýsigögn)'!$C$6:$C$41,0))="","",INDEX('Undirviðmiðalisti (Lýsigögn)'!F$6:F$41,MATCH($C75,'Undirviðmiðalisti (Lýsigögn)'!$C$6:$C$41,0))),IFERROR(IF(INDEX('Undirviðmiðalisti (Lýsigögn)'!F$42:F$58,MATCH($C75,'Undirviðmiðalisti (Lýsigögn)'!$C$42:$C$58,0))="","",INDEX('Undirviðmiðalisti (Lýsigögn)'!F$42:F$58,MATCH($C75,'Undirviðmiðalisti (Lýsigögn)'!$C$42:$C$58,0))),""))))</f>
        <v/>
      </c>
      <c r="K75" s="16" t="str">
        <f aca="false">IF($C75="","",IF($G75="Einstaklingsbundið",IFERROR(IF(INDEX('Undirviðmiðalisti (Lýsigögn)'!G$42:G$58,MATCH($C75,'Undirviðmiðalisti (Lýsigögn)'!$C$42:$C$58,0))="","",INDEX('Undirviðmiðalisti (Lýsigögn)'!G$42:G$58,MATCH($C75,'Undirviðmiðalisti (Lýsigögn)'!$C$42:$C$58,0))),""),IFERROR(IF(INDEX('Undirviðmiðalisti (Lýsigögn)'!G$6:G$41,MATCH($C75,'Undirviðmiðalisti (Lýsigögn)'!$C$6:$C$41,0))="","",INDEX('Undirviðmiðalisti (Lýsigögn)'!G$6:G$41,MATCH($C75,'Undirviðmiðalisti (Lýsigögn)'!$C$6:$C$41,0))),IFERROR(IF(INDEX('Undirviðmiðalisti (Lýsigögn)'!G$42:G$58,MATCH($C75,'Undirviðmiðalisti (Lýsigögn)'!$C$42:$C$58,0))="","",INDEX('Undirviðmiðalisti (Lýsigögn)'!G$42:G$58,MATCH($C75,'Undirviðmiðalisti (Lýsigögn)'!$C$42:$C$58,0))),""))))</f>
        <v/>
      </c>
      <c r="L75" s="16" t="str">
        <f aca="false">IF($C75="","",IF($G75="Einstaklingsbundið",IFERROR(IF(INDEX('Undirviðmiðalisti (Lýsigögn)'!H$42:H$58,MATCH($C75,'Undirviðmiðalisti (Lýsigögn)'!$C$42:$C$58,0))="","",INDEX('Undirviðmiðalisti (Lýsigögn)'!H$42:H$58,MATCH($C75,'Undirviðmiðalisti (Lýsigögn)'!$C$42:$C$58,0))),""),IFERROR(IF(INDEX('Undirviðmiðalisti (Lýsigögn)'!H$6:H$41,MATCH($C75,'Undirviðmiðalisti (Lýsigögn)'!$C$6:$C$41,0))="","",INDEX('Undirviðmiðalisti (Lýsigögn)'!H$6:H$41,MATCH($C75,'Undirviðmiðalisti (Lýsigögn)'!$C$6:$C$41,0))),IFERROR(IF(INDEX('Undirviðmiðalisti (Lýsigögn)'!H$42:H$58,MATCH($C75,'Undirviðmiðalisti (Lýsigögn)'!$C$42:$C$58,0))="","",INDEX('Undirviðmiðalisti (Lýsigögn)'!H$42:H$58,MATCH($C75,'Undirviðmiðalisti (Lýsigögn)'!$C$42:$C$58,0))),""))))</f>
        <v/>
      </c>
      <c r="M75" s="16" t="str">
        <f aca="false">IF($C75="","",IF($G75="Einstaklingsbundið",IFERROR(IF(INDEX('Undirviðmiðalisti (Lýsigögn)'!I$42:I$58,MATCH($C75,'Undirviðmiðalisti (Lýsigögn)'!$C$42:$C$58,0))="","",INDEX('Undirviðmiðalisti (Lýsigögn)'!I$42:I$58,MATCH($C75,'Undirviðmiðalisti (Lýsigögn)'!$C$42:$C$58,0))),""),IFERROR(IF(INDEX('Undirviðmiðalisti (Lýsigögn)'!I$6:I$41,MATCH($C75,'Undirviðmiðalisti (Lýsigögn)'!$C$6:$C$41,0))="","",INDEX('Undirviðmiðalisti (Lýsigögn)'!I$6:I$41,MATCH($C75,'Undirviðmiðalisti (Lýsigögn)'!$C$6:$C$41,0))),IFERROR(IF(INDEX('Undirviðmiðalisti (Lýsigögn)'!I$42:I$58,MATCH($C75,'Undirviðmiðalisti (Lýsigögn)'!$C$42:$C$58,0))="","",INDEX('Undirviðmiðalisti (Lýsigögn)'!I$42:I$58,MATCH($C75,'Undirviðmiðalisti (Lýsigögn)'!$C$42:$C$58,0))),""))))</f>
        <v/>
      </c>
      <c r="N75" s="16" t="str">
        <f aca="false">IF($C75="","",IF($G75="Einstaklingsbundið",IFERROR(IF(INDEX('Undirviðmiðalisti (Lýsigögn)'!J$42:J$58,MATCH($C75,'Undirviðmiðalisti (Lýsigögn)'!$C$42:$C$58,0))="","",INDEX('Undirviðmiðalisti (Lýsigögn)'!J$42:J$58,MATCH($C75,'Undirviðmiðalisti (Lýsigögn)'!$C$42:$C$58,0))),""),IFERROR(IF(INDEX('Undirviðmiðalisti (Lýsigögn)'!J$6:J$41,MATCH($C75,'Undirviðmiðalisti (Lýsigögn)'!$C$6:$C$41,0))="","",INDEX('Undirviðmiðalisti (Lýsigögn)'!J$6:J$41,MATCH($C75,'Undirviðmiðalisti (Lýsigögn)'!$C$6:$C$41,0))),IFERROR(IF(INDEX('Undirviðmiðalisti (Lýsigögn)'!J$42:J$58,MATCH($C75,'Undirviðmiðalisti (Lýsigögn)'!$C$42:$C$58,0))="","",INDEX('Undirviðmiðalisti (Lýsigögn)'!J$42:J$58,MATCH($C75,'Undirviðmiðalisti (Lýsigögn)'!$C$42:$C$58,0))),""))))</f>
        <v/>
      </c>
      <c r="O75" s="16" t="str">
        <f aca="false">IF($C75="","",IF($G75="Einstaklingsbundið",IFERROR(IF(INDEX('Undirviðmiðalisti (Lýsigögn)'!K$42:K$58,MATCH($C75,'Undirviðmiðalisti (Lýsigögn)'!$C$42:$C$58,0))="","",INDEX('Undirviðmiðalisti (Lýsigögn)'!K$42:K$58,MATCH($C75,'Undirviðmiðalisti (Lýsigögn)'!$C$42:$C$58,0))),""),IFERROR(IF(INDEX('Undirviðmiðalisti (Lýsigögn)'!K$6:K$41,MATCH($C75,'Undirviðmiðalisti (Lýsigögn)'!$C$6:$C$41,0))="","",INDEX('Undirviðmiðalisti (Lýsigögn)'!K$6:K$41,MATCH($C75,'Undirviðmiðalisti (Lýsigögn)'!$C$6:$C$41,0))),IFERROR(IF(INDEX('Undirviðmiðalisti (Lýsigögn)'!K$42:K$58,MATCH($C75,'Undirviðmiðalisti (Lýsigögn)'!$C$42:$C$58,0))="","",INDEX('Undirviðmiðalisti (Lýsigögn)'!K$42:K$58,MATCH($C75,'Undirviðmiðalisti (Lýsigögn)'!$C$42:$C$58,0))),""))))</f>
        <v/>
      </c>
      <c r="P75" s="16" t="str">
        <f aca="false">IF($C75="","",IF($G75="Einstaklingsbundið",IFERROR(IF(INDEX('Undirviðmiðalisti (Lýsigögn)'!L$42:L$58,MATCH($C75,'Undirviðmiðalisti (Lýsigögn)'!$C$42:$C$58,0))="","",INDEX('Undirviðmiðalisti (Lýsigögn)'!L$42:L$58,MATCH($C75,'Undirviðmiðalisti (Lýsigögn)'!$C$42:$C$58,0))),""),IFERROR(IF(INDEX('Undirviðmiðalisti (Lýsigögn)'!L$6:L$41,MATCH($C75,'Undirviðmiðalisti (Lýsigögn)'!$C$6:$C$41,0))="","",INDEX('Undirviðmiðalisti (Lýsigögn)'!L$6:L$41,MATCH($C75,'Undirviðmiðalisti (Lýsigögn)'!$C$6:$C$41,0))),IFERROR(IF(INDEX('Undirviðmiðalisti (Lýsigögn)'!L$42:L$58,MATCH($C75,'Undirviðmiðalisti (Lýsigögn)'!$C$42:$C$58,0))="","",INDEX('Undirviðmiðalisti (Lýsigögn)'!L$42:L$58,MATCH($C75,'Undirviðmiðalisti (Lýsigögn)'!$C$42:$C$58,0))),""))))</f>
        <v/>
      </c>
      <c r="Q75" s="16" t="str">
        <f aca="false">IF($C75="","",IF($G75="Einstaklingsbundið",IFERROR(IF(INDEX('Undirviðmiðalisti (Lýsigögn)'!M$42:M$58,MATCH($C75,'Undirviðmiðalisti (Lýsigögn)'!$C$42:$C$58,0))="","",INDEX('Undirviðmiðalisti (Lýsigögn)'!M$42:M$58,MATCH($C75,'Undirviðmiðalisti (Lýsigögn)'!$C$42:$C$58,0))),""),IFERROR(IF(INDEX('Undirviðmiðalisti (Lýsigögn)'!M$6:M$41,MATCH($C75,'Undirviðmiðalisti (Lýsigögn)'!$C$6:$C$41,0))="","",INDEX('Undirviðmiðalisti (Lýsigögn)'!M$6:M$41,MATCH($C75,'Undirviðmiðalisti (Lýsigögn)'!$C$6:$C$41,0))),IFERROR(IF(INDEX('Undirviðmiðalisti (Lýsigögn)'!M$42:M$58,MATCH($C75,'Undirviðmiðalisti (Lýsigögn)'!$C$42:$C$58,0))="","",INDEX('Undirviðmiðalisti (Lýsigögn)'!M$42:M$58,MATCH($C75,'Undirviðmiðalisti (Lýsigögn)'!$C$42:$C$58,0))),""))))</f>
        <v/>
      </c>
    </row>
    <row r="76" customFormat="false" ht="15" hidden="false" customHeight="true" outlineLevel="0" collapsed="false">
      <c r="A76" s="22" t="str">
        <f aca="false">IF($B76="","",ROW()-5)</f>
        <v/>
      </c>
      <c r="B76" s="15"/>
      <c r="C76" s="15"/>
      <c r="D76" s="16" t="str">
        <f aca="false">IF($C76="","",IF($G76="Einstaklingsbundið",IFERROR(IF(INDEX('Undirviðmiðalisti (Lýsigögn)'!$D$42:$D$58,MATCH($C76,'Undirviðmiðalisti (Lýsigögn)'!$C$42:$C$58,0))="","",INDEX('Undirviðmiðalisti (Lýsigögn)'!$D$42:$D$58,MATCH($C76,'Undirviðmiðalisti (Lýsigögn)'!$C$42:$C$58,0))),""),IFERROR(IF(INDEX('Undirviðmiðalisti (Lýsigögn)'!$D$6:$D$41,MATCH($C76,'Undirviðmiðalisti (Lýsigögn)'!$C$6:$C$41,0))="","",INDEX('Undirviðmiðalisti (Lýsigögn)'!$D$6:$D$41,MATCH($C76,'Undirviðmiðalisti (Lýsigögn)'!$C$6:$C$41,0))),IFERROR(IF(INDEX('Undirviðmiðalisti (Lýsigögn)'!$D$42:$D$58,MATCH($C76,'Undirviðmiðalisti (Lýsigögn)'!$C$42:$C$58,0))="","",INDEX('Undirviðmiðalisti (Lýsigögn)'!$D$42:$D$58,MATCH($C76,'Undirviðmiðalisti (Lýsigögn)'!$C$42:$C$58,0))),""))))</f>
        <v/>
      </c>
      <c r="E76" s="14"/>
      <c r="F76" s="23" t="str">
        <f aca="false">IF($C76="","",IF($G76="Einstaklingsbundið",IFERROR(IF(INDEX('Undirviðmiðalisti (Lýsigögn)'!$E$42:$E$58,MATCH($C76,'Undirviðmiðalisti (Lýsigögn)'!$C$42:$C$58,0))="","",INDEX('Undirviðmiðalisti (Lýsigögn)'!$E$42:$E$58,MATCH($C76,'Undirviðmiðalisti (Lýsigögn)'!$C$42:$C$58,0))),""),IFERROR(IF(INDEX('Undirviðmiðalisti (Lýsigögn)'!$E$6:$E$41,MATCH($C76,'Undirviðmiðalisti (Lýsigögn)'!$C$6:$C$41,0))="","",INDEX('Undirviðmiðalisti (Lýsigögn)'!$E$6:$E$41,MATCH($C76,'Undirviðmiðalisti (Lýsigögn)'!$C$6:$C$41,0))),IFERROR(IF(INDEX('Undirviðmiðalisti (Lýsigögn)'!$E$42:$E$58,MATCH($C76,'Undirviðmiðalisti (Lýsigögn)'!$C$42:$C$58,0))="","",INDEX('Undirviðmiðalisti (Lýsigögn)'!$E$42:$E$58,MATCH($C76,'Undirviðmiðalisti (Lýsigögn)'!$C$42:$C$58,0))),""))))</f>
        <v/>
      </c>
      <c r="G76" s="24" t="str">
        <f aca="false">IFERROR(IF(B76="","",INDEX(Viðmið!$B$6:$B$10,MATCH(B76,Viðmið!$C$6:$C$10,0))),"")</f>
        <v/>
      </c>
      <c r="H76" s="25" t="str">
        <f aca="false">IF(OR(E76="",F76=""),"",E76*KVARDI)</f>
        <v/>
      </c>
      <c r="I76" s="26" t="str">
        <f aca="false">IF(B76="","",IF(ROUND(SUMIF($B$6:$B$205,B76,$E$6:$E$205),4)=ROUND(IFERROR(INDEX(Viðmið!$E$6:$E$10,MATCH(B76,Viðmið!$C$6:$C$10,0)),-1),4),"✓","✗"))</f>
        <v/>
      </c>
      <c r="J76" s="16" t="str">
        <f aca="false">IF($C76="","",IF($G76="Einstaklingsbundið",IFERROR(IF(INDEX('Undirviðmiðalisti (Lýsigögn)'!F$42:F$58,MATCH($C76,'Undirviðmiðalisti (Lýsigögn)'!$C$42:$C$58,0))="","",INDEX('Undirviðmiðalisti (Lýsigögn)'!F$42:F$58,MATCH($C76,'Undirviðmiðalisti (Lýsigögn)'!$C$42:$C$58,0))),""),IFERROR(IF(INDEX('Undirviðmiðalisti (Lýsigögn)'!F$6:F$41,MATCH($C76,'Undirviðmiðalisti (Lýsigögn)'!$C$6:$C$41,0))="","",INDEX('Undirviðmiðalisti (Lýsigögn)'!F$6:F$41,MATCH($C76,'Undirviðmiðalisti (Lýsigögn)'!$C$6:$C$41,0))),IFERROR(IF(INDEX('Undirviðmiðalisti (Lýsigögn)'!F$42:F$58,MATCH($C76,'Undirviðmiðalisti (Lýsigögn)'!$C$42:$C$58,0))="","",INDEX('Undirviðmiðalisti (Lýsigögn)'!F$42:F$58,MATCH($C76,'Undirviðmiðalisti (Lýsigögn)'!$C$42:$C$58,0))),""))))</f>
        <v/>
      </c>
      <c r="K76" s="16" t="str">
        <f aca="false">IF($C76="","",IF($G76="Einstaklingsbundið",IFERROR(IF(INDEX('Undirviðmiðalisti (Lýsigögn)'!G$42:G$58,MATCH($C76,'Undirviðmiðalisti (Lýsigögn)'!$C$42:$C$58,0))="","",INDEX('Undirviðmiðalisti (Lýsigögn)'!G$42:G$58,MATCH($C76,'Undirviðmiðalisti (Lýsigögn)'!$C$42:$C$58,0))),""),IFERROR(IF(INDEX('Undirviðmiðalisti (Lýsigögn)'!G$6:G$41,MATCH($C76,'Undirviðmiðalisti (Lýsigögn)'!$C$6:$C$41,0))="","",INDEX('Undirviðmiðalisti (Lýsigögn)'!G$6:G$41,MATCH($C76,'Undirviðmiðalisti (Lýsigögn)'!$C$6:$C$41,0))),IFERROR(IF(INDEX('Undirviðmiðalisti (Lýsigögn)'!G$42:G$58,MATCH($C76,'Undirviðmiðalisti (Lýsigögn)'!$C$42:$C$58,0))="","",INDEX('Undirviðmiðalisti (Lýsigögn)'!G$42:G$58,MATCH($C76,'Undirviðmiðalisti (Lýsigögn)'!$C$42:$C$58,0))),""))))</f>
        <v/>
      </c>
      <c r="L76" s="16" t="str">
        <f aca="false">IF($C76="","",IF($G76="Einstaklingsbundið",IFERROR(IF(INDEX('Undirviðmiðalisti (Lýsigögn)'!H$42:H$58,MATCH($C76,'Undirviðmiðalisti (Lýsigögn)'!$C$42:$C$58,0))="","",INDEX('Undirviðmiðalisti (Lýsigögn)'!H$42:H$58,MATCH($C76,'Undirviðmiðalisti (Lýsigögn)'!$C$42:$C$58,0))),""),IFERROR(IF(INDEX('Undirviðmiðalisti (Lýsigögn)'!H$6:H$41,MATCH($C76,'Undirviðmiðalisti (Lýsigögn)'!$C$6:$C$41,0))="","",INDEX('Undirviðmiðalisti (Lýsigögn)'!H$6:H$41,MATCH($C76,'Undirviðmiðalisti (Lýsigögn)'!$C$6:$C$41,0))),IFERROR(IF(INDEX('Undirviðmiðalisti (Lýsigögn)'!H$42:H$58,MATCH($C76,'Undirviðmiðalisti (Lýsigögn)'!$C$42:$C$58,0))="","",INDEX('Undirviðmiðalisti (Lýsigögn)'!H$42:H$58,MATCH($C76,'Undirviðmiðalisti (Lýsigögn)'!$C$42:$C$58,0))),""))))</f>
        <v/>
      </c>
      <c r="M76" s="16" t="str">
        <f aca="false">IF($C76="","",IF($G76="Einstaklingsbundið",IFERROR(IF(INDEX('Undirviðmiðalisti (Lýsigögn)'!I$42:I$58,MATCH($C76,'Undirviðmiðalisti (Lýsigögn)'!$C$42:$C$58,0))="","",INDEX('Undirviðmiðalisti (Lýsigögn)'!I$42:I$58,MATCH($C76,'Undirviðmiðalisti (Lýsigögn)'!$C$42:$C$58,0))),""),IFERROR(IF(INDEX('Undirviðmiðalisti (Lýsigögn)'!I$6:I$41,MATCH($C76,'Undirviðmiðalisti (Lýsigögn)'!$C$6:$C$41,0))="","",INDEX('Undirviðmiðalisti (Lýsigögn)'!I$6:I$41,MATCH($C76,'Undirviðmiðalisti (Lýsigögn)'!$C$6:$C$41,0))),IFERROR(IF(INDEX('Undirviðmiðalisti (Lýsigögn)'!I$42:I$58,MATCH($C76,'Undirviðmiðalisti (Lýsigögn)'!$C$42:$C$58,0))="","",INDEX('Undirviðmiðalisti (Lýsigögn)'!I$42:I$58,MATCH($C76,'Undirviðmiðalisti (Lýsigögn)'!$C$42:$C$58,0))),""))))</f>
        <v/>
      </c>
      <c r="N76" s="16" t="str">
        <f aca="false">IF($C76="","",IF($G76="Einstaklingsbundið",IFERROR(IF(INDEX('Undirviðmiðalisti (Lýsigögn)'!J$42:J$58,MATCH($C76,'Undirviðmiðalisti (Lýsigögn)'!$C$42:$C$58,0))="","",INDEX('Undirviðmiðalisti (Lýsigögn)'!J$42:J$58,MATCH($C76,'Undirviðmiðalisti (Lýsigögn)'!$C$42:$C$58,0))),""),IFERROR(IF(INDEX('Undirviðmiðalisti (Lýsigögn)'!J$6:J$41,MATCH($C76,'Undirviðmiðalisti (Lýsigögn)'!$C$6:$C$41,0))="","",INDEX('Undirviðmiðalisti (Lýsigögn)'!J$6:J$41,MATCH($C76,'Undirviðmiðalisti (Lýsigögn)'!$C$6:$C$41,0))),IFERROR(IF(INDEX('Undirviðmiðalisti (Lýsigögn)'!J$42:J$58,MATCH($C76,'Undirviðmiðalisti (Lýsigögn)'!$C$42:$C$58,0))="","",INDEX('Undirviðmiðalisti (Lýsigögn)'!J$42:J$58,MATCH($C76,'Undirviðmiðalisti (Lýsigögn)'!$C$42:$C$58,0))),""))))</f>
        <v/>
      </c>
      <c r="O76" s="16" t="str">
        <f aca="false">IF($C76="","",IF($G76="Einstaklingsbundið",IFERROR(IF(INDEX('Undirviðmiðalisti (Lýsigögn)'!K$42:K$58,MATCH($C76,'Undirviðmiðalisti (Lýsigögn)'!$C$42:$C$58,0))="","",INDEX('Undirviðmiðalisti (Lýsigögn)'!K$42:K$58,MATCH($C76,'Undirviðmiðalisti (Lýsigögn)'!$C$42:$C$58,0))),""),IFERROR(IF(INDEX('Undirviðmiðalisti (Lýsigögn)'!K$6:K$41,MATCH($C76,'Undirviðmiðalisti (Lýsigögn)'!$C$6:$C$41,0))="","",INDEX('Undirviðmiðalisti (Lýsigögn)'!K$6:K$41,MATCH($C76,'Undirviðmiðalisti (Lýsigögn)'!$C$6:$C$41,0))),IFERROR(IF(INDEX('Undirviðmiðalisti (Lýsigögn)'!K$42:K$58,MATCH($C76,'Undirviðmiðalisti (Lýsigögn)'!$C$42:$C$58,0))="","",INDEX('Undirviðmiðalisti (Lýsigögn)'!K$42:K$58,MATCH($C76,'Undirviðmiðalisti (Lýsigögn)'!$C$42:$C$58,0))),""))))</f>
        <v/>
      </c>
      <c r="P76" s="16" t="str">
        <f aca="false">IF($C76="","",IF($G76="Einstaklingsbundið",IFERROR(IF(INDEX('Undirviðmiðalisti (Lýsigögn)'!L$42:L$58,MATCH($C76,'Undirviðmiðalisti (Lýsigögn)'!$C$42:$C$58,0))="","",INDEX('Undirviðmiðalisti (Lýsigögn)'!L$42:L$58,MATCH($C76,'Undirviðmiðalisti (Lýsigögn)'!$C$42:$C$58,0))),""),IFERROR(IF(INDEX('Undirviðmiðalisti (Lýsigögn)'!L$6:L$41,MATCH($C76,'Undirviðmiðalisti (Lýsigögn)'!$C$6:$C$41,0))="","",INDEX('Undirviðmiðalisti (Lýsigögn)'!L$6:L$41,MATCH($C76,'Undirviðmiðalisti (Lýsigögn)'!$C$6:$C$41,0))),IFERROR(IF(INDEX('Undirviðmiðalisti (Lýsigögn)'!L$42:L$58,MATCH($C76,'Undirviðmiðalisti (Lýsigögn)'!$C$42:$C$58,0))="","",INDEX('Undirviðmiðalisti (Lýsigögn)'!L$42:L$58,MATCH($C76,'Undirviðmiðalisti (Lýsigögn)'!$C$42:$C$58,0))),""))))</f>
        <v/>
      </c>
      <c r="Q76" s="16" t="str">
        <f aca="false">IF($C76="","",IF($G76="Einstaklingsbundið",IFERROR(IF(INDEX('Undirviðmiðalisti (Lýsigögn)'!M$42:M$58,MATCH($C76,'Undirviðmiðalisti (Lýsigögn)'!$C$42:$C$58,0))="","",INDEX('Undirviðmiðalisti (Lýsigögn)'!M$42:M$58,MATCH($C76,'Undirviðmiðalisti (Lýsigögn)'!$C$42:$C$58,0))),""),IFERROR(IF(INDEX('Undirviðmiðalisti (Lýsigögn)'!M$6:M$41,MATCH($C76,'Undirviðmiðalisti (Lýsigögn)'!$C$6:$C$41,0))="","",INDEX('Undirviðmiðalisti (Lýsigögn)'!M$6:M$41,MATCH($C76,'Undirviðmiðalisti (Lýsigögn)'!$C$6:$C$41,0))),IFERROR(IF(INDEX('Undirviðmiðalisti (Lýsigögn)'!M$42:M$58,MATCH($C76,'Undirviðmiðalisti (Lýsigögn)'!$C$42:$C$58,0))="","",INDEX('Undirviðmiðalisti (Lýsigögn)'!M$42:M$58,MATCH($C76,'Undirviðmiðalisti (Lýsigögn)'!$C$42:$C$58,0))),""))))</f>
        <v/>
      </c>
    </row>
    <row r="77" customFormat="false" ht="15" hidden="false" customHeight="true" outlineLevel="0" collapsed="false">
      <c r="A77" s="22" t="str">
        <f aca="false">IF($B77="","",ROW()-5)</f>
        <v/>
      </c>
      <c r="B77" s="15"/>
      <c r="C77" s="15"/>
      <c r="D77" s="16" t="str">
        <f aca="false">IF($C77="","",IF($G77="Einstaklingsbundið",IFERROR(IF(INDEX('Undirviðmiðalisti (Lýsigögn)'!$D$42:$D$58,MATCH($C77,'Undirviðmiðalisti (Lýsigögn)'!$C$42:$C$58,0))="","",INDEX('Undirviðmiðalisti (Lýsigögn)'!$D$42:$D$58,MATCH($C77,'Undirviðmiðalisti (Lýsigögn)'!$C$42:$C$58,0))),""),IFERROR(IF(INDEX('Undirviðmiðalisti (Lýsigögn)'!$D$6:$D$41,MATCH($C77,'Undirviðmiðalisti (Lýsigögn)'!$C$6:$C$41,0))="","",INDEX('Undirviðmiðalisti (Lýsigögn)'!$D$6:$D$41,MATCH($C77,'Undirviðmiðalisti (Lýsigögn)'!$C$6:$C$41,0))),IFERROR(IF(INDEX('Undirviðmiðalisti (Lýsigögn)'!$D$42:$D$58,MATCH($C77,'Undirviðmiðalisti (Lýsigögn)'!$C$42:$C$58,0))="","",INDEX('Undirviðmiðalisti (Lýsigögn)'!$D$42:$D$58,MATCH($C77,'Undirviðmiðalisti (Lýsigögn)'!$C$42:$C$58,0))),""))))</f>
        <v/>
      </c>
      <c r="E77" s="14"/>
      <c r="F77" s="23" t="str">
        <f aca="false">IF($C77="","",IF($G77="Einstaklingsbundið",IFERROR(IF(INDEX('Undirviðmiðalisti (Lýsigögn)'!$E$42:$E$58,MATCH($C77,'Undirviðmiðalisti (Lýsigögn)'!$C$42:$C$58,0))="","",INDEX('Undirviðmiðalisti (Lýsigögn)'!$E$42:$E$58,MATCH($C77,'Undirviðmiðalisti (Lýsigögn)'!$C$42:$C$58,0))),""),IFERROR(IF(INDEX('Undirviðmiðalisti (Lýsigögn)'!$E$6:$E$41,MATCH($C77,'Undirviðmiðalisti (Lýsigögn)'!$C$6:$C$41,0))="","",INDEX('Undirviðmiðalisti (Lýsigögn)'!$E$6:$E$41,MATCH($C77,'Undirviðmiðalisti (Lýsigögn)'!$C$6:$C$41,0))),IFERROR(IF(INDEX('Undirviðmiðalisti (Lýsigögn)'!$E$42:$E$58,MATCH($C77,'Undirviðmiðalisti (Lýsigögn)'!$C$42:$C$58,0))="","",INDEX('Undirviðmiðalisti (Lýsigögn)'!$E$42:$E$58,MATCH($C77,'Undirviðmiðalisti (Lýsigögn)'!$C$42:$C$58,0))),""))))</f>
        <v/>
      </c>
      <c r="G77" s="24" t="str">
        <f aca="false">IFERROR(IF(B77="","",INDEX(Viðmið!$B$6:$B$10,MATCH(B77,Viðmið!$C$6:$C$10,0))),"")</f>
        <v/>
      </c>
      <c r="H77" s="25" t="str">
        <f aca="false">IF(OR(E77="",F77=""),"",E77*KVARDI)</f>
        <v/>
      </c>
      <c r="I77" s="26" t="str">
        <f aca="false">IF(B77="","",IF(ROUND(SUMIF($B$6:$B$205,B77,$E$6:$E$205),4)=ROUND(IFERROR(INDEX(Viðmið!$E$6:$E$10,MATCH(B77,Viðmið!$C$6:$C$10,0)),-1),4),"✓","✗"))</f>
        <v/>
      </c>
      <c r="J77" s="16" t="str">
        <f aca="false">IF($C77="","",IF($G77="Einstaklingsbundið",IFERROR(IF(INDEX('Undirviðmiðalisti (Lýsigögn)'!F$42:F$58,MATCH($C77,'Undirviðmiðalisti (Lýsigögn)'!$C$42:$C$58,0))="","",INDEX('Undirviðmiðalisti (Lýsigögn)'!F$42:F$58,MATCH($C77,'Undirviðmiðalisti (Lýsigögn)'!$C$42:$C$58,0))),""),IFERROR(IF(INDEX('Undirviðmiðalisti (Lýsigögn)'!F$6:F$41,MATCH($C77,'Undirviðmiðalisti (Lýsigögn)'!$C$6:$C$41,0))="","",INDEX('Undirviðmiðalisti (Lýsigögn)'!F$6:F$41,MATCH($C77,'Undirviðmiðalisti (Lýsigögn)'!$C$6:$C$41,0))),IFERROR(IF(INDEX('Undirviðmiðalisti (Lýsigögn)'!F$42:F$58,MATCH($C77,'Undirviðmiðalisti (Lýsigögn)'!$C$42:$C$58,0))="","",INDEX('Undirviðmiðalisti (Lýsigögn)'!F$42:F$58,MATCH($C77,'Undirviðmiðalisti (Lýsigögn)'!$C$42:$C$58,0))),""))))</f>
        <v/>
      </c>
      <c r="K77" s="16" t="str">
        <f aca="false">IF($C77="","",IF($G77="Einstaklingsbundið",IFERROR(IF(INDEX('Undirviðmiðalisti (Lýsigögn)'!G$42:G$58,MATCH($C77,'Undirviðmiðalisti (Lýsigögn)'!$C$42:$C$58,0))="","",INDEX('Undirviðmiðalisti (Lýsigögn)'!G$42:G$58,MATCH($C77,'Undirviðmiðalisti (Lýsigögn)'!$C$42:$C$58,0))),""),IFERROR(IF(INDEX('Undirviðmiðalisti (Lýsigögn)'!G$6:G$41,MATCH($C77,'Undirviðmiðalisti (Lýsigögn)'!$C$6:$C$41,0))="","",INDEX('Undirviðmiðalisti (Lýsigögn)'!G$6:G$41,MATCH($C77,'Undirviðmiðalisti (Lýsigögn)'!$C$6:$C$41,0))),IFERROR(IF(INDEX('Undirviðmiðalisti (Lýsigögn)'!G$42:G$58,MATCH($C77,'Undirviðmiðalisti (Lýsigögn)'!$C$42:$C$58,0))="","",INDEX('Undirviðmiðalisti (Lýsigögn)'!G$42:G$58,MATCH($C77,'Undirviðmiðalisti (Lýsigögn)'!$C$42:$C$58,0))),""))))</f>
        <v/>
      </c>
      <c r="L77" s="16" t="str">
        <f aca="false">IF($C77="","",IF($G77="Einstaklingsbundið",IFERROR(IF(INDEX('Undirviðmiðalisti (Lýsigögn)'!H$42:H$58,MATCH($C77,'Undirviðmiðalisti (Lýsigögn)'!$C$42:$C$58,0))="","",INDEX('Undirviðmiðalisti (Lýsigögn)'!H$42:H$58,MATCH($C77,'Undirviðmiðalisti (Lýsigögn)'!$C$42:$C$58,0))),""),IFERROR(IF(INDEX('Undirviðmiðalisti (Lýsigögn)'!H$6:H$41,MATCH($C77,'Undirviðmiðalisti (Lýsigögn)'!$C$6:$C$41,0))="","",INDEX('Undirviðmiðalisti (Lýsigögn)'!H$6:H$41,MATCH($C77,'Undirviðmiðalisti (Lýsigögn)'!$C$6:$C$41,0))),IFERROR(IF(INDEX('Undirviðmiðalisti (Lýsigögn)'!H$42:H$58,MATCH($C77,'Undirviðmiðalisti (Lýsigögn)'!$C$42:$C$58,0))="","",INDEX('Undirviðmiðalisti (Lýsigögn)'!H$42:H$58,MATCH($C77,'Undirviðmiðalisti (Lýsigögn)'!$C$42:$C$58,0))),""))))</f>
        <v/>
      </c>
      <c r="M77" s="16" t="str">
        <f aca="false">IF($C77="","",IF($G77="Einstaklingsbundið",IFERROR(IF(INDEX('Undirviðmiðalisti (Lýsigögn)'!I$42:I$58,MATCH($C77,'Undirviðmiðalisti (Lýsigögn)'!$C$42:$C$58,0))="","",INDEX('Undirviðmiðalisti (Lýsigögn)'!I$42:I$58,MATCH($C77,'Undirviðmiðalisti (Lýsigögn)'!$C$42:$C$58,0))),""),IFERROR(IF(INDEX('Undirviðmiðalisti (Lýsigögn)'!I$6:I$41,MATCH($C77,'Undirviðmiðalisti (Lýsigögn)'!$C$6:$C$41,0))="","",INDEX('Undirviðmiðalisti (Lýsigögn)'!I$6:I$41,MATCH($C77,'Undirviðmiðalisti (Lýsigögn)'!$C$6:$C$41,0))),IFERROR(IF(INDEX('Undirviðmiðalisti (Lýsigögn)'!I$42:I$58,MATCH($C77,'Undirviðmiðalisti (Lýsigögn)'!$C$42:$C$58,0))="","",INDEX('Undirviðmiðalisti (Lýsigögn)'!I$42:I$58,MATCH($C77,'Undirviðmiðalisti (Lýsigögn)'!$C$42:$C$58,0))),""))))</f>
        <v/>
      </c>
      <c r="N77" s="16" t="str">
        <f aca="false">IF($C77="","",IF($G77="Einstaklingsbundið",IFERROR(IF(INDEX('Undirviðmiðalisti (Lýsigögn)'!J$42:J$58,MATCH($C77,'Undirviðmiðalisti (Lýsigögn)'!$C$42:$C$58,0))="","",INDEX('Undirviðmiðalisti (Lýsigögn)'!J$42:J$58,MATCH($C77,'Undirviðmiðalisti (Lýsigögn)'!$C$42:$C$58,0))),""),IFERROR(IF(INDEX('Undirviðmiðalisti (Lýsigögn)'!J$6:J$41,MATCH($C77,'Undirviðmiðalisti (Lýsigögn)'!$C$6:$C$41,0))="","",INDEX('Undirviðmiðalisti (Lýsigögn)'!J$6:J$41,MATCH($C77,'Undirviðmiðalisti (Lýsigögn)'!$C$6:$C$41,0))),IFERROR(IF(INDEX('Undirviðmiðalisti (Lýsigögn)'!J$42:J$58,MATCH($C77,'Undirviðmiðalisti (Lýsigögn)'!$C$42:$C$58,0))="","",INDEX('Undirviðmiðalisti (Lýsigögn)'!J$42:J$58,MATCH($C77,'Undirviðmiðalisti (Lýsigögn)'!$C$42:$C$58,0))),""))))</f>
        <v/>
      </c>
      <c r="O77" s="16" t="str">
        <f aca="false">IF($C77="","",IF($G77="Einstaklingsbundið",IFERROR(IF(INDEX('Undirviðmiðalisti (Lýsigögn)'!K$42:K$58,MATCH($C77,'Undirviðmiðalisti (Lýsigögn)'!$C$42:$C$58,0))="","",INDEX('Undirviðmiðalisti (Lýsigögn)'!K$42:K$58,MATCH($C77,'Undirviðmiðalisti (Lýsigögn)'!$C$42:$C$58,0))),""),IFERROR(IF(INDEX('Undirviðmiðalisti (Lýsigögn)'!K$6:K$41,MATCH($C77,'Undirviðmiðalisti (Lýsigögn)'!$C$6:$C$41,0))="","",INDEX('Undirviðmiðalisti (Lýsigögn)'!K$6:K$41,MATCH($C77,'Undirviðmiðalisti (Lýsigögn)'!$C$6:$C$41,0))),IFERROR(IF(INDEX('Undirviðmiðalisti (Lýsigögn)'!K$42:K$58,MATCH($C77,'Undirviðmiðalisti (Lýsigögn)'!$C$42:$C$58,0))="","",INDEX('Undirviðmiðalisti (Lýsigögn)'!K$42:K$58,MATCH($C77,'Undirviðmiðalisti (Lýsigögn)'!$C$42:$C$58,0))),""))))</f>
        <v/>
      </c>
      <c r="P77" s="16" t="str">
        <f aca="false">IF($C77="","",IF($G77="Einstaklingsbundið",IFERROR(IF(INDEX('Undirviðmiðalisti (Lýsigögn)'!L$42:L$58,MATCH($C77,'Undirviðmiðalisti (Lýsigögn)'!$C$42:$C$58,0))="","",INDEX('Undirviðmiðalisti (Lýsigögn)'!L$42:L$58,MATCH($C77,'Undirviðmiðalisti (Lýsigögn)'!$C$42:$C$58,0))),""),IFERROR(IF(INDEX('Undirviðmiðalisti (Lýsigögn)'!L$6:L$41,MATCH($C77,'Undirviðmiðalisti (Lýsigögn)'!$C$6:$C$41,0))="","",INDEX('Undirviðmiðalisti (Lýsigögn)'!L$6:L$41,MATCH($C77,'Undirviðmiðalisti (Lýsigögn)'!$C$6:$C$41,0))),IFERROR(IF(INDEX('Undirviðmiðalisti (Lýsigögn)'!L$42:L$58,MATCH($C77,'Undirviðmiðalisti (Lýsigögn)'!$C$42:$C$58,0))="","",INDEX('Undirviðmiðalisti (Lýsigögn)'!L$42:L$58,MATCH($C77,'Undirviðmiðalisti (Lýsigögn)'!$C$42:$C$58,0))),""))))</f>
        <v/>
      </c>
      <c r="Q77" s="16" t="str">
        <f aca="false">IF($C77="","",IF($G77="Einstaklingsbundið",IFERROR(IF(INDEX('Undirviðmiðalisti (Lýsigögn)'!M$42:M$58,MATCH($C77,'Undirviðmiðalisti (Lýsigögn)'!$C$42:$C$58,0))="","",INDEX('Undirviðmiðalisti (Lýsigögn)'!M$42:M$58,MATCH($C77,'Undirviðmiðalisti (Lýsigögn)'!$C$42:$C$58,0))),""),IFERROR(IF(INDEX('Undirviðmiðalisti (Lýsigögn)'!M$6:M$41,MATCH($C77,'Undirviðmiðalisti (Lýsigögn)'!$C$6:$C$41,0))="","",INDEX('Undirviðmiðalisti (Lýsigögn)'!M$6:M$41,MATCH($C77,'Undirviðmiðalisti (Lýsigögn)'!$C$6:$C$41,0))),IFERROR(IF(INDEX('Undirviðmiðalisti (Lýsigögn)'!M$42:M$58,MATCH($C77,'Undirviðmiðalisti (Lýsigögn)'!$C$42:$C$58,0))="","",INDEX('Undirviðmiðalisti (Lýsigögn)'!M$42:M$58,MATCH($C77,'Undirviðmiðalisti (Lýsigögn)'!$C$42:$C$58,0))),""))))</f>
        <v/>
      </c>
    </row>
    <row r="78" customFormat="false" ht="15" hidden="false" customHeight="true" outlineLevel="0" collapsed="false">
      <c r="A78" s="22" t="str">
        <f aca="false">IF($B78="","",ROW()-5)</f>
        <v/>
      </c>
      <c r="B78" s="15"/>
      <c r="C78" s="15"/>
      <c r="D78" s="16" t="str">
        <f aca="false">IF($C78="","",IF($G78="Einstaklingsbundið",IFERROR(IF(INDEX('Undirviðmiðalisti (Lýsigögn)'!$D$42:$D$58,MATCH($C78,'Undirviðmiðalisti (Lýsigögn)'!$C$42:$C$58,0))="","",INDEX('Undirviðmiðalisti (Lýsigögn)'!$D$42:$D$58,MATCH($C78,'Undirviðmiðalisti (Lýsigögn)'!$C$42:$C$58,0))),""),IFERROR(IF(INDEX('Undirviðmiðalisti (Lýsigögn)'!$D$6:$D$41,MATCH($C78,'Undirviðmiðalisti (Lýsigögn)'!$C$6:$C$41,0))="","",INDEX('Undirviðmiðalisti (Lýsigögn)'!$D$6:$D$41,MATCH($C78,'Undirviðmiðalisti (Lýsigögn)'!$C$6:$C$41,0))),IFERROR(IF(INDEX('Undirviðmiðalisti (Lýsigögn)'!$D$42:$D$58,MATCH($C78,'Undirviðmiðalisti (Lýsigögn)'!$C$42:$C$58,0))="","",INDEX('Undirviðmiðalisti (Lýsigögn)'!$D$42:$D$58,MATCH($C78,'Undirviðmiðalisti (Lýsigögn)'!$C$42:$C$58,0))),""))))</f>
        <v/>
      </c>
      <c r="E78" s="14"/>
      <c r="F78" s="23" t="str">
        <f aca="false">IF($C78="","",IF($G78="Einstaklingsbundið",IFERROR(IF(INDEX('Undirviðmiðalisti (Lýsigögn)'!$E$42:$E$58,MATCH($C78,'Undirviðmiðalisti (Lýsigögn)'!$C$42:$C$58,0))="","",INDEX('Undirviðmiðalisti (Lýsigögn)'!$E$42:$E$58,MATCH($C78,'Undirviðmiðalisti (Lýsigögn)'!$C$42:$C$58,0))),""),IFERROR(IF(INDEX('Undirviðmiðalisti (Lýsigögn)'!$E$6:$E$41,MATCH($C78,'Undirviðmiðalisti (Lýsigögn)'!$C$6:$C$41,0))="","",INDEX('Undirviðmiðalisti (Lýsigögn)'!$E$6:$E$41,MATCH($C78,'Undirviðmiðalisti (Lýsigögn)'!$C$6:$C$41,0))),IFERROR(IF(INDEX('Undirviðmiðalisti (Lýsigögn)'!$E$42:$E$58,MATCH($C78,'Undirviðmiðalisti (Lýsigögn)'!$C$42:$C$58,0))="","",INDEX('Undirviðmiðalisti (Lýsigögn)'!$E$42:$E$58,MATCH($C78,'Undirviðmiðalisti (Lýsigögn)'!$C$42:$C$58,0))),""))))</f>
        <v/>
      </c>
      <c r="G78" s="24" t="str">
        <f aca="false">IFERROR(IF(B78="","",INDEX(Viðmið!$B$6:$B$10,MATCH(B78,Viðmið!$C$6:$C$10,0))),"")</f>
        <v/>
      </c>
      <c r="H78" s="25" t="str">
        <f aca="false">IF(OR(E78="",F78=""),"",E78*KVARDI)</f>
        <v/>
      </c>
      <c r="I78" s="26" t="str">
        <f aca="false">IF(B78="","",IF(ROUND(SUMIF($B$6:$B$205,B78,$E$6:$E$205),4)=ROUND(IFERROR(INDEX(Viðmið!$E$6:$E$10,MATCH(B78,Viðmið!$C$6:$C$10,0)),-1),4),"✓","✗"))</f>
        <v/>
      </c>
      <c r="J78" s="16" t="str">
        <f aca="false">IF($C78="","",IF($G78="Einstaklingsbundið",IFERROR(IF(INDEX('Undirviðmiðalisti (Lýsigögn)'!F$42:F$58,MATCH($C78,'Undirviðmiðalisti (Lýsigögn)'!$C$42:$C$58,0))="","",INDEX('Undirviðmiðalisti (Lýsigögn)'!F$42:F$58,MATCH($C78,'Undirviðmiðalisti (Lýsigögn)'!$C$42:$C$58,0))),""),IFERROR(IF(INDEX('Undirviðmiðalisti (Lýsigögn)'!F$6:F$41,MATCH($C78,'Undirviðmiðalisti (Lýsigögn)'!$C$6:$C$41,0))="","",INDEX('Undirviðmiðalisti (Lýsigögn)'!F$6:F$41,MATCH($C78,'Undirviðmiðalisti (Lýsigögn)'!$C$6:$C$41,0))),IFERROR(IF(INDEX('Undirviðmiðalisti (Lýsigögn)'!F$42:F$58,MATCH($C78,'Undirviðmiðalisti (Lýsigögn)'!$C$42:$C$58,0))="","",INDEX('Undirviðmiðalisti (Lýsigögn)'!F$42:F$58,MATCH($C78,'Undirviðmiðalisti (Lýsigögn)'!$C$42:$C$58,0))),""))))</f>
        <v/>
      </c>
      <c r="K78" s="16" t="str">
        <f aca="false">IF($C78="","",IF($G78="Einstaklingsbundið",IFERROR(IF(INDEX('Undirviðmiðalisti (Lýsigögn)'!G$42:G$58,MATCH($C78,'Undirviðmiðalisti (Lýsigögn)'!$C$42:$C$58,0))="","",INDEX('Undirviðmiðalisti (Lýsigögn)'!G$42:G$58,MATCH($C78,'Undirviðmiðalisti (Lýsigögn)'!$C$42:$C$58,0))),""),IFERROR(IF(INDEX('Undirviðmiðalisti (Lýsigögn)'!G$6:G$41,MATCH($C78,'Undirviðmiðalisti (Lýsigögn)'!$C$6:$C$41,0))="","",INDEX('Undirviðmiðalisti (Lýsigögn)'!G$6:G$41,MATCH($C78,'Undirviðmiðalisti (Lýsigögn)'!$C$6:$C$41,0))),IFERROR(IF(INDEX('Undirviðmiðalisti (Lýsigögn)'!G$42:G$58,MATCH($C78,'Undirviðmiðalisti (Lýsigögn)'!$C$42:$C$58,0))="","",INDEX('Undirviðmiðalisti (Lýsigögn)'!G$42:G$58,MATCH($C78,'Undirviðmiðalisti (Lýsigögn)'!$C$42:$C$58,0))),""))))</f>
        <v/>
      </c>
      <c r="L78" s="16" t="str">
        <f aca="false">IF($C78="","",IF($G78="Einstaklingsbundið",IFERROR(IF(INDEX('Undirviðmiðalisti (Lýsigögn)'!H$42:H$58,MATCH($C78,'Undirviðmiðalisti (Lýsigögn)'!$C$42:$C$58,0))="","",INDEX('Undirviðmiðalisti (Lýsigögn)'!H$42:H$58,MATCH($C78,'Undirviðmiðalisti (Lýsigögn)'!$C$42:$C$58,0))),""),IFERROR(IF(INDEX('Undirviðmiðalisti (Lýsigögn)'!H$6:H$41,MATCH($C78,'Undirviðmiðalisti (Lýsigögn)'!$C$6:$C$41,0))="","",INDEX('Undirviðmiðalisti (Lýsigögn)'!H$6:H$41,MATCH($C78,'Undirviðmiðalisti (Lýsigögn)'!$C$6:$C$41,0))),IFERROR(IF(INDEX('Undirviðmiðalisti (Lýsigögn)'!H$42:H$58,MATCH($C78,'Undirviðmiðalisti (Lýsigögn)'!$C$42:$C$58,0))="","",INDEX('Undirviðmiðalisti (Lýsigögn)'!H$42:H$58,MATCH($C78,'Undirviðmiðalisti (Lýsigögn)'!$C$42:$C$58,0))),""))))</f>
        <v/>
      </c>
      <c r="M78" s="16" t="str">
        <f aca="false">IF($C78="","",IF($G78="Einstaklingsbundið",IFERROR(IF(INDEX('Undirviðmiðalisti (Lýsigögn)'!I$42:I$58,MATCH($C78,'Undirviðmiðalisti (Lýsigögn)'!$C$42:$C$58,0))="","",INDEX('Undirviðmiðalisti (Lýsigögn)'!I$42:I$58,MATCH($C78,'Undirviðmiðalisti (Lýsigögn)'!$C$42:$C$58,0))),""),IFERROR(IF(INDEX('Undirviðmiðalisti (Lýsigögn)'!I$6:I$41,MATCH($C78,'Undirviðmiðalisti (Lýsigögn)'!$C$6:$C$41,0))="","",INDEX('Undirviðmiðalisti (Lýsigögn)'!I$6:I$41,MATCH($C78,'Undirviðmiðalisti (Lýsigögn)'!$C$6:$C$41,0))),IFERROR(IF(INDEX('Undirviðmiðalisti (Lýsigögn)'!I$42:I$58,MATCH($C78,'Undirviðmiðalisti (Lýsigögn)'!$C$42:$C$58,0))="","",INDEX('Undirviðmiðalisti (Lýsigögn)'!I$42:I$58,MATCH($C78,'Undirviðmiðalisti (Lýsigögn)'!$C$42:$C$58,0))),""))))</f>
        <v/>
      </c>
      <c r="N78" s="16" t="str">
        <f aca="false">IF($C78="","",IF($G78="Einstaklingsbundið",IFERROR(IF(INDEX('Undirviðmiðalisti (Lýsigögn)'!J$42:J$58,MATCH($C78,'Undirviðmiðalisti (Lýsigögn)'!$C$42:$C$58,0))="","",INDEX('Undirviðmiðalisti (Lýsigögn)'!J$42:J$58,MATCH($C78,'Undirviðmiðalisti (Lýsigögn)'!$C$42:$C$58,0))),""),IFERROR(IF(INDEX('Undirviðmiðalisti (Lýsigögn)'!J$6:J$41,MATCH($C78,'Undirviðmiðalisti (Lýsigögn)'!$C$6:$C$41,0))="","",INDEX('Undirviðmiðalisti (Lýsigögn)'!J$6:J$41,MATCH($C78,'Undirviðmiðalisti (Lýsigögn)'!$C$6:$C$41,0))),IFERROR(IF(INDEX('Undirviðmiðalisti (Lýsigögn)'!J$42:J$58,MATCH($C78,'Undirviðmiðalisti (Lýsigögn)'!$C$42:$C$58,0))="","",INDEX('Undirviðmiðalisti (Lýsigögn)'!J$42:J$58,MATCH($C78,'Undirviðmiðalisti (Lýsigögn)'!$C$42:$C$58,0))),""))))</f>
        <v/>
      </c>
      <c r="O78" s="16" t="str">
        <f aca="false">IF($C78="","",IF($G78="Einstaklingsbundið",IFERROR(IF(INDEX('Undirviðmiðalisti (Lýsigögn)'!K$42:K$58,MATCH($C78,'Undirviðmiðalisti (Lýsigögn)'!$C$42:$C$58,0))="","",INDEX('Undirviðmiðalisti (Lýsigögn)'!K$42:K$58,MATCH($C78,'Undirviðmiðalisti (Lýsigögn)'!$C$42:$C$58,0))),""),IFERROR(IF(INDEX('Undirviðmiðalisti (Lýsigögn)'!K$6:K$41,MATCH($C78,'Undirviðmiðalisti (Lýsigögn)'!$C$6:$C$41,0))="","",INDEX('Undirviðmiðalisti (Lýsigögn)'!K$6:K$41,MATCH($C78,'Undirviðmiðalisti (Lýsigögn)'!$C$6:$C$41,0))),IFERROR(IF(INDEX('Undirviðmiðalisti (Lýsigögn)'!K$42:K$58,MATCH($C78,'Undirviðmiðalisti (Lýsigögn)'!$C$42:$C$58,0))="","",INDEX('Undirviðmiðalisti (Lýsigögn)'!K$42:K$58,MATCH($C78,'Undirviðmiðalisti (Lýsigögn)'!$C$42:$C$58,0))),""))))</f>
        <v/>
      </c>
      <c r="P78" s="16" t="str">
        <f aca="false">IF($C78="","",IF($G78="Einstaklingsbundið",IFERROR(IF(INDEX('Undirviðmiðalisti (Lýsigögn)'!L$42:L$58,MATCH($C78,'Undirviðmiðalisti (Lýsigögn)'!$C$42:$C$58,0))="","",INDEX('Undirviðmiðalisti (Lýsigögn)'!L$42:L$58,MATCH($C78,'Undirviðmiðalisti (Lýsigögn)'!$C$42:$C$58,0))),""),IFERROR(IF(INDEX('Undirviðmiðalisti (Lýsigögn)'!L$6:L$41,MATCH($C78,'Undirviðmiðalisti (Lýsigögn)'!$C$6:$C$41,0))="","",INDEX('Undirviðmiðalisti (Lýsigögn)'!L$6:L$41,MATCH($C78,'Undirviðmiðalisti (Lýsigögn)'!$C$6:$C$41,0))),IFERROR(IF(INDEX('Undirviðmiðalisti (Lýsigögn)'!L$42:L$58,MATCH($C78,'Undirviðmiðalisti (Lýsigögn)'!$C$42:$C$58,0))="","",INDEX('Undirviðmiðalisti (Lýsigögn)'!L$42:L$58,MATCH($C78,'Undirviðmiðalisti (Lýsigögn)'!$C$42:$C$58,0))),""))))</f>
        <v/>
      </c>
      <c r="Q78" s="16" t="str">
        <f aca="false">IF($C78="","",IF($G78="Einstaklingsbundið",IFERROR(IF(INDEX('Undirviðmiðalisti (Lýsigögn)'!M$42:M$58,MATCH($C78,'Undirviðmiðalisti (Lýsigögn)'!$C$42:$C$58,0))="","",INDEX('Undirviðmiðalisti (Lýsigögn)'!M$42:M$58,MATCH($C78,'Undirviðmiðalisti (Lýsigögn)'!$C$42:$C$58,0))),""),IFERROR(IF(INDEX('Undirviðmiðalisti (Lýsigögn)'!M$6:M$41,MATCH($C78,'Undirviðmiðalisti (Lýsigögn)'!$C$6:$C$41,0))="","",INDEX('Undirviðmiðalisti (Lýsigögn)'!M$6:M$41,MATCH($C78,'Undirviðmiðalisti (Lýsigögn)'!$C$6:$C$41,0))),IFERROR(IF(INDEX('Undirviðmiðalisti (Lýsigögn)'!M$42:M$58,MATCH($C78,'Undirviðmiðalisti (Lýsigögn)'!$C$42:$C$58,0))="","",INDEX('Undirviðmiðalisti (Lýsigögn)'!M$42:M$58,MATCH($C78,'Undirviðmiðalisti (Lýsigögn)'!$C$42:$C$58,0))),""))))</f>
        <v/>
      </c>
    </row>
    <row r="79" customFormat="false" ht="15" hidden="false" customHeight="true" outlineLevel="0" collapsed="false">
      <c r="A79" s="22" t="str">
        <f aca="false">IF($B79="","",ROW()-5)</f>
        <v/>
      </c>
      <c r="B79" s="15"/>
      <c r="C79" s="15"/>
      <c r="D79" s="16" t="str">
        <f aca="false">IF($C79="","",IF($G79="Einstaklingsbundið",IFERROR(IF(INDEX('Undirviðmiðalisti (Lýsigögn)'!$D$42:$D$58,MATCH($C79,'Undirviðmiðalisti (Lýsigögn)'!$C$42:$C$58,0))="","",INDEX('Undirviðmiðalisti (Lýsigögn)'!$D$42:$D$58,MATCH($C79,'Undirviðmiðalisti (Lýsigögn)'!$C$42:$C$58,0))),""),IFERROR(IF(INDEX('Undirviðmiðalisti (Lýsigögn)'!$D$6:$D$41,MATCH($C79,'Undirviðmiðalisti (Lýsigögn)'!$C$6:$C$41,0))="","",INDEX('Undirviðmiðalisti (Lýsigögn)'!$D$6:$D$41,MATCH($C79,'Undirviðmiðalisti (Lýsigögn)'!$C$6:$C$41,0))),IFERROR(IF(INDEX('Undirviðmiðalisti (Lýsigögn)'!$D$42:$D$58,MATCH($C79,'Undirviðmiðalisti (Lýsigögn)'!$C$42:$C$58,0))="","",INDEX('Undirviðmiðalisti (Lýsigögn)'!$D$42:$D$58,MATCH($C79,'Undirviðmiðalisti (Lýsigögn)'!$C$42:$C$58,0))),""))))</f>
        <v/>
      </c>
      <c r="E79" s="14"/>
      <c r="F79" s="23" t="str">
        <f aca="false">IF($C79="","",IF($G79="Einstaklingsbundið",IFERROR(IF(INDEX('Undirviðmiðalisti (Lýsigögn)'!$E$42:$E$58,MATCH($C79,'Undirviðmiðalisti (Lýsigögn)'!$C$42:$C$58,0))="","",INDEX('Undirviðmiðalisti (Lýsigögn)'!$E$42:$E$58,MATCH($C79,'Undirviðmiðalisti (Lýsigögn)'!$C$42:$C$58,0))),""),IFERROR(IF(INDEX('Undirviðmiðalisti (Lýsigögn)'!$E$6:$E$41,MATCH($C79,'Undirviðmiðalisti (Lýsigögn)'!$C$6:$C$41,0))="","",INDEX('Undirviðmiðalisti (Lýsigögn)'!$E$6:$E$41,MATCH($C79,'Undirviðmiðalisti (Lýsigögn)'!$C$6:$C$41,0))),IFERROR(IF(INDEX('Undirviðmiðalisti (Lýsigögn)'!$E$42:$E$58,MATCH($C79,'Undirviðmiðalisti (Lýsigögn)'!$C$42:$C$58,0))="","",INDEX('Undirviðmiðalisti (Lýsigögn)'!$E$42:$E$58,MATCH($C79,'Undirviðmiðalisti (Lýsigögn)'!$C$42:$C$58,0))),""))))</f>
        <v/>
      </c>
      <c r="G79" s="24" t="str">
        <f aca="false">IFERROR(IF(B79="","",INDEX(Viðmið!$B$6:$B$10,MATCH(B79,Viðmið!$C$6:$C$10,0))),"")</f>
        <v/>
      </c>
      <c r="H79" s="25" t="str">
        <f aca="false">IF(OR(E79="",F79=""),"",E79*KVARDI)</f>
        <v/>
      </c>
      <c r="I79" s="26" t="str">
        <f aca="false">IF(B79="","",IF(ROUND(SUMIF($B$6:$B$205,B79,$E$6:$E$205),4)=ROUND(IFERROR(INDEX(Viðmið!$E$6:$E$10,MATCH(B79,Viðmið!$C$6:$C$10,0)),-1),4),"✓","✗"))</f>
        <v/>
      </c>
      <c r="J79" s="16" t="str">
        <f aca="false">IF($C79="","",IF($G79="Einstaklingsbundið",IFERROR(IF(INDEX('Undirviðmiðalisti (Lýsigögn)'!F$42:F$58,MATCH($C79,'Undirviðmiðalisti (Lýsigögn)'!$C$42:$C$58,0))="","",INDEX('Undirviðmiðalisti (Lýsigögn)'!F$42:F$58,MATCH($C79,'Undirviðmiðalisti (Lýsigögn)'!$C$42:$C$58,0))),""),IFERROR(IF(INDEX('Undirviðmiðalisti (Lýsigögn)'!F$6:F$41,MATCH($C79,'Undirviðmiðalisti (Lýsigögn)'!$C$6:$C$41,0))="","",INDEX('Undirviðmiðalisti (Lýsigögn)'!F$6:F$41,MATCH($C79,'Undirviðmiðalisti (Lýsigögn)'!$C$6:$C$41,0))),IFERROR(IF(INDEX('Undirviðmiðalisti (Lýsigögn)'!F$42:F$58,MATCH($C79,'Undirviðmiðalisti (Lýsigögn)'!$C$42:$C$58,0))="","",INDEX('Undirviðmiðalisti (Lýsigögn)'!F$42:F$58,MATCH($C79,'Undirviðmiðalisti (Lýsigögn)'!$C$42:$C$58,0))),""))))</f>
        <v/>
      </c>
      <c r="K79" s="16" t="str">
        <f aca="false">IF($C79="","",IF($G79="Einstaklingsbundið",IFERROR(IF(INDEX('Undirviðmiðalisti (Lýsigögn)'!G$42:G$58,MATCH($C79,'Undirviðmiðalisti (Lýsigögn)'!$C$42:$C$58,0))="","",INDEX('Undirviðmiðalisti (Lýsigögn)'!G$42:G$58,MATCH($C79,'Undirviðmiðalisti (Lýsigögn)'!$C$42:$C$58,0))),""),IFERROR(IF(INDEX('Undirviðmiðalisti (Lýsigögn)'!G$6:G$41,MATCH($C79,'Undirviðmiðalisti (Lýsigögn)'!$C$6:$C$41,0))="","",INDEX('Undirviðmiðalisti (Lýsigögn)'!G$6:G$41,MATCH($C79,'Undirviðmiðalisti (Lýsigögn)'!$C$6:$C$41,0))),IFERROR(IF(INDEX('Undirviðmiðalisti (Lýsigögn)'!G$42:G$58,MATCH($C79,'Undirviðmiðalisti (Lýsigögn)'!$C$42:$C$58,0))="","",INDEX('Undirviðmiðalisti (Lýsigögn)'!G$42:G$58,MATCH($C79,'Undirviðmiðalisti (Lýsigögn)'!$C$42:$C$58,0))),""))))</f>
        <v/>
      </c>
      <c r="L79" s="16" t="str">
        <f aca="false">IF($C79="","",IF($G79="Einstaklingsbundið",IFERROR(IF(INDEX('Undirviðmiðalisti (Lýsigögn)'!H$42:H$58,MATCH($C79,'Undirviðmiðalisti (Lýsigögn)'!$C$42:$C$58,0))="","",INDEX('Undirviðmiðalisti (Lýsigögn)'!H$42:H$58,MATCH($C79,'Undirviðmiðalisti (Lýsigögn)'!$C$42:$C$58,0))),""),IFERROR(IF(INDEX('Undirviðmiðalisti (Lýsigögn)'!H$6:H$41,MATCH($C79,'Undirviðmiðalisti (Lýsigögn)'!$C$6:$C$41,0))="","",INDEX('Undirviðmiðalisti (Lýsigögn)'!H$6:H$41,MATCH($C79,'Undirviðmiðalisti (Lýsigögn)'!$C$6:$C$41,0))),IFERROR(IF(INDEX('Undirviðmiðalisti (Lýsigögn)'!H$42:H$58,MATCH($C79,'Undirviðmiðalisti (Lýsigögn)'!$C$42:$C$58,0))="","",INDEX('Undirviðmiðalisti (Lýsigögn)'!H$42:H$58,MATCH($C79,'Undirviðmiðalisti (Lýsigögn)'!$C$42:$C$58,0))),""))))</f>
        <v/>
      </c>
      <c r="M79" s="16" t="str">
        <f aca="false">IF($C79="","",IF($G79="Einstaklingsbundið",IFERROR(IF(INDEX('Undirviðmiðalisti (Lýsigögn)'!I$42:I$58,MATCH($C79,'Undirviðmiðalisti (Lýsigögn)'!$C$42:$C$58,0))="","",INDEX('Undirviðmiðalisti (Lýsigögn)'!I$42:I$58,MATCH($C79,'Undirviðmiðalisti (Lýsigögn)'!$C$42:$C$58,0))),""),IFERROR(IF(INDEX('Undirviðmiðalisti (Lýsigögn)'!I$6:I$41,MATCH($C79,'Undirviðmiðalisti (Lýsigögn)'!$C$6:$C$41,0))="","",INDEX('Undirviðmiðalisti (Lýsigögn)'!I$6:I$41,MATCH($C79,'Undirviðmiðalisti (Lýsigögn)'!$C$6:$C$41,0))),IFERROR(IF(INDEX('Undirviðmiðalisti (Lýsigögn)'!I$42:I$58,MATCH($C79,'Undirviðmiðalisti (Lýsigögn)'!$C$42:$C$58,0))="","",INDEX('Undirviðmiðalisti (Lýsigögn)'!I$42:I$58,MATCH($C79,'Undirviðmiðalisti (Lýsigögn)'!$C$42:$C$58,0))),""))))</f>
        <v/>
      </c>
      <c r="N79" s="16" t="str">
        <f aca="false">IF($C79="","",IF($G79="Einstaklingsbundið",IFERROR(IF(INDEX('Undirviðmiðalisti (Lýsigögn)'!J$42:J$58,MATCH($C79,'Undirviðmiðalisti (Lýsigögn)'!$C$42:$C$58,0))="","",INDEX('Undirviðmiðalisti (Lýsigögn)'!J$42:J$58,MATCH($C79,'Undirviðmiðalisti (Lýsigögn)'!$C$42:$C$58,0))),""),IFERROR(IF(INDEX('Undirviðmiðalisti (Lýsigögn)'!J$6:J$41,MATCH($C79,'Undirviðmiðalisti (Lýsigögn)'!$C$6:$C$41,0))="","",INDEX('Undirviðmiðalisti (Lýsigögn)'!J$6:J$41,MATCH($C79,'Undirviðmiðalisti (Lýsigögn)'!$C$6:$C$41,0))),IFERROR(IF(INDEX('Undirviðmiðalisti (Lýsigögn)'!J$42:J$58,MATCH($C79,'Undirviðmiðalisti (Lýsigögn)'!$C$42:$C$58,0))="","",INDEX('Undirviðmiðalisti (Lýsigögn)'!J$42:J$58,MATCH($C79,'Undirviðmiðalisti (Lýsigögn)'!$C$42:$C$58,0))),""))))</f>
        <v/>
      </c>
      <c r="O79" s="16" t="str">
        <f aca="false">IF($C79="","",IF($G79="Einstaklingsbundið",IFERROR(IF(INDEX('Undirviðmiðalisti (Lýsigögn)'!K$42:K$58,MATCH($C79,'Undirviðmiðalisti (Lýsigögn)'!$C$42:$C$58,0))="","",INDEX('Undirviðmiðalisti (Lýsigögn)'!K$42:K$58,MATCH($C79,'Undirviðmiðalisti (Lýsigögn)'!$C$42:$C$58,0))),""),IFERROR(IF(INDEX('Undirviðmiðalisti (Lýsigögn)'!K$6:K$41,MATCH($C79,'Undirviðmiðalisti (Lýsigögn)'!$C$6:$C$41,0))="","",INDEX('Undirviðmiðalisti (Lýsigögn)'!K$6:K$41,MATCH($C79,'Undirviðmiðalisti (Lýsigögn)'!$C$6:$C$41,0))),IFERROR(IF(INDEX('Undirviðmiðalisti (Lýsigögn)'!K$42:K$58,MATCH($C79,'Undirviðmiðalisti (Lýsigögn)'!$C$42:$C$58,0))="","",INDEX('Undirviðmiðalisti (Lýsigögn)'!K$42:K$58,MATCH($C79,'Undirviðmiðalisti (Lýsigögn)'!$C$42:$C$58,0))),""))))</f>
        <v/>
      </c>
      <c r="P79" s="16" t="str">
        <f aca="false">IF($C79="","",IF($G79="Einstaklingsbundið",IFERROR(IF(INDEX('Undirviðmiðalisti (Lýsigögn)'!L$42:L$58,MATCH($C79,'Undirviðmiðalisti (Lýsigögn)'!$C$42:$C$58,0))="","",INDEX('Undirviðmiðalisti (Lýsigögn)'!L$42:L$58,MATCH($C79,'Undirviðmiðalisti (Lýsigögn)'!$C$42:$C$58,0))),""),IFERROR(IF(INDEX('Undirviðmiðalisti (Lýsigögn)'!L$6:L$41,MATCH($C79,'Undirviðmiðalisti (Lýsigögn)'!$C$6:$C$41,0))="","",INDEX('Undirviðmiðalisti (Lýsigögn)'!L$6:L$41,MATCH($C79,'Undirviðmiðalisti (Lýsigögn)'!$C$6:$C$41,0))),IFERROR(IF(INDEX('Undirviðmiðalisti (Lýsigögn)'!L$42:L$58,MATCH($C79,'Undirviðmiðalisti (Lýsigögn)'!$C$42:$C$58,0))="","",INDEX('Undirviðmiðalisti (Lýsigögn)'!L$42:L$58,MATCH($C79,'Undirviðmiðalisti (Lýsigögn)'!$C$42:$C$58,0))),""))))</f>
        <v/>
      </c>
      <c r="Q79" s="16" t="str">
        <f aca="false">IF($C79="","",IF($G79="Einstaklingsbundið",IFERROR(IF(INDEX('Undirviðmiðalisti (Lýsigögn)'!M$42:M$58,MATCH($C79,'Undirviðmiðalisti (Lýsigögn)'!$C$42:$C$58,0))="","",INDEX('Undirviðmiðalisti (Lýsigögn)'!M$42:M$58,MATCH($C79,'Undirviðmiðalisti (Lýsigögn)'!$C$42:$C$58,0))),""),IFERROR(IF(INDEX('Undirviðmiðalisti (Lýsigögn)'!M$6:M$41,MATCH($C79,'Undirviðmiðalisti (Lýsigögn)'!$C$6:$C$41,0))="","",INDEX('Undirviðmiðalisti (Lýsigögn)'!M$6:M$41,MATCH($C79,'Undirviðmiðalisti (Lýsigögn)'!$C$6:$C$41,0))),IFERROR(IF(INDEX('Undirviðmiðalisti (Lýsigögn)'!M$42:M$58,MATCH($C79,'Undirviðmiðalisti (Lýsigögn)'!$C$42:$C$58,0))="","",INDEX('Undirviðmiðalisti (Lýsigögn)'!M$42:M$58,MATCH($C79,'Undirviðmiðalisti (Lýsigögn)'!$C$42:$C$58,0))),""))))</f>
        <v/>
      </c>
    </row>
    <row r="80" customFormat="false" ht="15" hidden="false" customHeight="true" outlineLevel="0" collapsed="false">
      <c r="A80" s="22" t="str">
        <f aca="false">IF($B80="","",ROW()-5)</f>
        <v/>
      </c>
      <c r="B80" s="15"/>
      <c r="C80" s="15"/>
      <c r="D80" s="16" t="str">
        <f aca="false">IF($C80="","",IF($G80="Einstaklingsbundið",IFERROR(IF(INDEX('Undirviðmiðalisti (Lýsigögn)'!$D$42:$D$58,MATCH($C80,'Undirviðmiðalisti (Lýsigögn)'!$C$42:$C$58,0))="","",INDEX('Undirviðmiðalisti (Lýsigögn)'!$D$42:$D$58,MATCH($C80,'Undirviðmiðalisti (Lýsigögn)'!$C$42:$C$58,0))),""),IFERROR(IF(INDEX('Undirviðmiðalisti (Lýsigögn)'!$D$6:$D$41,MATCH($C80,'Undirviðmiðalisti (Lýsigögn)'!$C$6:$C$41,0))="","",INDEX('Undirviðmiðalisti (Lýsigögn)'!$D$6:$D$41,MATCH($C80,'Undirviðmiðalisti (Lýsigögn)'!$C$6:$C$41,0))),IFERROR(IF(INDEX('Undirviðmiðalisti (Lýsigögn)'!$D$42:$D$58,MATCH($C80,'Undirviðmiðalisti (Lýsigögn)'!$C$42:$C$58,0))="","",INDEX('Undirviðmiðalisti (Lýsigögn)'!$D$42:$D$58,MATCH($C80,'Undirviðmiðalisti (Lýsigögn)'!$C$42:$C$58,0))),""))))</f>
        <v/>
      </c>
      <c r="E80" s="14"/>
      <c r="F80" s="23" t="str">
        <f aca="false">IF($C80="","",IF($G80="Einstaklingsbundið",IFERROR(IF(INDEX('Undirviðmiðalisti (Lýsigögn)'!$E$42:$E$58,MATCH($C80,'Undirviðmiðalisti (Lýsigögn)'!$C$42:$C$58,0))="","",INDEX('Undirviðmiðalisti (Lýsigögn)'!$E$42:$E$58,MATCH($C80,'Undirviðmiðalisti (Lýsigögn)'!$C$42:$C$58,0))),""),IFERROR(IF(INDEX('Undirviðmiðalisti (Lýsigögn)'!$E$6:$E$41,MATCH($C80,'Undirviðmiðalisti (Lýsigögn)'!$C$6:$C$41,0))="","",INDEX('Undirviðmiðalisti (Lýsigögn)'!$E$6:$E$41,MATCH($C80,'Undirviðmiðalisti (Lýsigögn)'!$C$6:$C$41,0))),IFERROR(IF(INDEX('Undirviðmiðalisti (Lýsigögn)'!$E$42:$E$58,MATCH($C80,'Undirviðmiðalisti (Lýsigögn)'!$C$42:$C$58,0))="","",INDEX('Undirviðmiðalisti (Lýsigögn)'!$E$42:$E$58,MATCH($C80,'Undirviðmiðalisti (Lýsigögn)'!$C$42:$C$58,0))),""))))</f>
        <v/>
      </c>
      <c r="G80" s="24" t="str">
        <f aca="false">IFERROR(IF(B80="","",INDEX(Viðmið!$B$6:$B$10,MATCH(B80,Viðmið!$C$6:$C$10,0))),"")</f>
        <v/>
      </c>
      <c r="H80" s="25" t="str">
        <f aca="false">IF(OR(E80="",F80=""),"",E80*KVARDI)</f>
        <v/>
      </c>
      <c r="I80" s="26" t="str">
        <f aca="false">IF(B80="","",IF(ROUND(SUMIF($B$6:$B$205,B80,$E$6:$E$205),4)=ROUND(IFERROR(INDEX(Viðmið!$E$6:$E$10,MATCH(B80,Viðmið!$C$6:$C$10,0)),-1),4),"✓","✗"))</f>
        <v/>
      </c>
      <c r="J80" s="16" t="str">
        <f aca="false">IF($C80="","",IF($G80="Einstaklingsbundið",IFERROR(IF(INDEX('Undirviðmiðalisti (Lýsigögn)'!F$42:F$58,MATCH($C80,'Undirviðmiðalisti (Lýsigögn)'!$C$42:$C$58,0))="","",INDEX('Undirviðmiðalisti (Lýsigögn)'!F$42:F$58,MATCH($C80,'Undirviðmiðalisti (Lýsigögn)'!$C$42:$C$58,0))),""),IFERROR(IF(INDEX('Undirviðmiðalisti (Lýsigögn)'!F$6:F$41,MATCH($C80,'Undirviðmiðalisti (Lýsigögn)'!$C$6:$C$41,0))="","",INDEX('Undirviðmiðalisti (Lýsigögn)'!F$6:F$41,MATCH($C80,'Undirviðmiðalisti (Lýsigögn)'!$C$6:$C$41,0))),IFERROR(IF(INDEX('Undirviðmiðalisti (Lýsigögn)'!F$42:F$58,MATCH($C80,'Undirviðmiðalisti (Lýsigögn)'!$C$42:$C$58,0))="","",INDEX('Undirviðmiðalisti (Lýsigögn)'!F$42:F$58,MATCH($C80,'Undirviðmiðalisti (Lýsigögn)'!$C$42:$C$58,0))),""))))</f>
        <v/>
      </c>
      <c r="K80" s="16" t="str">
        <f aca="false">IF($C80="","",IF($G80="Einstaklingsbundið",IFERROR(IF(INDEX('Undirviðmiðalisti (Lýsigögn)'!G$42:G$58,MATCH($C80,'Undirviðmiðalisti (Lýsigögn)'!$C$42:$C$58,0))="","",INDEX('Undirviðmiðalisti (Lýsigögn)'!G$42:G$58,MATCH($C80,'Undirviðmiðalisti (Lýsigögn)'!$C$42:$C$58,0))),""),IFERROR(IF(INDEX('Undirviðmiðalisti (Lýsigögn)'!G$6:G$41,MATCH($C80,'Undirviðmiðalisti (Lýsigögn)'!$C$6:$C$41,0))="","",INDEX('Undirviðmiðalisti (Lýsigögn)'!G$6:G$41,MATCH($C80,'Undirviðmiðalisti (Lýsigögn)'!$C$6:$C$41,0))),IFERROR(IF(INDEX('Undirviðmiðalisti (Lýsigögn)'!G$42:G$58,MATCH($C80,'Undirviðmiðalisti (Lýsigögn)'!$C$42:$C$58,0))="","",INDEX('Undirviðmiðalisti (Lýsigögn)'!G$42:G$58,MATCH($C80,'Undirviðmiðalisti (Lýsigögn)'!$C$42:$C$58,0))),""))))</f>
        <v/>
      </c>
      <c r="L80" s="16" t="str">
        <f aca="false">IF($C80="","",IF($G80="Einstaklingsbundið",IFERROR(IF(INDEX('Undirviðmiðalisti (Lýsigögn)'!H$42:H$58,MATCH($C80,'Undirviðmiðalisti (Lýsigögn)'!$C$42:$C$58,0))="","",INDEX('Undirviðmiðalisti (Lýsigögn)'!H$42:H$58,MATCH($C80,'Undirviðmiðalisti (Lýsigögn)'!$C$42:$C$58,0))),""),IFERROR(IF(INDEX('Undirviðmiðalisti (Lýsigögn)'!H$6:H$41,MATCH($C80,'Undirviðmiðalisti (Lýsigögn)'!$C$6:$C$41,0))="","",INDEX('Undirviðmiðalisti (Lýsigögn)'!H$6:H$41,MATCH($C80,'Undirviðmiðalisti (Lýsigögn)'!$C$6:$C$41,0))),IFERROR(IF(INDEX('Undirviðmiðalisti (Lýsigögn)'!H$42:H$58,MATCH($C80,'Undirviðmiðalisti (Lýsigögn)'!$C$42:$C$58,0))="","",INDEX('Undirviðmiðalisti (Lýsigögn)'!H$42:H$58,MATCH($C80,'Undirviðmiðalisti (Lýsigögn)'!$C$42:$C$58,0))),""))))</f>
        <v/>
      </c>
      <c r="M80" s="16" t="str">
        <f aca="false">IF($C80="","",IF($G80="Einstaklingsbundið",IFERROR(IF(INDEX('Undirviðmiðalisti (Lýsigögn)'!I$42:I$58,MATCH($C80,'Undirviðmiðalisti (Lýsigögn)'!$C$42:$C$58,0))="","",INDEX('Undirviðmiðalisti (Lýsigögn)'!I$42:I$58,MATCH($C80,'Undirviðmiðalisti (Lýsigögn)'!$C$42:$C$58,0))),""),IFERROR(IF(INDEX('Undirviðmiðalisti (Lýsigögn)'!I$6:I$41,MATCH($C80,'Undirviðmiðalisti (Lýsigögn)'!$C$6:$C$41,0))="","",INDEX('Undirviðmiðalisti (Lýsigögn)'!I$6:I$41,MATCH($C80,'Undirviðmiðalisti (Lýsigögn)'!$C$6:$C$41,0))),IFERROR(IF(INDEX('Undirviðmiðalisti (Lýsigögn)'!I$42:I$58,MATCH($C80,'Undirviðmiðalisti (Lýsigögn)'!$C$42:$C$58,0))="","",INDEX('Undirviðmiðalisti (Lýsigögn)'!I$42:I$58,MATCH($C80,'Undirviðmiðalisti (Lýsigögn)'!$C$42:$C$58,0))),""))))</f>
        <v/>
      </c>
      <c r="N80" s="16" t="str">
        <f aca="false">IF($C80="","",IF($G80="Einstaklingsbundið",IFERROR(IF(INDEX('Undirviðmiðalisti (Lýsigögn)'!J$42:J$58,MATCH($C80,'Undirviðmiðalisti (Lýsigögn)'!$C$42:$C$58,0))="","",INDEX('Undirviðmiðalisti (Lýsigögn)'!J$42:J$58,MATCH($C80,'Undirviðmiðalisti (Lýsigögn)'!$C$42:$C$58,0))),""),IFERROR(IF(INDEX('Undirviðmiðalisti (Lýsigögn)'!J$6:J$41,MATCH($C80,'Undirviðmiðalisti (Lýsigögn)'!$C$6:$C$41,0))="","",INDEX('Undirviðmiðalisti (Lýsigögn)'!J$6:J$41,MATCH($C80,'Undirviðmiðalisti (Lýsigögn)'!$C$6:$C$41,0))),IFERROR(IF(INDEX('Undirviðmiðalisti (Lýsigögn)'!J$42:J$58,MATCH($C80,'Undirviðmiðalisti (Lýsigögn)'!$C$42:$C$58,0))="","",INDEX('Undirviðmiðalisti (Lýsigögn)'!J$42:J$58,MATCH($C80,'Undirviðmiðalisti (Lýsigögn)'!$C$42:$C$58,0))),""))))</f>
        <v/>
      </c>
      <c r="O80" s="16" t="str">
        <f aca="false">IF($C80="","",IF($G80="Einstaklingsbundið",IFERROR(IF(INDEX('Undirviðmiðalisti (Lýsigögn)'!K$42:K$58,MATCH($C80,'Undirviðmiðalisti (Lýsigögn)'!$C$42:$C$58,0))="","",INDEX('Undirviðmiðalisti (Lýsigögn)'!K$42:K$58,MATCH($C80,'Undirviðmiðalisti (Lýsigögn)'!$C$42:$C$58,0))),""),IFERROR(IF(INDEX('Undirviðmiðalisti (Lýsigögn)'!K$6:K$41,MATCH($C80,'Undirviðmiðalisti (Lýsigögn)'!$C$6:$C$41,0))="","",INDEX('Undirviðmiðalisti (Lýsigögn)'!K$6:K$41,MATCH($C80,'Undirviðmiðalisti (Lýsigögn)'!$C$6:$C$41,0))),IFERROR(IF(INDEX('Undirviðmiðalisti (Lýsigögn)'!K$42:K$58,MATCH($C80,'Undirviðmiðalisti (Lýsigögn)'!$C$42:$C$58,0))="","",INDEX('Undirviðmiðalisti (Lýsigögn)'!K$42:K$58,MATCH($C80,'Undirviðmiðalisti (Lýsigögn)'!$C$42:$C$58,0))),""))))</f>
        <v/>
      </c>
      <c r="P80" s="16" t="str">
        <f aca="false">IF($C80="","",IF($G80="Einstaklingsbundið",IFERROR(IF(INDEX('Undirviðmiðalisti (Lýsigögn)'!L$42:L$58,MATCH($C80,'Undirviðmiðalisti (Lýsigögn)'!$C$42:$C$58,0))="","",INDEX('Undirviðmiðalisti (Lýsigögn)'!L$42:L$58,MATCH($C80,'Undirviðmiðalisti (Lýsigögn)'!$C$42:$C$58,0))),""),IFERROR(IF(INDEX('Undirviðmiðalisti (Lýsigögn)'!L$6:L$41,MATCH($C80,'Undirviðmiðalisti (Lýsigögn)'!$C$6:$C$41,0))="","",INDEX('Undirviðmiðalisti (Lýsigögn)'!L$6:L$41,MATCH($C80,'Undirviðmiðalisti (Lýsigögn)'!$C$6:$C$41,0))),IFERROR(IF(INDEX('Undirviðmiðalisti (Lýsigögn)'!L$42:L$58,MATCH($C80,'Undirviðmiðalisti (Lýsigögn)'!$C$42:$C$58,0))="","",INDEX('Undirviðmiðalisti (Lýsigögn)'!L$42:L$58,MATCH($C80,'Undirviðmiðalisti (Lýsigögn)'!$C$42:$C$58,0))),""))))</f>
        <v/>
      </c>
      <c r="Q80" s="16" t="str">
        <f aca="false">IF($C80="","",IF($G80="Einstaklingsbundið",IFERROR(IF(INDEX('Undirviðmiðalisti (Lýsigögn)'!M$42:M$58,MATCH($C80,'Undirviðmiðalisti (Lýsigögn)'!$C$42:$C$58,0))="","",INDEX('Undirviðmiðalisti (Lýsigögn)'!M$42:M$58,MATCH($C80,'Undirviðmiðalisti (Lýsigögn)'!$C$42:$C$58,0))),""),IFERROR(IF(INDEX('Undirviðmiðalisti (Lýsigögn)'!M$6:M$41,MATCH($C80,'Undirviðmiðalisti (Lýsigögn)'!$C$6:$C$41,0))="","",INDEX('Undirviðmiðalisti (Lýsigögn)'!M$6:M$41,MATCH($C80,'Undirviðmiðalisti (Lýsigögn)'!$C$6:$C$41,0))),IFERROR(IF(INDEX('Undirviðmiðalisti (Lýsigögn)'!M$42:M$58,MATCH($C80,'Undirviðmiðalisti (Lýsigögn)'!$C$42:$C$58,0))="","",INDEX('Undirviðmiðalisti (Lýsigögn)'!M$42:M$58,MATCH($C80,'Undirviðmiðalisti (Lýsigögn)'!$C$42:$C$58,0))),""))))</f>
        <v/>
      </c>
    </row>
    <row r="81" customFormat="false" ht="15" hidden="false" customHeight="true" outlineLevel="0" collapsed="false">
      <c r="A81" s="22" t="str">
        <f aca="false">IF($B81="","",ROW()-5)</f>
        <v/>
      </c>
      <c r="B81" s="15"/>
      <c r="C81" s="15"/>
      <c r="D81" s="16" t="str">
        <f aca="false">IF($C81="","",IF($G81="Einstaklingsbundið",IFERROR(IF(INDEX('Undirviðmiðalisti (Lýsigögn)'!$D$42:$D$58,MATCH($C81,'Undirviðmiðalisti (Lýsigögn)'!$C$42:$C$58,0))="","",INDEX('Undirviðmiðalisti (Lýsigögn)'!$D$42:$D$58,MATCH($C81,'Undirviðmiðalisti (Lýsigögn)'!$C$42:$C$58,0))),""),IFERROR(IF(INDEX('Undirviðmiðalisti (Lýsigögn)'!$D$6:$D$41,MATCH($C81,'Undirviðmiðalisti (Lýsigögn)'!$C$6:$C$41,0))="","",INDEX('Undirviðmiðalisti (Lýsigögn)'!$D$6:$D$41,MATCH($C81,'Undirviðmiðalisti (Lýsigögn)'!$C$6:$C$41,0))),IFERROR(IF(INDEX('Undirviðmiðalisti (Lýsigögn)'!$D$42:$D$58,MATCH($C81,'Undirviðmiðalisti (Lýsigögn)'!$C$42:$C$58,0))="","",INDEX('Undirviðmiðalisti (Lýsigögn)'!$D$42:$D$58,MATCH($C81,'Undirviðmiðalisti (Lýsigögn)'!$C$42:$C$58,0))),""))))</f>
        <v/>
      </c>
      <c r="E81" s="14"/>
      <c r="F81" s="23" t="str">
        <f aca="false">IF($C81="","",IF($G81="Einstaklingsbundið",IFERROR(IF(INDEX('Undirviðmiðalisti (Lýsigögn)'!$E$42:$E$58,MATCH($C81,'Undirviðmiðalisti (Lýsigögn)'!$C$42:$C$58,0))="","",INDEX('Undirviðmiðalisti (Lýsigögn)'!$E$42:$E$58,MATCH($C81,'Undirviðmiðalisti (Lýsigögn)'!$C$42:$C$58,0))),""),IFERROR(IF(INDEX('Undirviðmiðalisti (Lýsigögn)'!$E$6:$E$41,MATCH($C81,'Undirviðmiðalisti (Lýsigögn)'!$C$6:$C$41,0))="","",INDEX('Undirviðmiðalisti (Lýsigögn)'!$E$6:$E$41,MATCH($C81,'Undirviðmiðalisti (Lýsigögn)'!$C$6:$C$41,0))),IFERROR(IF(INDEX('Undirviðmiðalisti (Lýsigögn)'!$E$42:$E$58,MATCH($C81,'Undirviðmiðalisti (Lýsigögn)'!$C$42:$C$58,0))="","",INDEX('Undirviðmiðalisti (Lýsigögn)'!$E$42:$E$58,MATCH($C81,'Undirviðmiðalisti (Lýsigögn)'!$C$42:$C$58,0))),""))))</f>
        <v/>
      </c>
      <c r="G81" s="24" t="str">
        <f aca="false">IFERROR(IF(B81="","",INDEX(Viðmið!$B$6:$B$10,MATCH(B81,Viðmið!$C$6:$C$10,0))),"")</f>
        <v/>
      </c>
      <c r="H81" s="25" t="str">
        <f aca="false">IF(OR(E81="",F81=""),"",E81*KVARDI)</f>
        <v/>
      </c>
      <c r="I81" s="26" t="str">
        <f aca="false">IF(B81="","",IF(ROUND(SUMIF($B$6:$B$205,B81,$E$6:$E$205),4)=ROUND(IFERROR(INDEX(Viðmið!$E$6:$E$10,MATCH(B81,Viðmið!$C$6:$C$10,0)),-1),4),"✓","✗"))</f>
        <v/>
      </c>
      <c r="J81" s="16" t="str">
        <f aca="false">IF($C81="","",IF($G81="Einstaklingsbundið",IFERROR(IF(INDEX('Undirviðmiðalisti (Lýsigögn)'!F$42:F$58,MATCH($C81,'Undirviðmiðalisti (Lýsigögn)'!$C$42:$C$58,0))="","",INDEX('Undirviðmiðalisti (Lýsigögn)'!F$42:F$58,MATCH($C81,'Undirviðmiðalisti (Lýsigögn)'!$C$42:$C$58,0))),""),IFERROR(IF(INDEX('Undirviðmiðalisti (Lýsigögn)'!F$6:F$41,MATCH($C81,'Undirviðmiðalisti (Lýsigögn)'!$C$6:$C$41,0))="","",INDEX('Undirviðmiðalisti (Lýsigögn)'!F$6:F$41,MATCH($C81,'Undirviðmiðalisti (Lýsigögn)'!$C$6:$C$41,0))),IFERROR(IF(INDEX('Undirviðmiðalisti (Lýsigögn)'!F$42:F$58,MATCH($C81,'Undirviðmiðalisti (Lýsigögn)'!$C$42:$C$58,0))="","",INDEX('Undirviðmiðalisti (Lýsigögn)'!F$42:F$58,MATCH($C81,'Undirviðmiðalisti (Lýsigögn)'!$C$42:$C$58,0))),""))))</f>
        <v/>
      </c>
      <c r="K81" s="16" t="str">
        <f aca="false">IF($C81="","",IF($G81="Einstaklingsbundið",IFERROR(IF(INDEX('Undirviðmiðalisti (Lýsigögn)'!G$42:G$58,MATCH($C81,'Undirviðmiðalisti (Lýsigögn)'!$C$42:$C$58,0))="","",INDEX('Undirviðmiðalisti (Lýsigögn)'!G$42:G$58,MATCH($C81,'Undirviðmiðalisti (Lýsigögn)'!$C$42:$C$58,0))),""),IFERROR(IF(INDEX('Undirviðmiðalisti (Lýsigögn)'!G$6:G$41,MATCH($C81,'Undirviðmiðalisti (Lýsigögn)'!$C$6:$C$41,0))="","",INDEX('Undirviðmiðalisti (Lýsigögn)'!G$6:G$41,MATCH($C81,'Undirviðmiðalisti (Lýsigögn)'!$C$6:$C$41,0))),IFERROR(IF(INDEX('Undirviðmiðalisti (Lýsigögn)'!G$42:G$58,MATCH($C81,'Undirviðmiðalisti (Lýsigögn)'!$C$42:$C$58,0))="","",INDEX('Undirviðmiðalisti (Lýsigögn)'!G$42:G$58,MATCH($C81,'Undirviðmiðalisti (Lýsigögn)'!$C$42:$C$58,0))),""))))</f>
        <v/>
      </c>
      <c r="L81" s="16" t="str">
        <f aca="false">IF($C81="","",IF($G81="Einstaklingsbundið",IFERROR(IF(INDEX('Undirviðmiðalisti (Lýsigögn)'!H$42:H$58,MATCH($C81,'Undirviðmiðalisti (Lýsigögn)'!$C$42:$C$58,0))="","",INDEX('Undirviðmiðalisti (Lýsigögn)'!H$42:H$58,MATCH($C81,'Undirviðmiðalisti (Lýsigögn)'!$C$42:$C$58,0))),""),IFERROR(IF(INDEX('Undirviðmiðalisti (Lýsigögn)'!H$6:H$41,MATCH($C81,'Undirviðmiðalisti (Lýsigögn)'!$C$6:$C$41,0))="","",INDEX('Undirviðmiðalisti (Lýsigögn)'!H$6:H$41,MATCH($C81,'Undirviðmiðalisti (Lýsigögn)'!$C$6:$C$41,0))),IFERROR(IF(INDEX('Undirviðmiðalisti (Lýsigögn)'!H$42:H$58,MATCH($C81,'Undirviðmiðalisti (Lýsigögn)'!$C$42:$C$58,0))="","",INDEX('Undirviðmiðalisti (Lýsigögn)'!H$42:H$58,MATCH($C81,'Undirviðmiðalisti (Lýsigögn)'!$C$42:$C$58,0))),""))))</f>
        <v/>
      </c>
      <c r="M81" s="16" t="str">
        <f aca="false">IF($C81="","",IF($G81="Einstaklingsbundið",IFERROR(IF(INDEX('Undirviðmiðalisti (Lýsigögn)'!I$42:I$58,MATCH($C81,'Undirviðmiðalisti (Lýsigögn)'!$C$42:$C$58,0))="","",INDEX('Undirviðmiðalisti (Lýsigögn)'!I$42:I$58,MATCH($C81,'Undirviðmiðalisti (Lýsigögn)'!$C$42:$C$58,0))),""),IFERROR(IF(INDEX('Undirviðmiðalisti (Lýsigögn)'!I$6:I$41,MATCH($C81,'Undirviðmiðalisti (Lýsigögn)'!$C$6:$C$41,0))="","",INDEX('Undirviðmiðalisti (Lýsigögn)'!I$6:I$41,MATCH($C81,'Undirviðmiðalisti (Lýsigögn)'!$C$6:$C$41,0))),IFERROR(IF(INDEX('Undirviðmiðalisti (Lýsigögn)'!I$42:I$58,MATCH($C81,'Undirviðmiðalisti (Lýsigögn)'!$C$42:$C$58,0))="","",INDEX('Undirviðmiðalisti (Lýsigögn)'!I$42:I$58,MATCH($C81,'Undirviðmiðalisti (Lýsigögn)'!$C$42:$C$58,0))),""))))</f>
        <v/>
      </c>
      <c r="N81" s="16" t="str">
        <f aca="false">IF($C81="","",IF($G81="Einstaklingsbundið",IFERROR(IF(INDEX('Undirviðmiðalisti (Lýsigögn)'!J$42:J$58,MATCH($C81,'Undirviðmiðalisti (Lýsigögn)'!$C$42:$C$58,0))="","",INDEX('Undirviðmiðalisti (Lýsigögn)'!J$42:J$58,MATCH($C81,'Undirviðmiðalisti (Lýsigögn)'!$C$42:$C$58,0))),""),IFERROR(IF(INDEX('Undirviðmiðalisti (Lýsigögn)'!J$6:J$41,MATCH($C81,'Undirviðmiðalisti (Lýsigögn)'!$C$6:$C$41,0))="","",INDEX('Undirviðmiðalisti (Lýsigögn)'!J$6:J$41,MATCH($C81,'Undirviðmiðalisti (Lýsigögn)'!$C$6:$C$41,0))),IFERROR(IF(INDEX('Undirviðmiðalisti (Lýsigögn)'!J$42:J$58,MATCH($C81,'Undirviðmiðalisti (Lýsigögn)'!$C$42:$C$58,0))="","",INDEX('Undirviðmiðalisti (Lýsigögn)'!J$42:J$58,MATCH($C81,'Undirviðmiðalisti (Lýsigögn)'!$C$42:$C$58,0))),""))))</f>
        <v/>
      </c>
      <c r="O81" s="16" t="str">
        <f aca="false">IF($C81="","",IF($G81="Einstaklingsbundið",IFERROR(IF(INDEX('Undirviðmiðalisti (Lýsigögn)'!K$42:K$58,MATCH($C81,'Undirviðmiðalisti (Lýsigögn)'!$C$42:$C$58,0))="","",INDEX('Undirviðmiðalisti (Lýsigögn)'!K$42:K$58,MATCH($C81,'Undirviðmiðalisti (Lýsigögn)'!$C$42:$C$58,0))),""),IFERROR(IF(INDEX('Undirviðmiðalisti (Lýsigögn)'!K$6:K$41,MATCH($C81,'Undirviðmiðalisti (Lýsigögn)'!$C$6:$C$41,0))="","",INDEX('Undirviðmiðalisti (Lýsigögn)'!K$6:K$41,MATCH($C81,'Undirviðmiðalisti (Lýsigögn)'!$C$6:$C$41,0))),IFERROR(IF(INDEX('Undirviðmiðalisti (Lýsigögn)'!K$42:K$58,MATCH($C81,'Undirviðmiðalisti (Lýsigögn)'!$C$42:$C$58,0))="","",INDEX('Undirviðmiðalisti (Lýsigögn)'!K$42:K$58,MATCH($C81,'Undirviðmiðalisti (Lýsigögn)'!$C$42:$C$58,0))),""))))</f>
        <v/>
      </c>
      <c r="P81" s="16" t="str">
        <f aca="false">IF($C81="","",IF($G81="Einstaklingsbundið",IFERROR(IF(INDEX('Undirviðmiðalisti (Lýsigögn)'!L$42:L$58,MATCH($C81,'Undirviðmiðalisti (Lýsigögn)'!$C$42:$C$58,0))="","",INDEX('Undirviðmiðalisti (Lýsigögn)'!L$42:L$58,MATCH($C81,'Undirviðmiðalisti (Lýsigögn)'!$C$42:$C$58,0))),""),IFERROR(IF(INDEX('Undirviðmiðalisti (Lýsigögn)'!L$6:L$41,MATCH($C81,'Undirviðmiðalisti (Lýsigögn)'!$C$6:$C$41,0))="","",INDEX('Undirviðmiðalisti (Lýsigögn)'!L$6:L$41,MATCH($C81,'Undirviðmiðalisti (Lýsigögn)'!$C$6:$C$41,0))),IFERROR(IF(INDEX('Undirviðmiðalisti (Lýsigögn)'!L$42:L$58,MATCH($C81,'Undirviðmiðalisti (Lýsigögn)'!$C$42:$C$58,0))="","",INDEX('Undirviðmiðalisti (Lýsigögn)'!L$42:L$58,MATCH($C81,'Undirviðmiðalisti (Lýsigögn)'!$C$42:$C$58,0))),""))))</f>
        <v/>
      </c>
      <c r="Q81" s="16" t="str">
        <f aca="false">IF($C81="","",IF($G81="Einstaklingsbundið",IFERROR(IF(INDEX('Undirviðmiðalisti (Lýsigögn)'!M$42:M$58,MATCH($C81,'Undirviðmiðalisti (Lýsigögn)'!$C$42:$C$58,0))="","",INDEX('Undirviðmiðalisti (Lýsigögn)'!M$42:M$58,MATCH($C81,'Undirviðmiðalisti (Lýsigögn)'!$C$42:$C$58,0))),""),IFERROR(IF(INDEX('Undirviðmiðalisti (Lýsigögn)'!M$6:M$41,MATCH($C81,'Undirviðmiðalisti (Lýsigögn)'!$C$6:$C$41,0))="","",INDEX('Undirviðmiðalisti (Lýsigögn)'!M$6:M$41,MATCH($C81,'Undirviðmiðalisti (Lýsigögn)'!$C$6:$C$41,0))),IFERROR(IF(INDEX('Undirviðmiðalisti (Lýsigögn)'!M$42:M$58,MATCH($C81,'Undirviðmiðalisti (Lýsigögn)'!$C$42:$C$58,0))="","",INDEX('Undirviðmiðalisti (Lýsigögn)'!M$42:M$58,MATCH($C81,'Undirviðmiðalisti (Lýsigögn)'!$C$42:$C$58,0))),""))))</f>
        <v/>
      </c>
    </row>
    <row r="82" customFormat="false" ht="15" hidden="false" customHeight="true" outlineLevel="0" collapsed="false">
      <c r="A82" s="22" t="str">
        <f aca="false">IF($B82="","",ROW()-5)</f>
        <v/>
      </c>
      <c r="B82" s="15"/>
      <c r="C82" s="15"/>
      <c r="D82" s="16" t="str">
        <f aca="false">IF($C82="","",IF($G82="Einstaklingsbundið",IFERROR(IF(INDEX('Undirviðmiðalisti (Lýsigögn)'!$D$42:$D$58,MATCH($C82,'Undirviðmiðalisti (Lýsigögn)'!$C$42:$C$58,0))="","",INDEX('Undirviðmiðalisti (Lýsigögn)'!$D$42:$D$58,MATCH($C82,'Undirviðmiðalisti (Lýsigögn)'!$C$42:$C$58,0))),""),IFERROR(IF(INDEX('Undirviðmiðalisti (Lýsigögn)'!$D$6:$D$41,MATCH($C82,'Undirviðmiðalisti (Lýsigögn)'!$C$6:$C$41,0))="","",INDEX('Undirviðmiðalisti (Lýsigögn)'!$D$6:$D$41,MATCH($C82,'Undirviðmiðalisti (Lýsigögn)'!$C$6:$C$41,0))),IFERROR(IF(INDEX('Undirviðmiðalisti (Lýsigögn)'!$D$42:$D$58,MATCH($C82,'Undirviðmiðalisti (Lýsigögn)'!$C$42:$C$58,0))="","",INDEX('Undirviðmiðalisti (Lýsigögn)'!$D$42:$D$58,MATCH($C82,'Undirviðmiðalisti (Lýsigögn)'!$C$42:$C$58,0))),""))))</f>
        <v/>
      </c>
      <c r="E82" s="14"/>
      <c r="F82" s="23" t="str">
        <f aca="false">IF($C82="","",IF($G82="Einstaklingsbundið",IFERROR(IF(INDEX('Undirviðmiðalisti (Lýsigögn)'!$E$42:$E$58,MATCH($C82,'Undirviðmiðalisti (Lýsigögn)'!$C$42:$C$58,0))="","",INDEX('Undirviðmiðalisti (Lýsigögn)'!$E$42:$E$58,MATCH($C82,'Undirviðmiðalisti (Lýsigögn)'!$C$42:$C$58,0))),""),IFERROR(IF(INDEX('Undirviðmiðalisti (Lýsigögn)'!$E$6:$E$41,MATCH($C82,'Undirviðmiðalisti (Lýsigögn)'!$C$6:$C$41,0))="","",INDEX('Undirviðmiðalisti (Lýsigögn)'!$E$6:$E$41,MATCH($C82,'Undirviðmiðalisti (Lýsigögn)'!$C$6:$C$41,0))),IFERROR(IF(INDEX('Undirviðmiðalisti (Lýsigögn)'!$E$42:$E$58,MATCH($C82,'Undirviðmiðalisti (Lýsigögn)'!$C$42:$C$58,0))="","",INDEX('Undirviðmiðalisti (Lýsigögn)'!$E$42:$E$58,MATCH($C82,'Undirviðmiðalisti (Lýsigögn)'!$C$42:$C$58,0))),""))))</f>
        <v/>
      </c>
      <c r="G82" s="24" t="str">
        <f aca="false">IFERROR(IF(B82="","",INDEX(Viðmið!$B$6:$B$10,MATCH(B82,Viðmið!$C$6:$C$10,0))),"")</f>
        <v/>
      </c>
      <c r="H82" s="25" t="str">
        <f aca="false">IF(OR(E82="",F82=""),"",E82*KVARDI)</f>
        <v/>
      </c>
      <c r="I82" s="26" t="str">
        <f aca="false">IF(B82="","",IF(ROUND(SUMIF($B$6:$B$205,B82,$E$6:$E$205),4)=ROUND(IFERROR(INDEX(Viðmið!$E$6:$E$10,MATCH(B82,Viðmið!$C$6:$C$10,0)),-1),4),"✓","✗"))</f>
        <v/>
      </c>
      <c r="J82" s="16" t="str">
        <f aca="false">IF($C82="","",IF($G82="Einstaklingsbundið",IFERROR(IF(INDEX('Undirviðmiðalisti (Lýsigögn)'!F$42:F$58,MATCH($C82,'Undirviðmiðalisti (Lýsigögn)'!$C$42:$C$58,0))="","",INDEX('Undirviðmiðalisti (Lýsigögn)'!F$42:F$58,MATCH($C82,'Undirviðmiðalisti (Lýsigögn)'!$C$42:$C$58,0))),""),IFERROR(IF(INDEX('Undirviðmiðalisti (Lýsigögn)'!F$6:F$41,MATCH($C82,'Undirviðmiðalisti (Lýsigögn)'!$C$6:$C$41,0))="","",INDEX('Undirviðmiðalisti (Lýsigögn)'!F$6:F$41,MATCH($C82,'Undirviðmiðalisti (Lýsigögn)'!$C$6:$C$41,0))),IFERROR(IF(INDEX('Undirviðmiðalisti (Lýsigögn)'!F$42:F$58,MATCH($C82,'Undirviðmiðalisti (Lýsigögn)'!$C$42:$C$58,0))="","",INDEX('Undirviðmiðalisti (Lýsigögn)'!F$42:F$58,MATCH($C82,'Undirviðmiðalisti (Lýsigögn)'!$C$42:$C$58,0))),""))))</f>
        <v/>
      </c>
      <c r="K82" s="16" t="str">
        <f aca="false">IF($C82="","",IF($G82="Einstaklingsbundið",IFERROR(IF(INDEX('Undirviðmiðalisti (Lýsigögn)'!G$42:G$58,MATCH($C82,'Undirviðmiðalisti (Lýsigögn)'!$C$42:$C$58,0))="","",INDEX('Undirviðmiðalisti (Lýsigögn)'!G$42:G$58,MATCH($C82,'Undirviðmiðalisti (Lýsigögn)'!$C$42:$C$58,0))),""),IFERROR(IF(INDEX('Undirviðmiðalisti (Lýsigögn)'!G$6:G$41,MATCH($C82,'Undirviðmiðalisti (Lýsigögn)'!$C$6:$C$41,0))="","",INDEX('Undirviðmiðalisti (Lýsigögn)'!G$6:G$41,MATCH($C82,'Undirviðmiðalisti (Lýsigögn)'!$C$6:$C$41,0))),IFERROR(IF(INDEX('Undirviðmiðalisti (Lýsigögn)'!G$42:G$58,MATCH($C82,'Undirviðmiðalisti (Lýsigögn)'!$C$42:$C$58,0))="","",INDEX('Undirviðmiðalisti (Lýsigögn)'!G$42:G$58,MATCH($C82,'Undirviðmiðalisti (Lýsigögn)'!$C$42:$C$58,0))),""))))</f>
        <v/>
      </c>
      <c r="L82" s="16" t="str">
        <f aca="false">IF($C82="","",IF($G82="Einstaklingsbundið",IFERROR(IF(INDEX('Undirviðmiðalisti (Lýsigögn)'!H$42:H$58,MATCH($C82,'Undirviðmiðalisti (Lýsigögn)'!$C$42:$C$58,0))="","",INDEX('Undirviðmiðalisti (Lýsigögn)'!H$42:H$58,MATCH($C82,'Undirviðmiðalisti (Lýsigögn)'!$C$42:$C$58,0))),""),IFERROR(IF(INDEX('Undirviðmiðalisti (Lýsigögn)'!H$6:H$41,MATCH($C82,'Undirviðmiðalisti (Lýsigögn)'!$C$6:$C$41,0))="","",INDEX('Undirviðmiðalisti (Lýsigögn)'!H$6:H$41,MATCH($C82,'Undirviðmiðalisti (Lýsigögn)'!$C$6:$C$41,0))),IFERROR(IF(INDEX('Undirviðmiðalisti (Lýsigögn)'!H$42:H$58,MATCH($C82,'Undirviðmiðalisti (Lýsigögn)'!$C$42:$C$58,0))="","",INDEX('Undirviðmiðalisti (Lýsigögn)'!H$42:H$58,MATCH($C82,'Undirviðmiðalisti (Lýsigögn)'!$C$42:$C$58,0))),""))))</f>
        <v/>
      </c>
      <c r="M82" s="16" t="str">
        <f aca="false">IF($C82="","",IF($G82="Einstaklingsbundið",IFERROR(IF(INDEX('Undirviðmiðalisti (Lýsigögn)'!I$42:I$58,MATCH($C82,'Undirviðmiðalisti (Lýsigögn)'!$C$42:$C$58,0))="","",INDEX('Undirviðmiðalisti (Lýsigögn)'!I$42:I$58,MATCH($C82,'Undirviðmiðalisti (Lýsigögn)'!$C$42:$C$58,0))),""),IFERROR(IF(INDEX('Undirviðmiðalisti (Lýsigögn)'!I$6:I$41,MATCH($C82,'Undirviðmiðalisti (Lýsigögn)'!$C$6:$C$41,0))="","",INDEX('Undirviðmiðalisti (Lýsigögn)'!I$6:I$41,MATCH($C82,'Undirviðmiðalisti (Lýsigögn)'!$C$6:$C$41,0))),IFERROR(IF(INDEX('Undirviðmiðalisti (Lýsigögn)'!I$42:I$58,MATCH($C82,'Undirviðmiðalisti (Lýsigögn)'!$C$42:$C$58,0))="","",INDEX('Undirviðmiðalisti (Lýsigögn)'!I$42:I$58,MATCH($C82,'Undirviðmiðalisti (Lýsigögn)'!$C$42:$C$58,0))),""))))</f>
        <v/>
      </c>
      <c r="N82" s="16" t="str">
        <f aca="false">IF($C82="","",IF($G82="Einstaklingsbundið",IFERROR(IF(INDEX('Undirviðmiðalisti (Lýsigögn)'!J$42:J$58,MATCH($C82,'Undirviðmiðalisti (Lýsigögn)'!$C$42:$C$58,0))="","",INDEX('Undirviðmiðalisti (Lýsigögn)'!J$42:J$58,MATCH($C82,'Undirviðmiðalisti (Lýsigögn)'!$C$42:$C$58,0))),""),IFERROR(IF(INDEX('Undirviðmiðalisti (Lýsigögn)'!J$6:J$41,MATCH($C82,'Undirviðmiðalisti (Lýsigögn)'!$C$6:$C$41,0))="","",INDEX('Undirviðmiðalisti (Lýsigögn)'!J$6:J$41,MATCH($C82,'Undirviðmiðalisti (Lýsigögn)'!$C$6:$C$41,0))),IFERROR(IF(INDEX('Undirviðmiðalisti (Lýsigögn)'!J$42:J$58,MATCH($C82,'Undirviðmiðalisti (Lýsigögn)'!$C$42:$C$58,0))="","",INDEX('Undirviðmiðalisti (Lýsigögn)'!J$42:J$58,MATCH($C82,'Undirviðmiðalisti (Lýsigögn)'!$C$42:$C$58,0))),""))))</f>
        <v/>
      </c>
      <c r="O82" s="16" t="str">
        <f aca="false">IF($C82="","",IF($G82="Einstaklingsbundið",IFERROR(IF(INDEX('Undirviðmiðalisti (Lýsigögn)'!K$42:K$58,MATCH($C82,'Undirviðmiðalisti (Lýsigögn)'!$C$42:$C$58,0))="","",INDEX('Undirviðmiðalisti (Lýsigögn)'!K$42:K$58,MATCH($C82,'Undirviðmiðalisti (Lýsigögn)'!$C$42:$C$58,0))),""),IFERROR(IF(INDEX('Undirviðmiðalisti (Lýsigögn)'!K$6:K$41,MATCH($C82,'Undirviðmiðalisti (Lýsigögn)'!$C$6:$C$41,0))="","",INDEX('Undirviðmiðalisti (Lýsigögn)'!K$6:K$41,MATCH($C82,'Undirviðmiðalisti (Lýsigögn)'!$C$6:$C$41,0))),IFERROR(IF(INDEX('Undirviðmiðalisti (Lýsigögn)'!K$42:K$58,MATCH($C82,'Undirviðmiðalisti (Lýsigögn)'!$C$42:$C$58,0))="","",INDEX('Undirviðmiðalisti (Lýsigögn)'!K$42:K$58,MATCH($C82,'Undirviðmiðalisti (Lýsigögn)'!$C$42:$C$58,0))),""))))</f>
        <v/>
      </c>
      <c r="P82" s="16" t="str">
        <f aca="false">IF($C82="","",IF($G82="Einstaklingsbundið",IFERROR(IF(INDEX('Undirviðmiðalisti (Lýsigögn)'!L$42:L$58,MATCH($C82,'Undirviðmiðalisti (Lýsigögn)'!$C$42:$C$58,0))="","",INDEX('Undirviðmiðalisti (Lýsigögn)'!L$42:L$58,MATCH($C82,'Undirviðmiðalisti (Lýsigögn)'!$C$42:$C$58,0))),""),IFERROR(IF(INDEX('Undirviðmiðalisti (Lýsigögn)'!L$6:L$41,MATCH($C82,'Undirviðmiðalisti (Lýsigögn)'!$C$6:$C$41,0))="","",INDEX('Undirviðmiðalisti (Lýsigögn)'!L$6:L$41,MATCH($C82,'Undirviðmiðalisti (Lýsigögn)'!$C$6:$C$41,0))),IFERROR(IF(INDEX('Undirviðmiðalisti (Lýsigögn)'!L$42:L$58,MATCH($C82,'Undirviðmiðalisti (Lýsigögn)'!$C$42:$C$58,0))="","",INDEX('Undirviðmiðalisti (Lýsigögn)'!L$42:L$58,MATCH($C82,'Undirviðmiðalisti (Lýsigögn)'!$C$42:$C$58,0))),""))))</f>
        <v/>
      </c>
      <c r="Q82" s="16" t="str">
        <f aca="false">IF($C82="","",IF($G82="Einstaklingsbundið",IFERROR(IF(INDEX('Undirviðmiðalisti (Lýsigögn)'!M$42:M$58,MATCH($C82,'Undirviðmiðalisti (Lýsigögn)'!$C$42:$C$58,0))="","",INDEX('Undirviðmiðalisti (Lýsigögn)'!M$42:M$58,MATCH($C82,'Undirviðmiðalisti (Lýsigögn)'!$C$42:$C$58,0))),""),IFERROR(IF(INDEX('Undirviðmiðalisti (Lýsigögn)'!M$6:M$41,MATCH($C82,'Undirviðmiðalisti (Lýsigögn)'!$C$6:$C$41,0))="","",INDEX('Undirviðmiðalisti (Lýsigögn)'!M$6:M$41,MATCH($C82,'Undirviðmiðalisti (Lýsigögn)'!$C$6:$C$41,0))),IFERROR(IF(INDEX('Undirviðmiðalisti (Lýsigögn)'!M$42:M$58,MATCH($C82,'Undirviðmiðalisti (Lýsigögn)'!$C$42:$C$58,0))="","",INDEX('Undirviðmiðalisti (Lýsigögn)'!M$42:M$58,MATCH($C82,'Undirviðmiðalisti (Lýsigögn)'!$C$42:$C$58,0))),""))))</f>
        <v/>
      </c>
    </row>
    <row r="83" customFormat="false" ht="15" hidden="false" customHeight="true" outlineLevel="0" collapsed="false">
      <c r="A83" s="22" t="str">
        <f aca="false">IF($B83="","",ROW()-5)</f>
        <v/>
      </c>
      <c r="B83" s="15"/>
      <c r="C83" s="15"/>
      <c r="D83" s="16" t="str">
        <f aca="false">IF($C83="","",IF($G83="Einstaklingsbundið",IFERROR(IF(INDEX('Undirviðmiðalisti (Lýsigögn)'!$D$42:$D$58,MATCH($C83,'Undirviðmiðalisti (Lýsigögn)'!$C$42:$C$58,0))="","",INDEX('Undirviðmiðalisti (Lýsigögn)'!$D$42:$D$58,MATCH($C83,'Undirviðmiðalisti (Lýsigögn)'!$C$42:$C$58,0))),""),IFERROR(IF(INDEX('Undirviðmiðalisti (Lýsigögn)'!$D$6:$D$41,MATCH($C83,'Undirviðmiðalisti (Lýsigögn)'!$C$6:$C$41,0))="","",INDEX('Undirviðmiðalisti (Lýsigögn)'!$D$6:$D$41,MATCH($C83,'Undirviðmiðalisti (Lýsigögn)'!$C$6:$C$41,0))),IFERROR(IF(INDEX('Undirviðmiðalisti (Lýsigögn)'!$D$42:$D$58,MATCH($C83,'Undirviðmiðalisti (Lýsigögn)'!$C$42:$C$58,0))="","",INDEX('Undirviðmiðalisti (Lýsigögn)'!$D$42:$D$58,MATCH($C83,'Undirviðmiðalisti (Lýsigögn)'!$C$42:$C$58,0))),""))))</f>
        <v/>
      </c>
      <c r="E83" s="14"/>
      <c r="F83" s="23" t="str">
        <f aca="false">IF($C83="","",IF($G83="Einstaklingsbundið",IFERROR(IF(INDEX('Undirviðmiðalisti (Lýsigögn)'!$E$42:$E$58,MATCH($C83,'Undirviðmiðalisti (Lýsigögn)'!$C$42:$C$58,0))="","",INDEX('Undirviðmiðalisti (Lýsigögn)'!$E$42:$E$58,MATCH($C83,'Undirviðmiðalisti (Lýsigögn)'!$C$42:$C$58,0))),""),IFERROR(IF(INDEX('Undirviðmiðalisti (Lýsigögn)'!$E$6:$E$41,MATCH($C83,'Undirviðmiðalisti (Lýsigögn)'!$C$6:$C$41,0))="","",INDEX('Undirviðmiðalisti (Lýsigögn)'!$E$6:$E$41,MATCH($C83,'Undirviðmiðalisti (Lýsigögn)'!$C$6:$C$41,0))),IFERROR(IF(INDEX('Undirviðmiðalisti (Lýsigögn)'!$E$42:$E$58,MATCH($C83,'Undirviðmiðalisti (Lýsigögn)'!$C$42:$C$58,0))="","",INDEX('Undirviðmiðalisti (Lýsigögn)'!$E$42:$E$58,MATCH($C83,'Undirviðmiðalisti (Lýsigögn)'!$C$42:$C$58,0))),""))))</f>
        <v/>
      </c>
      <c r="G83" s="24" t="str">
        <f aca="false">IFERROR(IF(B83="","",INDEX(Viðmið!$B$6:$B$10,MATCH(B83,Viðmið!$C$6:$C$10,0))),"")</f>
        <v/>
      </c>
      <c r="H83" s="25" t="str">
        <f aca="false">IF(OR(E83="",F83=""),"",E83*KVARDI)</f>
        <v/>
      </c>
      <c r="I83" s="26" t="str">
        <f aca="false">IF(B83="","",IF(ROUND(SUMIF($B$6:$B$205,B83,$E$6:$E$205),4)=ROUND(IFERROR(INDEX(Viðmið!$E$6:$E$10,MATCH(B83,Viðmið!$C$6:$C$10,0)),-1),4),"✓","✗"))</f>
        <v/>
      </c>
      <c r="J83" s="16" t="str">
        <f aca="false">IF($C83="","",IF($G83="Einstaklingsbundið",IFERROR(IF(INDEX('Undirviðmiðalisti (Lýsigögn)'!F$42:F$58,MATCH($C83,'Undirviðmiðalisti (Lýsigögn)'!$C$42:$C$58,0))="","",INDEX('Undirviðmiðalisti (Lýsigögn)'!F$42:F$58,MATCH($C83,'Undirviðmiðalisti (Lýsigögn)'!$C$42:$C$58,0))),""),IFERROR(IF(INDEX('Undirviðmiðalisti (Lýsigögn)'!F$6:F$41,MATCH($C83,'Undirviðmiðalisti (Lýsigögn)'!$C$6:$C$41,0))="","",INDEX('Undirviðmiðalisti (Lýsigögn)'!F$6:F$41,MATCH($C83,'Undirviðmiðalisti (Lýsigögn)'!$C$6:$C$41,0))),IFERROR(IF(INDEX('Undirviðmiðalisti (Lýsigögn)'!F$42:F$58,MATCH($C83,'Undirviðmiðalisti (Lýsigögn)'!$C$42:$C$58,0))="","",INDEX('Undirviðmiðalisti (Lýsigögn)'!F$42:F$58,MATCH($C83,'Undirviðmiðalisti (Lýsigögn)'!$C$42:$C$58,0))),""))))</f>
        <v/>
      </c>
      <c r="K83" s="16" t="str">
        <f aca="false">IF($C83="","",IF($G83="Einstaklingsbundið",IFERROR(IF(INDEX('Undirviðmiðalisti (Lýsigögn)'!G$42:G$58,MATCH($C83,'Undirviðmiðalisti (Lýsigögn)'!$C$42:$C$58,0))="","",INDEX('Undirviðmiðalisti (Lýsigögn)'!G$42:G$58,MATCH($C83,'Undirviðmiðalisti (Lýsigögn)'!$C$42:$C$58,0))),""),IFERROR(IF(INDEX('Undirviðmiðalisti (Lýsigögn)'!G$6:G$41,MATCH($C83,'Undirviðmiðalisti (Lýsigögn)'!$C$6:$C$41,0))="","",INDEX('Undirviðmiðalisti (Lýsigögn)'!G$6:G$41,MATCH($C83,'Undirviðmiðalisti (Lýsigögn)'!$C$6:$C$41,0))),IFERROR(IF(INDEX('Undirviðmiðalisti (Lýsigögn)'!G$42:G$58,MATCH($C83,'Undirviðmiðalisti (Lýsigögn)'!$C$42:$C$58,0))="","",INDEX('Undirviðmiðalisti (Lýsigögn)'!G$42:G$58,MATCH($C83,'Undirviðmiðalisti (Lýsigögn)'!$C$42:$C$58,0))),""))))</f>
        <v/>
      </c>
      <c r="L83" s="16" t="str">
        <f aca="false">IF($C83="","",IF($G83="Einstaklingsbundið",IFERROR(IF(INDEX('Undirviðmiðalisti (Lýsigögn)'!H$42:H$58,MATCH($C83,'Undirviðmiðalisti (Lýsigögn)'!$C$42:$C$58,0))="","",INDEX('Undirviðmiðalisti (Lýsigögn)'!H$42:H$58,MATCH($C83,'Undirviðmiðalisti (Lýsigögn)'!$C$42:$C$58,0))),""),IFERROR(IF(INDEX('Undirviðmiðalisti (Lýsigögn)'!H$6:H$41,MATCH($C83,'Undirviðmiðalisti (Lýsigögn)'!$C$6:$C$41,0))="","",INDEX('Undirviðmiðalisti (Lýsigögn)'!H$6:H$41,MATCH($C83,'Undirviðmiðalisti (Lýsigögn)'!$C$6:$C$41,0))),IFERROR(IF(INDEX('Undirviðmiðalisti (Lýsigögn)'!H$42:H$58,MATCH($C83,'Undirviðmiðalisti (Lýsigögn)'!$C$42:$C$58,0))="","",INDEX('Undirviðmiðalisti (Lýsigögn)'!H$42:H$58,MATCH($C83,'Undirviðmiðalisti (Lýsigögn)'!$C$42:$C$58,0))),""))))</f>
        <v/>
      </c>
      <c r="M83" s="16" t="str">
        <f aca="false">IF($C83="","",IF($G83="Einstaklingsbundið",IFERROR(IF(INDEX('Undirviðmiðalisti (Lýsigögn)'!I$42:I$58,MATCH($C83,'Undirviðmiðalisti (Lýsigögn)'!$C$42:$C$58,0))="","",INDEX('Undirviðmiðalisti (Lýsigögn)'!I$42:I$58,MATCH($C83,'Undirviðmiðalisti (Lýsigögn)'!$C$42:$C$58,0))),""),IFERROR(IF(INDEX('Undirviðmiðalisti (Lýsigögn)'!I$6:I$41,MATCH($C83,'Undirviðmiðalisti (Lýsigögn)'!$C$6:$C$41,0))="","",INDEX('Undirviðmiðalisti (Lýsigögn)'!I$6:I$41,MATCH($C83,'Undirviðmiðalisti (Lýsigögn)'!$C$6:$C$41,0))),IFERROR(IF(INDEX('Undirviðmiðalisti (Lýsigögn)'!I$42:I$58,MATCH($C83,'Undirviðmiðalisti (Lýsigögn)'!$C$42:$C$58,0))="","",INDEX('Undirviðmiðalisti (Lýsigögn)'!I$42:I$58,MATCH($C83,'Undirviðmiðalisti (Lýsigögn)'!$C$42:$C$58,0))),""))))</f>
        <v/>
      </c>
      <c r="N83" s="16" t="str">
        <f aca="false">IF($C83="","",IF($G83="Einstaklingsbundið",IFERROR(IF(INDEX('Undirviðmiðalisti (Lýsigögn)'!J$42:J$58,MATCH($C83,'Undirviðmiðalisti (Lýsigögn)'!$C$42:$C$58,0))="","",INDEX('Undirviðmiðalisti (Lýsigögn)'!J$42:J$58,MATCH($C83,'Undirviðmiðalisti (Lýsigögn)'!$C$42:$C$58,0))),""),IFERROR(IF(INDEX('Undirviðmiðalisti (Lýsigögn)'!J$6:J$41,MATCH($C83,'Undirviðmiðalisti (Lýsigögn)'!$C$6:$C$41,0))="","",INDEX('Undirviðmiðalisti (Lýsigögn)'!J$6:J$41,MATCH($C83,'Undirviðmiðalisti (Lýsigögn)'!$C$6:$C$41,0))),IFERROR(IF(INDEX('Undirviðmiðalisti (Lýsigögn)'!J$42:J$58,MATCH($C83,'Undirviðmiðalisti (Lýsigögn)'!$C$42:$C$58,0))="","",INDEX('Undirviðmiðalisti (Lýsigögn)'!J$42:J$58,MATCH($C83,'Undirviðmiðalisti (Lýsigögn)'!$C$42:$C$58,0))),""))))</f>
        <v/>
      </c>
      <c r="O83" s="16" t="str">
        <f aca="false">IF($C83="","",IF($G83="Einstaklingsbundið",IFERROR(IF(INDEX('Undirviðmiðalisti (Lýsigögn)'!K$42:K$58,MATCH($C83,'Undirviðmiðalisti (Lýsigögn)'!$C$42:$C$58,0))="","",INDEX('Undirviðmiðalisti (Lýsigögn)'!K$42:K$58,MATCH($C83,'Undirviðmiðalisti (Lýsigögn)'!$C$42:$C$58,0))),""),IFERROR(IF(INDEX('Undirviðmiðalisti (Lýsigögn)'!K$6:K$41,MATCH($C83,'Undirviðmiðalisti (Lýsigögn)'!$C$6:$C$41,0))="","",INDEX('Undirviðmiðalisti (Lýsigögn)'!K$6:K$41,MATCH($C83,'Undirviðmiðalisti (Lýsigögn)'!$C$6:$C$41,0))),IFERROR(IF(INDEX('Undirviðmiðalisti (Lýsigögn)'!K$42:K$58,MATCH($C83,'Undirviðmiðalisti (Lýsigögn)'!$C$42:$C$58,0))="","",INDEX('Undirviðmiðalisti (Lýsigögn)'!K$42:K$58,MATCH($C83,'Undirviðmiðalisti (Lýsigögn)'!$C$42:$C$58,0))),""))))</f>
        <v/>
      </c>
      <c r="P83" s="16" t="str">
        <f aca="false">IF($C83="","",IF($G83="Einstaklingsbundið",IFERROR(IF(INDEX('Undirviðmiðalisti (Lýsigögn)'!L$42:L$58,MATCH($C83,'Undirviðmiðalisti (Lýsigögn)'!$C$42:$C$58,0))="","",INDEX('Undirviðmiðalisti (Lýsigögn)'!L$42:L$58,MATCH($C83,'Undirviðmiðalisti (Lýsigögn)'!$C$42:$C$58,0))),""),IFERROR(IF(INDEX('Undirviðmiðalisti (Lýsigögn)'!L$6:L$41,MATCH($C83,'Undirviðmiðalisti (Lýsigögn)'!$C$6:$C$41,0))="","",INDEX('Undirviðmiðalisti (Lýsigögn)'!L$6:L$41,MATCH($C83,'Undirviðmiðalisti (Lýsigögn)'!$C$6:$C$41,0))),IFERROR(IF(INDEX('Undirviðmiðalisti (Lýsigögn)'!L$42:L$58,MATCH($C83,'Undirviðmiðalisti (Lýsigögn)'!$C$42:$C$58,0))="","",INDEX('Undirviðmiðalisti (Lýsigögn)'!L$42:L$58,MATCH($C83,'Undirviðmiðalisti (Lýsigögn)'!$C$42:$C$58,0))),""))))</f>
        <v/>
      </c>
      <c r="Q83" s="16" t="str">
        <f aca="false">IF($C83="","",IF($G83="Einstaklingsbundið",IFERROR(IF(INDEX('Undirviðmiðalisti (Lýsigögn)'!M$42:M$58,MATCH($C83,'Undirviðmiðalisti (Lýsigögn)'!$C$42:$C$58,0))="","",INDEX('Undirviðmiðalisti (Lýsigögn)'!M$42:M$58,MATCH($C83,'Undirviðmiðalisti (Lýsigögn)'!$C$42:$C$58,0))),""),IFERROR(IF(INDEX('Undirviðmiðalisti (Lýsigögn)'!M$6:M$41,MATCH($C83,'Undirviðmiðalisti (Lýsigögn)'!$C$6:$C$41,0))="","",INDEX('Undirviðmiðalisti (Lýsigögn)'!M$6:M$41,MATCH($C83,'Undirviðmiðalisti (Lýsigögn)'!$C$6:$C$41,0))),IFERROR(IF(INDEX('Undirviðmiðalisti (Lýsigögn)'!M$42:M$58,MATCH($C83,'Undirviðmiðalisti (Lýsigögn)'!$C$42:$C$58,0))="","",INDEX('Undirviðmiðalisti (Lýsigögn)'!M$42:M$58,MATCH($C83,'Undirviðmiðalisti (Lýsigögn)'!$C$42:$C$58,0))),""))))</f>
        <v/>
      </c>
    </row>
    <row r="84" customFormat="false" ht="15" hidden="false" customHeight="true" outlineLevel="0" collapsed="false">
      <c r="A84" s="22" t="str">
        <f aca="false">IF($B84="","",ROW()-5)</f>
        <v/>
      </c>
      <c r="B84" s="15"/>
      <c r="C84" s="15"/>
      <c r="D84" s="16" t="str">
        <f aca="false">IF($C84="","",IF($G84="Einstaklingsbundið",IFERROR(IF(INDEX('Undirviðmiðalisti (Lýsigögn)'!$D$42:$D$58,MATCH($C84,'Undirviðmiðalisti (Lýsigögn)'!$C$42:$C$58,0))="","",INDEX('Undirviðmiðalisti (Lýsigögn)'!$D$42:$D$58,MATCH($C84,'Undirviðmiðalisti (Lýsigögn)'!$C$42:$C$58,0))),""),IFERROR(IF(INDEX('Undirviðmiðalisti (Lýsigögn)'!$D$6:$D$41,MATCH($C84,'Undirviðmiðalisti (Lýsigögn)'!$C$6:$C$41,0))="","",INDEX('Undirviðmiðalisti (Lýsigögn)'!$D$6:$D$41,MATCH($C84,'Undirviðmiðalisti (Lýsigögn)'!$C$6:$C$41,0))),IFERROR(IF(INDEX('Undirviðmiðalisti (Lýsigögn)'!$D$42:$D$58,MATCH($C84,'Undirviðmiðalisti (Lýsigögn)'!$C$42:$C$58,0))="","",INDEX('Undirviðmiðalisti (Lýsigögn)'!$D$42:$D$58,MATCH($C84,'Undirviðmiðalisti (Lýsigögn)'!$C$42:$C$58,0))),""))))</f>
        <v/>
      </c>
      <c r="E84" s="14"/>
      <c r="F84" s="23" t="str">
        <f aca="false">IF($C84="","",IF($G84="Einstaklingsbundið",IFERROR(IF(INDEX('Undirviðmiðalisti (Lýsigögn)'!$E$42:$E$58,MATCH($C84,'Undirviðmiðalisti (Lýsigögn)'!$C$42:$C$58,0))="","",INDEX('Undirviðmiðalisti (Lýsigögn)'!$E$42:$E$58,MATCH($C84,'Undirviðmiðalisti (Lýsigögn)'!$C$42:$C$58,0))),""),IFERROR(IF(INDEX('Undirviðmiðalisti (Lýsigögn)'!$E$6:$E$41,MATCH($C84,'Undirviðmiðalisti (Lýsigögn)'!$C$6:$C$41,0))="","",INDEX('Undirviðmiðalisti (Lýsigögn)'!$E$6:$E$41,MATCH($C84,'Undirviðmiðalisti (Lýsigögn)'!$C$6:$C$41,0))),IFERROR(IF(INDEX('Undirviðmiðalisti (Lýsigögn)'!$E$42:$E$58,MATCH($C84,'Undirviðmiðalisti (Lýsigögn)'!$C$42:$C$58,0))="","",INDEX('Undirviðmiðalisti (Lýsigögn)'!$E$42:$E$58,MATCH($C84,'Undirviðmiðalisti (Lýsigögn)'!$C$42:$C$58,0))),""))))</f>
        <v/>
      </c>
      <c r="G84" s="24" t="str">
        <f aca="false">IFERROR(IF(B84="","",INDEX(Viðmið!$B$6:$B$10,MATCH(B84,Viðmið!$C$6:$C$10,0))),"")</f>
        <v/>
      </c>
      <c r="H84" s="25" t="str">
        <f aca="false">IF(OR(E84="",F84=""),"",E84*KVARDI)</f>
        <v/>
      </c>
      <c r="I84" s="26" t="str">
        <f aca="false">IF(B84="","",IF(ROUND(SUMIF($B$6:$B$205,B84,$E$6:$E$205),4)=ROUND(IFERROR(INDEX(Viðmið!$E$6:$E$10,MATCH(B84,Viðmið!$C$6:$C$10,0)),-1),4),"✓","✗"))</f>
        <v/>
      </c>
      <c r="J84" s="16" t="str">
        <f aca="false">IF($C84="","",IF($G84="Einstaklingsbundið",IFERROR(IF(INDEX('Undirviðmiðalisti (Lýsigögn)'!F$42:F$58,MATCH($C84,'Undirviðmiðalisti (Lýsigögn)'!$C$42:$C$58,0))="","",INDEX('Undirviðmiðalisti (Lýsigögn)'!F$42:F$58,MATCH($C84,'Undirviðmiðalisti (Lýsigögn)'!$C$42:$C$58,0))),""),IFERROR(IF(INDEX('Undirviðmiðalisti (Lýsigögn)'!F$6:F$41,MATCH($C84,'Undirviðmiðalisti (Lýsigögn)'!$C$6:$C$41,0))="","",INDEX('Undirviðmiðalisti (Lýsigögn)'!F$6:F$41,MATCH($C84,'Undirviðmiðalisti (Lýsigögn)'!$C$6:$C$41,0))),IFERROR(IF(INDEX('Undirviðmiðalisti (Lýsigögn)'!F$42:F$58,MATCH($C84,'Undirviðmiðalisti (Lýsigögn)'!$C$42:$C$58,0))="","",INDEX('Undirviðmiðalisti (Lýsigögn)'!F$42:F$58,MATCH($C84,'Undirviðmiðalisti (Lýsigögn)'!$C$42:$C$58,0))),""))))</f>
        <v/>
      </c>
      <c r="K84" s="16" t="str">
        <f aca="false">IF($C84="","",IF($G84="Einstaklingsbundið",IFERROR(IF(INDEX('Undirviðmiðalisti (Lýsigögn)'!G$42:G$58,MATCH($C84,'Undirviðmiðalisti (Lýsigögn)'!$C$42:$C$58,0))="","",INDEX('Undirviðmiðalisti (Lýsigögn)'!G$42:G$58,MATCH($C84,'Undirviðmiðalisti (Lýsigögn)'!$C$42:$C$58,0))),""),IFERROR(IF(INDEX('Undirviðmiðalisti (Lýsigögn)'!G$6:G$41,MATCH($C84,'Undirviðmiðalisti (Lýsigögn)'!$C$6:$C$41,0))="","",INDEX('Undirviðmiðalisti (Lýsigögn)'!G$6:G$41,MATCH($C84,'Undirviðmiðalisti (Lýsigögn)'!$C$6:$C$41,0))),IFERROR(IF(INDEX('Undirviðmiðalisti (Lýsigögn)'!G$42:G$58,MATCH($C84,'Undirviðmiðalisti (Lýsigögn)'!$C$42:$C$58,0))="","",INDEX('Undirviðmiðalisti (Lýsigögn)'!G$42:G$58,MATCH($C84,'Undirviðmiðalisti (Lýsigögn)'!$C$42:$C$58,0))),""))))</f>
        <v/>
      </c>
      <c r="L84" s="16" t="str">
        <f aca="false">IF($C84="","",IF($G84="Einstaklingsbundið",IFERROR(IF(INDEX('Undirviðmiðalisti (Lýsigögn)'!H$42:H$58,MATCH($C84,'Undirviðmiðalisti (Lýsigögn)'!$C$42:$C$58,0))="","",INDEX('Undirviðmiðalisti (Lýsigögn)'!H$42:H$58,MATCH($C84,'Undirviðmiðalisti (Lýsigögn)'!$C$42:$C$58,0))),""),IFERROR(IF(INDEX('Undirviðmiðalisti (Lýsigögn)'!H$6:H$41,MATCH($C84,'Undirviðmiðalisti (Lýsigögn)'!$C$6:$C$41,0))="","",INDEX('Undirviðmiðalisti (Lýsigögn)'!H$6:H$41,MATCH($C84,'Undirviðmiðalisti (Lýsigögn)'!$C$6:$C$41,0))),IFERROR(IF(INDEX('Undirviðmiðalisti (Lýsigögn)'!H$42:H$58,MATCH($C84,'Undirviðmiðalisti (Lýsigögn)'!$C$42:$C$58,0))="","",INDEX('Undirviðmiðalisti (Lýsigögn)'!H$42:H$58,MATCH($C84,'Undirviðmiðalisti (Lýsigögn)'!$C$42:$C$58,0))),""))))</f>
        <v/>
      </c>
      <c r="M84" s="16" t="str">
        <f aca="false">IF($C84="","",IF($G84="Einstaklingsbundið",IFERROR(IF(INDEX('Undirviðmiðalisti (Lýsigögn)'!I$42:I$58,MATCH($C84,'Undirviðmiðalisti (Lýsigögn)'!$C$42:$C$58,0))="","",INDEX('Undirviðmiðalisti (Lýsigögn)'!I$42:I$58,MATCH($C84,'Undirviðmiðalisti (Lýsigögn)'!$C$42:$C$58,0))),""),IFERROR(IF(INDEX('Undirviðmiðalisti (Lýsigögn)'!I$6:I$41,MATCH($C84,'Undirviðmiðalisti (Lýsigögn)'!$C$6:$C$41,0))="","",INDEX('Undirviðmiðalisti (Lýsigögn)'!I$6:I$41,MATCH($C84,'Undirviðmiðalisti (Lýsigögn)'!$C$6:$C$41,0))),IFERROR(IF(INDEX('Undirviðmiðalisti (Lýsigögn)'!I$42:I$58,MATCH($C84,'Undirviðmiðalisti (Lýsigögn)'!$C$42:$C$58,0))="","",INDEX('Undirviðmiðalisti (Lýsigögn)'!I$42:I$58,MATCH($C84,'Undirviðmiðalisti (Lýsigögn)'!$C$42:$C$58,0))),""))))</f>
        <v/>
      </c>
      <c r="N84" s="16" t="str">
        <f aca="false">IF($C84="","",IF($G84="Einstaklingsbundið",IFERROR(IF(INDEX('Undirviðmiðalisti (Lýsigögn)'!J$42:J$58,MATCH($C84,'Undirviðmiðalisti (Lýsigögn)'!$C$42:$C$58,0))="","",INDEX('Undirviðmiðalisti (Lýsigögn)'!J$42:J$58,MATCH($C84,'Undirviðmiðalisti (Lýsigögn)'!$C$42:$C$58,0))),""),IFERROR(IF(INDEX('Undirviðmiðalisti (Lýsigögn)'!J$6:J$41,MATCH($C84,'Undirviðmiðalisti (Lýsigögn)'!$C$6:$C$41,0))="","",INDEX('Undirviðmiðalisti (Lýsigögn)'!J$6:J$41,MATCH($C84,'Undirviðmiðalisti (Lýsigögn)'!$C$6:$C$41,0))),IFERROR(IF(INDEX('Undirviðmiðalisti (Lýsigögn)'!J$42:J$58,MATCH($C84,'Undirviðmiðalisti (Lýsigögn)'!$C$42:$C$58,0))="","",INDEX('Undirviðmiðalisti (Lýsigögn)'!J$42:J$58,MATCH($C84,'Undirviðmiðalisti (Lýsigögn)'!$C$42:$C$58,0))),""))))</f>
        <v/>
      </c>
      <c r="O84" s="16" t="str">
        <f aca="false">IF($C84="","",IF($G84="Einstaklingsbundið",IFERROR(IF(INDEX('Undirviðmiðalisti (Lýsigögn)'!K$42:K$58,MATCH($C84,'Undirviðmiðalisti (Lýsigögn)'!$C$42:$C$58,0))="","",INDEX('Undirviðmiðalisti (Lýsigögn)'!K$42:K$58,MATCH($C84,'Undirviðmiðalisti (Lýsigögn)'!$C$42:$C$58,0))),""),IFERROR(IF(INDEX('Undirviðmiðalisti (Lýsigögn)'!K$6:K$41,MATCH($C84,'Undirviðmiðalisti (Lýsigögn)'!$C$6:$C$41,0))="","",INDEX('Undirviðmiðalisti (Lýsigögn)'!K$6:K$41,MATCH($C84,'Undirviðmiðalisti (Lýsigögn)'!$C$6:$C$41,0))),IFERROR(IF(INDEX('Undirviðmiðalisti (Lýsigögn)'!K$42:K$58,MATCH($C84,'Undirviðmiðalisti (Lýsigögn)'!$C$42:$C$58,0))="","",INDEX('Undirviðmiðalisti (Lýsigögn)'!K$42:K$58,MATCH($C84,'Undirviðmiðalisti (Lýsigögn)'!$C$42:$C$58,0))),""))))</f>
        <v/>
      </c>
      <c r="P84" s="16" t="str">
        <f aca="false">IF($C84="","",IF($G84="Einstaklingsbundið",IFERROR(IF(INDEX('Undirviðmiðalisti (Lýsigögn)'!L$42:L$58,MATCH($C84,'Undirviðmiðalisti (Lýsigögn)'!$C$42:$C$58,0))="","",INDEX('Undirviðmiðalisti (Lýsigögn)'!L$42:L$58,MATCH($C84,'Undirviðmiðalisti (Lýsigögn)'!$C$42:$C$58,0))),""),IFERROR(IF(INDEX('Undirviðmiðalisti (Lýsigögn)'!L$6:L$41,MATCH($C84,'Undirviðmiðalisti (Lýsigögn)'!$C$6:$C$41,0))="","",INDEX('Undirviðmiðalisti (Lýsigögn)'!L$6:L$41,MATCH($C84,'Undirviðmiðalisti (Lýsigögn)'!$C$6:$C$41,0))),IFERROR(IF(INDEX('Undirviðmiðalisti (Lýsigögn)'!L$42:L$58,MATCH($C84,'Undirviðmiðalisti (Lýsigögn)'!$C$42:$C$58,0))="","",INDEX('Undirviðmiðalisti (Lýsigögn)'!L$42:L$58,MATCH($C84,'Undirviðmiðalisti (Lýsigögn)'!$C$42:$C$58,0))),""))))</f>
        <v/>
      </c>
      <c r="Q84" s="16" t="str">
        <f aca="false">IF($C84="","",IF($G84="Einstaklingsbundið",IFERROR(IF(INDEX('Undirviðmiðalisti (Lýsigögn)'!M$42:M$58,MATCH($C84,'Undirviðmiðalisti (Lýsigögn)'!$C$42:$C$58,0))="","",INDEX('Undirviðmiðalisti (Lýsigögn)'!M$42:M$58,MATCH($C84,'Undirviðmiðalisti (Lýsigögn)'!$C$42:$C$58,0))),""),IFERROR(IF(INDEX('Undirviðmiðalisti (Lýsigögn)'!M$6:M$41,MATCH($C84,'Undirviðmiðalisti (Lýsigögn)'!$C$6:$C$41,0))="","",INDEX('Undirviðmiðalisti (Lýsigögn)'!M$6:M$41,MATCH($C84,'Undirviðmiðalisti (Lýsigögn)'!$C$6:$C$41,0))),IFERROR(IF(INDEX('Undirviðmiðalisti (Lýsigögn)'!M$42:M$58,MATCH($C84,'Undirviðmiðalisti (Lýsigögn)'!$C$42:$C$58,0))="","",INDEX('Undirviðmiðalisti (Lýsigögn)'!M$42:M$58,MATCH($C84,'Undirviðmiðalisti (Lýsigögn)'!$C$42:$C$58,0))),""))))</f>
        <v/>
      </c>
    </row>
    <row r="85" customFormat="false" ht="15" hidden="false" customHeight="true" outlineLevel="0" collapsed="false">
      <c r="A85" s="22" t="str">
        <f aca="false">IF($B85="","",ROW()-5)</f>
        <v/>
      </c>
      <c r="B85" s="15"/>
      <c r="C85" s="15"/>
      <c r="D85" s="16" t="str">
        <f aca="false">IF($C85="","",IF($G85="Einstaklingsbundið",IFERROR(IF(INDEX('Undirviðmiðalisti (Lýsigögn)'!$D$42:$D$58,MATCH($C85,'Undirviðmiðalisti (Lýsigögn)'!$C$42:$C$58,0))="","",INDEX('Undirviðmiðalisti (Lýsigögn)'!$D$42:$D$58,MATCH($C85,'Undirviðmiðalisti (Lýsigögn)'!$C$42:$C$58,0))),""),IFERROR(IF(INDEX('Undirviðmiðalisti (Lýsigögn)'!$D$6:$D$41,MATCH($C85,'Undirviðmiðalisti (Lýsigögn)'!$C$6:$C$41,0))="","",INDEX('Undirviðmiðalisti (Lýsigögn)'!$D$6:$D$41,MATCH($C85,'Undirviðmiðalisti (Lýsigögn)'!$C$6:$C$41,0))),IFERROR(IF(INDEX('Undirviðmiðalisti (Lýsigögn)'!$D$42:$D$58,MATCH($C85,'Undirviðmiðalisti (Lýsigögn)'!$C$42:$C$58,0))="","",INDEX('Undirviðmiðalisti (Lýsigögn)'!$D$42:$D$58,MATCH($C85,'Undirviðmiðalisti (Lýsigögn)'!$C$42:$C$58,0))),""))))</f>
        <v/>
      </c>
      <c r="E85" s="14"/>
      <c r="F85" s="23" t="str">
        <f aca="false">IF($C85="","",IF($G85="Einstaklingsbundið",IFERROR(IF(INDEX('Undirviðmiðalisti (Lýsigögn)'!$E$42:$E$58,MATCH($C85,'Undirviðmiðalisti (Lýsigögn)'!$C$42:$C$58,0))="","",INDEX('Undirviðmiðalisti (Lýsigögn)'!$E$42:$E$58,MATCH($C85,'Undirviðmiðalisti (Lýsigögn)'!$C$42:$C$58,0))),""),IFERROR(IF(INDEX('Undirviðmiðalisti (Lýsigögn)'!$E$6:$E$41,MATCH($C85,'Undirviðmiðalisti (Lýsigögn)'!$C$6:$C$41,0))="","",INDEX('Undirviðmiðalisti (Lýsigögn)'!$E$6:$E$41,MATCH($C85,'Undirviðmiðalisti (Lýsigögn)'!$C$6:$C$41,0))),IFERROR(IF(INDEX('Undirviðmiðalisti (Lýsigögn)'!$E$42:$E$58,MATCH($C85,'Undirviðmiðalisti (Lýsigögn)'!$C$42:$C$58,0))="","",INDEX('Undirviðmiðalisti (Lýsigögn)'!$E$42:$E$58,MATCH($C85,'Undirviðmiðalisti (Lýsigögn)'!$C$42:$C$58,0))),""))))</f>
        <v/>
      </c>
      <c r="G85" s="24" t="str">
        <f aca="false">IFERROR(IF(B85="","",INDEX(Viðmið!$B$6:$B$10,MATCH(B85,Viðmið!$C$6:$C$10,0))),"")</f>
        <v/>
      </c>
      <c r="H85" s="25" t="str">
        <f aca="false">IF(OR(E85="",F85=""),"",E85*KVARDI)</f>
        <v/>
      </c>
      <c r="I85" s="26" t="str">
        <f aca="false">IF(B85="","",IF(ROUND(SUMIF($B$6:$B$205,B85,$E$6:$E$205),4)=ROUND(IFERROR(INDEX(Viðmið!$E$6:$E$10,MATCH(B85,Viðmið!$C$6:$C$10,0)),-1),4),"✓","✗"))</f>
        <v/>
      </c>
      <c r="J85" s="16" t="str">
        <f aca="false">IF($C85="","",IF($G85="Einstaklingsbundið",IFERROR(IF(INDEX('Undirviðmiðalisti (Lýsigögn)'!F$42:F$58,MATCH($C85,'Undirviðmiðalisti (Lýsigögn)'!$C$42:$C$58,0))="","",INDEX('Undirviðmiðalisti (Lýsigögn)'!F$42:F$58,MATCH($C85,'Undirviðmiðalisti (Lýsigögn)'!$C$42:$C$58,0))),""),IFERROR(IF(INDEX('Undirviðmiðalisti (Lýsigögn)'!F$6:F$41,MATCH($C85,'Undirviðmiðalisti (Lýsigögn)'!$C$6:$C$41,0))="","",INDEX('Undirviðmiðalisti (Lýsigögn)'!F$6:F$41,MATCH($C85,'Undirviðmiðalisti (Lýsigögn)'!$C$6:$C$41,0))),IFERROR(IF(INDEX('Undirviðmiðalisti (Lýsigögn)'!F$42:F$58,MATCH($C85,'Undirviðmiðalisti (Lýsigögn)'!$C$42:$C$58,0))="","",INDEX('Undirviðmiðalisti (Lýsigögn)'!F$42:F$58,MATCH($C85,'Undirviðmiðalisti (Lýsigögn)'!$C$42:$C$58,0))),""))))</f>
        <v/>
      </c>
      <c r="K85" s="16" t="str">
        <f aca="false">IF($C85="","",IF($G85="Einstaklingsbundið",IFERROR(IF(INDEX('Undirviðmiðalisti (Lýsigögn)'!G$42:G$58,MATCH($C85,'Undirviðmiðalisti (Lýsigögn)'!$C$42:$C$58,0))="","",INDEX('Undirviðmiðalisti (Lýsigögn)'!G$42:G$58,MATCH($C85,'Undirviðmiðalisti (Lýsigögn)'!$C$42:$C$58,0))),""),IFERROR(IF(INDEX('Undirviðmiðalisti (Lýsigögn)'!G$6:G$41,MATCH($C85,'Undirviðmiðalisti (Lýsigögn)'!$C$6:$C$41,0))="","",INDEX('Undirviðmiðalisti (Lýsigögn)'!G$6:G$41,MATCH($C85,'Undirviðmiðalisti (Lýsigögn)'!$C$6:$C$41,0))),IFERROR(IF(INDEX('Undirviðmiðalisti (Lýsigögn)'!G$42:G$58,MATCH($C85,'Undirviðmiðalisti (Lýsigögn)'!$C$42:$C$58,0))="","",INDEX('Undirviðmiðalisti (Lýsigögn)'!G$42:G$58,MATCH($C85,'Undirviðmiðalisti (Lýsigögn)'!$C$42:$C$58,0))),""))))</f>
        <v/>
      </c>
      <c r="L85" s="16" t="str">
        <f aca="false">IF($C85="","",IF($G85="Einstaklingsbundið",IFERROR(IF(INDEX('Undirviðmiðalisti (Lýsigögn)'!H$42:H$58,MATCH($C85,'Undirviðmiðalisti (Lýsigögn)'!$C$42:$C$58,0))="","",INDEX('Undirviðmiðalisti (Lýsigögn)'!H$42:H$58,MATCH($C85,'Undirviðmiðalisti (Lýsigögn)'!$C$42:$C$58,0))),""),IFERROR(IF(INDEX('Undirviðmiðalisti (Lýsigögn)'!H$6:H$41,MATCH($C85,'Undirviðmiðalisti (Lýsigögn)'!$C$6:$C$41,0))="","",INDEX('Undirviðmiðalisti (Lýsigögn)'!H$6:H$41,MATCH($C85,'Undirviðmiðalisti (Lýsigögn)'!$C$6:$C$41,0))),IFERROR(IF(INDEX('Undirviðmiðalisti (Lýsigögn)'!H$42:H$58,MATCH($C85,'Undirviðmiðalisti (Lýsigögn)'!$C$42:$C$58,0))="","",INDEX('Undirviðmiðalisti (Lýsigögn)'!H$42:H$58,MATCH($C85,'Undirviðmiðalisti (Lýsigögn)'!$C$42:$C$58,0))),""))))</f>
        <v/>
      </c>
      <c r="M85" s="16" t="str">
        <f aca="false">IF($C85="","",IF($G85="Einstaklingsbundið",IFERROR(IF(INDEX('Undirviðmiðalisti (Lýsigögn)'!I$42:I$58,MATCH($C85,'Undirviðmiðalisti (Lýsigögn)'!$C$42:$C$58,0))="","",INDEX('Undirviðmiðalisti (Lýsigögn)'!I$42:I$58,MATCH($C85,'Undirviðmiðalisti (Lýsigögn)'!$C$42:$C$58,0))),""),IFERROR(IF(INDEX('Undirviðmiðalisti (Lýsigögn)'!I$6:I$41,MATCH($C85,'Undirviðmiðalisti (Lýsigögn)'!$C$6:$C$41,0))="","",INDEX('Undirviðmiðalisti (Lýsigögn)'!I$6:I$41,MATCH($C85,'Undirviðmiðalisti (Lýsigögn)'!$C$6:$C$41,0))),IFERROR(IF(INDEX('Undirviðmiðalisti (Lýsigögn)'!I$42:I$58,MATCH($C85,'Undirviðmiðalisti (Lýsigögn)'!$C$42:$C$58,0))="","",INDEX('Undirviðmiðalisti (Lýsigögn)'!I$42:I$58,MATCH($C85,'Undirviðmiðalisti (Lýsigögn)'!$C$42:$C$58,0))),""))))</f>
        <v/>
      </c>
      <c r="N85" s="16" t="str">
        <f aca="false">IF($C85="","",IF($G85="Einstaklingsbundið",IFERROR(IF(INDEX('Undirviðmiðalisti (Lýsigögn)'!J$42:J$58,MATCH($C85,'Undirviðmiðalisti (Lýsigögn)'!$C$42:$C$58,0))="","",INDEX('Undirviðmiðalisti (Lýsigögn)'!J$42:J$58,MATCH($C85,'Undirviðmiðalisti (Lýsigögn)'!$C$42:$C$58,0))),""),IFERROR(IF(INDEX('Undirviðmiðalisti (Lýsigögn)'!J$6:J$41,MATCH($C85,'Undirviðmiðalisti (Lýsigögn)'!$C$6:$C$41,0))="","",INDEX('Undirviðmiðalisti (Lýsigögn)'!J$6:J$41,MATCH($C85,'Undirviðmiðalisti (Lýsigögn)'!$C$6:$C$41,0))),IFERROR(IF(INDEX('Undirviðmiðalisti (Lýsigögn)'!J$42:J$58,MATCH($C85,'Undirviðmiðalisti (Lýsigögn)'!$C$42:$C$58,0))="","",INDEX('Undirviðmiðalisti (Lýsigögn)'!J$42:J$58,MATCH($C85,'Undirviðmiðalisti (Lýsigögn)'!$C$42:$C$58,0))),""))))</f>
        <v/>
      </c>
      <c r="O85" s="16" t="str">
        <f aca="false">IF($C85="","",IF($G85="Einstaklingsbundið",IFERROR(IF(INDEX('Undirviðmiðalisti (Lýsigögn)'!K$42:K$58,MATCH($C85,'Undirviðmiðalisti (Lýsigögn)'!$C$42:$C$58,0))="","",INDEX('Undirviðmiðalisti (Lýsigögn)'!K$42:K$58,MATCH($C85,'Undirviðmiðalisti (Lýsigögn)'!$C$42:$C$58,0))),""),IFERROR(IF(INDEX('Undirviðmiðalisti (Lýsigögn)'!K$6:K$41,MATCH($C85,'Undirviðmiðalisti (Lýsigögn)'!$C$6:$C$41,0))="","",INDEX('Undirviðmiðalisti (Lýsigögn)'!K$6:K$41,MATCH($C85,'Undirviðmiðalisti (Lýsigögn)'!$C$6:$C$41,0))),IFERROR(IF(INDEX('Undirviðmiðalisti (Lýsigögn)'!K$42:K$58,MATCH($C85,'Undirviðmiðalisti (Lýsigögn)'!$C$42:$C$58,0))="","",INDEX('Undirviðmiðalisti (Lýsigögn)'!K$42:K$58,MATCH($C85,'Undirviðmiðalisti (Lýsigögn)'!$C$42:$C$58,0))),""))))</f>
        <v/>
      </c>
      <c r="P85" s="16" t="str">
        <f aca="false">IF($C85="","",IF($G85="Einstaklingsbundið",IFERROR(IF(INDEX('Undirviðmiðalisti (Lýsigögn)'!L$42:L$58,MATCH($C85,'Undirviðmiðalisti (Lýsigögn)'!$C$42:$C$58,0))="","",INDEX('Undirviðmiðalisti (Lýsigögn)'!L$42:L$58,MATCH($C85,'Undirviðmiðalisti (Lýsigögn)'!$C$42:$C$58,0))),""),IFERROR(IF(INDEX('Undirviðmiðalisti (Lýsigögn)'!L$6:L$41,MATCH($C85,'Undirviðmiðalisti (Lýsigögn)'!$C$6:$C$41,0))="","",INDEX('Undirviðmiðalisti (Lýsigögn)'!L$6:L$41,MATCH($C85,'Undirviðmiðalisti (Lýsigögn)'!$C$6:$C$41,0))),IFERROR(IF(INDEX('Undirviðmiðalisti (Lýsigögn)'!L$42:L$58,MATCH($C85,'Undirviðmiðalisti (Lýsigögn)'!$C$42:$C$58,0))="","",INDEX('Undirviðmiðalisti (Lýsigögn)'!L$42:L$58,MATCH($C85,'Undirviðmiðalisti (Lýsigögn)'!$C$42:$C$58,0))),""))))</f>
        <v/>
      </c>
      <c r="Q85" s="16" t="str">
        <f aca="false">IF($C85="","",IF($G85="Einstaklingsbundið",IFERROR(IF(INDEX('Undirviðmiðalisti (Lýsigögn)'!M$42:M$58,MATCH($C85,'Undirviðmiðalisti (Lýsigögn)'!$C$42:$C$58,0))="","",INDEX('Undirviðmiðalisti (Lýsigögn)'!M$42:M$58,MATCH($C85,'Undirviðmiðalisti (Lýsigögn)'!$C$42:$C$58,0))),""),IFERROR(IF(INDEX('Undirviðmiðalisti (Lýsigögn)'!M$6:M$41,MATCH($C85,'Undirviðmiðalisti (Lýsigögn)'!$C$6:$C$41,0))="","",INDEX('Undirviðmiðalisti (Lýsigögn)'!M$6:M$41,MATCH($C85,'Undirviðmiðalisti (Lýsigögn)'!$C$6:$C$41,0))),IFERROR(IF(INDEX('Undirviðmiðalisti (Lýsigögn)'!M$42:M$58,MATCH($C85,'Undirviðmiðalisti (Lýsigögn)'!$C$42:$C$58,0))="","",INDEX('Undirviðmiðalisti (Lýsigögn)'!M$42:M$58,MATCH($C85,'Undirviðmiðalisti (Lýsigögn)'!$C$42:$C$58,0))),""))))</f>
        <v/>
      </c>
    </row>
    <row r="86" customFormat="false" ht="15" hidden="false" customHeight="true" outlineLevel="0" collapsed="false">
      <c r="A86" s="22" t="str">
        <f aca="false">IF($B86="","",ROW()-5)</f>
        <v/>
      </c>
      <c r="B86" s="15"/>
      <c r="C86" s="15"/>
      <c r="D86" s="16" t="str">
        <f aca="false">IF($C86="","",IF($G86="Einstaklingsbundið",IFERROR(IF(INDEX('Undirviðmiðalisti (Lýsigögn)'!$D$42:$D$58,MATCH($C86,'Undirviðmiðalisti (Lýsigögn)'!$C$42:$C$58,0))="","",INDEX('Undirviðmiðalisti (Lýsigögn)'!$D$42:$D$58,MATCH($C86,'Undirviðmiðalisti (Lýsigögn)'!$C$42:$C$58,0))),""),IFERROR(IF(INDEX('Undirviðmiðalisti (Lýsigögn)'!$D$6:$D$41,MATCH($C86,'Undirviðmiðalisti (Lýsigögn)'!$C$6:$C$41,0))="","",INDEX('Undirviðmiðalisti (Lýsigögn)'!$D$6:$D$41,MATCH($C86,'Undirviðmiðalisti (Lýsigögn)'!$C$6:$C$41,0))),IFERROR(IF(INDEX('Undirviðmiðalisti (Lýsigögn)'!$D$42:$D$58,MATCH($C86,'Undirviðmiðalisti (Lýsigögn)'!$C$42:$C$58,0))="","",INDEX('Undirviðmiðalisti (Lýsigögn)'!$D$42:$D$58,MATCH($C86,'Undirviðmiðalisti (Lýsigögn)'!$C$42:$C$58,0))),""))))</f>
        <v/>
      </c>
      <c r="E86" s="14"/>
      <c r="F86" s="23" t="str">
        <f aca="false">IF($C86="","",IF($G86="Einstaklingsbundið",IFERROR(IF(INDEX('Undirviðmiðalisti (Lýsigögn)'!$E$42:$E$58,MATCH($C86,'Undirviðmiðalisti (Lýsigögn)'!$C$42:$C$58,0))="","",INDEX('Undirviðmiðalisti (Lýsigögn)'!$E$42:$E$58,MATCH($C86,'Undirviðmiðalisti (Lýsigögn)'!$C$42:$C$58,0))),""),IFERROR(IF(INDEX('Undirviðmiðalisti (Lýsigögn)'!$E$6:$E$41,MATCH($C86,'Undirviðmiðalisti (Lýsigögn)'!$C$6:$C$41,0))="","",INDEX('Undirviðmiðalisti (Lýsigögn)'!$E$6:$E$41,MATCH($C86,'Undirviðmiðalisti (Lýsigögn)'!$C$6:$C$41,0))),IFERROR(IF(INDEX('Undirviðmiðalisti (Lýsigögn)'!$E$42:$E$58,MATCH($C86,'Undirviðmiðalisti (Lýsigögn)'!$C$42:$C$58,0))="","",INDEX('Undirviðmiðalisti (Lýsigögn)'!$E$42:$E$58,MATCH($C86,'Undirviðmiðalisti (Lýsigögn)'!$C$42:$C$58,0))),""))))</f>
        <v/>
      </c>
      <c r="G86" s="24" t="str">
        <f aca="false">IFERROR(IF(B86="","",INDEX(Viðmið!$B$6:$B$10,MATCH(B86,Viðmið!$C$6:$C$10,0))),"")</f>
        <v/>
      </c>
      <c r="H86" s="25" t="str">
        <f aca="false">IF(OR(E86="",F86=""),"",E86*KVARDI)</f>
        <v/>
      </c>
      <c r="I86" s="26" t="str">
        <f aca="false">IF(B86="","",IF(ROUND(SUMIF($B$6:$B$205,B86,$E$6:$E$205),4)=ROUND(IFERROR(INDEX(Viðmið!$E$6:$E$10,MATCH(B86,Viðmið!$C$6:$C$10,0)),-1),4),"✓","✗"))</f>
        <v/>
      </c>
      <c r="J86" s="16" t="str">
        <f aca="false">IF($C86="","",IF($G86="Einstaklingsbundið",IFERROR(IF(INDEX('Undirviðmiðalisti (Lýsigögn)'!F$42:F$58,MATCH($C86,'Undirviðmiðalisti (Lýsigögn)'!$C$42:$C$58,0))="","",INDEX('Undirviðmiðalisti (Lýsigögn)'!F$42:F$58,MATCH($C86,'Undirviðmiðalisti (Lýsigögn)'!$C$42:$C$58,0))),""),IFERROR(IF(INDEX('Undirviðmiðalisti (Lýsigögn)'!F$6:F$41,MATCH($C86,'Undirviðmiðalisti (Lýsigögn)'!$C$6:$C$41,0))="","",INDEX('Undirviðmiðalisti (Lýsigögn)'!F$6:F$41,MATCH($C86,'Undirviðmiðalisti (Lýsigögn)'!$C$6:$C$41,0))),IFERROR(IF(INDEX('Undirviðmiðalisti (Lýsigögn)'!F$42:F$58,MATCH($C86,'Undirviðmiðalisti (Lýsigögn)'!$C$42:$C$58,0))="","",INDEX('Undirviðmiðalisti (Lýsigögn)'!F$42:F$58,MATCH($C86,'Undirviðmiðalisti (Lýsigögn)'!$C$42:$C$58,0))),""))))</f>
        <v/>
      </c>
      <c r="K86" s="16" t="str">
        <f aca="false">IF($C86="","",IF($G86="Einstaklingsbundið",IFERROR(IF(INDEX('Undirviðmiðalisti (Lýsigögn)'!G$42:G$58,MATCH($C86,'Undirviðmiðalisti (Lýsigögn)'!$C$42:$C$58,0))="","",INDEX('Undirviðmiðalisti (Lýsigögn)'!G$42:G$58,MATCH($C86,'Undirviðmiðalisti (Lýsigögn)'!$C$42:$C$58,0))),""),IFERROR(IF(INDEX('Undirviðmiðalisti (Lýsigögn)'!G$6:G$41,MATCH($C86,'Undirviðmiðalisti (Lýsigögn)'!$C$6:$C$41,0))="","",INDEX('Undirviðmiðalisti (Lýsigögn)'!G$6:G$41,MATCH($C86,'Undirviðmiðalisti (Lýsigögn)'!$C$6:$C$41,0))),IFERROR(IF(INDEX('Undirviðmiðalisti (Lýsigögn)'!G$42:G$58,MATCH($C86,'Undirviðmiðalisti (Lýsigögn)'!$C$42:$C$58,0))="","",INDEX('Undirviðmiðalisti (Lýsigögn)'!G$42:G$58,MATCH($C86,'Undirviðmiðalisti (Lýsigögn)'!$C$42:$C$58,0))),""))))</f>
        <v/>
      </c>
      <c r="L86" s="16" t="str">
        <f aca="false">IF($C86="","",IF($G86="Einstaklingsbundið",IFERROR(IF(INDEX('Undirviðmiðalisti (Lýsigögn)'!H$42:H$58,MATCH($C86,'Undirviðmiðalisti (Lýsigögn)'!$C$42:$C$58,0))="","",INDEX('Undirviðmiðalisti (Lýsigögn)'!H$42:H$58,MATCH($C86,'Undirviðmiðalisti (Lýsigögn)'!$C$42:$C$58,0))),""),IFERROR(IF(INDEX('Undirviðmiðalisti (Lýsigögn)'!H$6:H$41,MATCH($C86,'Undirviðmiðalisti (Lýsigögn)'!$C$6:$C$41,0))="","",INDEX('Undirviðmiðalisti (Lýsigögn)'!H$6:H$41,MATCH($C86,'Undirviðmiðalisti (Lýsigögn)'!$C$6:$C$41,0))),IFERROR(IF(INDEX('Undirviðmiðalisti (Lýsigögn)'!H$42:H$58,MATCH($C86,'Undirviðmiðalisti (Lýsigögn)'!$C$42:$C$58,0))="","",INDEX('Undirviðmiðalisti (Lýsigögn)'!H$42:H$58,MATCH($C86,'Undirviðmiðalisti (Lýsigögn)'!$C$42:$C$58,0))),""))))</f>
        <v/>
      </c>
      <c r="M86" s="16" t="str">
        <f aca="false">IF($C86="","",IF($G86="Einstaklingsbundið",IFERROR(IF(INDEX('Undirviðmiðalisti (Lýsigögn)'!I$42:I$58,MATCH($C86,'Undirviðmiðalisti (Lýsigögn)'!$C$42:$C$58,0))="","",INDEX('Undirviðmiðalisti (Lýsigögn)'!I$42:I$58,MATCH($C86,'Undirviðmiðalisti (Lýsigögn)'!$C$42:$C$58,0))),""),IFERROR(IF(INDEX('Undirviðmiðalisti (Lýsigögn)'!I$6:I$41,MATCH($C86,'Undirviðmiðalisti (Lýsigögn)'!$C$6:$C$41,0))="","",INDEX('Undirviðmiðalisti (Lýsigögn)'!I$6:I$41,MATCH($C86,'Undirviðmiðalisti (Lýsigögn)'!$C$6:$C$41,0))),IFERROR(IF(INDEX('Undirviðmiðalisti (Lýsigögn)'!I$42:I$58,MATCH($C86,'Undirviðmiðalisti (Lýsigögn)'!$C$42:$C$58,0))="","",INDEX('Undirviðmiðalisti (Lýsigögn)'!I$42:I$58,MATCH($C86,'Undirviðmiðalisti (Lýsigögn)'!$C$42:$C$58,0))),""))))</f>
        <v/>
      </c>
      <c r="N86" s="16" t="str">
        <f aca="false">IF($C86="","",IF($G86="Einstaklingsbundið",IFERROR(IF(INDEX('Undirviðmiðalisti (Lýsigögn)'!J$42:J$58,MATCH($C86,'Undirviðmiðalisti (Lýsigögn)'!$C$42:$C$58,0))="","",INDEX('Undirviðmiðalisti (Lýsigögn)'!J$42:J$58,MATCH($C86,'Undirviðmiðalisti (Lýsigögn)'!$C$42:$C$58,0))),""),IFERROR(IF(INDEX('Undirviðmiðalisti (Lýsigögn)'!J$6:J$41,MATCH($C86,'Undirviðmiðalisti (Lýsigögn)'!$C$6:$C$41,0))="","",INDEX('Undirviðmiðalisti (Lýsigögn)'!J$6:J$41,MATCH($C86,'Undirviðmiðalisti (Lýsigögn)'!$C$6:$C$41,0))),IFERROR(IF(INDEX('Undirviðmiðalisti (Lýsigögn)'!J$42:J$58,MATCH($C86,'Undirviðmiðalisti (Lýsigögn)'!$C$42:$C$58,0))="","",INDEX('Undirviðmiðalisti (Lýsigögn)'!J$42:J$58,MATCH($C86,'Undirviðmiðalisti (Lýsigögn)'!$C$42:$C$58,0))),""))))</f>
        <v/>
      </c>
      <c r="O86" s="16" t="str">
        <f aca="false">IF($C86="","",IF($G86="Einstaklingsbundið",IFERROR(IF(INDEX('Undirviðmiðalisti (Lýsigögn)'!K$42:K$58,MATCH($C86,'Undirviðmiðalisti (Lýsigögn)'!$C$42:$C$58,0))="","",INDEX('Undirviðmiðalisti (Lýsigögn)'!K$42:K$58,MATCH($C86,'Undirviðmiðalisti (Lýsigögn)'!$C$42:$C$58,0))),""),IFERROR(IF(INDEX('Undirviðmiðalisti (Lýsigögn)'!K$6:K$41,MATCH($C86,'Undirviðmiðalisti (Lýsigögn)'!$C$6:$C$41,0))="","",INDEX('Undirviðmiðalisti (Lýsigögn)'!K$6:K$41,MATCH($C86,'Undirviðmiðalisti (Lýsigögn)'!$C$6:$C$41,0))),IFERROR(IF(INDEX('Undirviðmiðalisti (Lýsigögn)'!K$42:K$58,MATCH($C86,'Undirviðmiðalisti (Lýsigögn)'!$C$42:$C$58,0))="","",INDEX('Undirviðmiðalisti (Lýsigögn)'!K$42:K$58,MATCH($C86,'Undirviðmiðalisti (Lýsigögn)'!$C$42:$C$58,0))),""))))</f>
        <v/>
      </c>
      <c r="P86" s="16" t="str">
        <f aca="false">IF($C86="","",IF($G86="Einstaklingsbundið",IFERROR(IF(INDEX('Undirviðmiðalisti (Lýsigögn)'!L$42:L$58,MATCH($C86,'Undirviðmiðalisti (Lýsigögn)'!$C$42:$C$58,0))="","",INDEX('Undirviðmiðalisti (Lýsigögn)'!L$42:L$58,MATCH($C86,'Undirviðmiðalisti (Lýsigögn)'!$C$42:$C$58,0))),""),IFERROR(IF(INDEX('Undirviðmiðalisti (Lýsigögn)'!L$6:L$41,MATCH($C86,'Undirviðmiðalisti (Lýsigögn)'!$C$6:$C$41,0))="","",INDEX('Undirviðmiðalisti (Lýsigögn)'!L$6:L$41,MATCH($C86,'Undirviðmiðalisti (Lýsigögn)'!$C$6:$C$41,0))),IFERROR(IF(INDEX('Undirviðmiðalisti (Lýsigögn)'!L$42:L$58,MATCH($C86,'Undirviðmiðalisti (Lýsigögn)'!$C$42:$C$58,0))="","",INDEX('Undirviðmiðalisti (Lýsigögn)'!L$42:L$58,MATCH($C86,'Undirviðmiðalisti (Lýsigögn)'!$C$42:$C$58,0))),""))))</f>
        <v/>
      </c>
      <c r="Q86" s="16" t="str">
        <f aca="false">IF($C86="","",IF($G86="Einstaklingsbundið",IFERROR(IF(INDEX('Undirviðmiðalisti (Lýsigögn)'!M$42:M$58,MATCH($C86,'Undirviðmiðalisti (Lýsigögn)'!$C$42:$C$58,0))="","",INDEX('Undirviðmiðalisti (Lýsigögn)'!M$42:M$58,MATCH($C86,'Undirviðmiðalisti (Lýsigögn)'!$C$42:$C$58,0))),""),IFERROR(IF(INDEX('Undirviðmiðalisti (Lýsigögn)'!M$6:M$41,MATCH($C86,'Undirviðmiðalisti (Lýsigögn)'!$C$6:$C$41,0))="","",INDEX('Undirviðmiðalisti (Lýsigögn)'!M$6:M$41,MATCH($C86,'Undirviðmiðalisti (Lýsigögn)'!$C$6:$C$41,0))),IFERROR(IF(INDEX('Undirviðmiðalisti (Lýsigögn)'!M$42:M$58,MATCH($C86,'Undirviðmiðalisti (Lýsigögn)'!$C$42:$C$58,0))="","",INDEX('Undirviðmiðalisti (Lýsigögn)'!M$42:M$58,MATCH($C86,'Undirviðmiðalisti (Lýsigögn)'!$C$42:$C$58,0))),""))))</f>
        <v/>
      </c>
    </row>
    <row r="87" customFormat="false" ht="15" hidden="false" customHeight="true" outlineLevel="0" collapsed="false">
      <c r="A87" s="22" t="str">
        <f aca="false">IF($B87="","",ROW()-5)</f>
        <v/>
      </c>
      <c r="B87" s="15"/>
      <c r="C87" s="15"/>
      <c r="D87" s="16" t="str">
        <f aca="false">IF($C87="","",IF($G87="Einstaklingsbundið",IFERROR(IF(INDEX('Undirviðmiðalisti (Lýsigögn)'!$D$42:$D$58,MATCH($C87,'Undirviðmiðalisti (Lýsigögn)'!$C$42:$C$58,0))="","",INDEX('Undirviðmiðalisti (Lýsigögn)'!$D$42:$D$58,MATCH($C87,'Undirviðmiðalisti (Lýsigögn)'!$C$42:$C$58,0))),""),IFERROR(IF(INDEX('Undirviðmiðalisti (Lýsigögn)'!$D$6:$D$41,MATCH($C87,'Undirviðmiðalisti (Lýsigögn)'!$C$6:$C$41,0))="","",INDEX('Undirviðmiðalisti (Lýsigögn)'!$D$6:$D$41,MATCH($C87,'Undirviðmiðalisti (Lýsigögn)'!$C$6:$C$41,0))),IFERROR(IF(INDEX('Undirviðmiðalisti (Lýsigögn)'!$D$42:$D$58,MATCH($C87,'Undirviðmiðalisti (Lýsigögn)'!$C$42:$C$58,0))="","",INDEX('Undirviðmiðalisti (Lýsigögn)'!$D$42:$D$58,MATCH($C87,'Undirviðmiðalisti (Lýsigögn)'!$C$42:$C$58,0))),""))))</f>
        <v/>
      </c>
      <c r="E87" s="14"/>
      <c r="F87" s="23" t="str">
        <f aca="false">IF($C87="","",IF($G87="Einstaklingsbundið",IFERROR(IF(INDEX('Undirviðmiðalisti (Lýsigögn)'!$E$42:$E$58,MATCH($C87,'Undirviðmiðalisti (Lýsigögn)'!$C$42:$C$58,0))="","",INDEX('Undirviðmiðalisti (Lýsigögn)'!$E$42:$E$58,MATCH($C87,'Undirviðmiðalisti (Lýsigögn)'!$C$42:$C$58,0))),""),IFERROR(IF(INDEX('Undirviðmiðalisti (Lýsigögn)'!$E$6:$E$41,MATCH($C87,'Undirviðmiðalisti (Lýsigögn)'!$C$6:$C$41,0))="","",INDEX('Undirviðmiðalisti (Lýsigögn)'!$E$6:$E$41,MATCH($C87,'Undirviðmiðalisti (Lýsigögn)'!$C$6:$C$41,0))),IFERROR(IF(INDEX('Undirviðmiðalisti (Lýsigögn)'!$E$42:$E$58,MATCH($C87,'Undirviðmiðalisti (Lýsigögn)'!$C$42:$C$58,0))="","",INDEX('Undirviðmiðalisti (Lýsigögn)'!$E$42:$E$58,MATCH($C87,'Undirviðmiðalisti (Lýsigögn)'!$C$42:$C$58,0))),""))))</f>
        <v/>
      </c>
      <c r="G87" s="24" t="str">
        <f aca="false">IFERROR(IF(B87="","",INDEX(Viðmið!$B$6:$B$10,MATCH(B87,Viðmið!$C$6:$C$10,0))),"")</f>
        <v/>
      </c>
      <c r="H87" s="25" t="str">
        <f aca="false">IF(OR(E87="",F87=""),"",E87*KVARDI)</f>
        <v/>
      </c>
      <c r="I87" s="26" t="str">
        <f aca="false">IF(B87="","",IF(ROUND(SUMIF($B$6:$B$205,B87,$E$6:$E$205),4)=ROUND(IFERROR(INDEX(Viðmið!$E$6:$E$10,MATCH(B87,Viðmið!$C$6:$C$10,0)),-1),4),"✓","✗"))</f>
        <v/>
      </c>
      <c r="J87" s="16" t="str">
        <f aca="false">IF($C87="","",IF($G87="Einstaklingsbundið",IFERROR(IF(INDEX('Undirviðmiðalisti (Lýsigögn)'!F$42:F$58,MATCH($C87,'Undirviðmiðalisti (Lýsigögn)'!$C$42:$C$58,0))="","",INDEX('Undirviðmiðalisti (Lýsigögn)'!F$42:F$58,MATCH($C87,'Undirviðmiðalisti (Lýsigögn)'!$C$42:$C$58,0))),""),IFERROR(IF(INDEX('Undirviðmiðalisti (Lýsigögn)'!F$6:F$41,MATCH($C87,'Undirviðmiðalisti (Lýsigögn)'!$C$6:$C$41,0))="","",INDEX('Undirviðmiðalisti (Lýsigögn)'!F$6:F$41,MATCH($C87,'Undirviðmiðalisti (Lýsigögn)'!$C$6:$C$41,0))),IFERROR(IF(INDEX('Undirviðmiðalisti (Lýsigögn)'!F$42:F$58,MATCH($C87,'Undirviðmiðalisti (Lýsigögn)'!$C$42:$C$58,0))="","",INDEX('Undirviðmiðalisti (Lýsigögn)'!F$42:F$58,MATCH($C87,'Undirviðmiðalisti (Lýsigögn)'!$C$42:$C$58,0))),""))))</f>
        <v/>
      </c>
      <c r="K87" s="16" t="str">
        <f aca="false">IF($C87="","",IF($G87="Einstaklingsbundið",IFERROR(IF(INDEX('Undirviðmiðalisti (Lýsigögn)'!G$42:G$58,MATCH($C87,'Undirviðmiðalisti (Lýsigögn)'!$C$42:$C$58,0))="","",INDEX('Undirviðmiðalisti (Lýsigögn)'!G$42:G$58,MATCH($C87,'Undirviðmiðalisti (Lýsigögn)'!$C$42:$C$58,0))),""),IFERROR(IF(INDEX('Undirviðmiðalisti (Lýsigögn)'!G$6:G$41,MATCH($C87,'Undirviðmiðalisti (Lýsigögn)'!$C$6:$C$41,0))="","",INDEX('Undirviðmiðalisti (Lýsigögn)'!G$6:G$41,MATCH($C87,'Undirviðmiðalisti (Lýsigögn)'!$C$6:$C$41,0))),IFERROR(IF(INDEX('Undirviðmiðalisti (Lýsigögn)'!G$42:G$58,MATCH($C87,'Undirviðmiðalisti (Lýsigögn)'!$C$42:$C$58,0))="","",INDEX('Undirviðmiðalisti (Lýsigögn)'!G$42:G$58,MATCH($C87,'Undirviðmiðalisti (Lýsigögn)'!$C$42:$C$58,0))),""))))</f>
        <v/>
      </c>
      <c r="L87" s="16" t="str">
        <f aca="false">IF($C87="","",IF($G87="Einstaklingsbundið",IFERROR(IF(INDEX('Undirviðmiðalisti (Lýsigögn)'!H$42:H$58,MATCH($C87,'Undirviðmiðalisti (Lýsigögn)'!$C$42:$C$58,0))="","",INDEX('Undirviðmiðalisti (Lýsigögn)'!H$42:H$58,MATCH($C87,'Undirviðmiðalisti (Lýsigögn)'!$C$42:$C$58,0))),""),IFERROR(IF(INDEX('Undirviðmiðalisti (Lýsigögn)'!H$6:H$41,MATCH($C87,'Undirviðmiðalisti (Lýsigögn)'!$C$6:$C$41,0))="","",INDEX('Undirviðmiðalisti (Lýsigögn)'!H$6:H$41,MATCH($C87,'Undirviðmiðalisti (Lýsigögn)'!$C$6:$C$41,0))),IFERROR(IF(INDEX('Undirviðmiðalisti (Lýsigögn)'!H$42:H$58,MATCH($C87,'Undirviðmiðalisti (Lýsigögn)'!$C$42:$C$58,0))="","",INDEX('Undirviðmiðalisti (Lýsigögn)'!H$42:H$58,MATCH($C87,'Undirviðmiðalisti (Lýsigögn)'!$C$42:$C$58,0))),""))))</f>
        <v/>
      </c>
      <c r="M87" s="16" t="str">
        <f aca="false">IF($C87="","",IF($G87="Einstaklingsbundið",IFERROR(IF(INDEX('Undirviðmiðalisti (Lýsigögn)'!I$42:I$58,MATCH($C87,'Undirviðmiðalisti (Lýsigögn)'!$C$42:$C$58,0))="","",INDEX('Undirviðmiðalisti (Lýsigögn)'!I$42:I$58,MATCH($C87,'Undirviðmiðalisti (Lýsigögn)'!$C$42:$C$58,0))),""),IFERROR(IF(INDEX('Undirviðmiðalisti (Lýsigögn)'!I$6:I$41,MATCH($C87,'Undirviðmiðalisti (Lýsigögn)'!$C$6:$C$41,0))="","",INDEX('Undirviðmiðalisti (Lýsigögn)'!I$6:I$41,MATCH($C87,'Undirviðmiðalisti (Lýsigögn)'!$C$6:$C$41,0))),IFERROR(IF(INDEX('Undirviðmiðalisti (Lýsigögn)'!I$42:I$58,MATCH($C87,'Undirviðmiðalisti (Lýsigögn)'!$C$42:$C$58,0))="","",INDEX('Undirviðmiðalisti (Lýsigögn)'!I$42:I$58,MATCH($C87,'Undirviðmiðalisti (Lýsigögn)'!$C$42:$C$58,0))),""))))</f>
        <v/>
      </c>
      <c r="N87" s="16" t="str">
        <f aca="false">IF($C87="","",IF($G87="Einstaklingsbundið",IFERROR(IF(INDEX('Undirviðmiðalisti (Lýsigögn)'!J$42:J$58,MATCH($C87,'Undirviðmiðalisti (Lýsigögn)'!$C$42:$C$58,0))="","",INDEX('Undirviðmiðalisti (Lýsigögn)'!J$42:J$58,MATCH($C87,'Undirviðmiðalisti (Lýsigögn)'!$C$42:$C$58,0))),""),IFERROR(IF(INDEX('Undirviðmiðalisti (Lýsigögn)'!J$6:J$41,MATCH($C87,'Undirviðmiðalisti (Lýsigögn)'!$C$6:$C$41,0))="","",INDEX('Undirviðmiðalisti (Lýsigögn)'!J$6:J$41,MATCH($C87,'Undirviðmiðalisti (Lýsigögn)'!$C$6:$C$41,0))),IFERROR(IF(INDEX('Undirviðmiðalisti (Lýsigögn)'!J$42:J$58,MATCH($C87,'Undirviðmiðalisti (Lýsigögn)'!$C$42:$C$58,0))="","",INDEX('Undirviðmiðalisti (Lýsigögn)'!J$42:J$58,MATCH($C87,'Undirviðmiðalisti (Lýsigögn)'!$C$42:$C$58,0))),""))))</f>
        <v/>
      </c>
      <c r="O87" s="16" t="str">
        <f aca="false">IF($C87="","",IF($G87="Einstaklingsbundið",IFERROR(IF(INDEX('Undirviðmiðalisti (Lýsigögn)'!K$42:K$58,MATCH($C87,'Undirviðmiðalisti (Lýsigögn)'!$C$42:$C$58,0))="","",INDEX('Undirviðmiðalisti (Lýsigögn)'!K$42:K$58,MATCH($C87,'Undirviðmiðalisti (Lýsigögn)'!$C$42:$C$58,0))),""),IFERROR(IF(INDEX('Undirviðmiðalisti (Lýsigögn)'!K$6:K$41,MATCH($C87,'Undirviðmiðalisti (Lýsigögn)'!$C$6:$C$41,0))="","",INDEX('Undirviðmiðalisti (Lýsigögn)'!K$6:K$41,MATCH($C87,'Undirviðmiðalisti (Lýsigögn)'!$C$6:$C$41,0))),IFERROR(IF(INDEX('Undirviðmiðalisti (Lýsigögn)'!K$42:K$58,MATCH($C87,'Undirviðmiðalisti (Lýsigögn)'!$C$42:$C$58,0))="","",INDEX('Undirviðmiðalisti (Lýsigögn)'!K$42:K$58,MATCH($C87,'Undirviðmiðalisti (Lýsigögn)'!$C$42:$C$58,0))),""))))</f>
        <v/>
      </c>
      <c r="P87" s="16" t="str">
        <f aca="false">IF($C87="","",IF($G87="Einstaklingsbundið",IFERROR(IF(INDEX('Undirviðmiðalisti (Lýsigögn)'!L$42:L$58,MATCH($C87,'Undirviðmiðalisti (Lýsigögn)'!$C$42:$C$58,0))="","",INDEX('Undirviðmiðalisti (Lýsigögn)'!L$42:L$58,MATCH($C87,'Undirviðmiðalisti (Lýsigögn)'!$C$42:$C$58,0))),""),IFERROR(IF(INDEX('Undirviðmiðalisti (Lýsigögn)'!L$6:L$41,MATCH($C87,'Undirviðmiðalisti (Lýsigögn)'!$C$6:$C$41,0))="","",INDEX('Undirviðmiðalisti (Lýsigögn)'!L$6:L$41,MATCH($C87,'Undirviðmiðalisti (Lýsigögn)'!$C$6:$C$41,0))),IFERROR(IF(INDEX('Undirviðmiðalisti (Lýsigögn)'!L$42:L$58,MATCH($C87,'Undirviðmiðalisti (Lýsigögn)'!$C$42:$C$58,0))="","",INDEX('Undirviðmiðalisti (Lýsigögn)'!L$42:L$58,MATCH($C87,'Undirviðmiðalisti (Lýsigögn)'!$C$42:$C$58,0))),""))))</f>
        <v/>
      </c>
      <c r="Q87" s="16" t="str">
        <f aca="false">IF($C87="","",IF($G87="Einstaklingsbundið",IFERROR(IF(INDEX('Undirviðmiðalisti (Lýsigögn)'!M$42:M$58,MATCH($C87,'Undirviðmiðalisti (Lýsigögn)'!$C$42:$C$58,0))="","",INDEX('Undirviðmiðalisti (Lýsigögn)'!M$42:M$58,MATCH($C87,'Undirviðmiðalisti (Lýsigögn)'!$C$42:$C$58,0))),""),IFERROR(IF(INDEX('Undirviðmiðalisti (Lýsigögn)'!M$6:M$41,MATCH($C87,'Undirviðmiðalisti (Lýsigögn)'!$C$6:$C$41,0))="","",INDEX('Undirviðmiðalisti (Lýsigögn)'!M$6:M$41,MATCH($C87,'Undirviðmiðalisti (Lýsigögn)'!$C$6:$C$41,0))),IFERROR(IF(INDEX('Undirviðmiðalisti (Lýsigögn)'!M$42:M$58,MATCH($C87,'Undirviðmiðalisti (Lýsigögn)'!$C$42:$C$58,0))="","",INDEX('Undirviðmiðalisti (Lýsigögn)'!M$42:M$58,MATCH($C87,'Undirviðmiðalisti (Lýsigögn)'!$C$42:$C$58,0))),""))))</f>
        <v/>
      </c>
    </row>
    <row r="88" customFormat="false" ht="15" hidden="false" customHeight="true" outlineLevel="0" collapsed="false">
      <c r="A88" s="22" t="str">
        <f aca="false">IF($B88="","",ROW()-5)</f>
        <v/>
      </c>
      <c r="B88" s="15"/>
      <c r="C88" s="15"/>
      <c r="D88" s="16" t="str">
        <f aca="false">IF($C88="","",IF($G88="Einstaklingsbundið",IFERROR(IF(INDEX('Undirviðmiðalisti (Lýsigögn)'!$D$42:$D$58,MATCH($C88,'Undirviðmiðalisti (Lýsigögn)'!$C$42:$C$58,0))="","",INDEX('Undirviðmiðalisti (Lýsigögn)'!$D$42:$D$58,MATCH($C88,'Undirviðmiðalisti (Lýsigögn)'!$C$42:$C$58,0))),""),IFERROR(IF(INDEX('Undirviðmiðalisti (Lýsigögn)'!$D$6:$D$41,MATCH($C88,'Undirviðmiðalisti (Lýsigögn)'!$C$6:$C$41,0))="","",INDEX('Undirviðmiðalisti (Lýsigögn)'!$D$6:$D$41,MATCH($C88,'Undirviðmiðalisti (Lýsigögn)'!$C$6:$C$41,0))),IFERROR(IF(INDEX('Undirviðmiðalisti (Lýsigögn)'!$D$42:$D$58,MATCH($C88,'Undirviðmiðalisti (Lýsigögn)'!$C$42:$C$58,0))="","",INDEX('Undirviðmiðalisti (Lýsigögn)'!$D$42:$D$58,MATCH($C88,'Undirviðmiðalisti (Lýsigögn)'!$C$42:$C$58,0))),""))))</f>
        <v/>
      </c>
      <c r="E88" s="14"/>
      <c r="F88" s="23" t="str">
        <f aca="false">IF($C88="","",IF($G88="Einstaklingsbundið",IFERROR(IF(INDEX('Undirviðmiðalisti (Lýsigögn)'!$E$42:$E$58,MATCH($C88,'Undirviðmiðalisti (Lýsigögn)'!$C$42:$C$58,0))="","",INDEX('Undirviðmiðalisti (Lýsigögn)'!$E$42:$E$58,MATCH($C88,'Undirviðmiðalisti (Lýsigögn)'!$C$42:$C$58,0))),""),IFERROR(IF(INDEX('Undirviðmiðalisti (Lýsigögn)'!$E$6:$E$41,MATCH($C88,'Undirviðmiðalisti (Lýsigögn)'!$C$6:$C$41,0))="","",INDEX('Undirviðmiðalisti (Lýsigögn)'!$E$6:$E$41,MATCH($C88,'Undirviðmiðalisti (Lýsigögn)'!$C$6:$C$41,0))),IFERROR(IF(INDEX('Undirviðmiðalisti (Lýsigögn)'!$E$42:$E$58,MATCH($C88,'Undirviðmiðalisti (Lýsigögn)'!$C$42:$C$58,0))="","",INDEX('Undirviðmiðalisti (Lýsigögn)'!$E$42:$E$58,MATCH($C88,'Undirviðmiðalisti (Lýsigögn)'!$C$42:$C$58,0))),""))))</f>
        <v/>
      </c>
      <c r="G88" s="24" t="str">
        <f aca="false">IFERROR(IF(B88="","",INDEX(Viðmið!$B$6:$B$10,MATCH(B88,Viðmið!$C$6:$C$10,0))),"")</f>
        <v/>
      </c>
      <c r="H88" s="25" t="str">
        <f aca="false">IF(OR(E88="",F88=""),"",E88*KVARDI)</f>
        <v/>
      </c>
      <c r="I88" s="26" t="str">
        <f aca="false">IF(B88="","",IF(ROUND(SUMIF($B$6:$B$205,B88,$E$6:$E$205),4)=ROUND(IFERROR(INDEX(Viðmið!$E$6:$E$10,MATCH(B88,Viðmið!$C$6:$C$10,0)),-1),4),"✓","✗"))</f>
        <v/>
      </c>
      <c r="J88" s="16" t="str">
        <f aca="false">IF($C88="","",IF($G88="Einstaklingsbundið",IFERROR(IF(INDEX('Undirviðmiðalisti (Lýsigögn)'!F$42:F$58,MATCH($C88,'Undirviðmiðalisti (Lýsigögn)'!$C$42:$C$58,0))="","",INDEX('Undirviðmiðalisti (Lýsigögn)'!F$42:F$58,MATCH($C88,'Undirviðmiðalisti (Lýsigögn)'!$C$42:$C$58,0))),""),IFERROR(IF(INDEX('Undirviðmiðalisti (Lýsigögn)'!F$6:F$41,MATCH($C88,'Undirviðmiðalisti (Lýsigögn)'!$C$6:$C$41,0))="","",INDEX('Undirviðmiðalisti (Lýsigögn)'!F$6:F$41,MATCH($C88,'Undirviðmiðalisti (Lýsigögn)'!$C$6:$C$41,0))),IFERROR(IF(INDEX('Undirviðmiðalisti (Lýsigögn)'!F$42:F$58,MATCH($C88,'Undirviðmiðalisti (Lýsigögn)'!$C$42:$C$58,0))="","",INDEX('Undirviðmiðalisti (Lýsigögn)'!F$42:F$58,MATCH($C88,'Undirviðmiðalisti (Lýsigögn)'!$C$42:$C$58,0))),""))))</f>
        <v/>
      </c>
      <c r="K88" s="16" t="str">
        <f aca="false">IF($C88="","",IF($G88="Einstaklingsbundið",IFERROR(IF(INDEX('Undirviðmiðalisti (Lýsigögn)'!G$42:G$58,MATCH($C88,'Undirviðmiðalisti (Lýsigögn)'!$C$42:$C$58,0))="","",INDEX('Undirviðmiðalisti (Lýsigögn)'!G$42:G$58,MATCH($C88,'Undirviðmiðalisti (Lýsigögn)'!$C$42:$C$58,0))),""),IFERROR(IF(INDEX('Undirviðmiðalisti (Lýsigögn)'!G$6:G$41,MATCH($C88,'Undirviðmiðalisti (Lýsigögn)'!$C$6:$C$41,0))="","",INDEX('Undirviðmiðalisti (Lýsigögn)'!G$6:G$41,MATCH($C88,'Undirviðmiðalisti (Lýsigögn)'!$C$6:$C$41,0))),IFERROR(IF(INDEX('Undirviðmiðalisti (Lýsigögn)'!G$42:G$58,MATCH($C88,'Undirviðmiðalisti (Lýsigögn)'!$C$42:$C$58,0))="","",INDEX('Undirviðmiðalisti (Lýsigögn)'!G$42:G$58,MATCH($C88,'Undirviðmiðalisti (Lýsigögn)'!$C$42:$C$58,0))),""))))</f>
        <v/>
      </c>
      <c r="L88" s="16" t="str">
        <f aca="false">IF($C88="","",IF($G88="Einstaklingsbundið",IFERROR(IF(INDEX('Undirviðmiðalisti (Lýsigögn)'!H$42:H$58,MATCH($C88,'Undirviðmiðalisti (Lýsigögn)'!$C$42:$C$58,0))="","",INDEX('Undirviðmiðalisti (Lýsigögn)'!H$42:H$58,MATCH($C88,'Undirviðmiðalisti (Lýsigögn)'!$C$42:$C$58,0))),""),IFERROR(IF(INDEX('Undirviðmiðalisti (Lýsigögn)'!H$6:H$41,MATCH($C88,'Undirviðmiðalisti (Lýsigögn)'!$C$6:$C$41,0))="","",INDEX('Undirviðmiðalisti (Lýsigögn)'!H$6:H$41,MATCH($C88,'Undirviðmiðalisti (Lýsigögn)'!$C$6:$C$41,0))),IFERROR(IF(INDEX('Undirviðmiðalisti (Lýsigögn)'!H$42:H$58,MATCH($C88,'Undirviðmiðalisti (Lýsigögn)'!$C$42:$C$58,0))="","",INDEX('Undirviðmiðalisti (Lýsigögn)'!H$42:H$58,MATCH($C88,'Undirviðmiðalisti (Lýsigögn)'!$C$42:$C$58,0))),""))))</f>
        <v/>
      </c>
      <c r="M88" s="16" t="str">
        <f aca="false">IF($C88="","",IF($G88="Einstaklingsbundið",IFERROR(IF(INDEX('Undirviðmiðalisti (Lýsigögn)'!I$42:I$58,MATCH($C88,'Undirviðmiðalisti (Lýsigögn)'!$C$42:$C$58,0))="","",INDEX('Undirviðmiðalisti (Lýsigögn)'!I$42:I$58,MATCH($C88,'Undirviðmiðalisti (Lýsigögn)'!$C$42:$C$58,0))),""),IFERROR(IF(INDEX('Undirviðmiðalisti (Lýsigögn)'!I$6:I$41,MATCH($C88,'Undirviðmiðalisti (Lýsigögn)'!$C$6:$C$41,0))="","",INDEX('Undirviðmiðalisti (Lýsigögn)'!I$6:I$41,MATCH($C88,'Undirviðmiðalisti (Lýsigögn)'!$C$6:$C$41,0))),IFERROR(IF(INDEX('Undirviðmiðalisti (Lýsigögn)'!I$42:I$58,MATCH($C88,'Undirviðmiðalisti (Lýsigögn)'!$C$42:$C$58,0))="","",INDEX('Undirviðmiðalisti (Lýsigögn)'!I$42:I$58,MATCH($C88,'Undirviðmiðalisti (Lýsigögn)'!$C$42:$C$58,0))),""))))</f>
        <v/>
      </c>
      <c r="N88" s="16" t="str">
        <f aca="false">IF($C88="","",IF($G88="Einstaklingsbundið",IFERROR(IF(INDEX('Undirviðmiðalisti (Lýsigögn)'!J$42:J$58,MATCH($C88,'Undirviðmiðalisti (Lýsigögn)'!$C$42:$C$58,0))="","",INDEX('Undirviðmiðalisti (Lýsigögn)'!J$42:J$58,MATCH($C88,'Undirviðmiðalisti (Lýsigögn)'!$C$42:$C$58,0))),""),IFERROR(IF(INDEX('Undirviðmiðalisti (Lýsigögn)'!J$6:J$41,MATCH($C88,'Undirviðmiðalisti (Lýsigögn)'!$C$6:$C$41,0))="","",INDEX('Undirviðmiðalisti (Lýsigögn)'!J$6:J$41,MATCH($C88,'Undirviðmiðalisti (Lýsigögn)'!$C$6:$C$41,0))),IFERROR(IF(INDEX('Undirviðmiðalisti (Lýsigögn)'!J$42:J$58,MATCH($C88,'Undirviðmiðalisti (Lýsigögn)'!$C$42:$C$58,0))="","",INDEX('Undirviðmiðalisti (Lýsigögn)'!J$42:J$58,MATCH($C88,'Undirviðmiðalisti (Lýsigögn)'!$C$42:$C$58,0))),""))))</f>
        <v/>
      </c>
      <c r="O88" s="16" t="str">
        <f aca="false">IF($C88="","",IF($G88="Einstaklingsbundið",IFERROR(IF(INDEX('Undirviðmiðalisti (Lýsigögn)'!K$42:K$58,MATCH($C88,'Undirviðmiðalisti (Lýsigögn)'!$C$42:$C$58,0))="","",INDEX('Undirviðmiðalisti (Lýsigögn)'!K$42:K$58,MATCH($C88,'Undirviðmiðalisti (Lýsigögn)'!$C$42:$C$58,0))),""),IFERROR(IF(INDEX('Undirviðmiðalisti (Lýsigögn)'!K$6:K$41,MATCH($C88,'Undirviðmiðalisti (Lýsigögn)'!$C$6:$C$41,0))="","",INDEX('Undirviðmiðalisti (Lýsigögn)'!K$6:K$41,MATCH($C88,'Undirviðmiðalisti (Lýsigögn)'!$C$6:$C$41,0))),IFERROR(IF(INDEX('Undirviðmiðalisti (Lýsigögn)'!K$42:K$58,MATCH($C88,'Undirviðmiðalisti (Lýsigögn)'!$C$42:$C$58,0))="","",INDEX('Undirviðmiðalisti (Lýsigögn)'!K$42:K$58,MATCH($C88,'Undirviðmiðalisti (Lýsigögn)'!$C$42:$C$58,0))),""))))</f>
        <v/>
      </c>
      <c r="P88" s="16" t="str">
        <f aca="false">IF($C88="","",IF($G88="Einstaklingsbundið",IFERROR(IF(INDEX('Undirviðmiðalisti (Lýsigögn)'!L$42:L$58,MATCH($C88,'Undirviðmiðalisti (Lýsigögn)'!$C$42:$C$58,0))="","",INDEX('Undirviðmiðalisti (Lýsigögn)'!L$42:L$58,MATCH($C88,'Undirviðmiðalisti (Lýsigögn)'!$C$42:$C$58,0))),""),IFERROR(IF(INDEX('Undirviðmiðalisti (Lýsigögn)'!L$6:L$41,MATCH($C88,'Undirviðmiðalisti (Lýsigögn)'!$C$6:$C$41,0))="","",INDEX('Undirviðmiðalisti (Lýsigögn)'!L$6:L$41,MATCH($C88,'Undirviðmiðalisti (Lýsigögn)'!$C$6:$C$41,0))),IFERROR(IF(INDEX('Undirviðmiðalisti (Lýsigögn)'!L$42:L$58,MATCH($C88,'Undirviðmiðalisti (Lýsigögn)'!$C$42:$C$58,0))="","",INDEX('Undirviðmiðalisti (Lýsigögn)'!L$42:L$58,MATCH($C88,'Undirviðmiðalisti (Lýsigögn)'!$C$42:$C$58,0))),""))))</f>
        <v/>
      </c>
      <c r="Q88" s="16" t="str">
        <f aca="false">IF($C88="","",IF($G88="Einstaklingsbundið",IFERROR(IF(INDEX('Undirviðmiðalisti (Lýsigögn)'!M$42:M$58,MATCH($C88,'Undirviðmiðalisti (Lýsigögn)'!$C$42:$C$58,0))="","",INDEX('Undirviðmiðalisti (Lýsigögn)'!M$42:M$58,MATCH($C88,'Undirviðmiðalisti (Lýsigögn)'!$C$42:$C$58,0))),""),IFERROR(IF(INDEX('Undirviðmiðalisti (Lýsigögn)'!M$6:M$41,MATCH($C88,'Undirviðmiðalisti (Lýsigögn)'!$C$6:$C$41,0))="","",INDEX('Undirviðmiðalisti (Lýsigögn)'!M$6:M$41,MATCH($C88,'Undirviðmiðalisti (Lýsigögn)'!$C$6:$C$41,0))),IFERROR(IF(INDEX('Undirviðmiðalisti (Lýsigögn)'!M$42:M$58,MATCH($C88,'Undirviðmiðalisti (Lýsigögn)'!$C$42:$C$58,0))="","",INDEX('Undirviðmiðalisti (Lýsigögn)'!M$42:M$58,MATCH($C88,'Undirviðmiðalisti (Lýsigögn)'!$C$42:$C$58,0))),""))))</f>
        <v/>
      </c>
    </row>
    <row r="89" customFormat="false" ht="15" hidden="false" customHeight="true" outlineLevel="0" collapsed="false">
      <c r="A89" s="22" t="str">
        <f aca="false">IF($B89="","",ROW()-5)</f>
        <v/>
      </c>
      <c r="B89" s="15"/>
      <c r="C89" s="15"/>
      <c r="D89" s="16" t="str">
        <f aca="false">IF($C89="","",IF($G89="Einstaklingsbundið",IFERROR(IF(INDEX('Undirviðmiðalisti (Lýsigögn)'!$D$42:$D$58,MATCH($C89,'Undirviðmiðalisti (Lýsigögn)'!$C$42:$C$58,0))="","",INDEX('Undirviðmiðalisti (Lýsigögn)'!$D$42:$D$58,MATCH($C89,'Undirviðmiðalisti (Lýsigögn)'!$C$42:$C$58,0))),""),IFERROR(IF(INDEX('Undirviðmiðalisti (Lýsigögn)'!$D$6:$D$41,MATCH($C89,'Undirviðmiðalisti (Lýsigögn)'!$C$6:$C$41,0))="","",INDEX('Undirviðmiðalisti (Lýsigögn)'!$D$6:$D$41,MATCH($C89,'Undirviðmiðalisti (Lýsigögn)'!$C$6:$C$41,0))),IFERROR(IF(INDEX('Undirviðmiðalisti (Lýsigögn)'!$D$42:$D$58,MATCH($C89,'Undirviðmiðalisti (Lýsigögn)'!$C$42:$C$58,0))="","",INDEX('Undirviðmiðalisti (Lýsigögn)'!$D$42:$D$58,MATCH($C89,'Undirviðmiðalisti (Lýsigögn)'!$C$42:$C$58,0))),""))))</f>
        <v/>
      </c>
      <c r="E89" s="14"/>
      <c r="F89" s="23" t="str">
        <f aca="false">IF($C89="","",IF($G89="Einstaklingsbundið",IFERROR(IF(INDEX('Undirviðmiðalisti (Lýsigögn)'!$E$42:$E$58,MATCH($C89,'Undirviðmiðalisti (Lýsigögn)'!$C$42:$C$58,0))="","",INDEX('Undirviðmiðalisti (Lýsigögn)'!$E$42:$E$58,MATCH($C89,'Undirviðmiðalisti (Lýsigögn)'!$C$42:$C$58,0))),""),IFERROR(IF(INDEX('Undirviðmiðalisti (Lýsigögn)'!$E$6:$E$41,MATCH($C89,'Undirviðmiðalisti (Lýsigögn)'!$C$6:$C$41,0))="","",INDEX('Undirviðmiðalisti (Lýsigögn)'!$E$6:$E$41,MATCH($C89,'Undirviðmiðalisti (Lýsigögn)'!$C$6:$C$41,0))),IFERROR(IF(INDEX('Undirviðmiðalisti (Lýsigögn)'!$E$42:$E$58,MATCH($C89,'Undirviðmiðalisti (Lýsigögn)'!$C$42:$C$58,0))="","",INDEX('Undirviðmiðalisti (Lýsigögn)'!$E$42:$E$58,MATCH($C89,'Undirviðmiðalisti (Lýsigögn)'!$C$42:$C$58,0))),""))))</f>
        <v/>
      </c>
      <c r="G89" s="24" t="str">
        <f aca="false">IFERROR(IF(B89="","",INDEX(Viðmið!$B$6:$B$10,MATCH(B89,Viðmið!$C$6:$C$10,0))),"")</f>
        <v/>
      </c>
      <c r="H89" s="25" t="str">
        <f aca="false">IF(OR(E89="",F89=""),"",E89*KVARDI)</f>
        <v/>
      </c>
      <c r="I89" s="26" t="str">
        <f aca="false">IF(B89="","",IF(ROUND(SUMIF($B$6:$B$205,B89,$E$6:$E$205),4)=ROUND(IFERROR(INDEX(Viðmið!$E$6:$E$10,MATCH(B89,Viðmið!$C$6:$C$10,0)),-1),4),"✓","✗"))</f>
        <v/>
      </c>
      <c r="J89" s="16" t="str">
        <f aca="false">IF($C89="","",IF($G89="Einstaklingsbundið",IFERROR(IF(INDEX('Undirviðmiðalisti (Lýsigögn)'!F$42:F$58,MATCH($C89,'Undirviðmiðalisti (Lýsigögn)'!$C$42:$C$58,0))="","",INDEX('Undirviðmiðalisti (Lýsigögn)'!F$42:F$58,MATCH($C89,'Undirviðmiðalisti (Lýsigögn)'!$C$42:$C$58,0))),""),IFERROR(IF(INDEX('Undirviðmiðalisti (Lýsigögn)'!F$6:F$41,MATCH($C89,'Undirviðmiðalisti (Lýsigögn)'!$C$6:$C$41,0))="","",INDEX('Undirviðmiðalisti (Lýsigögn)'!F$6:F$41,MATCH($C89,'Undirviðmiðalisti (Lýsigögn)'!$C$6:$C$41,0))),IFERROR(IF(INDEX('Undirviðmiðalisti (Lýsigögn)'!F$42:F$58,MATCH($C89,'Undirviðmiðalisti (Lýsigögn)'!$C$42:$C$58,0))="","",INDEX('Undirviðmiðalisti (Lýsigögn)'!F$42:F$58,MATCH($C89,'Undirviðmiðalisti (Lýsigögn)'!$C$42:$C$58,0))),""))))</f>
        <v/>
      </c>
      <c r="K89" s="16" t="str">
        <f aca="false">IF($C89="","",IF($G89="Einstaklingsbundið",IFERROR(IF(INDEX('Undirviðmiðalisti (Lýsigögn)'!G$42:G$58,MATCH($C89,'Undirviðmiðalisti (Lýsigögn)'!$C$42:$C$58,0))="","",INDEX('Undirviðmiðalisti (Lýsigögn)'!G$42:G$58,MATCH($C89,'Undirviðmiðalisti (Lýsigögn)'!$C$42:$C$58,0))),""),IFERROR(IF(INDEX('Undirviðmiðalisti (Lýsigögn)'!G$6:G$41,MATCH($C89,'Undirviðmiðalisti (Lýsigögn)'!$C$6:$C$41,0))="","",INDEX('Undirviðmiðalisti (Lýsigögn)'!G$6:G$41,MATCH($C89,'Undirviðmiðalisti (Lýsigögn)'!$C$6:$C$41,0))),IFERROR(IF(INDEX('Undirviðmiðalisti (Lýsigögn)'!G$42:G$58,MATCH($C89,'Undirviðmiðalisti (Lýsigögn)'!$C$42:$C$58,0))="","",INDEX('Undirviðmiðalisti (Lýsigögn)'!G$42:G$58,MATCH($C89,'Undirviðmiðalisti (Lýsigögn)'!$C$42:$C$58,0))),""))))</f>
        <v/>
      </c>
      <c r="L89" s="16" t="str">
        <f aca="false">IF($C89="","",IF($G89="Einstaklingsbundið",IFERROR(IF(INDEX('Undirviðmiðalisti (Lýsigögn)'!H$42:H$58,MATCH($C89,'Undirviðmiðalisti (Lýsigögn)'!$C$42:$C$58,0))="","",INDEX('Undirviðmiðalisti (Lýsigögn)'!H$42:H$58,MATCH($C89,'Undirviðmiðalisti (Lýsigögn)'!$C$42:$C$58,0))),""),IFERROR(IF(INDEX('Undirviðmiðalisti (Lýsigögn)'!H$6:H$41,MATCH($C89,'Undirviðmiðalisti (Lýsigögn)'!$C$6:$C$41,0))="","",INDEX('Undirviðmiðalisti (Lýsigögn)'!H$6:H$41,MATCH($C89,'Undirviðmiðalisti (Lýsigögn)'!$C$6:$C$41,0))),IFERROR(IF(INDEX('Undirviðmiðalisti (Lýsigögn)'!H$42:H$58,MATCH($C89,'Undirviðmiðalisti (Lýsigögn)'!$C$42:$C$58,0))="","",INDEX('Undirviðmiðalisti (Lýsigögn)'!H$42:H$58,MATCH($C89,'Undirviðmiðalisti (Lýsigögn)'!$C$42:$C$58,0))),""))))</f>
        <v/>
      </c>
      <c r="M89" s="16" t="str">
        <f aca="false">IF($C89="","",IF($G89="Einstaklingsbundið",IFERROR(IF(INDEX('Undirviðmiðalisti (Lýsigögn)'!I$42:I$58,MATCH($C89,'Undirviðmiðalisti (Lýsigögn)'!$C$42:$C$58,0))="","",INDEX('Undirviðmiðalisti (Lýsigögn)'!I$42:I$58,MATCH($C89,'Undirviðmiðalisti (Lýsigögn)'!$C$42:$C$58,0))),""),IFERROR(IF(INDEX('Undirviðmiðalisti (Lýsigögn)'!I$6:I$41,MATCH($C89,'Undirviðmiðalisti (Lýsigögn)'!$C$6:$C$41,0))="","",INDEX('Undirviðmiðalisti (Lýsigögn)'!I$6:I$41,MATCH($C89,'Undirviðmiðalisti (Lýsigögn)'!$C$6:$C$41,0))),IFERROR(IF(INDEX('Undirviðmiðalisti (Lýsigögn)'!I$42:I$58,MATCH($C89,'Undirviðmiðalisti (Lýsigögn)'!$C$42:$C$58,0))="","",INDEX('Undirviðmiðalisti (Lýsigögn)'!I$42:I$58,MATCH($C89,'Undirviðmiðalisti (Lýsigögn)'!$C$42:$C$58,0))),""))))</f>
        <v/>
      </c>
      <c r="N89" s="16" t="str">
        <f aca="false">IF($C89="","",IF($G89="Einstaklingsbundið",IFERROR(IF(INDEX('Undirviðmiðalisti (Lýsigögn)'!J$42:J$58,MATCH($C89,'Undirviðmiðalisti (Lýsigögn)'!$C$42:$C$58,0))="","",INDEX('Undirviðmiðalisti (Lýsigögn)'!J$42:J$58,MATCH($C89,'Undirviðmiðalisti (Lýsigögn)'!$C$42:$C$58,0))),""),IFERROR(IF(INDEX('Undirviðmiðalisti (Lýsigögn)'!J$6:J$41,MATCH($C89,'Undirviðmiðalisti (Lýsigögn)'!$C$6:$C$41,0))="","",INDEX('Undirviðmiðalisti (Lýsigögn)'!J$6:J$41,MATCH($C89,'Undirviðmiðalisti (Lýsigögn)'!$C$6:$C$41,0))),IFERROR(IF(INDEX('Undirviðmiðalisti (Lýsigögn)'!J$42:J$58,MATCH($C89,'Undirviðmiðalisti (Lýsigögn)'!$C$42:$C$58,0))="","",INDEX('Undirviðmiðalisti (Lýsigögn)'!J$42:J$58,MATCH($C89,'Undirviðmiðalisti (Lýsigögn)'!$C$42:$C$58,0))),""))))</f>
        <v/>
      </c>
      <c r="O89" s="16" t="str">
        <f aca="false">IF($C89="","",IF($G89="Einstaklingsbundið",IFERROR(IF(INDEX('Undirviðmiðalisti (Lýsigögn)'!K$42:K$58,MATCH($C89,'Undirviðmiðalisti (Lýsigögn)'!$C$42:$C$58,0))="","",INDEX('Undirviðmiðalisti (Lýsigögn)'!K$42:K$58,MATCH($C89,'Undirviðmiðalisti (Lýsigögn)'!$C$42:$C$58,0))),""),IFERROR(IF(INDEX('Undirviðmiðalisti (Lýsigögn)'!K$6:K$41,MATCH($C89,'Undirviðmiðalisti (Lýsigögn)'!$C$6:$C$41,0))="","",INDEX('Undirviðmiðalisti (Lýsigögn)'!K$6:K$41,MATCH($C89,'Undirviðmiðalisti (Lýsigögn)'!$C$6:$C$41,0))),IFERROR(IF(INDEX('Undirviðmiðalisti (Lýsigögn)'!K$42:K$58,MATCH($C89,'Undirviðmiðalisti (Lýsigögn)'!$C$42:$C$58,0))="","",INDEX('Undirviðmiðalisti (Lýsigögn)'!K$42:K$58,MATCH($C89,'Undirviðmiðalisti (Lýsigögn)'!$C$42:$C$58,0))),""))))</f>
        <v/>
      </c>
      <c r="P89" s="16" t="str">
        <f aca="false">IF($C89="","",IF($G89="Einstaklingsbundið",IFERROR(IF(INDEX('Undirviðmiðalisti (Lýsigögn)'!L$42:L$58,MATCH($C89,'Undirviðmiðalisti (Lýsigögn)'!$C$42:$C$58,0))="","",INDEX('Undirviðmiðalisti (Lýsigögn)'!L$42:L$58,MATCH($C89,'Undirviðmiðalisti (Lýsigögn)'!$C$42:$C$58,0))),""),IFERROR(IF(INDEX('Undirviðmiðalisti (Lýsigögn)'!L$6:L$41,MATCH($C89,'Undirviðmiðalisti (Lýsigögn)'!$C$6:$C$41,0))="","",INDEX('Undirviðmiðalisti (Lýsigögn)'!L$6:L$41,MATCH($C89,'Undirviðmiðalisti (Lýsigögn)'!$C$6:$C$41,0))),IFERROR(IF(INDEX('Undirviðmiðalisti (Lýsigögn)'!L$42:L$58,MATCH($C89,'Undirviðmiðalisti (Lýsigögn)'!$C$42:$C$58,0))="","",INDEX('Undirviðmiðalisti (Lýsigögn)'!L$42:L$58,MATCH($C89,'Undirviðmiðalisti (Lýsigögn)'!$C$42:$C$58,0))),""))))</f>
        <v/>
      </c>
      <c r="Q89" s="16" t="str">
        <f aca="false">IF($C89="","",IF($G89="Einstaklingsbundið",IFERROR(IF(INDEX('Undirviðmiðalisti (Lýsigögn)'!M$42:M$58,MATCH($C89,'Undirviðmiðalisti (Lýsigögn)'!$C$42:$C$58,0))="","",INDEX('Undirviðmiðalisti (Lýsigögn)'!M$42:M$58,MATCH($C89,'Undirviðmiðalisti (Lýsigögn)'!$C$42:$C$58,0))),""),IFERROR(IF(INDEX('Undirviðmiðalisti (Lýsigögn)'!M$6:M$41,MATCH($C89,'Undirviðmiðalisti (Lýsigögn)'!$C$6:$C$41,0))="","",INDEX('Undirviðmiðalisti (Lýsigögn)'!M$6:M$41,MATCH($C89,'Undirviðmiðalisti (Lýsigögn)'!$C$6:$C$41,0))),IFERROR(IF(INDEX('Undirviðmiðalisti (Lýsigögn)'!M$42:M$58,MATCH($C89,'Undirviðmiðalisti (Lýsigögn)'!$C$42:$C$58,0))="","",INDEX('Undirviðmiðalisti (Lýsigögn)'!M$42:M$58,MATCH($C89,'Undirviðmiðalisti (Lýsigögn)'!$C$42:$C$58,0))),""))))</f>
        <v/>
      </c>
    </row>
    <row r="90" customFormat="false" ht="15" hidden="false" customHeight="true" outlineLevel="0" collapsed="false">
      <c r="A90" s="22" t="str">
        <f aca="false">IF($B90="","",ROW()-5)</f>
        <v/>
      </c>
      <c r="B90" s="15"/>
      <c r="C90" s="15"/>
      <c r="D90" s="16" t="str">
        <f aca="false">IF($C90="","",IF($G90="Einstaklingsbundið",IFERROR(IF(INDEX('Undirviðmiðalisti (Lýsigögn)'!$D$42:$D$58,MATCH($C90,'Undirviðmiðalisti (Lýsigögn)'!$C$42:$C$58,0))="","",INDEX('Undirviðmiðalisti (Lýsigögn)'!$D$42:$D$58,MATCH($C90,'Undirviðmiðalisti (Lýsigögn)'!$C$42:$C$58,0))),""),IFERROR(IF(INDEX('Undirviðmiðalisti (Lýsigögn)'!$D$6:$D$41,MATCH($C90,'Undirviðmiðalisti (Lýsigögn)'!$C$6:$C$41,0))="","",INDEX('Undirviðmiðalisti (Lýsigögn)'!$D$6:$D$41,MATCH($C90,'Undirviðmiðalisti (Lýsigögn)'!$C$6:$C$41,0))),IFERROR(IF(INDEX('Undirviðmiðalisti (Lýsigögn)'!$D$42:$D$58,MATCH($C90,'Undirviðmiðalisti (Lýsigögn)'!$C$42:$C$58,0))="","",INDEX('Undirviðmiðalisti (Lýsigögn)'!$D$42:$D$58,MATCH($C90,'Undirviðmiðalisti (Lýsigögn)'!$C$42:$C$58,0))),""))))</f>
        <v/>
      </c>
      <c r="E90" s="14"/>
      <c r="F90" s="23" t="str">
        <f aca="false">IF($C90="","",IF($G90="Einstaklingsbundið",IFERROR(IF(INDEX('Undirviðmiðalisti (Lýsigögn)'!$E$42:$E$58,MATCH($C90,'Undirviðmiðalisti (Lýsigögn)'!$C$42:$C$58,0))="","",INDEX('Undirviðmiðalisti (Lýsigögn)'!$E$42:$E$58,MATCH($C90,'Undirviðmiðalisti (Lýsigögn)'!$C$42:$C$58,0))),""),IFERROR(IF(INDEX('Undirviðmiðalisti (Lýsigögn)'!$E$6:$E$41,MATCH($C90,'Undirviðmiðalisti (Lýsigögn)'!$C$6:$C$41,0))="","",INDEX('Undirviðmiðalisti (Lýsigögn)'!$E$6:$E$41,MATCH($C90,'Undirviðmiðalisti (Lýsigögn)'!$C$6:$C$41,0))),IFERROR(IF(INDEX('Undirviðmiðalisti (Lýsigögn)'!$E$42:$E$58,MATCH($C90,'Undirviðmiðalisti (Lýsigögn)'!$C$42:$C$58,0))="","",INDEX('Undirviðmiðalisti (Lýsigögn)'!$E$42:$E$58,MATCH($C90,'Undirviðmiðalisti (Lýsigögn)'!$C$42:$C$58,0))),""))))</f>
        <v/>
      </c>
      <c r="G90" s="24" t="str">
        <f aca="false">IFERROR(IF(B90="","",INDEX(Viðmið!$B$6:$B$10,MATCH(B90,Viðmið!$C$6:$C$10,0))),"")</f>
        <v/>
      </c>
      <c r="H90" s="25" t="str">
        <f aca="false">IF(OR(E90="",F90=""),"",E90*KVARDI)</f>
        <v/>
      </c>
      <c r="I90" s="26" t="str">
        <f aca="false">IF(B90="","",IF(ROUND(SUMIF($B$6:$B$205,B90,$E$6:$E$205),4)=ROUND(IFERROR(INDEX(Viðmið!$E$6:$E$10,MATCH(B90,Viðmið!$C$6:$C$10,0)),-1),4),"✓","✗"))</f>
        <v/>
      </c>
      <c r="J90" s="16" t="str">
        <f aca="false">IF($C90="","",IF($G90="Einstaklingsbundið",IFERROR(IF(INDEX('Undirviðmiðalisti (Lýsigögn)'!F$42:F$58,MATCH($C90,'Undirviðmiðalisti (Lýsigögn)'!$C$42:$C$58,0))="","",INDEX('Undirviðmiðalisti (Lýsigögn)'!F$42:F$58,MATCH($C90,'Undirviðmiðalisti (Lýsigögn)'!$C$42:$C$58,0))),""),IFERROR(IF(INDEX('Undirviðmiðalisti (Lýsigögn)'!F$6:F$41,MATCH($C90,'Undirviðmiðalisti (Lýsigögn)'!$C$6:$C$41,0))="","",INDEX('Undirviðmiðalisti (Lýsigögn)'!F$6:F$41,MATCH($C90,'Undirviðmiðalisti (Lýsigögn)'!$C$6:$C$41,0))),IFERROR(IF(INDEX('Undirviðmiðalisti (Lýsigögn)'!F$42:F$58,MATCH($C90,'Undirviðmiðalisti (Lýsigögn)'!$C$42:$C$58,0))="","",INDEX('Undirviðmiðalisti (Lýsigögn)'!F$42:F$58,MATCH($C90,'Undirviðmiðalisti (Lýsigögn)'!$C$42:$C$58,0))),""))))</f>
        <v/>
      </c>
      <c r="K90" s="16" t="str">
        <f aca="false">IF($C90="","",IF($G90="Einstaklingsbundið",IFERROR(IF(INDEX('Undirviðmiðalisti (Lýsigögn)'!G$42:G$58,MATCH($C90,'Undirviðmiðalisti (Lýsigögn)'!$C$42:$C$58,0))="","",INDEX('Undirviðmiðalisti (Lýsigögn)'!G$42:G$58,MATCH($C90,'Undirviðmiðalisti (Lýsigögn)'!$C$42:$C$58,0))),""),IFERROR(IF(INDEX('Undirviðmiðalisti (Lýsigögn)'!G$6:G$41,MATCH($C90,'Undirviðmiðalisti (Lýsigögn)'!$C$6:$C$41,0))="","",INDEX('Undirviðmiðalisti (Lýsigögn)'!G$6:G$41,MATCH($C90,'Undirviðmiðalisti (Lýsigögn)'!$C$6:$C$41,0))),IFERROR(IF(INDEX('Undirviðmiðalisti (Lýsigögn)'!G$42:G$58,MATCH($C90,'Undirviðmiðalisti (Lýsigögn)'!$C$42:$C$58,0))="","",INDEX('Undirviðmiðalisti (Lýsigögn)'!G$42:G$58,MATCH($C90,'Undirviðmiðalisti (Lýsigögn)'!$C$42:$C$58,0))),""))))</f>
        <v/>
      </c>
      <c r="L90" s="16" t="str">
        <f aca="false">IF($C90="","",IF($G90="Einstaklingsbundið",IFERROR(IF(INDEX('Undirviðmiðalisti (Lýsigögn)'!H$42:H$58,MATCH($C90,'Undirviðmiðalisti (Lýsigögn)'!$C$42:$C$58,0))="","",INDEX('Undirviðmiðalisti (Lýsigögn)'!H$42:H$58,MATCH($C90,'Undirviðmiðalisti (Lýsigögn)'!$C$42:$C$58,0))),""),IFERROR(IF(INDEX('Undirviðmiðalisti (Lýsigögn)'!H$6:H$41,MATCH($C90,'Undirviðmiðalisti (Lýsigögn)'!$C$6:$C$41,0))="","",INDEX('Undirviðmiðalisti (Lýsigögn)'!H$6:H$41,MATCH($C90,'Undirviðmiðalisti (Lýsigögn)'!$C$6:$C$41,0))),IFERROR(IF(INDEX('Undirviðmiðalisti (Lýsigögn)'!H$42:H$58,MATCH($C90,'Undirviðmiðalisti (Lýsigögn)'!$C$42:$C$58,0))="","",INDEX('Undirviðmiðalisti (Lýsigögn)'!H$42:H$58,MATCH($C90,'Undirviðmiðalisti (Lýsigögn)'!$C$42:$C$58,0))),""))))</f>
        <v/>
      </c>
      <c r="M90" s="16" t="str">
        <f aca="false">IF($C90="","",IF($G90="Einstaklingsbundið",IFERROR(IF(INDEX('Undirviðmiðalisti (Lýsigögn)'!I$42:I$58,MATCH($C90,'Undirviðmiðalisti (Lýsigögn)'!$C$42:$C$58,0))="","",INDEX('Undirviðmiðalisti (Lýsigögn)'!I$42:I$58,MATCH($C90,'Undirviðmiðalisti (Lýsigögn)'!$C$42:$C$58,0))),""),IFERROR(IF(INDEX('Undirviðmiðalisti (Lýsigögn)'!I$6:I$41,MATCH($C90,'Undirviðmiðalisti (Lýsigögn)'!$C$6:$C$41,0))="","",INDEX('Undirviðmiðalisti (Lýsigögn)'!I$6:I$41,MATCH($C90,'Undirviðmiðalisti (Lýsigögn)'!$C$6:$C$41,0))),IFERROR(IF(INDEX('Undirviðmiðalisti (Lýsigögn)'!I$42:I$58,MATCH($C90,'Undirviðmiðalisti (Lýsigögn)'!$C$42:$C$58,0))="","",INDEX('Undirviðmiðalisti (Lýsigögn)'!I$42:I$58,MATCH($C90,'Undirviðmiðalisti (Lýsigögn)'!$C$42:$C$58,0))),""))))</f>
        <v/>
      </c>
      <c r="N90" s="16" t="str">
        <f aca="false">IF($C90="","",IF($G90="Einstaklingsbundið",IFERROR(IF(INDEX('Undirviðmiðalisti (Lýsigögn)'!J$42:J$58,MATCH($C90,'Undirviðmiðalisti (Lýsigögn)'!$C$42:$C$58,0))="","",INDEX('Undirviðmiðalisti (Lýsigögn)'!J$42:J$58,MATCH($C90,'Undirviðmiðalisti (Lýsigögn)'!$C$42:$C$58,0))),""),IFERROR(IF(INDEX('Undirviðmiðalisti (Lýsigögn)'!J$6:J$41,MATCH($C90,'Undirviðmiðalisti (Lýsigögn)'!$C$6:$C$41,0))="","",INDEX('Undirviðmiðalisti (Lýsigögn)'!J$6:J$41,MATCH($C90,'Undirviðmiðalisti (Lýsigögn)'!$C$6:$C$41,0))),IFERROR(IF(INDEX('Undirviðmiðalisti (Lýsigögn)'!J$42:J$58,MATCH($C90,'Undirviðmiðalisti (Lýsigögn)'!$C$42:$C$58,0))="","",INDEX('Undirviðmiðalisti (Lýsigögn)'!J$42:J$58,MATCH($C90,'Undirviðmiðalisti (Lýsigögn)'!$C$42:$C$58,0))),""))))</f>
        <v/>
      </c>
      <c r="O90" s="16" t="str">
        <f aca="false">IF($C90="","",IF($G90="Einstaklingsbundið",IFERROR(IF(INDEX('Undirviðmiðalisti (Lýsigögn)'!K$42:K$58,MATCH($C90,'Undirviðmiðalisti (Lýsigögn)'!$C$42:$C$58,0))="","",INDEX('Undirviðmiðalisti (Lýsigögn)'!K$42:K$58,MATCH($C90,'Undirviðmiðalisti (Lýsigögn)'!$C$42:$C$58,0))),""),IFERROR(IF(INDEX('Undirviðmiðalisti (Lýsigögn)'!K$6:K$41,MATCH($C90,'Undirviðmiðalisti (Lýsigögn)'!$C$6:$C$41,0))="","",INDEX('Undirviðmiðalisti (Lýsigögn)'!K$6:K$41,MATCH($C90,'Undirviðmiðalisti (Lýsigögn)'!$C$6:$C$41,0))),IFERROR(IF(INDEX('Undirviðmiðalisti (Lýsigögn)'!K$42:K$58,MATCH($C90,'Undirviðmiðalisti (Lýsigögn)'!$C$42:$C$58,0))="","",INDEX('Undirviðmiðalisti (Lýsigögn)'!K$42:K$58,MATCH($C90,'Undirviðmiðalisti (Lýsigögn)'!$C$42:$C$58,0))),""))))</f>
        <v/>
      </c>
      <c r="P90" s="16" t="str">
        <f aca="false">IF($C90="","",IF($G90="Einstaklingsbundið",IFERROR(IF(INDEX('Undirviðmiðalisti (Lýsigögn)'!L$42:L$58,MATCH($C90,'Undirviðmiðalisti (Lýsigögn)'!$C$42:$C$58,0))="","",INDEX('Undirviðmiðalisti (Lýsigögn)'!L$42:L$58,MATCH($C90,'Undirviðmiðalisti (Lýsigögn)'!$C$42:$C$58,0))),""),IFERROR(IF(INDEX('Undirviðmiðalisti (Lýsigögn)'!L$6:L$41,MATCH($C90,'Undirviðmiðalisti (Lýsigögn)'!$C$6:$C$41,0))="","",INDEX('Undirviðmiðalisti (Lýsigögn)'!L$6:L$41,MATCH($C90,'Undirviðmiðalisti (Lýsigögn)'!$C$6:$C$41,0))),IFERROR(IF(INDEX('Undirviðmiðalisti (Lýsigögn)'!L$42:L$58,MATCH($C90,'Undirviðmiðalisti (Lýsigögn)'!$C$42:$C$58,0))="","",INDEX('Undirviðmiðalisti (Lýsigögn)'!L$42:L$58,MATCH($C90,'Undirviðmiðalisti (Lýsigögn)'!$C$42:$C$58,0))),""))))</f>
        <v/>
      </c>
      <c r="Q90" s="16" t="str">
        <f aca="false">IF($C90="","",IF($G90="Einstaklingsbundið",IFERROR(IF(INDEX('Undirviðmiðalisti (Lýsigögn)'!M$42:M$58,MATCH($C90,'Undirviðmiðalisti (Lýsigögn)'!$C$42:$C$58,0))="","",INDEX('Undirviðmiðalisti (Lýsigögn)'!M$42:M$58,MATCH($C90,'Undirviðmiðalisti (Lýsigögn)'!$C$42:$C$58,0))),""),IFERROR(IF(INDEX('Undirviðmiðalisti (Lýsigögn)'!M$6:M$41,MATCH($C90,'Undirviðmiðalisti (Lýsigögn)'!$C$6:$C$41,0))="","",INDEX('Undirviðmiðalisti (Lýsigögn)'!M$6:M$41,MATCH($C90,'Undirviðmiðalisti (Lýsigögn)'!$C$6:$C$41,0))),IFERROR(IF(INDEX('Undirviðmiðalisti (Lýsigögn)'!M$42:M$58,MATCH($C90,'Undirviðmiðalisti (Lýsigögn)'!$C$42:$C$58,0))="","",INDEX('Undirviðmiðalisti (Lýsigögn)'!M$42:M$58,MATCH($C90,'Undirviðmiðalisti (Lýsigögn)'!$C$42:$C$58,0))),""))))</f>
        <v/>
      </c>
    </row>
    <row r="91" customFormat="false" ht="15" hidden="false" customHeight="true" outlineLevel="0" collapsed="false">
      <c r="A91" s="22" t="str">
        <f aca="false">IF($B91="","",ROW()-5)</f>
        <v/>
      </c>
      <c r="B91" s="15"/>
      <c r="C91" s="15"/>
      <c r="D91" s="16" t="str">
        <f aca="false">IF($C91="","",IF($G91="Einstaklingsbundið",IFERROR(IF(INDEX('Undirviðmiðalisti (Lýsigögn)'!$D$42:$D$58,MATCH($C91,'Undirviðmiðalisti (Lýsigögn)'!$C$42:$C$58,0))="","",INDEX('Undirviðmiðalisti (Lýsigögn)'!$D$42:$D$58,MATCH($C91,'Undirviðmiðalisti (Lýsigögn)'!$C$42:$C$58,0))),""),IFERROR(IF(INDEX('Undirviðmiðalisti (Lýsigögn)'!$D$6:$D$41,MATCH($C91,'Undirviðmiðalisti (Lýsigögn)'!$C$6:$C$41,0))="","",INDEX('Undirviðmiðalisti (Lýsigögn)'!$D$6:$D$41,MATCH($C91,'Undirviðmiðalisti (Lýsigögn)'!$C$6:$C$41,0))),IFERROR(IF(INDEX('Undirviðmiðalisti (Lýsigögn)'!$D$42:$D$58,MATCH($C91,'Undirviðmiðalisti (Lýsigögn)'!$C$42:$C$58,0))="","",INDEX('Undirviðmiðalisti (Lýsigögn)'!$D$42:$D$58,MATCH($C91,'Undirviðmiðalisti (Lýsigögn)'!$C$42:$C$58,0))),""))))</f>
        <v/>
      </c>
      <c r="E91" s="14"/>
      <c r="F91" s="23" t="str">
        <f aca="false">IF($C91="","",IF($G91="Einstaklingsbundið",IFERROR(IF(INDEX('Undirviðmiðalisti (Lýsigögn)'!$E$42:$E$58,MATCH($C91,'Undirviðmiðalisti (Lýsigögn)'!$C$42:$C$58,0))="","",INDEX('Undirviðmiðalisti (Lýsigögn)'!$E$42:$E$58,MATCH($C91,'Undirviðmiðalisti (Lýsigögn)'!$C$42:$C$58,0))),""),IFERROR(IF(INDEX('Undirviðmiðalisti (Lýsigögn)'!$E$6:$E$41,MATCH($C91,'Undirviðmiðalisti (Lýsigögn)'!$C$6:$C$41,0))="","",INDEX('Undirviðmiðalisti (Lýsigögn)'!$E$6:$E$41,MATCH($C91,'Undirviðmiðalisti (Lýsigögn)'!$C$6:$C$41,0))),IFERROR(IF(INDEX('Undirviðmiðalisti (Lýsigögn)'!$E$42:$E$58,MATCH($C91,'Undirviðmiðalisti (Lýsigögn)'!$C$42:$C$58,0))="","",INDEX('Undirviðmiðalisti (Lýsigögn)'!$E$42:$E$58,MATCH($C91,'Undirviðmiðalisti (Lýsigögn)'!$C$42:$C$58,0))),""))))</f>
        <v/>
      </c>
      <c r="G91" s="24" t="str">
        <f aca="false">IFERROR(IF(B91="","",INDEX(Viðmið!$B$6:$B$10,MATCH(B91,Viðmið!$C$6:$C$10,0))),"")</f>
        <v/>
      </c>
      <c r="H91" s="25" t="str">
        <f aca="false">IF(OR(E91="",F91=""),"",E91*KVARDI)</f>
        <v/>
      </c>
      <c r="I91" s="26" t="str">
        <f aca="false">IF(B91="","",IF(ROUND(SUMIF($B$6:$B$205,B91,$E$6:$E$205),4)=ROUND(IFERROR(INDEX(Viðmið!$E$6:$E$10,MATCH(B91,Viðmið!$C$6:$C$10,0)),-1),4),"✓","✗"))</f>
        <v/>
      </c>
      <c r="J91" s="16" t="str">
        <f aca="false">IF($C91="","",IF($G91="Einstaklingsbundið",IFERROR(IF(INDEX('Undirviðmiðalisti (Lýsigögn)'!F$42:F$58,MATCH($C91,'Undirviðmiðalisti (Lýsigögn)'!$C$42:$C$58,0))="","",INDEX('Undirviðmiðalisti (Lýsigögn)'!F$42:F$58,MATCH($C91,'Undirviðmiðalisti (Lýsigögn)'!$C$42:$C$58,0))),""),IFERROR(IF(INDEX('Undirviðmiðalisti (Lýsigögn)'!F$6:F$41,MATCH($C91,'Undirviðmiðalisti (Lýsigögn)'!$C$6:$C$41,0))="","",INDEX('Undirviðmiðalisti (Lýsigögn)'!F$6:F$41,MATCH($C91,'Undirviðmiðalisti (Lýsigögn)'!$C$6:$C$41,0))),IFERROR(IF(INDEX('Undirviðmiðalisti (Lýsigögn)'!F$42:F$58,MATCH($C91,'Undirviðmiðalisti (Lýsigögn)'!$C$42:$C$58,0))="","",INDEX('Undirviðmiðalisti (Lýsigögn)'!F$42:F$58,MATCH($C91,'Undirviðmiðalisti (Lýsigögn)'!$C$42:$C$58,0))),""))))</f>
        <v/>
      </c>
      <c r="K91" s="16" t="str">
        <f aca="false">IF($C91="","",IF($G91="Einstaklingsbundið",IFERROR(IF(INDEX('Undirviðmiðalisti (Lýsigögn)'!G$42:G$58,MATCH($C91,'Undirviðmiðalisti (Lýsigögn)'!$C$42:$C$58,0))="","",INDEX('Undirviðmiðalisti (Lýsigögn)'!G$42:G$58,MATCH($C91,'Undirviðmiðalisti (Lýsigögn)'!$C$42:$C$58,0))),""),IFERROR(IF(INDEX('Undirviðmiðalisti (Lýsigögn)'!G$6:G$41,MATCH($C91,'Undirviðmiðalisti (Lýsigögn)'!$C$6:$C$41,0))="","",INDEX('Undirviðmiðalisti (Lýsigögn)'!G$6:G$41,MATCH($C91,'Undirviðmiðalisti (Lýsigögn)'!$C$6:$C$41,0))),IFERROR(IF(INDEX('Undirviðmiðalisti (Lýsigögn)'!G$42:G$58,MATCH($C91,'Undirviðmiðalisti (Lýsigögn)'!$C$42:$C$58,0))="","",INDEX('Undirviðmiðalisti (Lýsigögn)'!G$42:G$58,MATCH($C91,'Undirviðmiðalisti (Lýsigögn)'!$C$42:$C$58,0))),""))))</f>
        <v/>
      </c>
      <c r="L91" s="16" t="str">
        <f aca="false">IF($C91="","",IF($G91="Einstaklingsbundið",IFERROR(IF(INDEX('Undirviðmiðalisti (Lýsigögn)'!H$42:H$58,MATCH($C91,'Undirviðmiðalisti (Lýsigögn)'!$C$42:$C$58,0))="","",INDEX('Undirviðmiðalisti (Lýsigögn)'!H$42:H$58,MATCH($C91,'Undirviðmiðalisti (Lýsigögn)'!$C$42:$C$58,0))),""),IFERROR(IF(INDEX('Undirviðmiðalisti (Lýsigögn)'!H$6:H$41,MATCH($C91,'Undirviðmiðalisti (Lýsigögn)'!$C$6:$C$41,0))="","",INDEX('Undirviðmiðalisti (Lýsigögn)'!H$6:H$41,MATCH($C91,'Undirviðmiðalisti (Lýsigögn)'!$C$6:$C$41,0))),IFERROR(IF(INDEX('Undirviðmiðalisti (Lýsigögn)'!H$42:H$58,MATCH($C91,'Undirviðmiðalisti (Lýsigögn)'!$C$42:$C$58,0))="","",INDEX('Undirviðmiðalisti (Lýsigögn)'!H$42:H$58,MATCH($C91,'Undirviðmiðalisti (Lýsigögn)'!$C$42:$C$58,0))),""))))</f>
        <v/>
      </c>
      <c r="M91" s="16" t="str">
        <f aca="false">IF($C91="","",IF($G91="Einstaklingsbundið",IFERROR(IF(INDEX('Undirviðmiðalisti (Lýsigögn)'!I$42:I$58,MATCH($C91,'Undirviðmiðalisti (Lýsigögn)'!$C$42:$C$58,0))="","",INDEX('Undirviðmiðalisti (Lýsigögn)'!I$42:I$58,MATCH($C91,'Undirviðmiðalisti (Lýsigögn)'!$C$42:$C$58,0))),""),IFERROR(IF(INDEX('Undirviðmiðalisti (Lýsigögn)'!I$6:I$41,MATCH($C91,'Undirviðmiðalisti (Lýsigögn)'!$C$6:$C$41,0))="","",INDEX('Undirviðmiðalisti (Lýsigögn)'!I$6:I$41,MATCH($C91,'Undirviðmiðalisti (Lýsigögn)'!$C$6:$C$41,0))),IFERROR(IF(INDEX('Undirviðmiðalisti (Lýsigögn)'!I$42:I$58,MATCH($C91,'Undirviðmiðalisti (Lýsigögn)'!$C$42:$C$58,0))="","",INDEX('Undirviðmiðalisti (Lýsigögn)'!I$42:I$58,MATCH($C91,'Undirviðmiðalisti (Lýsigögn)'!$C$42:$C$58,0))),""))))</f>
        <v/>
      </c>
      <c r="N91" s="16" t="str">
        <f aca="false">IF($C91="","",IF($G91="Einstaklingsbundið",IFERROR(IF(INDEX('Undirviðmiðalisti (Lýsigögn)'!J$42:J$58,MATCH($C91,'Undirviðmiðalisti (Lýsigögn)'!$C$42:$C$58,0))="","",INDEX('Undirviðmiðalisti (Lýsigögn)'!J$42:J$58,MATCH($C91,'Undirviðmiðalisti (Lýsigögn)'!$C$42:$C$58,0))),""),IFERROR(IF(INDEX('Undirviðmiðalisti (Lýsigögn)'!J$6:J$41,MATCH($C91,'Undirviðmiðalisti (Lýsigögn)'!$C$6:$C$41,0))="","",INDEX('Undirviðmiðalisti (Lýsigögn)'!J$6:J$41,MATCH($C91,'Undirviðmiðalisti (Lýsigögn)'!$C$6:$C$41,0))),IFERROR(IF(INDEX('Undirviðmiðalisti (Lýsigögn)'!J$42:J$58,MATCH($C91,'Undirviðmiðalisti (Lýsigögn)'!$C$42:$C$58,0))="","",INDEX('Undirviðmiðalisti (Lýsigögn)'!J$42:J$58,MATCH($C91,'Undirviðmiðalisti (Lýsigögn)'!$C$42:$C$58,0))),""))))</f>
        <v/>
      </c>
      <c r="O91" s="16" t="str">
        <f aca="false">IF($C91="","",IF($G91="Einstaklingsbundið",IFERROR(IF(INDEX('Undirviðmiðalisti (Lýsigögn)'!K$42:K$58,MATCH($C91,'Undirviðmiðalisti (Lýsigögn)'!$C$42:$C$58,0))="","",INDEX('Undirviðmiðalisti (Lýsigögn)'!K$42:K$58,MATCH($C91,'Undirviðmiðalisti (Lýsigögn)'!$C$42:$C$58,0))),""),IFERROR(IF(INDEX('Undirviðmiðalisti (Lýsigögn)'!K$6:K$41,MATCH($C91,'Undirviðmiðalisti (Lýsigögn)'!$C$6:$C$41,0))="","",INDEX('Undirviðmiðalisti (Lýsigögn)'!K$6:K$41,MATCH($C91,'Undirviðmiðalisti (Lýsigögn)'!$C$6:$C$41,0))),IFERROR(IF(INDEX('Undirviðmiðalisti (Lýsigögn)'!K$42:K$58,MATCH($C91,'Undirviðmiðalisti (Lýsigögn)'!$C$42:$C$58,0))="","",INDEX('Undirviðmiðalisti (Lýsigögn)'!K$42:K$58,MATCH($C91,'Undirviðmiðalisti (Lýsigögn)'!$C$42:$C$58,0))),""))))</f>
        <v/>
      </c>
      <c r="P91" s="16" t="str">
        <f aca="false">IF($C91="","",IF($G91="Einstaklingsbundið",IFERROR(IF(INDEX('Undirviðmiðalisti (Lýsigögn)'!L$42:L$58,MATCH($C91,'Undirviðmiðalisti (Lýsigögn)'!$C$42:$C$58,0))="","",INDEX('Undirviðmiðalisti (Lýsigögn)'!L$42:L$58,MATCH($C91,'Undirviðmiðalisti (Lýsigögn)'!$C$42:$C$58,0))),""),IFERROR(IF(INDEX('Undirviðmiðalisti (Lýsigögn)'!L$6:L$41,MATCH($C91,'Undirviðmiðalisti (Lýsigögn)'!$C$6:$C$41,0))="","",INDEX('Undirviðmiðalisti (Lýsigögn)'!L$6:L$41,MATCH($C91,'Undirviðmiðalisti (Lýsigögn)'!$C$6:$C$41,0))),IFERROR(IF(INDEX('Undirviðmiðalisti (Lýsigögn)'!L$42:L$58,MATCH($C91,'Undirviðmiðalisti (Lýsigögn)'!$C$42:$C$58,0))="","",INDEX('Undirviðmiðalisti (Lýsigögn)'!L$42:L$58,MATCH($C91,'Undirviðmiðalisti (Lýsigögn)'!$C$42:$C$58,0))),""))))</f>
        <v/>
      </c>
      <c r="Q91" s="16" t="str">
        <f aca="false">IF($C91="","",IF($G91="Einstaklingsbundið",IFERROR(IF(INDEX('Undirviðmiðalisti (Lýsigögn)'!M$42:M$58,MATCH($C91,'Undirviðmiðalisti (Lýsigögn)'!$C$42:$C$58,0))="","",INDEX('Undirviðmiðalisti (Lýsigögn)'!M$42:M$58,MATCH($C91,'Undirviðmiðalisti (Lýsigögn)'!$C$42:$C$58,0))),""),IFERROR(IF(INDEX('Undirviðmiðalisti (Lýsigögn)'!M$6:M$41,MATCH($C91,'Undirviðmiðalisti (Lýsigögn)'!$C$6:$C$41,0))="","",INDEX('Undirviðmiðalisti (Lýsigögn)'!M$6:M$41,MATCH($C91,'Undirviðmiðalisti (Lýsigögn)'!$C$6:$C$41,0))),IFERROR(IF(INDEX('Undirviðmiðalisti (Lýsigögn)'!M$42:M$58,MATCH($C91,'Undirviðmiðalisti (Lýsigögn)'!$C$42:$C$58,0))="","",INDEX('Undirviðmiðalisti (Lýsigögn)'!M$42:M$58,MATCH($C91,'Undirviðmiðalisti (Lýsigögn)'!$C$42:$C$58,0))),""))))</f>
        <v/>
      </c>
    </row>
    <row r="92" customFormat="false" ht="15" hidden="false" customHeight="true" outlineLevel="0" collapsed="false">
      <c r="A92" s="22" t="str">
        <f aca="false">IF($B92="","",ROW()-5)</f>
        <v/>
      </c>
      <c r="B92" s="15"/>
      <c r="C92" s="15"/>
      <c r="D92" s="16" t="str">
        <f aca="false">IF($C92="","",IF($G92="Einstaklingsbundið",IFERROR(IF(INDEX('Undirviðmiðalisti (Lýsigögn)'!$D$42:$D$58,MATCH($C92,'Undirviðmiðalisti (Lýsigögn)'!$C$42:$C$58,0))="","",INDEX('Undirviðmiðalisti (Lýsigögn)'!$D$42:$D$58,MATCH($C92,'Undirviðmiðalisti (Lýsigögn)'!$C$42:$C$58,0))),""),IFERROR(IF(INDEX('Undirviðmiðalisti (Lýsigögn)'!$D$6:$D$41,MATCH($C92,'Undirviðmiðalisti (Lýsigögn)'!$C$6:$C$41,0))="","",INDEX('Undirviðmiðalisti (Lýsigögn)'!$D$6:$D$41,MATCH($C92,'Undirviðmiðalisti (Lýsigögn)'!$C$6:$C$41,0))),IFERROR(IF(INDEX('Undirviðmiðalisti (Lýsigögn)'!$D$42:$D$58,MATCH($C92,'Undirviðmiðalisti (Lýsigögn)'!$C$42:$C$58,0))="","",INDEX('Undirviðmiðalisti (Lýsigögn)'!$D$42:$D$58,MATCH($C92,'Undirviðmiðalisti (Lýsigögn)'!$C$42:$C$58,0))),""))))</f>
        <v/>
      </c>
      <c r="E92" s="14"/>
      <c r="F92" s="23" t="str">
        <f aca="false">IF($C92="","",IF($G92="Einstaklingsbundið",IFERROR(IF(INDEX('Undirviðmiðalisti (Lýsigögn)'!$E$42:$E$58,MATCH($C92,'Undirviðmiðalisti (Lýsigögn)'!$C$42:$C$58,0))="","",INDEX('Undirviðmiðalisti (Lýsigögn)'!$E$42:$E$58,MATCH($C92,'Undirviðmiðalisti (Lýsigögn)'!$C$42:$C$58,0))),""),IFERROR(IF(INDEX('Undirviðmiðalisti (Lýsigögn)'!$E$6:$E$41,MATCH($C92,'Undirviðmiðalisti (Lýsigögn)'!$C$6:$C$41,0))="","",INDEX('Undirviðmiðalisti (Lýsigögn)'!$E$6:$E$41,MATCH($C92,'Undirviðmiðalisti (Lýsigögn)'!$C$6:$C$41,0))),IFERROR(IF(INDEX('Undirviðmiðalisti (Lýsigögn)'!$E$42:$E$58,MATCH($C92,'Undirviðmiðalisti (Lýsigögn)'!$C$42:$C$58,0))="","",INDEX('Undirviðmiðalisti (Lýsigögn)'!$E$42:$E$58,MATCH($C92,'Undirviðmiðalisti (Lýsigögn)'!$C$42:$C$58,0))),""))))</f>
        <v/>
      </c>
      <c r="G92" s="24" t="str">
        <f aca="false">IFERROR(IF(B92="","",INDEX(Viðmið!$B$6:$B$10,MATCH(B92,Viðmið!$C$6:$C$10,0))),"")</f>
        <v/>
      </c>
      <c r="H92" s="25" t="str">
        <f aca="false">IF(OR(E92="",F92=""),"",E92*KVARDI)</f>
        <v/>
      </c>
      <c r="I92" s="26" t="str">
        <f aca="false">IF(B92="","",IF(ROUND(SUMIF($B$6:$B$205,B92,$E$6:$E$205),4)=ROUND(IFERROR(INDEX(Viðmið!$E$6:$E$10,MATCH(B92,Viðmið!$C$6:$C$10,0)),-1),4),"✓","✗"))</f>
        <v/>
      </c>
      <c r="J92" s="16" t="str">
        <f aca="false">IF($C92="","",IF($G92="Einstaklingsbundið",IFERROR(IF(INDEX('Undirviðmiðalisti (Lýsigögn)'!F$42:F$58,MATCH($C92,'Undirviðmiðalisti (Lýsigögn)'!$C$42:$C$58,0))="","",INDEX('Undirviðmiðalisti (Lýsigögn)'!F$42:F$58,MATCH($C92,'Undirviðmiðalisti (Lýsigögn)'!$C$42:$C$58,0))),""),IFERROR(IF(INDEX('Undirviðmiðalisti (Lýsigögn)'!F$6:F$41,MATCH($C92,'Undirviðmiðalisti (Lýsigögn)'!$C$6:$C$41,0))="","",INDEX('Undirviðmiðalisti (Lýsigögn)'!F$6:F$41,MATCH($C92,'Undirviðmiðalisti (Lýsigögn)'!$C$6:$C$41,0))),IFERROR(IF(INDEX('Undirviðmiðalisti (Lýsigögn)'!F$42:F$58,MATCH($C92,'Undirviðmiðalisti (Lýsigögn)'!$C$42:$C$58,0))="","",INDEX('Undirviðmiðalisti (Lýsigögn)'!F$42:F$58,MATCH($C92,'Undirviðmiðalisti (Lýsigögn)'!$C$42:$C$58,0))),""))))</f>
        <v/>
      </c>
      <c r="K92" s="16" t="str">
        <f aca="false">IF($C92="","",IF($G92="Einstaklingsbundið",IFERROR(IF(INDEX('Undirviðmiðalisti (Lýsigögn)'!G$42:G$58,MATCH($C92,'Undirviðmiðalisti (Lýsigögn)'!$C$42:$C$58,0))="","",INDEX('Undirviðmiðalisti (Lýsigögn)'!G$42:G$58,MATCH($C92,'Undirviðmiðalisti (Lýsigögn)'!$C$42:$C$58,0))),""),IFERROR(IF(INDEX('Undirviðmiðalisti (Lýsigögn)'!G$6:G$41,MATCH($C92,'Undirviðmiðalisti (Lýsigögn)'!$C$6:$C$41,0))="","",INDEX('Undirviðmiðalisti (Lýsigögn)'!G$6:G$41,MATCH($C92,'Undirviðmiðalisti (Lýsigögn)'!$C$6:$C$41,0))),IFERROR(IF(INDEX('Undirviðmiðalisti (Lýsigögn)'!G$42:G$58,MATCH($C92,'Undirviðmiðalisti (Lýsigögn)'!$C$42:$C$58,0))="","",INDEX('Undirviðmiðalisti (Lýsigögn)'!G$42:G$58,MATCH($C92,'Undirviðmiðalisti (Lýsigögn)'!$C$42:$C$58,0))),""))))</f>
        <v/>
      </c>
      <c r="L92" s="16" t="str">
        <f aca="false">IF($C92="","",IF($G92="Einstaklingsbundið",IFERROR(IF(INDEX('Undirviðmiðalisti (Lýsigögn)'!H$42:H$58,MATCH($C92,'Undirviðmiðalisti (Lýsigögn)'!$C$42:$C$58,0))="","",INDEX('Undirviðmiðalisti (Lýsigögn)'!H$42:H$58,MATCH($C92,'Undirviðmiðalisti (Lýsigögn)'!$C$42:$C$58,0))),""),IFERROR(IF(INDEX('Undirviðmiðalisti (Lýsigögn)'!H$6:H$41,MATCH($C92,'Undirviðmiðalisti (Lýsigögn)'!$C$6:$C$41,0))="","",INDEX('Undirviðmiðalisti (Lýsigögn)'!H$6:H$41,MATCH($C92,'Undirviðmiðalisti (Lýsigögn)'!$C$6:$C$41,0))),IFERROR(IF(INDEX('Undirviðmiðalisti (Lýsigögn)'!H$42:H$58,MATCH($C92,'Undirviðmiðalisti (Lýsigögn)'!$C$42:$C$58,0))="","",INDEX('Undirviðmiðalisti (Lýsigögn)'!H$42:H$58,MATCH($C92,'Undirviðmiðalisti (Lýsigögn)'!$C$42:$C$58,0))),""))))</f>
        <v/>
      </c>
      <c r="M92" s="16" t="str">
        <f aca="false">IF($C92="","",IF($G92="Einstaklingsbundið",IFERROR(IF(INDEX('Undirviðmiðalisti (Lýsigögn)'!I$42:I$58,MATCH($C92,'Undirviðmiðalisti (Lýsigögn)'!$C$42:$C$58,0))="","",INDEX('Undirviðmiðalisti (Lýsigögn)'!I$42:I$58,MATCH($C92,'Undirviðmiðalisti (Lýsigögn)'!$C$42:$C$58,0))),""),IFERROR(IF(INDEX('Undirviðmiðalisti (Lýsigögn)'!I$6:I$41,MATCH($C92,'Undirviðmiðalisti (Lýsigögn)'!$C$6:$C$41,0))="","",INDEX('Undirviðmiðalisti (Lýsigögn)'!I$6:I$41,MATCH($C92,'Undirviðmiðalisti (Lýsigögn)'!$C$6:$C$41,0))),IFERROR(IF(INDEX('Undirviðmiðalisti (Lýsigögn)'!I$42:I$58,MATCH($C92,'Undirviðmiðalisti (Lýsigögn)'!$C$42:$C$58,0))="","",INDEX('Undirviðmiðalisti (Lýsigögn)'!I$42:I$58,MATCH($C92,'Undirviðmiðalisti (Lýsigögn)'!$C$42:$C$58,0))),""))))</f>
        <v/>
      </c>
      <c r="N92" s="16" t="str">
        <f aca="false">IF($C92="","",IF($G92="Einstaklingsbundið",IFERROR(IF(INDEX('Undirviðmiðalisti (Lýsigögn)'!J$42:J$58,MATCH($C92,'Undirviðmiðalisti (Lýsigögn)'!$C$42:$C$58,0))="","",INDEX('Undirviðmiðalisti (Lýsigögn)'!J$42:J$58,MATCH($C92,'Undirviðmiðalisti (Lýsigögn)'!$C$42:$C$58,0))),""),IFERROR(IF(INDEX('Undirviðmiðalisti (Lýsigögn)'!J$6:J$41,MATCH($C92,'Undirviðmiðalisti (Lýsigögn)'!$C$6:$C$41,0))="","",INDEX('Undirviðmiðalisti (Lýsigögn)'!J$6:J$41,MATCH($C92,'Undirviðmiðalisti (Lýsigögn)'!$C$6:$C$41,0))),IFERROR(IF(INDEX('Undirviðmiðalisti (Lýsigögn)'!J$42:J$58,MATCH($C92,'Undirviðmiðalisti (Lýsigögn)'!$C$42:$C$58,0))="","",INDEX('Undirviðmiðalisti (Lýsigögn)'!J$42:J$58,MATCH($C92,'Undirviðmiðalisti (Lýsigögn)'!$C$42:$C$58,0))),""))))</f>
        <v/>
      </c>
      <c r="O92" s="16" t="str">
        <f aca="false">IF($C92="","",IF($G92="Einstaklingsbundið",IFERROR(IF(INDEX('Undirviðmiðalisti (Lýsigögn)'!K$42:K$58,MATCH($C92,'Undirviðmiðalisti (Lýsigögn)'!$C$42:$C$58,0))="","",INDEX('Undirviðmiðalisti (Lýsigögn)'!K$42:K$58,MATCH($C92,'Undirviðmiðalisti (Lýsigögn)'!$C$42:$C$58,0))),""),IFERROR(IF(INDEX('Undirviðmiðalisti (Lýsigögn)'!K$6:K$41,MATCH($C92,'Undirviðmiðalisti (Lýsigögn)'!$C$6:$C$41,0))="","",INDEX('Undirviðmiðalisti (Lýsigögn)'!K$6:K$41,MATCH($C92,'Undirviðmiðalisti (Lýsigögn)'!$C$6:$C$41,0))),IFERROR(IF(INDEX('Undirviðmiðalisti (Lýsigögn)'!K$42:K$58,MATCH($C92,'Undirviðmiðalisti (Lýsigögn)'!$C$42:$C$58,0))="","",INDEX('Undirviðmiðalisti (Lýsigögn)'!K$42:K$58,MATCH($C92,'Undirviðmiðalisti (Lýsigögn)'!$C$42:$C$58,0))),""))))</f>
        <v/>
      </c>
      <c r="P92" s="16" t="str">
        <f aca="false">IF($C92="","",IF($G92="Einstaklingsbundið",IFERROR(IF(INDEX('Undirviðmiðalisti (Lýsigögn)'!L$42:L$58,MATCH($C92,'Undirviðmiðalisti (Lýsigögn)'!$C$42:$C$58,0))="","",INDEX('Undirviðmiðalisti (Lýsigögn)'!L$42:L$58,MATCH($C92,'Undirviðmiðalisti (Lýsigögn)'!$C$42:$C$58,0))),""),IFERROR(IF(INDEX('Undirviðmiðalisti (Lýsigögn)'!L$6:L$41,MATCH($C92,'Undirviðmiðalisti (Lýsigögn)'!$C$6:$C$41,0))="","",INDEX('Undirviðmiðalisti (Lýsigögn)'!L$6:L$41,MATCH($C92,'Undirviðmiðalisti (Lýsigögn)'!$C$6:$C$41,0))),IFERROR(IF(INDEX('Undirviðmiðalisti (Lýsigögn)'!L$42:L$58,MATCH($C92,'Undirviðmiðalisti (Lýsigögn)'!$C$42:$C$58,0))="","",INDEX('Undirviðmiðalisti (Lýsigögn)'!L$42:L$58,MATCH($C92,'Undirviðmiðalisti (Lýsigögn)'!$C$42:$C$58,0))),""))))</f>
        <v/>
      </c>
      <c r="Q92" s="16" t="str">
        <f aca="false">IF($C92="","",IF($G92="Einstaklingsbundið",IFERROR(IF(INDEX('Undirviðmiðalisti (Lýsigögn)'!M$42:M$58,MATCH($C92,'Undirviðmiðalisti (Lýsigögn)'!$C$42:$C$58,0))="","",INDEX('Undirviðmiðalisti (Lýsigögn)'!M$42:M$58,MATCH($C92,'Undirviðmiðalisti (Lýsigögn)'!$C$42:$C$58,0))),""),IFERROR(IF(INDEX('Undirviðmiðalisti (Lýsigögn)'!M$6:M$41,MATCH($C92,'Undirviðmiðalisti (Lýsigögn)'!$C$6:$C$41,0))="","",INDEX('Undirviðmiðalisti (Lýsigögn)'!M$6:M$41,MATCH($C92,'Undirviðmiðalisti (Lýsigögn)'!$C$6:$C$41,0))),IFERROR(IF(INDEX('Undirviðmiðalisti (Lýsigögn)'!M$42:M$58,MATCH($C92,'Undirviðmiðalisti (Lýsigögn)'!$C$42:$C$58,0))="","",INDEX('Undirviðmiðalisti (Lýsigögn)'!M$42:M$58,MATCH($C92,'Undirviðmiðalisti (Lýsigögn)'!$C$42:$C$58,0))),""))))</f>
        <v/>
      </c>
    </row>
    <row r="93" customFormat="false" ht="15" hidden="false" customHeight="true" outlineLevel="0" collapsed="false">
      <c r="A93" s="22" t="str">
        <f aca="false">IF($B93="","",ROW()-5)</f>
        <v/>
      </c>
      <c r="B93" s="15"/>
      <c r="C93" s="15"/>
      <c r="D93" s="16" t="str">
        <f aca="false">IF($C93="","",IF($G93="Einstaklingsbundið",IFERROR(IF(INDEX('Undirviðmiðalisti (Lýsigögn)'!$D$42:$D$58,MATCH($C93,'Undirviðmiðalisti (Lýsigögn)'!$C$42:$C$58,0))="","",INDEX('Undirviðmiðalisti (Lýsigögn)'!$D$42:$D$58,MATCH($C93,'Undirviðmiðalisti (Lýsigögn)'!$C$42:$C$58,0))),""),IFERROR(IF(INDEX('Undirviðmiðalisti (Lýsigögn)'!$D$6:$D$41,MATCH($C93,'Undirviðmiðalisti (Lýsigögn)'!$C$6:$C$41,0))="","",INDEX('Undirviðmiðalisti (Lýsigögn)'!$D$6:$D$41,MATCH($C93,'Undirviðmiðalisti (Lýsigögn)'!$C$6:$C$41,0))),IFERROR(IF(INDEX('Undirviðmiðalisti (Lýsigögn)'!$D$42:$D$58,MATCH($C93,'Undirviðmiðalisti (Lýsigögn)'!$C$42:$C$58,0))="","",INDEX('Undirviðmiðalisti (Lýsigögn)'!$D$42:$D$58,MATCH($C93,'Undirviðmiðalisti (Lýsigögn)'!$C$42:$C$58,0))),""))))</f>
        <v/>
      </c>
      <c r="E93" s="14"/>
      <c r="F93" s="23" t="str">
        <f aca="false">IF($C93="","",IF($G93="Einstaklingsbundið",IFERROR(IF(INDEX('Undirviðmiðalisti (Lýsigögn)'!$E$42:$E$58,MATCH($C93,'Undirviðmiðalisti (Lýsigögn)'!$C$42:$C$58,0))="","",INDEX('Undirviðmiðalisti (Lýsigögn)'!$E$42:$E$58,MATCH($C93,'Undirviðmiðalisti (Lýsigögn)'!$C$42:$C$58,0))),""),IFERROR(IF(INDEX('Undirviðmiðalisti (Lýsigögn)'!$E$6:$E$41,MATCH($C93,'Undirviðmiðalisti (Lýsigögn)'!$C$6:$C$41,0))="","",INDEX('Undirviðmiðalisti (Lýsigögn)'!$E$6:$E$41,MATCH($C93,'Undirviðmiðalisti (Lýsigögn)'!$C$6:$C$41,0))),IFERROR(IF(INDEX('Undirviðmiðalisti (Lýsigögn)'!$E$42:$E$58,MATCH($C93,'Undirviðmiðalisti (Lýsigögn)'!$C$42:$C$58,0))="","",INDEX('Undirviðmiðalisti (Lýsigögn)'!$E$42:$E$58,MATCH($C93,'Undirviðmiðalisti (Lýsigögn)'!$C$42:$C$58,0))),""))))</f>
        <v/>
      </c>
      <c r="G93" s="24" t="str">
        <f aca="false">IFERROR(IF(B93="","",INDEX(Viðmið!$B$6:$B$10,MATCH(B93,Viðmið!$C$6:$C$10,0))),"")</f>
        <v/>
      </c>
      <c r="H93" s="25" t="str">
        <f aca="false">IF(OR(E93="",F93=""),"",E93*KVARDI)</f>
        <v/>
      </c>
      <c r="I93" s="26" t="str">
        <f aca="false">IF(B93="","",IF(ROUND(SUMIF($B$6:$B$205,B93,$E$6:$E$205),4)=ROUND(IFERROR(INDEX(Viðmið!$E$6:$E$10,MATCH(B93,Viðmið!$C$6:$C$10,0)),-1),4),"✓","✗"))</f>
        <v/>
      </c>
      <c r="J93" s="16" t="str">
        <f aca="false">IF($C93="","",IF($G93="Einstaklingsbundið",IFERROR(IF(INDEX('Undirviðmiðalisti (Lýsigögn)'!F$42:F$58,MATCH($C93,'Undirviðmiðalisti (Lýsigögn)'!$C$42:$C$58,0))="","",INDEX('Undirviðmiðalisti (Lýsigögn)'!F$42:F$58,MATCH($C93,'Undirviðmiðalisti (Lýsigögn)'!$C$42:$C$58,0))),""),IFERROR(IF(INDEX('Undirviðmiðalisti (Lýsigögn)'!F$6:F$41,MATCH($C93,'Undirviðmiðalisti (Lýsigögn)'!$C$6:$C$41,0))="","",INDEX('Undirviðmiðalisti (Lýsigögn)'!F$6:F$41,MATCH($C93,'Undirviðmiðalisti (Lýsigögn)'!$C$6:$C$41,0))),IFERROR(IF(INDEX('Undirviðmiðalisti (Lýsigögn)'!F$42:F$58,MATCH($C93,'Undirviðmiðalisti (Lýsigögn)'!$C$42:$C$58,0))="","",INDEX('Undirviðmiðalisti (Lýsigögn)'!F$42:F$58,MATCH($C93,'Undirviðmiðalisti (Lýsigögn)'!$C$42:$C$58,0))),""))))</f>
        <v/>
      </c>
      <c r="K93" s="16" t="str">
        <f aca="false">IF($C93="","",IF($G93="Einstaklingsbundið",IFERROR(IF(INDEX('Undirviðmiðalisti (Lýsigögn)'!G$42:G$58,MATCH($C93,'Undirviðmiðalisti (Lýsigögn)'!$C$42:$C$58,0))="","",INDEX('Undirviðmiðalisti (Lýsigögn)'!G$42:G$58,MATCH($C93,'Undirviðmiðalisti (Lýsigögn)'!$C$42:$C$58,0))),""),IFERROR(IF(INDEX('Undirviðmiðalisti (Lýsigögn)'!G$6:G$41,MATCH($C93,'Undirviðmiðalisti (Lýsigögn)'!$C$6:$C$41,0))="","",INDEX('Undirviðmiðalisti (Lýsigögn)'!G$6:G$41,MATCH($C93,'Undirviðmiðalisti (Lýsigögn)'!$C$6:$C$41,0))),IFERROR(IF(INDEX('Undirviðmiðalisti (Lýsigögn)'!G$42:G$58,MATCH($C93,'Undirviðmiðalisti (Lýsigögn)'!$C$42:$C$58,0))="","",INDEX('Undirviðmiðalisti (Lýsigögn)'!G$42:G$58,MATCH($C93,'Undirviðmiðalisti (Lýsigögn)'!$C$42:$C$58,0))),""))))</f>
        <v/>
      </c>
      <c r="L93" s="16" t="str">
        <f aca="false">IF($C93="","",IF($G93="Einstaklingsbundið",IFERROR(IF(INDEX('Undirviðmiðalisti (Lýsigögn)'!H$42:H$58,MATCH($C93,'Undirviðmiðalisti (Lýsigögn)'!$C$42:$C$58,0))="","",INDEX('Undirviðmiðalisti (Lýsigögn)'!H$42:H$58,MATCH($C93,'Undirviðmiðalisti (Lýsigögn)'!$C$42:$C$58,0))),""),IFERROR(IF(INDEX('Undirviðmiðalisti (Lýsigögn)'!H$6:H$41,MATCH($C93,'Undirviðmiðalisti (Lýsigögn)'!$C$6:$C$41,0))="","",INDEX('Undirviðmiðalisti (Lýsigögn)'!H$6:H$41,MATCH($C93,'Undirviðmiðalisti (Lýsigögn)'!$C$6:$C$41,0))),IFERROR(IF(INDEX('Undirviðmiðalisti (Lýsigögn)'!H$42:H$58,MATCH($C93,'Undirviðmiðalisti (Lýsigögn)'!$C$42:$C$58,0))="","",INDEX('Undirviðmiðalisti (Lýsigögn)'!H$42:H$58,MATCH($C93,'Undirviðmiðalisti (Lýsigögn)'!$C$42:$C$58,0))),""))))</f>
        <v/>
      </c>
      <c r="M93" s="16" t="str">
        <f aca="false">IF($C93="","",IF($G93="Einstaklingsbundið",IFERROR(IF(INDEX('Undirviðmiðalisti (Lýsigögn)'!I$42:I$58,MATCH($C93,'Undirviðmiðalisti (Lýsigögn)'!$C$42:$C$58,0))="","",INDEX('Undirviðmiðalisti (Lýsigögn)'!I$42:I$58,MATCH($C93,'Undirviðmiðalisti (Lýsigögn)'!$C$42:$C$58,0))),""),IFERROR(IF(INDEX('Undirviðmiðalisti (Lýsigögn)'!I$6:I$41,MATCH($C93,'Undirviðmiðalisti (Lýsigögn)'!$C$6:$C$41,0))="","",INDEX('Undirviðmiðalisti (Lýsigögn)'!I$6:I$41,MATCH($C93,'Undirviðmiðalisti (Lýsigögn)'!$C$6:$C$41,0))),IFERROR(IF(INDEX('Undirviðmiðalisti (Lýsigögn)'!I$42:I$58,MATCH($C93,'Undirviðmiðalisti (Lýsigögn)'!$C$42:$C$58,0))="","",INDEX('Undirviðmiðalisti (Lýsigögn)'!I$42:I$58,MATCH($C93,'Undirviðmiðalisti (Lýsigögn)'!$C$42:$C$58,0))),""))))</f>
        <v/>
      </c>
      <c r="N93" s="16" t="str">
        <f aca="false">IF($C93="","",IF($G93="Einstaklingsbundið",IFERROR(IF(INDEX('Undirviðmiðalisti (Lýsigögn)'!J$42:J$58,MATCH($C93,'Undirviðmiðalisti (Lýsigögn)'!$C$42:$C$58,0))="","",INDEX('Undirviðmiðalisti (Lýsigögn)'!J$42:J$58,MATCH($C93,'Undirviðmiðalisti (Lýsigögn)'!$C$42:$C$58,0))),""),IFERROR(IF(INDEX('Undirviðmiðalisti (Lýsigögn)'!J$6:J$41,MATCH($C93,'Undirviðmiðalisti (Lýsigögn)'!$C$6:$C$41,0))="","",INDEX('Undirviðmiðalisti (Lýsigögn)'!J$6:J$41,MATCH($C93,'Undirviðmiðalisti (Lýsigögn)'!$C$6:$C$41,0))),IFERROR(IF(INDEX('Undirviðmiðalisti (Lýsigögn)'!J$42:J$58,MATCH($C93,'Undirviðmiðalisti (Lýsigögn)'!$C$42:$C$58,0))="","",INDEX('Undirviðmiðalisti (Lýsigögn)'!J$42:J$58,MATCH($C93,'Undirviðmiðalisti (Lýsigögn)'!$C$42:$C$58,0))),""))))</f>
        <v/>
      </c>
      <c r="O93" s="16" t="str">
        <f aca="false">IF($C93="","",IF($G93="Einstaklingsbundið",IFERROR(IF(INDEX('Undirviðmiðalisti (Lýsigögn)'!K$42:K$58,MATCH($C93,'Undirviðmiðalisti (Lýsigögn)'!$C$42:$C$58,0))="","",INDEX('Undirviðmiðalisti (Lýsigögn)'!K$42:K$58,MATCH($C93,'Undirviðmiðalisti (Lýsigögn)'!$C$42:$C$58,0))),""),IFERROR(IF(INDEX('Undirviðmiðalisti (Lýsigögn)'!K$6:K$41,MATCH($C93,'Undirviðmiðalisti (Lýsigögn)'!$C$6:$C$41,0))="","",INDEX('Undirviðmiðalisti (Lýsigögn)'!K$6:K$41,MATCH($C93,'Undirviðmiðalisti (Lýsigögn)'!$C$6:$C$41,0))),IFERROR(IF(INDEX('Undirviðmiðalisti (Lýsigögn)'!K$42:K$58,MATCH($C93,'Undirviðmiðalisti (Lýsigögn)'!$C$42:$C$58,0))="","",INDEX('Undirviðmiðalisti (Lýsigögn)'!K$42:K$58,MATCH($C93,'Undirviðmiðalisti (Lýsigögn)'!$C$42:$C$58,0))),""))))</f>
        <v/>
      </c>
      <c r="P93" s="16" t="str">
        <f aca="false">IF($C93="","",IF($G93="Einstaklingsbundið",IFERROR(IF(INDEX('Undirviðmiðalisti (Lýsigögn)'!L$42:L$58,MATCH($C93,'Undirviðmiðalisti (Lýsigögn)'!$C$42:$C$58,0))="","",INDEX('Undirviðmiðalisti (Lýsigögn)'!L$42:L$58,MATCH($C93,'Undirviðmiðalisti (Lýsigögn)'!$C$42:$C$58,0))),""),IFERROR(IF(INDEX('Undirviðmiðalisti (Lýsigögn)'!L$6:L$41,MATCH($C93,'Undirviðmiðalisti (Lýsigögn)'!$C$6:$C$41,0))="","",INDEX('Undirviðmiðalisti (Lýsigögn)'!L$6:L$41,MATCH($C93,'Undirviðmiðalisti (Lýsigögn)'!$C$6:$C$41,0))),IFERROR(IF(INDEX('Undirviðmiðalisti (Lýsigögn)'!L$42:L$58,MATCH($C93,'Undirviðmiðalisti (Lýsigögn)'!$C$42:$C$58,0))="","",INDEX('Undirviðmiðalisti (Lýsigögn)'!L$42:L$58,MATCH($C93,'Undirviðmiðalisti (Lýsigögn)'!$C$42:$C$58,0))),""))))</f>
        <v/>
      </c>
      <c r="Q93" s="16" t="str">
        <f aca="false">IF($C93="","",IF($G93="Einstaklingsbundið",IFERROR(IF(INDEX('Undirviðmiðalisti (Lýsigögn)'!M$42:M$58,MATCH($C93,'Undirviðmiðalisti (Lýsigögn)'!$C$42:$C$58,0))="","",INDEX('Undirviðmiðalisti (Lýsigögn)'!M$42:M$58,MATCH($C93,'Undirviðmiðalisti (Lýsigögn)'!$C$42:$C$58,0))),""),IFERROR(IF(INDEX('Undirviðmiðalisti (Lýsigögn)'!M$6:M$41,MATCH($C93,'Undirviðmiðalisti (Lýsigögn)'!$C$6:$C$41,0))="","",INDEX('Undirviðmiðalisti (Lýsigögn)'!M$6:M$41,MATCH($C93,'Undirviðmiðalisti (Lýsigögn)'!$C$6:$C$41,0))),IFERROR(IF(INDEX('Undirviðmiðalisti (Lýsigögn)'!M$42:M$58,MATCH($C93,'Undirviðmiðalisti (Lýsigögn)'!$C$42:$C$58,0))="","",INDEX('Undirviðmiðalisti (Lýsigögn)'!M$42:M$58,MATCH($C93,'Undirviðmiðalisti (Lýsigögn)'!$C$42:$C$58,0))),""))))</f>
        <v/>
      </c>
    </row>
    <row r="94" customFormat="false" ht="15" hidden="false" customHeight="true" outlineLevel="0" collapsed="false">
      <c r="A94" s="22" t="str">
        <f aca="false">IF($B94="","",ROW()-5)</f>
        <v/>
      </c>
      <c r="B94" s="15"/>
      <c r="C94" s="15"/>
      <c r="D94" s="16" t="str">
        <f aca="false">IF($C94="","",IF($G94="Einstaklingsbundið",IFERROR(IF(INDEX('Undirviðmiðalisti (Lýsigögn)'!$D$42:$D$58,MATCH($C94,'Undirviðmiðalisti (Lýsigögn)'!$C$42:$C$58,0))="","",INDEX('Undirviðmiðalisti (Lýsigögn)'!$D$42:$D$58,MATCH($C94,'Undirviðmiðalisti (Lýsigögn)'!$C$42:$C$58,0))),""),IFERROR(IF(INDEX('Undirviðmiðalisti (Lýsigögn)'!$D$6:$D$41,MATCH($C94,'Undirviðmiðalisti (Lýsigögn)'!$C$6:$C$41,0))="","",INDEX('Undirviðmiðalisti (Lýsigögn)'!$D$6:$D$41,MATCH($C94,'Undirviðmiðalisti (Lýsigögn)'!$C$6:$C$41,0))),IFERROR(IF(INDEX('Undirviðmiðalisti (Lýsigögn)'!$D$42:$D$58,MATCH($C94,'Undirviðmiðalisti (Lýsigögn)'!$C$42:$C$58,0))="","",INDEX('Undirviðmiðalisti (Lýsigögn)'!$D$42:$D$58,MATCH($C94,'Undirviðmiðalisti (Lýsigögn)'!$C$42:$C$58,0))),""))))</f>
        <v/>
      </c>
      <c r="E94" s="14"/>
      <c r="F94" s="23" t="str">
        <f aca="false">IF($C94="","",IF($G94="Einstaklingsbundið",IFERROR(IF(INDEX('Undirviðmiðalisti (Lýsigögn)'!$E$42:$E$58,MATCH($C94,'Undirviðmiðalisti (Lýsigögn)'!$C$42:$C$58,0))="","",INDEX('Undirviðmiðalisti (Lýsigögn)'!$E$42:$E$58,MATCH($C94,'Undirviðmiðalisti (Lýsigögn)'!$C$42:$C$58,0))),""),IFERROR(IF(INDEX('Undirviðmiðalisti (Lýsigögn)'!$E$6:$E$41,MATCH($C94,'Undirviðmiðalisti (Lýsigögn)'!$C$6:$C$41,0))="","",INDEX('Undirviðmiðalisti (Lýsigögn)'!$E$6:$E$41,MATCH($C94,'Undirviðmiðalisti (Lýsigögn)'!$C$6:$C$41,0))),IFERROR(IF(INDEX('Undirviðmiðalisti (Lýsigögn)'!$E$42:$E$58,MATCH($C94,'Undirviðmiðalisti (Lýsigögn)'!$C$42:$C$58,0))="","",INDEX('Undirviðmiðalisti (Lýsigögn)'!$E$42:$E$58,MATCH($C94,'Undirviðmiðalisti (Lýsigögn)'!$C$42:$C$58,0))),""))))</f>
        <v/>
      </c>
      <c r="G94" s="24" t="str">
        <f aca="false">IFERROR(IF(B94="","",INDEX(Viðmið!$B$6:$B$10,MATCH(B94,Viðmið!$C$6:$C$10,0))),"")</f>
        <v/>
      </c>
      <c r="H94" s="25" t="str">
        <f aca="false">IF(OR(E94="",F94=""),"",E94*KVARDI)</f>
        <v/>
      </c>
      <c r="I94" s="26" t="str">
        <f aca="false">IF(B94="","",IF(ROUND(SUMIF($B$6:$B$205,B94,$E$6:$E$205),4)=ROUND(IFERROR(INDEX(Viðmið!$E$6:$E$10,MATCH(B94,Viðmið!$C$6:$C$10,0)),-1),4),"✓","✗"))</f>
        <v/>
      </c>
      <c r="J94" s="16" t="str">
        <f aca="false">IF($C94="","",IF($G94="Einstaklingsbundið",IFERROR(IF(INDEX('Undirviðmiðalisti (Lýsigögn)'!F$42:F$58,MATCH($C94,'Undirviðmiðalisti (Lýsigögn)'!$C$42:$C$58,0))="","",INDEX('Undirviðmiðalisti (Lýsigögn)'!F$42:F$58,MATCH($C94,'Undirviðmiðalisti (Lýsigögn)'!$C$42:$C$58,0))),""),IFERROR(IF(INDEX('Undirviðmiðalisti (Lýsigögn)'!F$6:F$41,MATCH($C94,'Undirviðmiðalisti (Lýsigögn)'!$C$6:$C$41,0))="","",INDEX('Undirviðmiðalisti (Lýsigögn)'!F$6:F$41,MATCH($C94,'Undirviðmiðalisti (Lýsigögn)'!$C$6:$C$41,0))),IFERROR(IF(INDEX('Undirviðmiðalisti (Lýsigögn)'!F$42:F$58,MATCH($C94,'Undirviðmiðalisti (Lýsigögn)'!$C$42:$C$58,0))="","",INDEX('Undirviðmiðalisti (Lýsigögn)'!F$42:F$58,MATCH($C94,'Undirviðmiðalisti (Lýsigögn)'!$C$42:$C$58,0))),""))))</f>
        <v/>
      </c>
      <c r="K94" s="16" t="str">
        <f aca="false">IF($C94="","",IF($G94="Einstaklingsbundið",IFERROR(IF(INDEX('Undirviðmiðalisti (Lýsigögn)'!G$42:G$58,MATCH($C94,'Undirviðmiðalisti (Lýsigögn)'!$C$42:$C$58,0))="","",INDEX('Undirviðmiðalisti (Lýsigögn)'!G$42:G$58,MATCH($C94,'Undirviðmiðalisti (Lýsigögn)'!$C$42:$C$58,0))),""),IFERROR(IF(INDEX('Undirviðmiðalisti (Lýsigögn)'!G$6:G$41,MATCH($C94,'Undirviðmiðalisti (Lýsigögn)'!$C$6:$C$41,0))="","",INDEX('Undirviðmiðalisti (Lýsigögn)'!G$6:G$41,MATCH($C94,'Undirviðmiðalisti (Lýsigögn)'!$C$6:$C$41,0))),IFERROR(IF(INDEX('Undirviðmiðalisti (Lýsigögn)'!G$42:G$58,MATCH($C94,'Undirviðmiðalisti (Lýsigögn)'!$C$42:$C$58,0))="","",INDEX('Undirviðmiðalisti (Lýsigögn)'!G$42:G$58,MATCH($C94,'Undirviðmiðalisti (Lýsigögn)'!$C$42:$C$58,0))),""))))</f>
        <v/>
      </c>
      <c r="L94" s="16" t="str">
        <f aca="false">IF($C94="","",IF($G94="Einstaklingsbundið",IFERROR(IF(INDEX('Undirviðmiðalisti (Lýsigögn)'!H$42:H$58,MATCH($C94,'Undirviðmiðalisti (Lýsigögn)'!$C$42:$C$58,0))="","",INDEX('Undirviðmiðalisti (Lýsigögn)'!H$42:H$58,MATCH($C94,'Undirviðmiðalisti (Lýsigögn)'!$C$42:$C$58,0))),""),IFERROR(IF(INDEX('Undirviðmiðalisti (Lýsigögn)'!H$6:H$41,MATCH($C94,'Undirviðmiðalisti (Lýsigögn)'!$C$6:$C$41,0))="","",INDEX('Undirviðmiðalisti (Lýsigögn)'!H$6:H$41,MATCH($C94,'Undirviðmiðalisti (Lýsigögn)'!$C$6:$C$41,0))),IFERROR(IF(INDEX('Undirviðmiðalisti (Lýsigögn)'!H$42:H$58,MATCH($C94,'Undirviðmiðalisti (Lýsigögn)'!$C$42:$C$58,0))="","",INDEX('Undirviðmiðalisti (Lýsigögn)'!H$42:H$58,MATCH($C94,'Undirviðmiðalisti (Lýsigögn)'!$C$42:$C$58,0))),""))))</f>
        <v/>
      </c>
      <c r="M94" s="16" t="str">
        <f aca="false">IF($C94="","",IF($G94="Einstaklingsbundið",IFERROR(IF(INDEX('Undirviðmiðalisti (Lýsigögn)'!I$42:I$58,MATCH($C94,'Undirviðmiðalisti (Lýsigögn)'!$C$42:$C$58,0))="","",INDEX('Undirviðmiðalisti (Lýsigögn)'!I$42:I$58,MATCH($C94,'Undirviðmiðalisti (Lýsigögn)'!$C$42:$C$58,0))),""),IFERROR(IF(INDEX('Undirviðmiðalisti (Lýsigögn)'!I$6:I$41,MATCH($C94,'Undirviðmiðalisti (Lýsigögn)'!$C$6:$C$41,0))="","",INDEX('Undirviðmiðalisti (Lýsigögn)'!I$6:I$41,MATCH($C94,'Undirviðmiðalisti (Lýsigögn)'!$C$6:$C$41,0))),IFERROR(IF(INDEX('Undirviðmiðalisti (Lýsigögn)'!I$42:I$58,MATCH($C94,'Undirviðmiðalisti (Lýsigögn)'!$C$42:$C$58,0))="","",INDEX('Undirviðmiðalisti (Lýsigögn)'!I$42:I$58,MATCH($C94,'Undirviðmiðalisti (Lýsigögn)'!$C$42:$C$58,0))),""))))</f>
        <v/>
      </c>
      <c r="N94" s="16" t="str">
        <f aca="false">IF($C94="","",IF($G94="Einstaklingsbundið",IFERROR(IF(INDEX('Undirviðmiðalisti (Lýsigögn)'!J$42:J$58,MATCH($C94,'Undirviðmiðalisti (Lýsigögn)'!$C$42:$C$58,0))="","",INDEX('Undirviðmiðalisti (Lýsigögn)'!J$42:J$58,MATCH($C94,'Undirviðmiðalisti (Lýsigögn)'!$C$42:$C$58,0))),""),IFERROR(IF(INDEX('Undirviðmiðalisti (Lýsigögn)'!J$6:J$41,MATCH($C94,'Undirviðmiðalisti (Lýsigögn)'!$C$6:$C$41,0))="","",INDEX('Undirviðmiðalisti (Lýsigögn)'!J$6:J$41,MATCH($C94,'Undirviðmiðalisti (Lýsigögn)'!$C$6:$C$41,0))),IFERROR(IF(INDEX('Undirviðmiðalisti (Lýsigögn)'!J$42:J$58,MATCH($C94,'Undirviðmiðalisti (Lýsigögn)'!$C$42:$C$58,0))="","",INDEX('Undirviðmiðalisti (Lýsigögn)'!J$42:J$58,MATCH($C94,'Undirviðmiðalisti (Lýsigögn)'!$C$42:$C$58,0))),""))))</f>
        <v/>
      </c>
      <c r="O94" s="16" t="str">
        <f aca="false">IF($C94="","",IF($G94="Einstaklingsbundið",IFERROR(IF(INDEX('Undirviðmiðalisti (Lýsigögn)'!K$42:K$58,MATCH($C94,'Undirviðmiðalisti (Lýsigögn)'!$C$42:$C$58,0))="","",INDEX('Undirviðmiðalisti (Lýsigögn)'!K$42:K$58,MATCH($C94,'Undirviðmiðalisti (Lýsigögn)'!$C$42:$C$58,0))),""),IFERROR(IF(INDEX('Undirviðmiðalisti (Lýsigögn)'!K$6:K$41,MATCH($C94,'Undirviðmiðalisti (Lýsigögn)'!$C$6:$C$41,0))="","",INDEX('Undirviðmiðalisti (Lýsigögn)'!K$6:K$41,MATCH($C94,'Undirviðmiðalisti (Lýsigögn)'!$C$6:$C$41,0))),IFERROR(IF(INDEX('Undirviðmiðalisti (Lýsigögn)'!K$42:K$58,MATCH($C94,'Undirviðmiðalisti (Lýsigögn)'!$C$42:$C$58,0))="","",INDEX('Undirviðmiðalisti (Lýsigögn)'!K$42:K$58,MATCH($C94,'Undirviðmiðalisti (Lýsigögn)'!$C$42:$C$58,0))),""))))</f>
        <v/>
      </c>
      <c r="P94" s="16" t="str">
        <f aca="false">IF($C94="","",IF($G94="Einstaklingsbundið",IFERROR(IF(INDEX('Undirviðmiðalisti (Lýsigögn)'!L$42:L$58,MATCH($C94,'Undirviðmiðalisti (Lýsigögn)'!$C$42:$C$58,0))="","",INDEX('Undirviðmiðalisti (Lýsigögn)'!L$42:L$58,MATCH($C94,'Undirviðmiðalisti (Lýsigögn)'!$C$42:$C$58,0))),""),IFERROR(IF(INDEX('Undirviðmiðalisti (Lýsigögn)'!L$6:L$41,MATCH($C94,'Undirviðmiðalisti (Lýsigögn)'!$C$6:$C$41,0))="","",INDEX('Undirviðmiðalisti (Lýsigögn)'!L$6:L$41,MATCH($C94,'Undirviðmiðalisti (Lýsigögn)'!$C$6:$C$41,0))),IFERROR(IF(INDEX('Undirviðmiðalisti (Lýsigögn)'!L$42:L$58,MATCH($C94,'Undirviðmiðalisti (Lýsigögn)'!$C$42:$C$58,0))="","",INDEX('Undirviðmiðalisti (Lýsigögn)'!L$42:L$58,MATCH($C94,'Undirviðmiðalisti (Lýsigögn)'!$C$42:$C$58,0))),""))))</f>
        <v/>
      </c>
      <c r="Q94" s="16" t="str">
        <f aca="false">IF($C94="","",IF($G94="Einstaklingsbundið",IFERROR(IF(INDEX('Undirviðmiðalisti (Lýsigögn)'!M$42:M$58,MATCH($C94,'Undirviðmiðalisti (Lýsigögn)'!$C$42:$C$58,0))="","",INDEX('Undirviðmiðalisti (Lýsigögn)'!M$42:M$58,MATCH($C94,'Undirviðmiðalisti (Lýsigögn)'!$C$42:$C$58,0))),""),IFERROR(IF(INDEX('Undirviðmiðalisti (Lýsigögn)'!M$6:M$41,MATCH($C94,'Undirviðmiðalisti (Lýsigögn)'!$C$6:$C$41,0))="","",INDEX('Undirviðmiðalisti (Lýsigögn)'!M$6:M$41,MATCH($C94,'Undirviðmiðalisti (Lýsigögn)'!$C$6:$C$41,0))),IFERROR(IF(INDEX('Undirviðmiðalisti (Lýsigögn)'!M$42:M$58,MATCH($C94,'Undirviðmiðalisti (Lýsigögn)'!$C$42:$C$58,0))="","",INDEX('Undirviðmiðalisti (Lýsigögn)'!M$42:M$58,MATCH($C94,'Undirviðmiðalisti (Lýsigögn)'!$C$42:$C$58,0))),""))))</f>
        <v/>
      </c>
    </row>
    <row r="95" customFormat="false" ht="15" hidden="false" customHeight="true" outlineLevel="0" collapsed="false">
      <c r="A95" s="22" t="str">
        <f aca="false">IF($B95="","",ROW()-5)</f>
        <v/>
      </c>
      <c r="B95" s="15"/>
      <c r="C95" s="15"/>
      <c r="D95" s="16" t="str">
        <f aca="false">IF($C95="","",IF($G95="Einstaklingsbundið",IFERROR(IF(INDEX('Undirviðmiðalisti (Lýsigögn)'!$D$42:$D$58,MATCH($C95,'Undirviðmiðalisti (Lýsigögn)'!$C$42:$C$58,0))="","",INDEX('Undirviðmiðalisti (Lýsigögn)'!$D$42:$D$58,MATCH($C95,'Undirviðmiðalisti (Lýsigögn)'!$C$42:$C$58,0))),""),IFERROR(IF(INDEX('Undirviðmiðalisti (Lýsigögn)'!$D$6:$D$41,MATCH($C95,'Undirviðmiðalisti (Lýsigögn)'!$C$6:$C$41,0))="","",INDEX('Undirviðmiðalisti (Lýsigögn)'!$D$6:$D$41,MATCH($C95,'Undirviðmiðalisti (Lýsigögn)'!$C$6:$C$41,0))),IFERROR(IF(INDEX('Undirviðmiðalisti (Lýsigögn)'!$D$42:$D$58,MATCH($C95,'Undirviðmiðalisti (Lýsigögn)'!$C$42:$C$58,0))="","",INDEX('Undirviðmiðalisti (Lýsigögn)'!$D$42:$D$58,MATCH($C95,'Undirviðmiðalisti (Lýsigögn)'!$C$42:$C$58,0))),""))))</f>
        <v/>
      </c>
      <c r="E95" s="14"/>
      <c r="F95" s="23" t="str">
        <f aca="false">IF($C95="","",IF($G95="Einstaklingsbundið",IFERROR(IF(INDEX('Undirviðmiðalisti (Lýsigögn)'!$E$42:$E$58,MATCH($C95,'Undirviðmiðalisti (Lýsigögn)'!$C$42:$C$58,0))="","",INDEX('Undirviðmiðalisti (Lýsigögn)'!$E$42:$E$58,MATCH($C95,'Undirviðmiðalisti (Lýsigögn)'!$C$42:$C$58,0))),""),IFERROR(IF(INDEX('Undirviðmiðalisti (Lýsigögn)'!$E$6:$E$41,MATCH($C95,'Undirviðmiðalisti (Lýsigögn)'!$C$6:$C$41,0))="","",INDEX('Undirviðmiðalisti (Lýsigögn)'!$E$6:$E$41,MATCH($C95,'Undirviðmiðalisti (Lýsigögn)'!$C$6:$C$41,0))),IFERROR(IF(INDEX('Undirviðmiðalisti (Lýsigögn)'!$E$42:$E$58,MATCH($C95,'Undirviðmiðalisti (Lýsigögn)'!$C$42:$C$58,0))="","",INDEX('Undirviðmiðalisti (Lýsigögn)'!$E$42:$E$58,MATCH($C95,'Undirviðmiðalisti (Lýsigögn)'!$C$42:$C$58,0))),""))))</f>
        <v/>
      </c>
      <c r="G95" s="24" t="str">
        <f aca="false">IFERROR(IF(B95="","",INDEX(Viðmið!$B$6:$B$10,MATCH(B95,Viðmið!$C$6:$C$10,0))),"")</f>
        <v/>
      </c>
      <c r="H95" s="25" t="str">
        <f aca="false">IF(OR(E95="",F95=""),"",E95*KVARDI)</f>
        <v/>
      </c>
      <c r="I95" s="26" t="str">
        <f aca="false">IF(B95="","",IF(ROUND(SUMIF($B$6:$B$205,B95,$E$6:$E$205),4)=ROUND(IFERROR(INDEX(Viðmið!$E$6:$E$10,MATCH(B95,Viðmið!$C$6:$C$10,0)),-1),4),"✓","✗"))</f>
        <v/>
      </c>
      <c r="J95" s="16" t="str">
        <f aca="false">IF($C95="","",IF($G95="Einstaklingsbundið",IFERROR(IF(INDEX('Undirviðmiðalisti (Lýsigögn)'!F$42:F$58,MATCH($C95,'Undirviðmiðalisti (Lýsigögn)'!$C$42:$C$58,0))="","",INDEX('Undirviðmiðalisti (Lýsigögn)'!F$42:F$58,MATCH($C95,'Undirviðmiðalisti (Lýsigögn)'!$C$42:$C$58,0))),""),IFERROR(IF(INDEX('Undirviðmiðalisti (Lýsigögn)'!F$6:F$41,MATCH($C95,'Undirviðmiðalisti (Lýsigögn)'!$C$6:$C$41,0))="","",INDEX('Undirviðmiðalisti (Lýsigögn)'!F$6:F$41,MATCH($C95,'Undirviðmiðalisti (Lýsigögn)'!$C$6:$C$41,0))),IFERROR(IF(INDEX('Undirviðmiðalisti (Lýsigögn)'!F$42:F$58,MATCH($C95,'Undirviðmiðalisti (Lýsigögn)'!$C$42:$C$58,0))="","",INDEX('Undirviðmiðalisti (Lýsigögn)'!F$42:F$58,MATCH($C95,'Undirviðmiðalisti (Lýsigögn)'!$C$42:$C$58,0))),""))))</f>
        <v/>
      </c>
      <c r="K95" s="16" t="str">
        <f aca="false">IF($C95="","",IF($G95="Einstaklingsbundið",IFERROR(IF(INDEX('Undirviðmiðalisti (Lýsigögn)'!G$42:G$58,MATCH($C95,'Undirviðmiðalisti (Lýsigögn)'!$C$42:$C$58,0))="","",INDEX('Undirviðmiðalisti (Lýsigögn)'!G$42:G$58,MATCH($C95,'Undirviðmiðalisti (Lýsigögn)'!$C$42:$C$58,0))),""),IFERROR(IF(INDEX('Undirviðmiðalisti (Lýsigögn)'!G$6:G$41,MATCH($C95,'Undirviðmiðalisti (Lýsigögn)'!$C$6:$C$41,0))="","",INDEX('Undirviðmiðalisti (Lýsigögn)'!G$6:G$41,MATCH($C95,'Undirviðmiðalisti (Lýsigögn)'!$C$6:$C$41,0))),IFERROR(IF(INDEX('Undirviðmiðalisti (Lýsigögn)'!G$42:G$58,MATCH($C95,'Undirviðmiðalisti (Lýsigögn)'!$C$42:$C$58,0))="","",INDEX('Undirviðmiðalisti (Lýsigögn)'!G$42:G$58,MATCH($C95,'Undirviðmiðalisti (Lýsigögn)'!$C$42:$C$58,0))),""))))</f>
        <v/>
      </c>
      <c r="L95" s="16" t="str">
        <f aca="false">IF($C95="","",IF($G95="Einstaklingsbundið",IFERROR(IF(INDEX('Undirviðmiðalisti (Lýsigögn)'!H$42:H$58,MATCH($C95,'Undirviðmiðalisti (Lýsigögn)'!$C$42:$C$58,0))="","",INDEX('Undirviðmiðalisti (Lýsigögn)'!H$42:H$58,MATCH($C95,'Undirviðmiðalisti (Lýsigögn)'!$C$42:$C$58,0))),""),IFERROR(IF(INDEX('Undirviðmiðalisti (Lýsigögn)'!H$6:H$41,MATCH($C95,'Undirviðmiðalisti (Lýsigögn)'!$C$6:$C$41,0))="","",INDEX('Undirviðmiðalisti (Lýsigögn)'!H$6:H$41,MATCH($C95,'Undirviðmiðalisti (Lýsigögn)'!$C$6:$C$41,0))),IFERROR(IF(INDEX('Undirviðmiðalisti (Lýsigögn)'!H$42:H$58,MATCH($C95,'Undirviðmiðalisti (Lýsigögn)'!$C$42:$C$58,0))="","",INDEX('Undirviðmiðalisti (Lýsigögn)'!H$42:H$58,MATCH($C95,'Undirviðmiðalisti (Lýsigögn)'!$C$42:$C$58,0))),""))))</f>
        <v/>
      </c>
      <c r="M95" s="16" t="str">
        <f aca="false">IF($C95="","",IF($G95="Einstaklingsbundið",IFERROR(IF(INDEX('Undirviðmiðalisti (Lýsigögn)'!I$42:I$58,MATCH($C95,'Undirviðmiðalisti (Lýsigögn)'!$C$42:$C$58,0))="","",INDEX('Undirviðmiðalisti (Lýsigögn)'!I$42:I$58,MATCH($C95,'Undirviðmiðalisti (Lýsigögn)'!$C$42:$C$58,0))),""),IFERROR(IF(INDEX('Undirviðmiðalisti (Lýsigögn)'!I$6:I$41,MATCH($C95,'Undirviðmiðalisti (Lýsigögn)'!$C$6:$C$41,0))="","",INDEX('Undirviðmiðalisti (Lýsigögn)'!I$6:I$41,MATCH($C95,'Undirviðmiðalisti (Lýsigögn)'!$C$6:$C$41,0))),IFERROR(IF(INDEX('Undirviðmiðalisti (Lýsigögn)'!I$42:I$58,MATCH($C95,'Undirviðmiðalisti (Lýsigögn)'!$C$42:$C$58,0))="","",INDEX('Undirviðmiðalisti (Lýsigögn)'!I$42:I$58,MATCH($C95,'Undirviðmiðalisti (Lýsigögn)'!$C$42:$C$58,0))),""))))</f>
        <v/>
      </c>
      <c r="N95" s="16" t="str">
        <f aca="false">IF($C95="","",IF($G95="Einstaklingsbundið",IFERROR(IF(INDEX('Undirviðmiðalisti (Lýsigögn)'!J$42:J$58,MATCH($C95,'Undirviðmiðalisti (Lýsigögn)'!$C$42:$C$58,0))="","",INDEX('Undirviðmiðalisti (Lýsigögn)'!J$42:J$58,MATCH($C95,'Undirviðmiðalisti (Lýsigögn)'!$C$42:$C$58,0))),""),IFERROR(IF(INDEX('Undirviðmiðalisti (Lýsigögn)'!J$6:J$41,MATCH($C95,'Undirviðmiðalisti (Lýsigögn)'!$C$6:$C$41,0))="","",INDEX('Undirviðmiðalisti (Lýsigögn)'!J$6:J$41,MATCH($C95,'Undirviðmiðalisti (Lýsigögn)'!$C$6:$C$41,0))),IFERROR(IF(INDEX('Undirviðmiðalisti (Lýsigögn)'!J$42:J$58,MATCH($C95,'Undirviðmiðalisti (Lýsigögn)'!$C$42:$C$58,0))="","",INDEX('Undirviðmiðalisti (Lýsigögn)'!J$42:J$58,MATCH($C95,'Undirviðmiðalisti (Lýsigögn)'!$C$42:$C$58,0))),""))))</f>
        <v/>
      </c>
      <c r="O95" s="16" t="str">
        <f aca="false">IF($C95="","",IF($G95="Einstaklingsbundið",IFERROR(IF(INDEX('Undirviðmiðalisti (Lýsigögn)'!K$42:K$58,MATCH($C95,'Undirviðmiðalisti (Lýsigögn)'!$C$42:$C$58,0))="","",INDEX('Undirviðmiðalisti (Lýsigögn)'!K$42:K$58,MATCH($C95,'Undirviðmiðalisti (Lýsigögn)'!$C$42:$C$58,0))),""),IFERROR(IF(INDEX('Undirviðmiðalisti (Lýsigögn)'!K$6:K$41,MATCH($C95,'Undirviðmiðalisti (Lýsigögn)'!$C$6:$C$41,0))="","",INDEX('Undirviðmiðalisti (Lýsigögn)'!K$6:K$41,MATCH($C95,'Undirviðmiðalisti (Lýsigögn)'!$C$6:$C$41,0))),IFERROR(IF(INDEX('Undirviðmiðalisti (Lýsigögn)'!K$42:K$58,MATCH($C95,'Undirviðmiðalisti (Lýsigögn)'!$C$42:$C$58,0))="","",INDEX('Undirviðmiðalisti (Lýsigögn)'!K$42:K$58,MATCH($C95,'Undirviðmiðalisti (Lýsigögn)'!$C$42:$C$58,0))),""))))</f>
        <v/>
      </c>
      <c r="P95" s="16" t="str">
        <f aca="false">IF($C95="","",IF($G95="Einstaklingsbundið",IFERROR(IF(INDEX('Undirviðmiðalisti (Lýsigögn)'!L$42:L$58,MATCH($C95,'Undirviðmiðalisti (Lýsigögn)'!$C$42:$C$58,0))="","",INDEX('Undirviðmiðalisti (Lýsigögn)'!L$42:L$58,MATCH($C95,'Undirviðmiðalisti (Lýsigögn)'!$C$42:$C$58,0))),""),IFERROR(IF(INDEX('Undirviðmiðalisti (Lýsigögn)'!L$6:L$41,MATCH($C95,'Undirviðmiðalisti (Lýsigögn)'!$C$6:$C$41,0))="","",INDEX('Undirviðmiðalisti (Lýsigögn)'!L$6:L$41,MATCH($C95,'Undirviðmiðalisti (Lýsigögn)'!$C$6:$C$41,0))),IFERROR(IF(INDEX('Undirviðmiðalisti (Lýsigögn)'!L$42:L$58,MATCH($C95,'Undirviðmiðalisti (Lýsigögn)'!$C$42:$C$58,0))="","",INDEX('Undirviðmiðalisti (Lýsigögn)'!L$42:L$58,MATCH($C95,'Undirviðmiðalisti (Lýsigögn)'!$C$42:$C$58,0))),""))))</f>
        <v/>
      </c>
      <c r="Q95" s="16" t="str">
        <f aca="false">IF($C95="","",IF($G95="Einstaklingsbundið",IFERROR(IF(INDEX('Undirviðmiðalisti (Lýsigögn)'!M$42:M$58,MATCH($C95,'Undirviðmiðalisti (Lýsigögn)'!$C$42:$C$58,0))="","",INDEX('Undirviðmiðalisti (Lýsigögn)'!M$42:M$58,MATCH($C95,'Undirviðmiðalisti (Lýsigögn)'!$C$42:$C$58,0))),""),IFERROR(IF(INDEX('Undirviðmiðalisti (Lýsigögn)'!M$6:M$41,MATCH($C95,'Undirviðmiðalisti (Lýsigögn)'!$C$6:$C$41,0))="","",INDEX('Undirviðmiðalisti (Lýsigögn)'!M$6:M$41,MATCH($C95,'Undirviðmiðalisti (Lýsigögn)'!$C$6:$C$41,0))),IFERROR(IF(INDEX('Undirviðmiðalisti (Lýsigögn)'!M$42:M$58,MATCH($C95,'Undirviðmiðalisti (Lýsigögn)'!$C$42:$C$58,0))="","",INDEX('Undirviðmiðalisti (Lýsigögn)'!M$42:M$58,MATCH($C95,'Undirviðmiðalisti (Lýsigögn)'!$C$42:$C$58,0))),""))))</f>
        <v/>
      </c>
    </row>
    <row r="96" customFormat="false" ht="15" hidden="false" customHeight="true" outlineLevel="0" collapsed="false">
      <c r="A96" s="22" t="str">
        <f aca="false">IF($B96="","",ROW()-5)</f>
        <v/>
      </c>
      <c r="B96" s="15"/>
      <c r="C96" s="15"/>
      <c r="D96" s="16" t="str">
        <f aca="false">IF($C96="","",IF($G96="Einstaklingsbundið",IFERROR(IF(INDEX('Undirviðmiðalisti (Lýsigögn)'!$D$42:$D$58,MATCH($C96,'Undirviðmiðalisti (Lýsigögn)'!$C$42:$C$58,0))="","",INDEX('Undirviðmiðalisti (Lýsigögn)'!$D$42:$D$58,MATCH($C96,'Undirviðmiðalisti (Lýsigögn)'!$C$42:$C$58,0))),""),IFERROR(IF(INDEX('Undirviðmiðalisti (Lýsigögn)'!$D$6:$D$41,MATCH($C96,'Undirviðmiðalisti (Lýsigögn)'!$C$6:$C$41,0))="","",INDEX('Undirviðmiðalisti (Lýsigögn)'!$D$6:$D$41,MATCH($C96,'Undirviðmiðalisti (Lýsigögn)'!$C$6:$C$41,0))),IFERROR(IF(INDEX('Undirviðmiðalisti (Lýsigögn)'!$D$42:$D$58,MATCH($C96,'Undirviðmiðalisti (Lýsigögn)'!$C$42:$C$58,0))="","",INDEX('Undirviðmiðalisti (Lýsigögn)'!$D$42:$D$58,MATCH($C96,'Undirviðmiðalisti (Lýsigögn)'!$C$42:$C$58,0))),""))))</f>
        <v/>
      </c>
      <c r="E96" s="14"/>
      <c r="F96" s="23" t="str">
        <f aca="false">IF($C96="","",IF($G96="Einstaklingsbundið",IFERROR(IF(INDEX('Undirviðmiðalisti (Lýsigögn)'!$E$42:$E$58,MATCH($C96,'Undirviðmiðalisti (Lýsigögn)'!$C$42:$C$58,0))="","",INDEX('Undirviðmiðalisti (Lýsigögn)'!$E$42:$E$58,MATCH($C96,'Undirviðmiðalisti (Lýsigögn)'!$C$42:$C$58,0))),""),IFERROR(IF(INDEX('Undirviðmiðalisti (Lýsigögn)'!$E$6:$E$41,MATCH($C96,'Undirviðmiðalisti (Lýsigögn)'!$C$6:$C$41,0))="","",INDEX('Undirviðmiðalisti (Lýsigögn)'!$E$6:$E$41,MATCH($C96,'Undirviðmiðalisti (Lýsigögn)'!$C$6:$C$41,0))),IFERROR(IF(INDEX('Undirviðmiðalisti (Lýsigögn)'!$E$42:$E$58,MATCH($C96,'Undirviðmiðalisti (Lýsigögn)'!$C$42:$C$58,0))="","",INDEX('Undirviðmiðalisti (Lýsigögn)'!$E$42:$E$58,MATCH($C96,'Undirviðmiðalisti (Lýsigögn)'!$C$42:$C$58,0))),""))))</f>
        <v/>
      </c>
      <c r="G96" s="24" t="str">
        <f aca="false">IFERROR(IF(B96="","",INDEX(Viðmið!$B$6:$B$10,MATCH(B96,Viðmið!$C$6:$C$10,0))),"")</f>
        <v/>
      </c>
      <c r="H96" s="25" t="str">
        <f aca="false">IF(OR(E96="",F96=""),"",E96*KVARDI)</f>
        <v/>
      </c>
      <c r="I96" s="26" t="str">
        <f aca="false">IF(B96="","",IF(ROUND(SUMIF($B$6:$B$205,B96,$E$6:$E$205),4)=ROUND(IFERROR(INDEX(Viðmið!$E$6:$E$10,MATCH(B96,Viðmið!$C$6:$C$10,0)),-1),4),"✓","✗"))</f>
        <v/>
      </c>
      <c r="J96" s="16" t="str">
        <f aca="false">IF($C96="","",IF($G96="Einstaklingsbundið",IFERROR(IF(INDEX('Undirviðmiðalisti (Lýsigögn)'!F$42:F$58,MATCH($C96,'Undirviðmiðalisti (Lýsigögn)'!$C$42:$C$58,0))="","",INDEX('Undirviðmiðalisti (Lýsigögn)'!F$42:F$58,MATCH($C96,'Undirviðmiðalisti (Lýsigögn)'!$C$42:$C$58,0))),""),IFERROR(IF(INDEX('Undirviðmiðalisti (Lýsigögn)'!F$6:F$41,MATCH($C96,'Undirviðmiðalisti (Lýsigögn)'!$C$6:$C$41,0))="","",INDEX('Undirviðmiðalisti (Lýsigögn)'!F$6:F$41,MATCH($C96,'Undirviðmiðalisti (Lýsigögn)'!$C$6:$C$41,0))),IFERROR(IF(INDEX('Undirviðmiðalisti (Lýsigögn)'!F$42:F$58,MATCH($C96,'Undirviðmiðalisti (Lýsigögn)'!$C$42:$C$58,0))="","",INDEX('Undirviðmiðalisti (Lýsigögn)'!F$42:F$58,MATCH($C96,'Undirviðmiðalisti (Lýsigögn)'!$C$42:$C$58,0))),""))))</f>
        <v/>
      </c>
      <c r="K96" s="16" t="str">
        <f aca="false">IF($C96="","",IF($G96="Einstaklingsbundið",IFERROR(IF(INDEX('Undirviðmiðalisti (Lýsigögn)'!G$42:G$58,MATCH($C96,'Undirviðmiðalisti (Lýsigögn)'!$C$42:$C$58,0))="","",INDEX('Undirviðmiðalisti (Lýsigögn)'!G$42:G$58,MATCH($C96,'Undirviðmiðalisti (Lýsigögn)'!$C$42:$C$58,0))),""),IFERROR(IF(INDEX('Undirviðmiðalisti (Lýsigögn)'!G$6:G$41,MATCH($C96,'Undirviðmiðalisti (Lýsigögn)'!$C$6:$C$41,0))="","",INDEX('Undirviðmiðalisti (Lýsigögn)'!G$6:G$41,MATCH($C96,'Undirviðmiðalisti (Lýsigögn)'!$C$6:$C$41,0))),IFERROR(IF(INDEX('Undirviðmiðalisti (Lýsigögn)'!G$42:G$58,MATCH($C96,'Undirviðmiðalisti (Lýsigögn)'!$C$42:$C$58,0))="","",INDEX('Undirviðmiðalisti (Lýsigögn)'!G$42:G$58,MATCH($C96,'Undirviðmiðalisti (Lýsigögn)'!$C$42:$C$58,0))),""))))</f>
        <v/>
      </c>
      <c r="L96" s="16" t="str">
        <f aca="false">IF($C96="","",IF($G96="Einstaklingsbundið",IFERROR(IF(INDEX('Undirviðmiðalisti (Lýsigögn)'!H$42:H$58,MATCH($C96,'Undirviðmiðalisti (Lýsigögn)'!$C$42:$C$58,0))="","",INDEX('Undirviðmiðalisti (Lýsigögn)'!H$42:H$58,MATCH($C96,'Undirviðmiðalisti (Lýsigögn)'!$C$42:$C$58,0))),""),IFERROR(IF(INDEX('Undirviðmiðalisti (Lýsigögn)'!H$6:H$41,MATCH($C96,'Undirviðmiðalisti (Lýsigögn)'!$C$6:$C$41,0))="","",INDEX('Undirviðmiðalisti (Lýsigögn)'!H$6:H$41,MATCH($C96,'Undirviðmiðalisti (Lýsigögn)'!$C$6:$C$41,0))),IFERROR(IF(INDEX('Undirviðmiðalisti (Lýsigögn)'!H$42:H$58,MATCH($C96,'Undirviðmiðalisti (Lýsigögn)'!$C$42:$C$58,0))="","",INDEX('Undirviðmiðalisti (Lýsigögn)'!H$42:H$58,MATCH($C96,'Undirviðmiðalisti (Lýsigögn)'!$C$42:$C$58,0))),""))))</f>
        <v/>
      </c>
      <c r="M96" s="16" t="str">
        <f aca="false">IF($C96="","",IF($G96="Einstaklingsbundið",IFERROR(IF(INDEX('Undirviðmiðalisti (Lýsigögn)'!I$42:I$58,MATCH($C96,'Undirviðmiðalisti (Lýsigögn)'!$C$42:$C$58,0))="","",INDEX('Undirviðmiðalisti (Lýsigögn)'!I$42:I$58,MATCH($C96,'Undirviðmiðalisti (Lýsigögn)'!$C$42:$C$58,0))),""),IFERROR(IF(INDEX('Undirviðmiðalisti (Lýsigögn)'!I$6:I$41,MATCH($C96,'Undirviðmiðalisti (Lýsigögn)'!$C$6:$C$41,0))="","",INDEX('Undirviðmiðalisti (Lýsigögn)'!I$6:I$41,MATCH($C96,'Undirviðmiðalisti (Lýsigögn)'!$C$6:$C$41,0))),IFERROR(IF(INDEX('Undirviðmiðalisti (Lýsigögn)'!I$42:I$58,MATCH($C96,'Undirviðmiðalisti (Lýsigögn)'!$C$42:$C$58,0))="","",INDEX('Undirviðmiðalisti (Lýsigögn)'!I$42:I$58,MATCH($C96,'Undirviðmiðalisti (Lýsigögn)'!$C$42:$C$58,0))),""))))</f>
        <v/>
      </c>
      <c r="N96" s="16" t="str">
        <f aca="false">IF($C96="","",IF($G96="Einstaklingsbundið",IFERROR(IF(INDEX('Undirviðmiðalisti (Lýsigögn)'!J$42:J$58,MATCH($C96,'Undirviðmiðalisti (Lýsigögn)'!$C$42:$C$58,0))="","",INDEX('Undirviðmiðalisti (Lýsigögn)'!J$42:J$58,MATCH($C96,'Undirviðmiðalisti (Lýsigögn)'!$C$42:$C$58,0))),""),IFERROR(IF(INDEX('Undirviðmiðalisti (Lýsigögn)'!J$6:J$41,MATCH($C96,'Undirviðmiðalisti (Lýsigögn)'!$C$6:$C$41,0))="","",INDEX('Undirviðmiðalisti (Lýsigögn)'!J$6:J$41,MATCH($C96,'Undirviðmiðalisti (Lýsigögn)'!$C$6:$C$41,0))),IFERROR(IF(INDEX('Undirviðmiðalisti (Lýsigögn)'!J$42:J$58,MATCH($C96,'Undirviðmiðalisti (Lýsigögn)'!$C$42:$C$58,0))="","",INDEX('Undirviðmiðalisti (Lýsigögn)'!J$42:J$58,MATCH($C96,'Undirviðmiðalisti (Lýsigögn)'!$C$42:$C$58,0))),""))))</f>
        <v/>
      </c>
      <c r="O96" s="16" t="str">
        <f aca="false">IF($C96="","",IF($G96="Einstaklingsbundið",IFERROR(IF(INDEX('Undirviðmiðalisti (Lýsigögn)'!K$42:K$58,MATCH($C96,'Undirviðmiðalisti (Lýsigögn)'!$C$42:$C$58,0))="","",INDEX('Undirviðmiðalisti (Lýsigögn)'!K$42:K$58,MATCH($C96,'Undirviðmiðalisti (Lýsigögn)'!$C$42:$C$58,0))),""),IFERROR(IF(INDEX('Undirviðmiðalisti (Lýsigögn)'!K$6:K$41,MATCH($C96,'Undirviðmiðalisti (Lýsigögn)'!$C$6:$C$41,0))="","",INDEX('Undirviðmiðalisti (Lýsigögn)'!K$6:K$41,MATCH($C96,'Undirviðmiðalisti (Lýsigögn)'!$C$6:$C$41,0))),IFERROR(IF(INDEX('Undirviðmiðalisti (Lýsigögn)'!K$42:K$58,MATCH($C96,'Undirviðmiðalisti (Lýsigögn)'!$C$42:$C$58,0))="","",INDEX('Undirviðmiðalisti (Lýsigögn)'!K$42:K$58,MATCH($C96,'Undirviðmiðalisti (Lýsigögn)'!$C$42:$C$58,0))),""))))</f>
        <v/>
      </c>
      <c r="P96" s="16" t="str">
        <f aca="false">IF($C96="","",IF($G96="Einstaklingsbundið",IFERROR(IF(INDEX('Undirviðmiðalisti (Lýsigögn)'!L$42:L$58,MATCH($C96,'Undirviðmiðalisti (Lýsigögn)'!$C$42:$C$58,0))="","",INDEX('Undirviðmiðalisti (Lýsigögn)'!L$42:L$58,MATCH($C96,'Undirviðmiðalisti (Lýsigögn)'!$C$42:$C$58,0))),""),IFERROR(IF(INDEX('Undirviðmiðalisti (Lýsigögn)'!L$6:L$41,MATCH($C96,'Undirviðmiðalisti (Lýsigögn)'!$C$6:$C$41,0))="","",INDEX('Undirviðmiðalisti (Lýsigögn)'!L$6:L$41,MATCH($C96,'Undirviðmiðalisti (Lýsigögn)'!$C$6:$C$41,0))),IFERROR(IF(INDEX('Undirviðmiðalisti (Lýsigögn)'!L$42:L$58,MATCH($C96,'Undirviðmiðalisti (Lýsigögn)'!$C$42:$C$58,0))="","",INDEX('Undirviðmiðalisti (Lýsigögn)'!L$42:L$58,MATCH($C96,'Undirviðmiðalisti (Lýsigögn)'!$C$42:$C$58,0))),""))))</f>
        <v/>
      </c>
      <c r="Q96" s="16" t="str">
        <f aca="false">IF($C96="","",IF($G96="Einstaklingsbundið",IFERROR(IF(INDEX('Undirviðmiðalisti (Lýsigögn)'!M$42:M$58,MATCH($C96,'Undirviðmiðalisti (Lýsigögn)'!$C$42:$C$58,0))="","",INDEX('Undirviðmiðalisti (Lýsigögn)'!M$42:M$58,MATCH($C96,'Undirviðmiðalisti (Lýsigögn)'!$C$42:$C$58,0))),""),IFERROR(IF(INDEX('Undirviðmiðalisti (Lýsigögn)'!M$6:M$41,MATCH($C96,'Undirviðmiðalisti (Lýsigögn)'!$C$6:$C$41,0))="","",INDEX('Undirviðmiðalisti (Lýsigögn)'!M$6:M$41,MATCH($C96,'Undirviðmiðalisti (Lýsigögn)'!$C$6:$C$41,0))),IFERROR(IF(INDEX('Undirviðmiðalisti (Lýsigögn)'!M$42:M$58,MATCH($C96,'Undirviðmiðalisti (Lýsigögn)'!$C$42:$C$58,0))="","",INDEX('Undirviðmiðalisti (Lýsigögn)'!M$42:M$58,MATCH($C96,'Undirviðmiðalisti (Lýsigögn)'!$C$42:$C$58,0))),""))))</f>
        <v/>
      </c>
    </row>
    <row r="97" customFormat="false" ht="15" hidden="false" customHeight="true" outlineLevel="0" collapsed="false">
      <c r="A97" s="22" t="str">
        <f aca="false">IF($B97="","",ROW()-5)</f>
        <v/>
      </c>
      <c r="B97" s="15"/>
      <c r="C97" s="15"/>
      <c r="D97" s="16" t="str">
        <f aca="false">IF($C97="","",IF($G97="Einstaklingsbundið",IFERROR(IF(INDEX('Undirviðmiðalisti (Lýsigögn)'!$D$42:$D$58,MATCH($C97,'Undirviðmiðalisti (Lýsigögn)'!$C$42:$C$58,0))="","",INDEX('Undirviðmiðalisti (Lýsigögn)'!$D$42:$D$58,MATCH($C97,'Undirviðmiðalisti (Lýsigögn)'!$C$42:$C$58,0))),""),IFERROR(IF(INDEX('Undirviðmiðalisti (Lýsigögn)'!$D$6:$D$41,MATCH($C97,'Undirviðmiðalisti (Lýsigögn)'!$C$6:$C$41,0))="","",INDEX('Undirviðmiðalisti (Lýsigögn)'!$D$6:$D$41,MATCH($C97,'Undirviðmiðalisti (Lýsigögn)'!$C$6:$C$41,0))),IFERROR(IF(INDEX('Undirviðmiðalisti (Lýsigögn)'!$D$42:$D$58,MATCH($C97,'Undirviðmiðalisti (Lýsigögn)'!$C$42:$C$58,0))="","",INDEX('Undirviðmiðalisti (Lýsigögn)'!$D$42:$D$58,MATCH($C97,'Undirviðmiðalisti (Lýsigögn)'!$C$42:$C$58,0))),""))))</f>
        <v/>
      </c>
      <c r="E97" s="14"/>
      <c r="F97" s="23" t="str">
        <f aca="false">IF($C97="","",IF($G97="Einstaklingsbundið",IFERROR(IF(INDEX('Undirviðmiðalisti (Lýsigögn)'!$E$42:$E$58,MATCH($C97,'Undirviðmiðalisti (Lýsigögn)'!$C$42:$C$58,0))="","",INDEX('Undirviðmiðalisti (Lýsigögn)'!$E$42:$E$58,MATCH($C97,'Undirviðmiðalisti (Lýsigögn)'!$C$42:$C$58,0))),""),IFERROR(IF(INDEX('Undirviðmiðalisti (Lýsigögn)'!$E$6:$E$41,MATCH($C97,'Undirviðmiðalisti (Lýsigögn)'!$C$6:$C$41,0))="","",INDEX('Undirviðmiðalisti (Lýsigögn)'!$E$6:$E$41,MATCH($C97,'Undirviðmiðalisti (Lýsigögn)'!$C$6:$C$41,0))),IFERROR(IF(INDEX('Undirviðmiðalisti (Lýsigögn)'!$E$42:$E$58,MATCH($C97,'Undirviðmiðalisti (Lýsigögn)'!$C$42:$C$58,0))="","",INDEX('Undirviðmiðalisti (Lýsigögn)'!$E$42:$E$58,MATCH($C97,'Undirviðmiðalisti (Lýsigögn)'!$C$42:$C$58,0))),""))))</f>
        <v/>
      </c>
      <c r="G97" s="24" t="str">
        <f aca="false">IFERROR(IF(B97="","",INDEX(Viðmið!$B$6:$B$10,MATCH(B97,Viðmið!$C$6:$C$10,0))),"")</f>
        <v/>
      </c>
      <c r="H97" s="25" t="str">
        <f aca="false">IF(OR(E97="",F97=""),"",E97*KVARDI)</f>
        <v/>
      </c>
      <c r="I97" s="26" t="str">
        <f aca="false">IF(B97="","",IF(ROUND(SUMIF($B$6:$B$205,B97,$E$6:$E$205),4)=ROUND(IFERROR(INDEX(Viðmið!$E$6:$E$10,MATCH(B97,Viðmið!$C$6:$C$10,0)),-1),4),"✓","✗"))</f>
        <v/>
      </c>
      <c r="J97" s="16" t="str">
        <f aca="false">IF($C97="","",IF($G97="Einstaklingsbundið",IFERROR(IF(INDEX('Undirviðmiðalisti (Lýsigögn)'!F$42:F$58,MATCH($C97,'Undirviðmiðalisti (Lýsigögn)'!$C$42:$C$58,0))="","",INDEX('Undirviðmiðalisti (Lýsigögn)'!F$42:F$58,MATCH($C97,'Undirviðmiðalisti (Lýsigögn)'!$C$42:$C$58,0))),""),IFERROR(IF(INDEX('Undirviðmiðalisti (Lýsigögn)'!F$6:F$41,MATCH($C97,'Undirviðmiðalisti (Lýsigögn)'!$C$6:$C$41,0))="","",INDEX('Undirviðmiðalisti (Lýsigögn)'!F$6:F$41,MATCH($C97,'Undirviðmiðalisti (Lýsigögn)'!$C$6:$C$41,0))),IFERROR(IF(INDEX('Undirviðmiðalisti (Lýsigögn)'!F$42:F$58,MATCH($C97,'Undirviðmiðalisti (Lýsigögn)'!$C$42:$C$58,0))="","",INDEX('Undirviðmiðalisti (Lýsigögn)'!F$42:F$58,MATCH($C97,'Undirviðmiðalisti (Lýsigögn)'!$C$42:$C$58,0))),""))))</f>
        <v/>
      </c>
      <c r="K97" s="16" t="str">
        <f aca="false">IF($C97="","",IF($G97="Einstaklingsbundið",IFERROR(IF(INDEX('Undirviðmiðalisti (Lýsigögn)'!G$42:G$58,MATCH($C97,'Undirviðmiðalisti (Lýsigögn)'!$C$42:$C$58,0))="","",INDEX('Undirviðmiðalisti (Lýsigögn)'!G$42:G$58,MATCH($C97,'Undirviðmiðalisti (Lýsigögn)'!$C$42:$C$58,0))),""),IFERROR(IF(INDEX('Undirviðmiðalisti (Lýsigögn)'!G$6:G$41,MATCH($C97,'Undirviðmiðalisti (Lýsigögn)'!$C$6:$C$41,0))="","",INDEX('Undirviðmiðalisti (Lýsigögn)'!G$6:G$41,MATCH($C97,'Undirviðmiðalisti (Lýsigögn)'!$C$6:$C$41,0))),IFERROR(IF(INDEX('Undirviðmiðalisti (Lýsigögn)'!G$42:G$58,MATCH($C97,'Undirviðmiðalisti (Lýsigögn)'!$C$42:$C$58,0))="","",INDEX('Undirviðmiðalisti (Lýsigögn)'!G$42:G$58,MATCH($C97,'Undirviðmiðalisti (Lýsigögn)'!$C$42:$C$58,0))),""))))</f>
        <v/>
      </c>
      <c r="L97" s="16" t="str">
        <f aca="false">IF($C97="","",IF($G97="Einstaklingsbundið",IFERROR(IF(INDEX('Undirviðmiðalisti (Lýsigögn)'!H$42:H$58,MATCH($C97,'Undirviðmiðalisti (Lýsigögn)'!$C$42:$C$58,0))="","",INDEX('Undirviðmiðalisti (Lýsigögn)'!H$42:H$58,MATCH($C97,'Undirviðmiðalisti (Lýsigögn)'!$C$42:$C$58,0))),""),IFERROR(IF(INDEX('Undirviðmiðalisti (Lýsigögn)'!H$6:H$41,MATCH($C97,'Undirviðmiðalisti (Lýsigögn)'!$C$6:$C$41,0))="","",INDEX('Undirviðmiðalisti (Lýsigögn)'!H$6:H$41,MATCH($C97,'Undirviðmiðalisti (Lýsigögn)'!$C$6:$C$41,0))),IFERROR(IF(INDEX('Undirviðmiðalisti (Lýsigögn)'!H$42:H$58,MATCH($C97,'Undirviðmiðalisti (Lýsigögn)'!$C$42:$C$58,0))="","",INDEX('Undirviðmiðalisti (Lýsigögn)'!H$42:H$58,MATCH($C97,'Undirviðmiðalisti (Lýsigögn)'!$C$42:$C$58,0))),""))))</f>
        <v/>
      </c>
      <c r="M97" s="16" t="str">
        <f aca="false">IF($C97="","",IF($G97="Einstaklingsbundið",IFERROR(IF(INDEX('Undirviðmiðalisti (Lýsigögn)'!I$42:I$58,MATCH($C97,'Undirviðmiðalisti (Lýsigögn)'!$C$42:$C$58,0))="","",INDEX('Undirviðmiðalisti (Lýsigögn)'!I$42:I$58,MATCH($C97,'Undirviðmiðalisti (Lýsigögn)'!$C$42:$C$58,0))),""),IFERROR(IF(INDEX('Undirviðmiðalisti (Lýsigögn)'!I$6:I$41,MATCH($C97,'Undirviðmiðalisti (Lýsigögn)'!$C$6:$C$41,0))="","",INDEX('Undirviðmiðalisti (Lýsigögn)'!I$6:I$41,MATCH($C97,'Undirviðmiðalisti (Lýsigögn)'!$C$6:$C$41,0))),IFERROR(IF(INDEX('Undirviðmiðalisti (Lýsigögn)'!I$42:I$58,MATCH($C97,'Undirviðmiðalisti (Lýsigögn)'!$C$42:$C$58,0))="","",INDEX('Undirviðmiðalisti (Lýsigögn)'!I$42:I$58,MATCH($C97,'Undirviðmiðalisti (Lýsigögn)'!$C$42:$C$58,0))),""))))</f>
        <v/>
      </c>
      <c r="N97" s="16" t="str">
        <f aca="false">IF($C97="","",IF($G97="Einstaklingsbundið",IFERROR(IF(INDEX('Undirviðmiðalisti (Lýsigögn)'!J$42:J$58,MATCH($C97,'Undirviðmiðalisti (Lýsigögn)'!$C$42:$C$58,0))="","",INDEX('Undirviðmiðalisti (Lýsigögn)'!J$42:J$58,MATCH($C97,'Undirviðmiðalisti (Lýsigögn)'!$C$42:$C$58,0))),""),IFERROR(IF(INDEX('Undirviðmiðalisti (Lýsigögn)'!J$6:J$41,MATCH($C97,'Undirviðmiðalisti (Lýsigögn)'!$C$6:$C$41,0))="","",INDEX('Undirviðmiðalisti (Lýsigögn)'!J$6:J$41,MATCH($C97,'Undirviðmiðalisti (Lýsigögn)'!$C$6:$C$41,0))),IFERROR(IF(INDEX('Undirviðmiðalisti (Lýsigögn)'!J$42:J$58,MATCH($C97,'Undirviðmiðalisti (Lýsigögn)'!$C$42:$C$58,0))="","",INDEX('Undirviðmiðalisti (Lýsigögn)'!J$42:J$58,MATCH($C97,'Undirviðmiðalisti (Lýsigögn)'!$C$42:$C$58,0))),""))))</f>
        <v/>
      </c>
      <c r="O97" s="16" t="str">
        <f aca="false">IF($C97="","",IF($G97="Einstaklingsbundið",IFERROR(IF(INDEX('Undirviðmiðalisti (Lýsigögn)'!K$42:K$58,MATCH($C97,'Undirviðmiðalisti (Lýsigögn)'!$C$42:$C$58,0))="","",INDEX('Undirviðmiðalisti (Lýsigögn)'!K$42:K$58,MATCH($C97,'Undirviðmiðalisti (Lýsigögn)'!$C$42:$C$58,0))),""),IFERROR(IF(INDEX('Undirviðmiðalisti (Lýsigögn)'!K$6:K$41,MATCH($C97,'Undirviðmiðalisti (Lýsigögn)'!$C$6:$C$41,0))="","",INDEX('Undirviðmiðalisti (Lýsigögn)'!K$6:K$41,MATCH($C97,'Undirviðmiðalisti (Lýsigögn)'!$C$6:$C$41,0))),IFERROR(IF(INDEX('Undirviðmiðalisti (Lýsigögn)'!K$42:K$58,MATCH($C97,'Undirviðmiðalisti (Lýsigögn)'!$C$42:$C$58,0))="","",INDEX('Undirviðmiðalisti (Lýsigögn)'!K$42:K$58,MATCH($C97,'Undirviðmiðalisti (Lýsigögn)'!$C$42:$C$58,0))),""))))</f>
        <v/>
      </c>
      <c r="P97" s="16" t="str">
        <f aca="false">IF($C97="","",IF($G97="Einstaklingsbundið",IFERROR(IF(INDEX('Undirviðmiðalisti (Lýsigögn)'!L$42:L$58,MATCH($C97,'Undirviðmiðalisti (Lýsigögn)'!$C$42:$C$58,0))="","",INDEX('Undirviðmiðalisti (Lýsigögn)'!L$42:L$58,MATCH($C97,'Undirviðmiðalisti (Lýsigögn)'!$C$42:$C$58,0))),""),IFERROR(IF(INDEX('Undirviðmiðalisti (Lýsigögn)'!L$6:L$41,MATCH($C97,'Undirviðmiðalisti (Lýsigögn)'!$C$6:$C$41,0))="","",INDEX('Undirviðmiðalisti (Lýsigögn)'!L$6:L$41,MATCH($C97,'Undirviðmiðalisti (Lýsigögn)'!$C$6:$C$41,0))),IFERROR(IF(INDEX('Undirviðmiðalisti (Lýsigögn)'!L$42:L$58,MATCH($C97,'Undirviðmiðalisti (Lýsigögn)'!$C$42:$C$58,0))="","",INDEX('Undirviðmiðalisti (Lýsigögn)'!L$42:L$58,MATCH($C97,'Undirviðmiðalisti (Lýsigögn)'!$C$42:$C$58,0))),""))))</f>
        <v/>
      </c>
      <c r="Q97" s="16" t="str">
        <f aca="false">IF($C97="","",IF($G97="Einstaklingsbundið",IFERROR(IF(INDEX('Undirviðmiðalisti (Lýsigögn)'!M$42:M$58,MATCH($C97,'Undirviðmiðalisti (Lýsigögn)'!$C$42:$C$58,0))="","",INDEX('Undirviðmiðalisti (Lýsigögn)'!M$42:M$58,MATCH($C97,'Undirviðmiðalisti (Lýsigögn)'!$C$42:$C$58,0))),""),IFERROR(IF(INDEX('Undirviðmiðalisti (Lýsigögn)'!M$6:M$41,MATCH($C97,'Undirviðmiðalisti (Lýsigögn)'!$C$6:$C$41,0))="","",INDEX('Undirviðmiðalisti (Lýsigögn)'!M$6:M$41,MATCH($C97,'Undirviðmiðalisti (Lýsigögn)'!$C$6:$C$41,0))),IFERROR(IF(INDEX('Undirviðmiðalisti (Lýsigögn)'!M$42:M$58,MATCH($C97,'Undirviðmiðalisti (Lýsigögn)'!$C$42:$C$58,0))="","",INDEX('Undirviðmiðalisti (Lýsigögn)'!M$42:M$58,MATCH($C97,'Undirviðmiðalisti (Lýsigögn)'!$C$42:$C$58,0))),""))))</f>
        <v/>
      </c>
    </row>
    <row r="98" customFormat="false" ht="15" hidden="false" customHeight="true" outlineLevel="0" collapsed="false">
      <c r="A98" s="22" t="str">
        <f aca="false">IF($B98="","",ROW()-5)</f>
        <v/>
      </c>
      <c r="B98" s="15"/>
      <c r="C98" s="15"/>
      <c r="D98" s="16" t="str">
        <f aca="false">IF($C98="","",IF($G98="Einstaklingsbundið",IFERROR(IF(INDEX('Undirviðmiðalisti (Lýsigögn)'!$D$42:$D$58,MATCH($C98,'Undirviðmiðalisti (Lýsigögn)'!$C$42:$C$58,0))="","",INDEX('Undirviðmiðalisti (Lýsigögn)'!$D$42:$D$58,MATCH($C98,'Undirviðmiðalisti (Lýsigögn)'!$C$42:$C$58,0))),""),IFERROR(IF(INDEX('Undirviðmiðalisti (Lýsigögn)'!$D$6:$D$41,MATCH($C98,'Undirviðmiðalisti (Lýsigögn)'!$C$6:$C$41,0))="","",INDEX('Undirviðmiðalisti (Lýsigögn)'!$D$6:$D$41,MATCH($C98,'Undirviðmiðalisti (Lýsigögn)'!$C$6:$C$41,0))),IFERROR(IF(INDEX('Undirviðmiðalisti (Lýsigögn)'!$D$42:$D$58,MATCH($C98,'Undirviðmiðalisti (Lýsigögn)'!$C$42:$C$58,0))="","",INDEX('Undirviðmiðalisti (Lýsigögn)'!$D$42:$D$58,MATCH($C98,'Undirviðmiðalisti (Lýsigögn)'!$C$42:$C$58,0))),""))))</f>
        <v/>
      </c>
      <c r="E98" s="14"/>
      <c r="F98" s="23" t="str">
        <f aca="false">IF($C98="","",IF($G98="Einstaklingsbundið",IFERROR(IF(INDEX('Undirviðmiðalisti (Lýsigögn)'!$E$42:$E$58,MATCH($C98,'Undirviðmiðalisti (Lýsigögn)'!$C$42:$C$58,0))="","",INDEX('Undirviðmiðalisti (Lýsigögn)'!$E$42:$E$58,MATCH($C98,'Undirviðmiðalisti (Lýsigögn)'!$C$42:$C$58,0))),""),IFERROR(IF(INDEX('Undirviðmiðalisti (Lýsigögn)'!$E$6:$E$41,MATCH($C98,'Undirviðmiðalisti (Lýsigögn)'!$C$6:$C$41,0))="","",INDEX('Undirviðmiðalisti (Lýsigögn)'!$E$6:$E$41,MATCH($C98,'Undirviðmiðalisti (Lýsigögn)'!$C$6:$C$41,0))),IFERROR(IF(INDEX('Undirviðmiðalisti (Lýsigögn)'!$E$42:$E$58,MATCH($C98,'Undirviðmiðalisti (Lýsigögn)'!$C$42:$C$58,0))="","",INDEX('Undirviðmiðalisti (Lýsigögn)'!$E$42:$E$58,MATCH($C98,'Undirviðmiðalisti (Lýsigögn)'!$C$42:$C$58,0))),""))))</f>
        <v/>
      </c>
      <c r="G98" s="24" t="str">
        <f aca="false">IFERROR(IF(B98="","",INDEX(Viðmið!$B$6:$B$10,MATCH(B98,Viðmið!$C$6:$C$10,0))),"")</f>
        <v/>
      </c>
      <c r="H98" s="25" t="str">
        <f aca="false">IF(OR(E98="",F98=""),"",E98*KVARDI)</f>
        <v/>
      </c>
      <c r="I98" s="26" t="str">
        <f aca="false">IF(B98="","",IF(ROUND(SUMIF($B$6:$B$205,B98,$E$6:$E$205),4)=ROUND(IFERROR(INDEX(Viðmið!$E$6:$E$10,MATCH(B98,Viðmið!$C$6:$C$10,0)),-1),4),"✓","✗"))</f>
        <v/>
      </c>
      <c r="J98" s="16" t="str">
        <f aca="false">IF($C98="","",IF($G98="Einstaklingsbundið",IFERROR(IF(INDEX('Undirviðmiðalisti (Lýsigögn)'!F$42:F$58,MATCH($C98,'Undirviðmiðalisti (Lýsigögn)'!$C$42:$C$58,0))="","",INDEX('Undirviðmiðalisti (Lýsigögn)'!F$42:F$58,MATCH($C98,'Undirviðmiðalisti (Lýsigögn)'!$C$42:$C$58,0))),""),IFERROR(IF(INDEX('Undirviðmiðalisti (Lýsigögn)'!F$6:F$41,MATCH($C98,'Undirviðmiðalisti (Lýsigögn)'!$C$6:$C$41,0))="","",INDEX('Undirviðmiðalisti (Lýsigögn)'!F$6:F$41,MATCH($C98,'Undirviðmiðalisti (Lýsigögn)'!$C$6:$C$41,0))),IFERROR(IF(INDEX('Undirviðmiðalisti (Lýsigögn)'!F$42:F$58,MATCH($C98,'Undirviðmiðalisti (Lýsigögn)'!$C$42:$C$58,0))="","",INDEX('Undirviðmiðalisti (Lýsigögn)'!F$42:F$58,MATCH($C98,'Undirviðmiðalisti (Lýsigögn)'!$C$42:$C$58,0))),""))))</f>
        <v/>
      </c>
      <c r="K98" s="16" t="str">
        <f aca="false">IF($C98="","",IF($G98="Einstaklingsbundið",IFERROR(IF(INDEX('Undirviðmiðalisti (Lýsigögn)'!G$42:G$58,MATCH($C98,'Undirviðmiðalisti (Lýsigögn)'!$C$42:$C$58,0))="","",INDEX('Undirviðmiðalisti (Lýsigögn)'!G$42:G$58,MATCH($C98,'Undirviðmiðalisti (Lýsigögn)'!$C$42:$C$58,0))),""),IFERROR(IF(INDEX('Undirviðmiðalisti (Lýsigögn)'!G$6:G$41,MATCH($C98,'Undirviðmiðalisti (Lýsigögn)'!$C$6:$C$41,0))="","",INDEX('Undirviðmiðalisti (Lýsigögn)'!G$6:G$41,MATCH($C98,'Undirviðmiðalisti (Lýsigögn)'!$C$6:$C$41,0))),IFERROR(IF(INDEX('Undirviðmiðalisti (Lýsigögn)'!G$42:G$58,MATCH($C98,'Undirviðmiðalisti (Lýsigögn)'!$C$42:$C$58,0))="","",INDEX('Undirviðmiðalisti (Lýsigögn)'!G$42:G$58,MATCH($C98,'Undirviðmiðalisti (Lýsigögn)'!$C$42:$C$58,0))),""))))</f>
        <v/>
      </c>
      <c r="L98" s="16" t="str">
        <f aca="false">IF($C98="","",IF($G98="Einstaklingsbundið",IFERROR(IF(INDEX('Undirviðmiðalisti (Lýsigögn)'!H$42:H$58,MATCH($C98,'Undirviðmiðalisti (Lýsigögn)'!$C$42:$C$58,0))="","",INDEX('Undirviðmiðalisti (Lýsigögn)'!H$42:H$58,MATCH($C98,'Undirviðmiðalisti (Lýsigögn)'!$C$42:$C$58,0))),""),IFERROR(IF(INDEX('Undirviðmiðalisti (Lýsigögn)'!H$6:H$41,MATCH($C98,'Undirviðmiðalisti (Lýsigögn)'!$C$6:$C$41,0))="","",INDEX('Undirviðmiðalisti (Lýsigögn)'!H$6:H$41,MATCH($C98,'Undirviðmiðalisti (Lýsigögn)'!$C$6:$C$41,0))),IFERROR(IF(INDEX('Undirviðmiðalisti (Lýsigögn)'!H$42:H$58,MATCH($C98,'Undirviðmiðalisti (Lýsigögn)'!$C$42:$C$58,0))="","",INDEX('Undirviðmiðalisti (Lýsigögn)'!H$42:H$58,MATCH($C98,'Undirviðmiðalisti (Lýsigögn)'!$C$42:$C$58,0))),""))))</f>
        <v/>
      </c>
      <c r="M98" s="16" t="str">
        <f aca="false">IF($C98="","",IF($G98="Einstaklingsbundið",IFERROR(IF(INDEX('Undirviðmiðalisti (Lýsigögn)'!I$42:I$58,MATCH($C98,'Undirviðmiðalisti (Lýsigögn)'!$C$42:$C$58,0))="","",INDEX('Undirviðmiðalisti (Lýsigögn)'!I$42:I$58,MATCH($C98,'Undirviðmiðalisti (Lýsigögn)'!$C$42:$C$58,0))),""),IFERROR(IF(INDEX('Undirviðmiðalisti (Lýsigögn)'!I$6:I$41,MATCH($C98,'Undirviðmiðalisti (Lýsigögn)'!$C$6:$C$41,0))="","",INDEX('Undirviðmiðalisti (Lýsigögn)'!I$6:I$41,MATCH($C98,'Undirviðmiðalisti (Lýsigögn)'!$C$6:$C$41,0))),IFERROR(IF(INDEX('Undirviðmiðalisti (Lýsigögn)'!I$42:I$58,MATCH($C98,'Undirviðmiðalisti (Lýsigögn)'!$C$42:$C$58,0))="","",INDEX('Undirviðmiðalisti (Lýsigögn)'!I$42:I$58,MATCH($C98,'Undirviðmiðalisti (Lýsigögn)'!$C$42:$C$58,0))),""))))</f>
        <v/>
      </c>
      <c r="N98" s="16" t="str">
        <f aca="false">IF($C98="","",IF($G98="Einstaklingsbundið",IFERROR(IF(INDEX('Undirviðmiðalisti (Lýsigögn)'!J$42:J$58,MATCH($C98,'Undirviðmiðalisti (Lýsigögn)'!$C$42:$C$58,0))="","",INDEX('Undirviðmiðalisti (Lýsigögn)'!J$42:J$58,MATCH($C98,'Undirviðmiðalisti (Lýsigögn)'!$C$42:$C$58,0))),""),IFERROR(IF(INDEX('Undirviðmiðalisti (Lýsigögn)'!J$6:J$41,MATCH($C98,'Undirviðmiðalisti (Lýsigögn)'!$C$6:$C$41,0))="","",INDEX('Undirviðmiðalisti (Lýsigögn)'!J$6:J$41,MATCH($C98,'Undirviðmiðalisti (Lýsigögn)'!$C$6:$C$41,0))),IFERROR(IF(INDEX('Undirviðmiðalisti (Lýsigögn)'!J$42:J$58,MATCH($C98,'Undirviðmiðalisti (Lýsigögn)'!$C$42:$C$58,0))="","",INDEX('Undirviðmiðalisti (Lýsigögn)'!J$42:J$58,MATCH($C98,'Undirviðmiðalisti (Lýsigögn)'!$C$42:$C$58,0))),""))))</f>
        <v/>
      </c>
      <c r="O98" s="16" t="str">
        <f aca="false">IF($C98="","",IF($G98="Einstaklingsbundið",IFERROR(IF(INDEX('Undirviðmiðalisti (Lýsigögn)'!K$42:K$58,MATCH($C98,'Undirviðmiðalisti (Lýsigögn)'!$C$42:$C$58,0))="","",INDEX('Undirviðmiðalisti (Lýsigögn)'!K$42:K$58,MATCH($C98,'Undirviðmiðalisti (Lýsigögn)'!$C$42:$C$58,0))),""),IFERROR(IF(INDEX('Undirviðmiðalisti (Lýsigögn)'!K$6:K$41,MATCH($C98,'Undirviðmiðalisti (Lýsigögn)'!$C$6:$C$41,0))="","",INDEX('Undirviðmiðalisti (Lýsigögn)'!K$6:K$41,MATCH($C98,'Undirviðmiðalisti (Lýsigögn)'!$C$6:$C$41,0))),IFERROR(IF(INDEX('Undirviðmiðalisti (Lýsigögn)'!K$42:K$58,MATCH($C98,'Undirviðmiðalisti (Lýsigögn)'!$C$42:$C$58,0))="","",INDEX('Undirviðmiðalisti (Lýsigögn)'!K$42:K$58,MATCH($C98,'Undirviðmiðalisti (Lýsigögn)'!$C$42:$C$58,0))),""))))</f>
        <v/>
      </c>
      <c r="P98" s="16" t="str">
        <f aca="false">IF($C98="","",IF($G98="Einstaklingsbundið",IFERROR(IF(INDEX('Undirviðmiðalisti (Lýsigögn)'!L$42:L$58,MATCH($C98,'Undirviðmiðalisti (Lýsigögn)'!$C$42:$C$58,0))="","",INDEX('Undirviðmiðalisti (Lýsigögn)'!L$42:L$58,MATCH($C98,'Undirviðmiðalisti (Lýsigögn)'!$C$42:$C$58,0))),""),IFERROR(IF(INDEX('Undirviðmiðalisti (Lýsigögn)'!L$6:L$41,MATCH($C98,'Undirviðmiðalisti (Lýsigögn)'!$C$6:$C$41,0))="","",INDEX('Undirviðmiðalisti (Lýsigögn)'!L$6:L$41,MATCH($C98,'Undirviðmiðalisti (Lýsigögn)'!$C$6:$C$41,0))),IFERROR(IF(INDEX('Undirviðmiðalisti (Lýsigögn)'!L$42:L$58,MATCH($C98,'Undirviðmiðalisti (Lýsigögn)'!$C$42:$C$58,0))="","",INDEX('Undirviðmiðalisti (Lýsigögn)'!L$42:L$58,MATCH($C98,'Undirviðmiðalisti (Lýsigögn)'!$C$42:$C$58,0))),""))))</f>
        <v/>
      </c>
      <c r="Q98" s="16" t="str">
        <f aca="false">IF($C98="","",IF($G98="Einstaklingsbundið",IFERROR(IF(INDEX('Undirviðmiðalisti (Lýsigögn)'!M$42:M$58,MATCH($C98,'Undirviðmiðalisti (Lýsigögn)'!$C$42:$C$58,0))="","",INDEX('Undirviðmiðalisti (Lýsigögn)'!M$42:M$58,MATCH($C98,'Undirviðmiðalisti (Lýsigögn)'!$C$42:$C$58,0))),""),IFERROR(IF(INDEX('Undirviðmiðalisti (Lýsigögn)'!M$6:M$41,MATCH($C98,'Undirviðmiðalisti (Lýsigögn)'!$C$6:$C$41,0))="","",INDEX('Undirviðmiðalisti (Lýsigögn)'!M$6:M$41,MATCH($C98,'Undirviðmiðalisti (Lýsigögn)'!$C$6:$C$41,0))),IFERROR(IF(INDEX('Undirviðmiðalisti (Lýsigögn)'!M$42:M$58,MATCH($C98,'Undirviðmiðalisti (Lýsigögn)'!$C$42:$C$58,0))="","",INDEX('Undirviðmiðalisti (Lýsigögn)'!M$42:M$58,MATCH($C98,'Undirviðmiðalisti (Lýsigögn)'!$C$42:$C$58,0))),""))))</f>
        <v/>
      </c>
    </row>
    <row r="99" customFormat="false" ht="15" hidden="false" customHeight="true" outlineLevel="0" collapsed="false">
      <c r="A99" s="22" t="str">
        <f aca="false">IF($B99="","",ROW()-5)</f>
        <v/>
      </c>
      <c r="B99" s="15"/>
      <c r="C99" s="15"/>
      <c r="D99" s="16" t="str">
        <f aca="false">IF($C99="","",IF($G99="Einstaklingsbundið",IFERROR(IF(INDEX('Undirviðmiðalisti (Lýsigögn)'!$D$42:$D$58,MATCH($C99,'Undirviðmiðalisti (Lýsigögn)'!$C$42:$C$58,0))="","",INDEX('Undirviðmiðalisti (Lýsigögn)'!$D$42:$D$58,MATCH($C99,'Undirviðmiðalisti (Lýsigögn)'!$C$42:$C$58,0))),""),IFERROR(IF(INDEX('Undirviðmiðalisti (Lýsigögn)'!$D$6:$D$41,MATCH($C99,'Undirviðmiðalisti (Lýsigögn)'!$C$6:$C$41,0))="","",INDEX('Undirviðmiðalisti (Lýsigögn)'!$D$6:$D$41,MATCH($C99,'Undirviðmiðalisti (Lýsigögn)'!$C$6:$C$41,0))),IFERROR(IF(INDEX('Undirviðmiðalisti (Lýsigögn)'!$D$42:$D$58,MATCH($C99,'Undirviðmiðalisti (Lýsigögn)'!$C$42:$C$58,0))="","",INDEX('Undirviðmiðalisti (Lýsigögn)'!$D$42:$D$58,MATCH($C99,'Undirviðmiðalisti (Lýsigögn)'!$C$42:$C$58,0))),""))))</f>
        <v/>
      </c>
      <c r="E99" s="14"/>
      <c r="F99" s="23" t="str">
        <f aca="false">IF($C99="","",IF($G99="Einstaklingsbundið",IFERROR(IF(INDEX('Undirviðmiðalisti (Lýsigögn)'!$E$42:$E$58,MATCH($C99,'Undirviðmiðalisti (Lýsigögn)'!$C$42:$C$58,0))="","",INDEX('Undirviðmiðalisti (Lýsigögn)'!$E$42:$E$58,MATCH($C99,'Undirviðmiðalisti (Lýsigögn)'!$C$42:$C$58,0))),""),IFERROR(IF(INDEX('Undirviðmiðalisti (Lýsigögn)'!$E$6:$E$41,MATCH($C99,'Undirviðmiðalisti (Lýsigögn)'!$C$6:$C$41,0))="","",INDEX('Undirviðmiðalisti (Lýsigögn)'!$E$6:$E$41,MATCH($C99,'Undirviðmiðalisti (Lýsigögn)'!$C$6:$C$41,0))),IFERROR(IF(INDEX('Undirviðmiðalisti (Lýsigögn)'!$E$42:$E$58,MATCH($C99,'Undirviðmiðalisti (Lýsigögn)'!$C$42:$C$58,0))="","",INDEX('Undirviðmiðalisti (Lýsigögn)'!$E$42:$E$58,MATCH($C99,'Undirviðmiðalisti (Lýsigögn)'!$C$42:$C$58,0))),""))))</f>
        <v/>
      </c>
      <c r="G99" s="24" t="str">
        <f aca="false">IFERROR(IF(B99="","",INDEX(Viðmið!$B$6:$B$10,MATCH(B99,Viðmið!$C$6:$C$10,0))),"")</f>
        <v/>
      </c>
      <c r="H99" s="25" t="str">
        <f aca="false">IF(OR(E99="",F99=""),"",E99*KVARDI)</f>
        <v/>
      </c>
      <c r="I99" s="26" t="str">
        <f aca="false">IF(B99="","",IF(ROUND(SUMIF($B$6:$B$205,B99,$E$6:$E$205),4)=ROUND(IFERROR(INDEX(Viðmið!$E$6:$E$10,MATCH(B99,Viðmið!$C$6:$C$10,0)),-1),4),"✓","✗"))</f>
        <v/>
      </c>
      <c r="J99" s="16" t="str">
        <f aca="false">IF($C99="","",IF($G99="Einstaklingsbundið",IFERROR(IF(INDEX('Undirviðmiðalisti (Lýsigögn)'!F$42:F$58,MATCH($C99,'Undirviðmiðalisti (Lýsigögn)'!$C$42:$C$58,0))="","",INDEX('Undirviðmiðalisti (Lýsigögn)'!F$42:F$58,MATCH($C99,'Undirviðmiðalisti (Lýsigögn)'!$C$42:$C$58,0))),""),IFERROR(IF(INDEX('Undirviðmiðalisti (Lýsigögn)'!F$6:F$41,MATCH($C99,'Undirviðmiðalisti (Lýsigögn)'!$C$6:$C$41,0))="","",INDEX('Undirviðmiðalisti (Lýsigögn)'!F$6:F$41,MATCH($C99,'Undirviðmiðalisti (Lýsigögn)'!$C$6:$C$41,0))),IFERROR(IF(INDEX('Undirviðmiðalisti (Lýsigögn)'!F$42:F$58,MATCH($C99,'Undirviðmiðalisti (Lýsigögn)'!$C$42:$C$58,0))="","",INDEX('Undirviðmiðalisti (Lýsigögn)'!F$42:F$58,MATCH($C99,'Undirviðmiðalisti (Lýsigögn)'!$C$42:$C$58,0))),""))))</f>
        <v/>
      </c>
      <c r="K99" s="16" t="str">
        <f aca="false">IF($C99="","",IF($G99="Einstaklingsbundið",IFERROR(IF(INDEX('Undirviðmiðalisti (Lýsigögn)'!G$42:G$58,MATCH($C99,'Undirviðmiðalisti (Lýsigögn)'!$C$42:$C$58,0))="","",INDEX('Undirviðmiðalisti (Lýsigögn)'!G$42:G$58,MATCH($C99,'Undirviðmiðalisti (Lýsigögn)'!$C$42:$C$58,0))),""),IFERROR(IF(INDEX('Undirviðmiðalisti (Lýsigögn)'!G$6:G$41,MATCH($C99,'Undirviðmiðalisti (Lýsigögn)'!$C$6:$C$41,0))="","",INDEX('Undirviðmiðalisti (Lýsigögn)'!G$6:G$41,MATCH($C99,'Undirviðmiðalisti (Lýsigögn)'!$C$6:$C$41,0))),IFERROR(IF(INDEX('Undirviðmiðalisti (Lýsigögn)'!G$42:G$58,MATCH($C99,'Undirviðmiðalisti (Lýsigögn)'!$C$42:$C$58,0))="","",INDEX('Undirviðmiðalisti (Lýsigögn)'!G$42:G$58,MATCH($C99,'Undirviðmiðalisti (Lýsigögn)'!$C$42:$C$58,0))),""))))</f>
        <v/>
      </c>
      <c r="L99" s="16" t="str">
        <f aca="false">IF($C99="","",IF($G99="Einstaklingsbundið",IFERROR(IF(INDEX('Undirviðmiðalisti (Lýsigögn)'!H$42:H$58,MATCH($C99,'Undirviðmiðalisti (Lýsigögn)'!$C$42:$C$58,0))="","",INDEX('Undirviðmiðalisti (Lýsigögn)'!H$42:H$58,MATCH($C99,'Undirviðmiðalisti (Lýsigögn)'!$C$42:$C$58,0))),""),IFERROR(IF(INDEX('Undirviðmiðalisti (Lýsigögn)'!H$6:H$41,MATCH($C99,'Undirviðmiðalisti (Lýsigögn)'!$C$6:$C$41,0))="","",INDEX('Undirviðmiðalisti (Lýsigögn)'!H$6:H$41,MATCH($C99,'Undirviðmiðalisti (Lýsigögn)'!$C$6:$C$41,0))),IFERROR(IF(INDEX('Undirviðmiðalisti (Lýsigögn)'!H$42:H$58,MATCH($C99,'Undirviðmiðalisti (Lýsigögn)'!$C$42:$C$58,0))="","",INDEX('Undirviðmiðalisti (Lýsigögn)'!H$42:H$58,MATCH($C99,'Undirviðmiðalisti (Lýsigögn)'!$C$42:$C$58,0))),""))))</f>
        <v/>
      </c>
      <c r="M99" s="16" t="str">
        <f aca="false">IF($C99="","",IF($G99="Einstaklingsbundið",IFERROR(IF(INDEX('Undirviðmiðalisti (Lýsigögn)'!I$42:I$58,MATCH($C99,'Undirviðmiðalisti (Lýsigögn)'!$C$42:$C$58,0))="","",INDEX('Undirviðmiðalisti (Lýsigögn)'!I$42:I$58,MATCH($C99,'Undirviðmiðalisti (Lýsigögn)'!$C$42:$C$58,0))),""),IFERROR(IF(INDEX('Undirviðmiðalisti (Lýsigögn)'!I$6:I$41,MATCH($C99,'Undirviðmiðalisti (Lýsigögn)'!$C$6:$C$41,0))="","",INDEX('Undirviðmiðalisti (Lýsigögn)'!I$6:I$41,MATCH($C99,'Undirviðmiðalisti (Lýsigögn)'!$C$6:$C$41,0))),IFERROR(IF(INDEX('Undirviðmiðalisti (Lýsigögn)'!I$42:I$58,MATCH($C99,'Undirviðmiðalisti (Lýsigögn)'!$C$42:$C$58,0))="","",INDEX('Undirviðmiðalisti (Lýsigögn)'!I$42:I$58,MATCH($C99,'Undirviðmiðalisti (Lýsigögn)'!$C$42:$C$58,0))),""))))</f>
        <v/>
      </c>
      <c r="N99" s="16" t="str">
        <f aca="false">IF($C99="","",IF($G99="Einstaklingsbundið",IFERROR(IF(INDEX('Undirviðmiðalisti (Lýsigögn)'!J$42:J$58,MATCH($C99,'Undirviðmiðalisti (Lýsigögn)'!$C$42:$C$58,0))="","",INDEX('Undirviðmiðalisti (Lýsigögn)'!J$42:J$58,MATCH($C99,'Undirviðmiðalisti (Lýsigögn)'!$C$42:$C$58,0))),""),IFERROR(IF(INDEX('Undirviðmiðalisti (Lýsigögn)'!J$6:J$41,MATCH($C99,'Undirviðmiðalisti (Lýsigögn)'!$C$6:$C$41,0))="","",INDEX('Undirviðmiðalisti (Lýsigögn)'!J$6:J$41,MATCH($C99,'Undirviðmiðalisti (Lýsigögn)'!$C$6:$C$41,0))),IFERROR(IF(INDEX('Undirviðmiðalisti (Lýsigögn)'!J$42:J$58,MATCH($C99,'Undirviðmiðalisti (Lýsigögn)'!$C$42:$C$58,0))="","",INDEX('Undirviðmiðalisti (Lýsigögn)'!J$42:J$58,MATCH($C99,'Undirviðmiðalisti (Lýsigögn)'!$C$42:$C$58,0))),""))))</f>
        <v/>
      </c>
      <c r="O99" s="16" t="str">
        <f aca="false">IF($C99="","",IF($G99="Einstaklingsbundið",IFERROR(IF(INDEX('Undirviðmiðalisti (Lýsigögn)'!K$42:K$58,MATCH($C99,'Undirviðmiðalisti (Lýsigögn)'!$C$42:$C$58,0))="","",INDEX('Undirviðmiðalisti (Lýsigögn)'!K$42:K$58,MATCH($C99,'Undirviðmiðalisti (Lýsigögn)'!$C$42:$C$58,0))),""),IFERROR(IF(INDEX('Undirviðmiðalisti (Lýsigögn)'!K$6:K$41,MATCH($C99,'Undirviðmiðalisti (Lýsigögn)'!$C$6:$C$41,0))="","",INDEX('Undirviðmiðalisti (Lýsigögn)'!K$6:K$41,MATCH($C99,'Undirviðmiðalisti (Lýsigögn)'!$C$6:$C$41,0))),IFERROR(IF(INDEX('Undirviðmiðalisti (Lýsigögn)'!K$42:K$58,MATCH($C99,'Undirviðmiðalisti (Lýsigögn)'!$C$42:$C$58,0))="","",INDEX('Undirviðmiðalisti (Lýsigögn)'!K$42:K$58,MATCH($C99,'Undirviðmiðalisti (Lýsigögn)'!$C$42:$C$58,0))),""))))</f>
        <v/>
      </c>
      <c r="P99" s="16" t="str">
        <f aca="false">IF($C99="","",IF($G99="Einstaklingsbundið",IFERROR(IF(INDEX('Undirviðmiðalisti (Lýsigögn)'!L$42:L$58,MATCH($C99,'Undirviðmiðalisti (Lýsigögn)'!$C$42:$C$58,0))="","",INDEX('Undirviðmiðalisti (Lýsigögn)'!L$42:L$58,MATCH($C99,'Undirviðmiðalisti (Lýsigögn)'!$C$42:$C$58,0))),""),IFERROR(IF(INDEX('Undirviðmiðalisti (Lýsigögn)'!L$6:L$41,MATCH($C99,'Undirviðmiðalisti (Lýsigögn)'!$C$6:$C$41,0))="","",INDEX('Undirviðmiðalisti (Lýsigögn)'!L$6:L$41,MATCH($C99,'Undirviðmiðalisti (Lýsigögn)'!$C$6:$C$41,0))),IFERROR(IF(INDEX('Undirviðmiðalisti (Lýsigögn)'!L$42:L$58,MATCH($C99,'Undirviðmiðalisti (Lýsigögn)'!$C$42:$C$58,0))="","",INDEX('Undirviðmiðalisti (Lýsigögn)'!L$42:L$58,MATCH($C99,'Undirviðmiðalisti (Lýsigögn)'!$C$42:$C$58,0))),""))))</f>
        <v/>
      </c>
      <c r="Q99" s="16" t="str">
        <f aca="false">IF($C99="","",IF($G99="Einstaklingsbundið",IFERROR(IF(INDEX('Undirviðmiðalisti (Lýsigögn)'!M$42:M$58,MATCH($C99,'Undirviðmiðalisti (Lýsigögn)'!$C$42:$C$58,0))="","",INDEX('Undirviðmiðalisti (Lýsigögn)'!M$42:M$58,MATCH($C99,'Undirviðmiðalisti (Lýsigögn)'!$C$42:$C$58,0))),""),IFERROR(IF(INDEX('Undirviðmiðalisti (Lýsigögn)'!M$6:M$41,MATCH($C99,'Undirviðmiðalisti (Lýsigögn)'!$C$6:$C$41,0))="","",INDEX('Undirviðmiðalisti (Lýsigögn)'!M$6:M$41,MATCH($C99,'Undirviðmiðalisti (Lýsigögn)'!$C$6:$C$41,0))),IFERROR(IF(INDEX('Undirviðmiðalisti (Lýsigögn)'!M$42:M$58,MATCH($C99,'Undirviðmiðalisti (Lýsigögn)'!$C$42:$C$58,0))="","",INDEX('Undirviðmiðalisti (Lýsigögn)'!M$42:M$58,MATCH($C99,'Undirviðmiðalisti (Lýsigögn)'!$C$42:$C$58,0))),""))))</f>
        <v/>
      </c>
    </row>
    <row r="100" customFormat="false" ht="15" hidden="false" customHeight="true" outlineLevel="0" collapsed="false">
      <c r="A100" s="22" t="str">
        <f aca="false">IF($B100="","",ROW()-5)</f>
        <v/>
      </c>
      <c r="B100" s="15"/>
      <c r="C100" s="15"/>
      <c r="D100" s="16" t="str">
        <f aca="false">IF($C100="","",IF($G100="Einstaklingsbundið",IFERROR(IF(INDEX('Undirviðmiðalisti (Lýsigögn)'!$D$42:$D$58,MATCH($C100,'Undirviðmiðalisti (Lýsigögn)'!$C$42:$C$58,0))="","",INDEX('Undirviðmiðalisti (Lýsigögn)'!$D$42:$D$58,MATCH($C100,'Undirviðmiðalisti (Lýsigögn)'!$C$42:$C$58,0))),""),IFERROR(IF(INDEX('Undirviðmiðalisti (Lýsigögn)'!$D$6:$D$41,MATCH($C100,'Undirviðmiðalisti (Lýsigögn)'!$C$6:$C$41,0))="","",INDEX('Undirviðmiðalisti (Lýsigögn)'!$D$6:$D$41,MATCH($C100,'Undirviðmiðalisti (Lýsigögn)'!$C$6:$C$41,0))),IFERROR(IF(INDEX('Undirviðmiðalisti (Lýsigögn)'!$D$42:$D$58,MATCH($C100,'Undirviðmiðalisti (Lýsigögn)'!$C$42:$C$58,0))="","",INDEX('Undirviðmiðalisti (Lýsigögn)'!$D$42:$D$58,MATCH($C100,'Undirviðmiðalisti (Lýsigögn)'!$C$42:$C$58,0))),""))))</f>
        <v/>
      </c>
      <c r="E100" s="14"/>
      <c r="F100" s="23" t="str">
        <f aca="false">IF($C100="","",IF($G100="Einstaklingsbundið",IFERROR(IF(INDEX('Undirviðmiðalisti (Lýsigögn)'!$E$42:$E$58,MATCH($C100,'Undirviðmiðalisti (Lýsigögn)'!$C$42:$C$58,0))="","",INDEX('Undirviðmiðalisti (Lýsigögn)'!$E$42:$E$58,MATCH($C100,'Undirviðmiðalisti (Lýsigögn)'!$C$42:$C$58,0))),""),IFERROR(IF(INDEX('Undirviðmiðalisti (Lýsigögn)'!$E$6:$E$41,MATCH($C100,'Undirviðmiðalisti (Lýsigögn)'!$C$6:$C$41,0))="","",INDEX('Undirviðmiðalisti (Lýsigögn)'!$E$6:$E$41,MATCH($C100,'Undirviðmiðalisti (Lýsigögn)'!$C$6:$C$41,0))),IFERROR(IF(INDEX('Undirviðmiðalisti (Lýsigögn)'!$E$42:$E$58,MATCH($C100,'Undirviðmiðalisti (Lýsigögn)'!$C$42:$C$58,0))="","",INDEX('Undirviðmiðalisti (Lýsigögn)'!$E$42:$E$58,MATCH($C100,'Undirviðmiðalisti (Lýsigögn)'!$C$42:$C$58,0))),""))))</f>
        <v/>
      </c>
      <c r="G100" s="24" t="str">
        <f aca="false">IFERROR(IF(B100="","",INDEX(Viðmið!$B$6:$B$10,MATCH(B100,Viðmið!$C$6:$C$10,0))),"")</f>
        <v/>
      </c>
      <c r="H100" s="25" t="str">
        <f aca="false">IF(OR(E100="",F100=""),"",E100*KVARDI)</f>
        <v/>
      </c>
      <c r="I100" s="26" t="str">
        <f aca="false">IF(B100="","",IF(ROUND(SUMIF($B$6:$B$205,B100,$E$6:$E$205),4)=ROUND(IFERROR(INDEX(Viðmið!$E$6:$E$10,MATCH(B100,Viðmið!$C$6:$C$10,0)),-1),4),"✓","✗"))</f>
        <v/>
      </c>
      <c r="J100" s="16" t="str">
        <f aca="false">IF($C100="","",IF($G100="Einstaklingsbundið",IFERROR(IF(INDEX('Undirviðmiðalisti (Lýsigögn)'!F$42:F$58,MATCH($C100,'Undirviðmiðalisti (Lýsigögn)'!$C$42:$C$58,0))="","",INDEX('Undirviðmiðalisti (Lýsigögn)'!F$42:F$58,MATCH($C100,'Undirviðmiðalisti (Lýsigögn)'!$C$42:$C$58,0))),""),IFERROR(IF(INDEX('Undirviðmiðalisti (Lýsigögn)'!F$6:F$41,MATCH($C100,'Undirviðmiðalisti (Lýsigögn)'!$C$6:$C$41,0))="","",INDEX('Undirviðmiðalisti (Lýsigögn)'!F$6:F$41,MATCH($C100,'Undirviðmiðalisti (Lýsigögn)'!$C$6:$C$41,0))),IFERROR(IF(INDEX('Undirviðmiðalisti (Lýsigögn)'!F$42:F$58,MATCH($C100,'Undirviðmiðalisti (Lýsigögn)'!$C$42:$C$58,0))="","",INDEX('Undirviðmiðalisti (Lýsigögn)'!F$42:F$58,MATCH($C100,'Undirviðmiðalisti (Lýsigögn)'!$C$42:$C$58,0))),""))))</f>
        <v/>
      </c>
      <c r="K100" s="16" t="str">
        <f aca="false">IF($C100="","",IF($G100="Einstaklingsbundið",IFERROR(IF(INDEX('Undirviðmiðalisti (Lýsigögn)'!G$42:G$58,MATCH($C100,'Undirviðmiðalisti (Lýsigögn)'!$C$42:$C$58,0))="","",INDEX('Undirviðmiðalisti (Lýsigögn)'!G$42:G$58,MATCH($C100,'Undirviðmiðalisti (Lýsigögn)'!$C$42:$C$58,0))),""),IFERROR(IF(INDEX('Undirviðmiðalisti (Lýsigögn)'!G$6:G$41,MATCH($C100,'Undirviðmiðalisti (Lýsigögn)'!$C$6:$C$41,0))="","",INDEX('Undirviðmiðalisti (Lýsigögn)'!G$6:G$41,MATCH($C100,'Undirviðmiðalisti (Lýsigögn)'!$C$6:$C$41,0))),IFERROR(IF(INDEX('Undirviðmiðalisti (Lýsigögn)'!G$42:G$58,MATCH($C100,'Undirviðmiðalisti (Lýsigögn)'!$C$42:$C$58,0))="","",INDEX('Undirviðmiðalisti (Lýsigögn)'!G$42:G$58,MATCH($C100,'Undirviðmiðalisti (Lýsigögn)'!$C$42:$C$58,0))),""))))</f>
        <v/>
      </c>
      <c r="L100" s="16" t="str">
        <f aca="false">IF($C100="","",IF($G100="Einstaklingsbundið",IFERROR(IF(INDEX('Undirviðmiðalisti (Lýsigögn)'!H$42:H$58,MATCH($C100,'Undirviðmiðalisti (Lýsigögn)'!$C$42:$C$58,0))="","",INDEX('Undirviðmiðalisti (Lýsigögn)'!H$42:H$58,MATCH($C100,'Undirviðmiðalisti (Lýsigögn)'!$C$42:$C$58,0))),""),IFERROR(IF(INDEX('Undirviðmiðalisti (Lýsigögn)'!H$6:H$41,MATCH($C100,'Undirviðmiðalisti (Lýsigögn)'!$C$6:$C$41,0))="","",INDEX('Undirviðmiðalisti (Lýsigögn)'!H$6:H$41,MATCH($C100,'Undirviðmiðalisti (Lýsigögn)'!$C$6:$C$41,0))),IFERROR(IF(INDEX('Undirviðmiðalisti (Lýsigögn)'!H$42:H$58,MATCH($C100,'Undirviðmiðalisti (Lýsigögn)'!$C$42:$C$58,0))="","",INDEX('Undirviðmiðalisti (Lýsigögn)'!H$42:H$58,MATCH($C100,'Undirviðmiðalisti (Lýsigögn)'!$C$42:$C$58,0))),""))))</f>
        <v/>
      </c>
      <c r="M100" s="16" t="str">
        <f aca="false">IF($C100="","",IF($G100="Einstaklingsbundið",IFERROR(IF(INDEX('Undirviðmiðalisti (Lýsigögn)'!I$42:I$58,MATCH($C100,'Undirviðmiðalisti (Lýsigögn)'!$C$42:$C$58,0))="","",INDEX('Undirviðmiðalisti (Lýsigögn)'!I$42:I$58,MATCH($C100,'Undirviðmiðalisti (Lýsigögn)'!$C$42:$C$58,0))),""),IFERROR(IF(INDEX('Undirviðmiðalisti (Lýsigögn)'!I$6:I$41,MATCH($C100,'Undirviðmiðalisti (Lýsigögn)'!$C$6:$C$41,0))="","",INDEX('Undirviðmiðalisti (Lýsigögn)'!I$6:I$41,MATCH($C100,'Undirviðmiðalisti (Lýsigögn)'!$C$6:$C$41,0))),IFERROR(IF(INDEX('Undirviðmiðalisti (Lýsigögn)'!I$42:I$58,MATCH($C100,'Undirviðmiðalisti (Lýsigögn)'!$C$42:$C$58,0))="","",INDEX('Undirviðmiðalisti (Lýsigögn)'!I$42:I$58,MATCH($C100,'Undirviðmiðalisti (Lýsigögn)'!$C$42:$C$58,0))),""))))</f>
        <v/>
      </c>
      <c r="N100" s="16" t="str">
        <f aca="false">IF($C100="","",IF($G100="Einstaklingsbundið",IFERROR(IF(INDEX('Undirviðmiðalisti (Lýsigögn)'!J$42:J$58,MATCH($C100,'Undirviðmiðalisti (Lýsigögn)'!$C$42:$C$58,0))="","",INDEX('Undirviðmiðalisti (Lýsigögn)'!J$42:J$58,MATCH($C100,'Undirviðmiðalisti (Lýsigögn)'!$C$42:$C$58,0))),""),IFERROR(IF(INDEX('Undirviðmiðalisti (Lýsigögn)'!J$6:J$41,MATCH($C100,'Undirviðmiðalisti (Lýsigögn)'!$C$6:$C$41,0))="","",INDEX('Undirviðmiðalisti (Lýsigögn)'!J$6:J$41,MATCH($C100,'Undirviðmiðalisti (Lýsigögn)'!$C$6:$C$41,0))),IFERROR(IF(INDEX('Undirviðmiðalisti (Lýsigögn)'!J$42:J$58,MATCH($C100,'Undirviðmiðalisti (Lýsigögn)'!$C$42:$C$58,0))="","",INDEX('Undirviðmiðalisti (Lýsigögn)'!J$42:J$58,MATCH($C100,'Undirviðmiðalisti (Lýsigögn)'!$C$42:$C$58,0))),""))))</f>
        <v/>
      </c>
      <c r="O100" s="16" t="str">
        <f aca="false">IF($C100="","",IF($G100="Einstaklingsbundið",IFERROR(IF(INDEX('Undirviðmiðalisti (Lýsigögn)'!K$42:K$58,MATCH($C100,'Undirviðmiðalisti (Lýsigögn)'!$C$42:$C$58,0))="","",INDEX('Undirviðmiðalisti (Lýsigögn)'!K$42:K$58,MATCH($C100,'Undirviðmiðalisti (Lýsigögn)'!$C$42:$C$58,0))),""),IFERROR(IF(INDEX('Undirviðmiðalisti (Lýsigögn)'!K$6:K$41,MATCH($C100,'Undirviðmiðalisti (Lýsigögn)'!$C$6:$C$41,0))="","",INDEX('Undirviðmiðalisti (Lýsigögn)'!K$6:K$41,MATCH($C100,'Undirviðmiðalisti (Lýsigögn)'!$C$6:$C$41,0))),IFERROR(IF(INDEX('Undirviðmiðalisti (Lýsigögn)'!K$42:K$58,MATCH($C100,'Undirviðmiðalisti (Lýsigögn)'!$C$42:$C$58,0))="","",INDEX('Undirviðmiðalisti (Lýsigögn)'!K$42:K$58,MATCH($C100,'Undirviðmiðalisti (Lýsigögn)'!$C$42:$C$58,0))),""))))</f>
        <v/>
      </c>
      <c r="P100" s="16" t="str">
        <f aca="false">IF($C100="","",IF($G100="Einstaklingsbundið",IFERROR(IF(INDEX('Undirviðmiðalisti (Lýsigögn)'!L$42:L$58,MATCH($C100,'Undirviðmiðalisti (Lýsigögn)'!$C$42:$C$58,0))="","",INDEX('Undirviðmiðalisti (Lýsigögn)'!L$42:L$58,MATCH($C100,'Undirviðmiðalisti (Lýsigögn)'!$C$42:$C$58,0))),""),IFERROR(IF(INDEX('Undirviðmiðalisti (Lýsigögn)'!L$6:L$41,MATCH($C100,'Undirviðmiðalisti (Lýsigögn)'!$C$6:$C$41,0))="","",INDEX('Undirviðmiðalisti (Lýsigögn)'!L$6:L$41,MATCH($C100,'Undirviðmiðalisti (Lýsigögn)'!$C$6:$C$41,0))),IFERROR(IF(INDEX('Undirviðmiðalisti (Lýsigögn)'!L$42:L$58,MATCH($C100,'Undirviðmiðalisti (Lýsigögn)'!$C$42:$C$58,0))="","",INDEX('Undirviðmiðalisti (Lýsigögn)'!L$42:L$58,MATCH($C100,'Undirviðmiðalisti (Lýsigögn)'!$C$42:$C$58,0))),""))))</f>
        <v/>
      </c>
      <c r="Q100" s="16" t="str">
        <f aca="false">IF($C100="","",IF($G100="Einstaklingsbundið",IFERROR(IF(INDEX('Undirviðmiðalisti (Lýsigögn)'!M$42:M$58,MATCH($C100,'Undirviðmiðalisti (Lýsigögn)'!$C$42:$C$58,0))="","",INDEX('Undirviðmiðalisti (Lýsigögn)'!M$42:M$58,MATCH($C100,'Undirviðmiðalisti (Lýsigögn)'!$C$42:$C$58,0))),""),IFERROR(IF(INDEX('Undirviðmiðalisti (Lýsigögn)'!M$6:M$41,MATCH($C100,'Undirviðmiðalisti (Lýsigögn)'!$C$6:$C$41,0))="","",INDEX('Undirviðmiðalisti (Lýsigögn)'!M$6:M$41,MATCH($C100,'Undirviðmiðalisti (Lýsigögn)'!$C$6:$C$41,0))),IFERROR(IF(INDEX('Undirviðmiðalisti (Lýsigögn)'!M$42:M$58,MATCH($C100,'Undirviðmiðalisti (Lýsigögn)'!$C$42:$C$58,0))="","",INDEX('Undirviðmiðalisti (Lýsigögn)'!M$42:M$58,MATCH($C100,'Undirviðmiðalisti (Lýsigögn)'!$C$42:$C$58,0))),""))))</f>
        <v/>
      </c>
    </row>
    <row r="101" customFormat="false" ht="15" hidden="false" customHeight="true" outlineLevel="0" collapsed="false">
      <c r="A101" s="22" t="str">
        <f aca="false">IF($B101="","",ROW()-5)</f>
        <v/>
      </c>
      <c r="B101" s="15"/>
      <c r="C101" s="15"/>
      <c r="D101" s="16" t="str">
        <f aca="false">IF($C101="","",IF($G101="Einstaklingsbundið",IFERROR(IF(INDEX('Undirviðmiðalisti (Lýsigögn)'!$D$42:$D$58,MATCH($C101,'Undirviðmiðalisti (Lýsigögn)'!$C$42:$C$58,0))="","",INDEX('Undirviðmiðalisti (Lýsigögn)'!$D$42:$D$58,MATCH($C101,'Undirviðmiðalisti (Lýsigögn)'!$C$42:$C$58,0))),""),IFERROR(IF(INDEX('Undirviðmiðalisti (Lýsigögn)'!$D$6:$D$41,MATCH($C101,'Undirviðmiðalisti (Lýsigögn)'!$C$6:$C$41,0))="","",INDEX('Undirviðmiðalisti (Lýsigögn)'!$D$6:$D$41,MATCH($C101,'Undirviðmiðalisti (Lýsigögn)'!$C$6:$C$41,0))),IFERROR(IF(INDEX('Undirviðmiðalisti (Lýsigögn)'!$D$42:$D$58,MATCH($C101,'Undirviðmiðalisti (Lýsigögn)'!$C$42:$C$58,0))="","",INDEX('Undirviðmiðalisti (Lýsigögn)'!$D$42:$D$58,MATCH($C101,'Undirviðmiðalisti (Lýsigögn)'!$C$42:$C$58,0))),""))))</f>
        <v/>
      </c>
      <c r="E101" s="14"/>
      <c r="F101" s="23" t="str">
        <f aca="false">IF($C101="","",IF($G101="Einstaklingsbundið",IFERROR(IF(INDEX('Undirviðmiðalisti (Lýsigögn)'!$E$42:$E$58,MATCH($C101,'Undirviðmiðalisti (Lýsigögn)'!$C$42:$C$58,0))="","",INDEX('Undirviðmiðalisti (Lýsigögn)'!$E$42:$E$58,MATCH($C101,'Undirviðmiðalisti (Lýsigögn)'!$C$42:$C$58,0))),""),IFERROR(IF(INDEX('Undirviðmiðalisti (Lýsigögn)'!$E$6:$E$41,MATCH($C101,'Undirviðmiðalisti (Lýsigögn)'!$C$6:$C$41,0))="","",INDEX('Undirviðmiðalisti (Lýsigögn)'!$E$6:$E$41,MATCH($C101,'Undirviðmiðalisti (Lýsigögn)'!$C$6:$C$41,0))),IFERROR(IF(INDEX('Undirviðmiðalisti (Lýsigögn)'!$E$42:$E$58,MATCH($C101,'Undirviðmiðalisti (Lýsigögn)'!$C$42:$C$58,0))="","",INDEX('Undirviðmiðalisti (Lýsigögn)'!$E$42:$E$58,MATCH($C101,'Undirviðmiðalisti (Lýsigögn)'!$C$42:$C$58,0))),""))))</f>
        <v/>
      </c>
      <c r="G101" s="24" t="str">
        <f aca="false">IFERROR(IF(B101="","",INDEX(Viðmið!$B$6:$B$10,MATCH(B101,Viðmið!$C$6:$C$10,0))),"")</f>
        <v/>
      </c>
      <c r="H101" s="25" t="str">
        <f aca="false">IF(OR(E101="",F101=""),"",E101*KVARDI)</f>
        <v/>
      </c>
      <c r="I101" s="26" t="str">
        <f aca="false">IF(B101="","",IF(ROUND(SUMIF($B$6:$B$205,B101,$E$6:$E$205),4)=ROUND(IFERROR(INDEX(Viðmið!$E$6:$E$10,MATCH(B101,Viðmið!$C$6:$C$10,0)),-1),4),"✓","✗"))</f>
        <v/>
      </c>
      <c r="J101" s="16" t="str">
        <f aca="false">IF($C101="","",IF($G101="Einstaklingsbundið",IFERROR(IF(INDEX('Undirviðmiðalisti (Lýsigögn)'!F$42:F$58,MATCH($C101,'Undirviðmiðalisti (Lýsigögn)'!$C$42:$C$58,0))="","",INDEX('Undirviðmiðalisti (Lýsigögn)'!F$42:F$58,MATCH($C101,'Undirviðmiðalisti (Lýsigögn)'!$C$42:$C$58,0))),""),IFERROR(IF(INDEX('Undirviðmiðalisti (Lýsigögn)'!F$6:F$41,MATCH($C101,'Undirviðmiðalisti (Lýsigögn)'!$C$6:$C$41,0))="","",INDEX('Undirviðmiðalisti (Lýsigögn)'!F$6:F$41,MATCH($C101,'Undirviðmiðalisti (Lýsigögn)'!$C$6:$C$41,0))),IFERROR(IF(INDEX('Undirviðmiðalisti (Lýsigögn)'!F$42:F$58,MATCH($C101,'Undirviðmiðalisti (Lýsigögn)'!$C$42:$C$58,0))="","",INDEX('Undirviðmiðalisti (Lýsigögn)'!F$42:F$58,MATCH($C101,'Undirviðmiðalisti (Lýsigögn)'!$C$42:$C$58,0))),""))))</f>
        <v/>
      </c>
      <c r="K101" s="16" t="str">
        <f aca="false">IF($C101="","",IF($G101="Einstaklingsbundið",IFERROR(IF(INDEX('Undirviðmiðalisti (Lýsigögn)'!G$42:G$58,MATCH($C101,'Undirviðmiðalisti (Lýsigögn)'!$C$42:$C$58,0))="","",INDEX('Undirviðmiðalisti (Lýsigögn)'!G$42:G$58,MATCH($C101,'Undirviðmiðalisti (Lýsigögn)'!$C$42:$C$58,0))),""),IFERROR(IF(INDEX('Undirviðmiðalisti (Lýsigögn)'!G$6:G$41,MATCH($C101,'Undirviðmiðalisti (Lýsigögn)'!$C$6:$C$41,0))="","",INDEX('Undirviðmiðalisti (Lýsigögn)'!G$6:G$41,MATCH($C101,'Undirviðmiðalisti (Lýsigögn)'!$C$6:$C$41,0))),IFERROR(IF(INDEX('Undirviðmiðalisti (Lýsigögn)'!G$42:G$58,MATCH($C101,'Undirviðmiðalisti (Lýsigögn)'!$C$42:$C$58,0))="","",INDEX('Undirviðmiðalisti (Lýsigögn)'!G$42:G$58,MATCH($C101,'Undirviðmiðalisti (Lýsigögn)'!$C$42:$C$58,0))),""))))</f>
        <v/>
      </c>
      <c r="L101" s="16" t="str">
        <f aca="false">IF($C101="","",IF($G101="Einstaklingsbundið",IFERROR(IF(INDEX('Undirviðmiðalisti (Lýsigögn)'!H$42:H$58,MATCH($C101,'Undirviðmiðalisti (Lýsigögn)'!$C$42:$C$58,0))="","",INDEX('Undirviðmiðalisti (Lýsigögn)'!H$42:H$58,MATCH($C101,'Undirviðmiðalisti (Lýsigögn)'!$C$42:$C$58,0))),""),IFERROR(IF(INDEX('Undirviðmiðalisti (Lýsigögn)'!H$6:H$41,MATCH($C101,'Undirviðmiðalisti (Lýsigögn)'!$C$6:$C$41,0))="","",INDEX('Undirviðmiðalisti (Lýsigögn)'!H$6:H$41,MATCH($C101,'Undirviðmiðalisti (Lýsigögn)'!$C$6:$C$41,0))),IFERROR(IF(INDEX('Undirviðmiðalisti (Lýsigögn)'!H$42:H$58,MATCH($C101,'Undirviðmiðalisti (Lýsigögn)'!$C$42:$C$58,0))="","",INDEX('Undirviðmiðalisti (Lýsigögn)'!H$42:H$58,MATCH($C101,'Undirviðmiðalisti (Lýsigögn)'!$C$42:$C$58,0))),""))))</f>
        <v/>
      </c>
      <c r="M101" s="16" t="str">
        <f aca="false">IF($C101="","",IF($G101="Einstaklingsbundið",IFERROR(IF(INDEX('Undirviðmiðalisti (Lýsigögn)'!I$42:I$58,MATCH($C101,'Undirviðmiðalisti (Lýsigögn)'!$C$42:$C$58,0))="","",INDEX('Undirviðmiðalisti (Lýsigögn)'!I$42:I$58,MATCH($C101,'Undirviðmiðalisti (Lýsigögn)'!$C$42:$C$58,0))),""),IFERROR(IF(INDEX('Undirviðmiðalisti (Lýsigögn)'!I$6:I$41,MATCH($C101,'Undirviðmiðalisti (Lýsigögn)'!$C$6:$C$41,0))="","",INDEX('Undirviðmiðalisti (Lýsigögn)'!I$6:I$41,MATCH($C101,'Undirviðmiðalisti (Lýsigögn)'!$C$6:$C$41,0))),IFERROR(IF(INDEX('Undirviðmiðalisti (Lýsigögn)'!I$42:I$58,MATCH($C101,'Undirviðmiðalisti (Lýsigögn)'!$C$42:$C$58,0))="","",INDEX('Undirviðmiðalisti (Lýsigögn)'!I$42:I$58,MATCH($C101,'Undirviðmiðalisti (Lýsigögn)'!$C$42:$C$58,0))),""))))</f>
        <v/>
      </c>
      <c r="N101" s="16" t="str">
        <f aca="false">IF($C101="","",IF($G101="Einstaklingsbundið",IFERROR(IF(INDEX('Undirviðmiðalisti (Lýsigögn)'!J$42:J$58,MATCH($C101,'Undirviðmiðalisti (Lýsigögn)'!$C$42:$C$58,0))="","",INDEX('Undirviðmiðalisti (Lýsigögn)'!J$42:J$58,MATCH($C101,'Undirviðmiðalisti (Lýsigögn)'!$C$42:$C$58,0))),""),IFERROR(IF(INDEX('Undirviðmiðalisti (Lýsigögn)'!J$6:J$41,MATCH($C101,'Undirviðmiðalisti (Lýsigögn)'!$C$6:$C$41,0))="","",INDEX('Undirviðmiðalisti (Lýsigögn)'!J$6:J$41,MATCH($C101,'Undirviðmiðalisti (Lýsigögn)'!$C$6:$C$41,0))),IFERROR(IF(INDEX('Undirviðmiðalisti (Lýsigögn)'!J$42:J$58,MATCH($C101,'Undirviðmiðalisti (Lýsigögn)'!$C$42:$C$58,0))="","",INDEX('Undirviðmiðalisti (Lýsigögn)'!J$42:J$58,MATCH($C101,'Undirviðmiðalisti (Lýsigögn)'!$C$42:$C$58,0))),""))))</f>
        <v/>
      </c>
      <c r="O101" s="16" t="str">
        <f aca="false">IF($C101="","",IF($G101="Einstaklingsbundið",IFERROR(IF(INDEX('Undirviðmiðalisti (Lýsigögn)'!K$42:K$58,MATCH($C101,'Undirviðmiðalisti (Lýsigögn)'!$C$42:$C$58,0))="","",INDEX('Undirviðmiðalisti (Lýsigögn)'!K$42:K$58,MATCH($C101,'Undirviðmiðalisti (Lýsigögn)'!$C$42:$C$58,0))),""),IFERROR(IF(INDEX('Undirviðmiðalisti (Lýsigögn)'!K$6:K$41,MATCH($C101,'Undirviðmiðalisti (Lýsigögn)'!$C$6:$C$41,0))="","",INDEX('Undirviðmiðalisti (Lýsigögn)'!K$6:K$41,MATCH($C101,'Undirviðmiðalisti (Lýsigögn)'!$C$6:$C$41,0))),IFERROR(IF(INDEX('Undirviðmiðalisti (Lýsigögn)'!K$42:K$58,MATCH($C101,'Undirviðmiðalisti (Lýsigögn)'!$C$42:$C$58,0))="","",INDEX('Undirviðmiðalisti (Lýsigögn)'!K$42:K$58,MATCH($C101,'Undirviðmiðalisti (Lýsigögn)'!$C$42:$C$58,0))),""))))</f>
        <v/>
      </c>
      <c r="P101" s="16" t="str">
        <f aca="false">IF($C101="","",IF($G101="Einstaklingsbundið",IFERROR(IF(INDEX('Undirviðmiðalisti (Lýsigögn)'!L$42:L$58,MATCH($C101,'Undirviðmiðalisti (Lýsigögn)'!$C$42:$C$58,0))="","",INDEX('Undirviðmiðalisti (Lýsigögn)'!L$42:L$58,MATCH($C101,'Undirviðmiðalisti (Lýsigögn)'!$C$42:$C$58,0))),""),IFERROR(IF(INDEX('Undirviðmiðalisti (Lýsigögn)'!L$6:L$41,MATCH($C101,'Undirviðmiðalisti (Lýsigögn)'!$C$6:$C$41,0))="","",INDEX('Undirviðmiðalisti (Lýsigögn)'!L$6:L$41,MATCH($C101,'Undirviðmiðalisti (Lýsigögn)'!$C$6:$C$41,0))),IFERROR(IF(INDEX('Undirviðmiðalisti (Lýsigögn)'!L$42:L$58,MATCH($C101,'Undirviðmiðalisti (Lýsigögn)'!$C$42:$C$58,0))="","",INDEX('Undirviðmiðalisti (Lýsigögn)'!L$42:L$58,MATCH($C101,'Undirviðmiðalisti (Lýsigögn)'!$C$42:$C$58,0))),""))))</f>
        <v/>
      </c>
      <c r="Q101" s="16" t="str">
        <f aca="false">IF($C101="","",IF($G101="Einstaklingsbundið",IFERROR(IF(INDEX('Undirviðmiðalisti (Lýsigögn)'!M$42:M$58,MATCH($C101,'Undirviðmiðalisti (Lýsigögn)'!$C$42:$C$58,0))="","",INDEX('Undirviðmiðalisti (Lýsigögn)'!M$42:M$58,MATCH($C101,'Undirviðmiðalisti (Lýsigögn)'!$C$42:$C$58,0))),""),IFERROR(IF(INDEX('Undirviðmiðalisti (Lýsigögn)'!M$6:M$41,MATCH($C101,'Undirviðmiðalisti (Lýsigögn)'!$C$6:$C$41,0))="","",INDEX('Undirviðmiðalisti (Lýsigögn)'!M$6:M$41,MATCH($C101,'Undirviðmiðalisti (Lýsigögn)'!$C$6:$C$41,0))),IFERROR(IF(INDEX('Undirviðmiðalisti (Lýsigögn)'!M$42:M$58,MATCH($C101,'Undirviðmiðalisti (Lýsigögn)'!$C$42:$C$58,0))="","",INDEX('Undirviðmiðalisti (Lýsigögn)'!M$42:M$58,MATCH($C101,'Undirviðmiðalisti (Lýsigögn)'!$C$42:$C$58,0))),""))))</f>
        <v/>
      </c>
    </row>
    <row r="102" customFormat="false" ht="15" hidden="false" customHeight="true" outlineLevel="0" collapsed="false">
      <c r="A102" s="22" t="str">
        <f aca="false">IF($B102="","",ROW()-5)</f>
        <v/>
      </c>
      <c r="B102" s="15"/>
      <c r="C102" s="15"/>
      <c r="D102" s="16" t="str">
        <f aca="false">IF($C102="","",IF($G102="Einstaklingsbundið",IFERROR(IF(INDEX('Undirviðmiðalisti (Lýsigögn)'!$D$42:$D$58,MATCH($C102,'Undirviðmiðalisti (Lýsigögn)'!$C$42:$C$58,0))="","",INDEX('Undirviðmiðalisti (Lýsigögn)'!$D$42:$D$58,MATCH($C102,'Undirviðmiðalisti (Lýsigögn)'!$C$42:$C$58,0))),""),IFERROR(IF(INDEX('Undirviðmiðalisti (Lýsigögn)'!$D$6:$D$41,MATCH($C102,'Undirviðmiðalisti (Lýsigögn)'!$C$6:$C$41,0))="","",INDEX('Undirviðmiðalisti (Lýsigögn)'!$D$6:$D$41,MATCH($C102,'Undirviðmiðalisti (Lýsigögn)'!$C$6:$C$41,0))),IFERROR(IF(INDEX('Undirviðmiðalisti (Lýsigögn)'!$D$42:$D$58,MATCH($C102,'Undirviðmiðalisti (Lýsigögn)'!$C$42:$C$58,0))="","",INDEX('Undirviðmiðalisti (Lýsigögn)'!$D$42:$D$58,MATCH($C102,'Undirviðmiðalisti (Lýsigögn)'!$C$42:$C$58,0))),""))))</f>
        <v/>
      </c>
      <c r="E102" s="14"/>
      <c r="F102" s="23" t="str">
        <f aca="false">IF($C102="","",IF($G102="Einstaklingsbundið",IFERROR(IF(INDEX('Undirviðmiðalisti (Lýsigögn)'!$E$42:$E$58,MATCH($C102,'Undirviðmiðalisti (Lýsigögn)'!$C$42:$C$58,0))="","",INDEX('Undirviðmiðalisti (Lýsigögn)'!$E$42:$E$58,MATCH($C102,'Undirviðmiðalisti (Lýsigögn)'!$C$42:$C$58,0))),""),IFERROR(IF(INDEX('Undirviðmiðalisti (Lýsigögn)'!$E$6:$E$41,MATCH($C102,'Undirviðmiðalisti (Lýsigögn)'!$C$6:$C$41,0))="","",INDEX('Undirviðmiðalisti (Lýsigögn)'!$E$6:$E$41,MATCH($C102,'Undirviðmiðalisti (Lýsigögn)'!$C$6:$C$41,0))),IFERROR(IF(INDEX('Undirviðmiðalisti (Lýsigögn)'!$E$42:$E$58,MATCH($C102,'Undirviðmiðalisti (Lýsigögn)'!$C$42:$C$58,0))="","",INDEX('Undirviðmiðalisti (Lýsigögn)'!$E$42:$E$58,MATCH($C102,'Undirviðmiðalisti (Lýsigögn)'!$C$42:$C$58,0))),""))))</f>
        <v/>
      </c>
      <c r="G102" s="24" t="str">
        <f aca="false">IFERROR(IF(B102="","",INDEX(Viðmið!$B$6:$B$10,MATCH(B102,Viðmið!$C$6:$C$10,0))),"")</f>
        <v/>
      </c>
      <c r="H102" s="25" t="str">
        <f aca="false">IF(OR(E102="",F102=""),"",E102*KVARDI)</f>
        <v/>
      </c>
      <c r="I102" s="26" t="str">
        <f aca="false">IF(B102="","",IF(ROUND(SUMIF($B$6:$B$205,B102,$E$6:$E$205),4)=ROUND(IFERROR(INDEX(Viðmið!$E$6:$E$10,MATCH(B102,Viðmið!$C$6:$C$10,0)),-1),4),"✓","✗"))</f>
        <v/>
      </c>
      <c r="J102" s="16" t="str">
        <f aca="false">IF($C102="","",IF($G102="Einstaklingsbundið",IFERROR(IF(INDEX('Undirviðmiðalisti (Lýsigögn)'!F$42:F$58,MATCH($C102,'Undirviðmiðalisti (Lýsigögn)'!$C$42:$C$58,0))="","",INDEX('Undirviðmiðalisti (Lýsigögn)'!F$42:F$58,MATCH($C102,'Undirviðmiðalisti (Lýsigögn)'!$C$42:$C$58,0))),""),IFERROR(IF(INDEX('Undirviðmiðalisti (Lýsigögn)'!F$6:F$41,MATCH($C102,'Undirviðmiðalisti (Lýsigögn)'!$C$6:$C$41,0))="","",INDEX('Undirviðmiðalisti (Lýsigögn)'!F$6:F$41,MATCH($C102,'Undirviðmiðalisti (Lýsigögn)'!$C$6:$C$41,0))),IFERROR(IF(INDEX('Undirviðmiðalisti (Lýsigögn)'!F$42:F$58,MATCH($C102,'Undirviðmiðalisti (Lýsigögn)'!$C$42:$C$58,0))="","",INDEX('Undirviðmiðalisti (Lýsigögn)'!F$42:F$58,MATCH($C102,'Undirviðmiðalisti (Lýsigögn)'!$C$42:$C$58,0))),""))))</f>
        <v/>
      </c>
      <c r="K102" s="16" t="str">
        <f aca="false">IF($C102="","",IF($G102="Einstaklingsbundið",IFERROR(IF(INDEX('Undirviðmiðalisti (Lýsigögn)'!G$42:G$58,MATCH($C102,'Undirviðmiðalisti (Lýsigögn)'!$C$42:$C$58,0))="","",INDEX('Undirviðmiðalisti (Lýsigögn)'!G$42:G$58,MATCH($C102,'Undirviðmiðalisti (Lýsigögn)'!$C$42:$C$58,0))),""),IFERROR(IF(INDEX('Undirviðmiðalisti (Lýsigögn)'!G$6:G$41,MATCH($C102,'Undirviðmiðalisti (Lýsigögn)'!$C$6:$C$41,0))="","",INDEX('Undirviðmiðalisti (Lýsigögn)'!G$6:G$41,MATCH($C102,'Undirviðmiðalisti (Lýsigögn)'!$C$6:$C$41,0))),IFERROR(IF(INDEX('Undirviðmiðalisti (Lýsigögn)'!G$42:G$58,MATCH($C102,'Undirviðmiðalisti (Lýsigögn)'!$C$42:$C$58,0))="","",INDEX('Undirviðmiðalisti (Lýsigögn)'!G$42:G$58,MATCH($C102,'Undirviðmiðalisti (Lýsigögn)'!$C$42:$C$58,0))),""))))</f>
        <v/>
      </c>
      <c r="L102" s="16" t="str">
        <f aca="false">IF($C102="","",IF($G102="Einstaklingsbundið",IFERROR(IF(INDEX('Undirviðmiðalisti (Lýsigögn)'!H$42:H$58,MATCH($C102,'Undirviðmiðalisti (Lýsigögn)'!$C$42:$C$58,0))="","",INDEX('Undirviðmiðalisti (Lýsigögn)'!H$42:H$58,MATCH($C102,'Undirviðmiðalisti (Lýsigögn)'!$C$42:$C$58,0))),""),IFERROR(IF(INDEX('Undirviðmiðalisti (Lýsigögn)'!H$6:H$41,MATCH($C102,'Undirviðmiðalisti (Lýsigögn)'!$C$6:$C$41,0))="","",INDEX('Undirviðmiðalisti (Lýsigögn)'!H$6:H$41,MATCH($C102,'Undirviðmiðalisti (Lýsigögn)'!$C$6:$C$41,0))),IFERROR(IF(INDEX('Undirviðmiðalisti (Lýsigögn)'!H$42:H$58,MATCH($C102,'Undirviðmiðalisti (Lýsigögn)'!$C$42:$C$58,0))="","",INDEX('Undirviðmiðalisti (Lýsigögn)'!H$42:H$58,MATCH($C102,'Undirviðmiðalisti (Lýsigögn)'!$C$42:$C$58,0))),""))))</f>
        <v/>
      </c>
      <c r="M102" s="16" t="str">
        <f aca="false">IF($C102="","",IF($G102="Einstaklingsbundið",IFERROR(IF(INDEX('Undirviðmiðalisti (Lýsigögn)'!I$42:I$58,MATCH($C102,'Undirviðmiðalisti (Lýsigögn)'!$C$42:$C$58,0))="","",INDEX('Undirviðmiðalisti (Lýsigögn)'!I$42:I$58,MATCH($C102,'Undirviðmiðalisti (Lýsigögn)'!$C$42:$C$58,0))),""),IFERROR(IF(INDEX('Undirviðmiðalisti (Lýsigögn)'!I$6:I$41,MATCH($C102,'Undirviðmiðalisti (Lýsigögn)'!$C$6:$C$41,0))="","",INDEX('Undirviðmiðalisti (Lýsigögn)'!I$6:I$41,MATCH($C102,'Undirviðmiðalisti (Lýsigögn)'!$C$6:$C$41,0))),IFERROR(IF(INDEX('Undirviðmiðalisti (Lýsigögn)'!I$42:I$58,MATCH($C102,'Undirviðmiðalisti (Lýsigögn)'!$C$42:$C$58,0))="","",INDEX('Undirviðmiðalisti (Lýsigögn)'!I$42:I$58,MATCH($C102,'Undirviðmiðalisti (Lýsigögn)'!$C$42:$C$58,0))),""))))</f>
        <v/>
      </c>
      <c r="N102" s="16" t="str">
        <f aca="false">IF($C102="","",IF($G102="Einstaklingsbundið",IFERROR(IF(INDEX('Undirviðmiðalisti (Lýsigögn)'!J$42:J$58,MATCH($C102,'Undirviðmiðalisti (Lýsigögn)'!$C$42:$C$58,0))="","",INDEX('Undirviðmiðalisti (Lýsigögn)'!J$42:J$58,MATCH($C102,'Undirviðmiðalisti (Lýsigögn)'!$C$42:$C$58,0))),""),IFERROR(IF(INDEX('Undirviðmiðalisti (Lýsigögn)'!J$6:J$41,MATCH($C102,'Undirviðmiðalisti (Lýsigögn)'!$C$6:$C$41,0))="","",INDEX('Undirviðmiðalisti (Lýsigögn)'!J$6:J$41,MATCH($C102,'Undirviðmiðalisti (Lýsigögn)'!$C$6:$C$41,0))),IFERROR(IF(INDEX('Undirviðmiðalisti (Lýsigögn)'!J$42:J$58,MATCH($C102,'Undirviðmiðalisti (Lýsigögn)'!$C$42:$C$58,0))="","",INDEX('Undirviðmiðalisti (Lýsigögn)'!J$42:J$58,MATCH($C102,'Undirviðmiðalisti (Lýsigögn)'!$C$42:$C$58,0))),""))))</f>
        <v/>
      </c>
      <c r="O102" s="16" t="str">
        <f aca="false">IF($C102="","",IF($G102="Einstaklingsbundið",IFERROR(IF(INDEX('Undirviðmiðalisti (Lýsigögn)'!K$42:K$58,MATCH($C102,'Undirviðmiðalisti (Lýsigögn)'!$C$42:$C$58,0))="","",INDEX('Undirviðmiðalisti (Lýsigögn)'!K$42:K$58,MATCH($C102,'Undirviðmiðalisti (Lýsigögn)'!$C$42:$C$58,0))),""),IFERROR(IF(INDEX('Undirviðmiðalisti (Lýsigögn)'!K$6:K$41,MATCH($C102,'Undirviðmiðalisti (Lýsigögn)'!$C$6:$C$41,0))="","",INDEX('Undirviðmiðalisti (Lýsigögn)'!K$6:K$41,MATCH($C102,'Undirviðmiðalisti (Lýsigögn)'!$C$6:$C$41,0))),IFERROR(IF(INDEX('Undirviðmiðalisti (Lýsigögn)'!K$42:K$58,MATCH($C102,'Undirviðmiðalisti (Lýsigögn)'!$C$42:$C$58,0))="","",INDEX('Undirviðmiðalisti (Lýsigögn)'!K$42:K$58,MATCH($C102,'Undirviðmiðalisti (Lýsigögn)'!$C$42:$C$58,0))),""))))</f>
        <v/>
      </c>
      <c r="P102" s="16" t="str">
        <f aca="false">IF($C102="","",IF($G102="Einstaklingsbundið",IFERROR(IF(INDEX('Undirviðmiðalisti (Lýsigögn)'!L$42:L$58,MATCH($C102,'Undirviðmiðalisti (Lýsigögn)'!$C$42:$C$58,0))="","",INDEX('Undirviðmiðalisti (Lýsigögn)'!L$42:L$58,MATCH($C102,'Undirviðmiðalisti (Lýsigögn)'!$C$42:$C$58,0))),""),IFERROR(IF(INDEX('Undirviðmiðalisti (Lýsigögn)'!L$6:L$41,MATCH($C102,'Undirviðmiðalisti (Lýsigögn)'!$C$6:$C$41,0))="","",INDEX('Undirviðmiðalisti (Lýsigögn)'!L$6:L$41,MATCH($C102,'Undirviðmiðalisti (Lýsigögn)'!$C$6:$C$41,0))),IFERROR(IF(INDEX('Undirviðmiðalisti (Lýsigögn)'!L$42:L$58,MATCH($C102,'Undirviðmiðalisti (Lýsigögn)'!$C$42:$C$58,0))="","",INDEX('Undirviðmiðalisti (Lýsigögn)'!L$42:L$58,MATCH($C102,'Undirviðmiðalisti (Lýsigögn)'!$C$42:$C$58,0))),""))))</f>
        <v/>
      </c>
      <c r="Q102" s="16" t="str">
        <f aca="false">IF($C102="","",IF($G102="Einstaklingsbundið",IFERROR(IF(INDEX('Undirviðmiðalisti (Lýsigögn)'!M$42:M$58,MATCH($C102,'Undirviðmiðalisti (Lýsigögn)'!$C$42:$C$58,0))="","",INDEX('Undirviðmiðalisti (Lýsigögn)'!M$42:M$58,MATCH($C102,'Undirviðmiðalisti (Lýsigögn)'!$C$42:$C$58,0))),""),IFERROR(IF(INDEX('Undirviðmiðalisti (Lýsigögn)'!M$6:M$41,MATCH($C102,'Undirviðmiðalisti (Lýsigögn)'!$C$6:$C$41,0))="","",INDEX('Undirviðmiðalisti (Lýsigögn)'!M$6:M$41,MATCH($C102,'Undirviðmiðalisti (Lýsigögn)'!$C$6:$C$41,0))),IFERROR(IF(INDEX('Undirviðmiðalisti (Lýsigögn)'!M$42:M$58,MATCH($C102,'Undirviðmiðalisti (Lýsigögn)'!$C$42:$C$58,0))="","",INDEX('Undirviðmiðalisti (Lýsigögn)'!M$42:M$58,MATCH($C102,'Undirviðmiðalisti (Lýsigögn)'!$C$42:$C$58,0))),""))))</f>
        <v/>
      </c>
    </row>
    <row r="103" customFormat="false" ht="15" hidden="false" customHeight="true" outlineLevel="0" collapsed="false">
      <c r="A103" s="22" t="str">
        <f aca="false">IF($B103="","",ROW()-5)</f>
        <v/>
      </c>
      <c r="B103" s="15"/>
      <c r="C103" s="15"/>
      <c r="D103" s="16" t="str">
        <f aca="false">IF($C103="","",IF($G103="Einstaklingsbundið",IFERROR(IF(INDEX('Undirviðmiðalisti (Lýsigögn)'!$D$42:$D$58,MATCH($C103,'Undirviðmiðalisti (Lýsigögn)'!$C$42:$C$58,0))="","",INDEX('Undirviðmiðalisti (Lýsigögn)'!$D$42:$D$58,MATCH($C103,'Undirviðmiðalisti (Lýsigögn)'!$C$42:$C$58,0))),""),IFERROR(IF(INDEX('Undirviðmiðalisti (Lýsigögn)'!$D$6:$D$41,MATCH($C103,'Undirviðmiðalisti (Lýsigögn)'!$C$6:$C$41,0))="","",INDEX('Undirviðmiðalisti (Lýsigögn)'!$D$6:$D$41,MATCH($C103,'Undirviðmiðalisti (Lýsigögn)'!$C$6:$C$41,0))),IFERROR(IF(INDEX('Undirviðmiðalisti (Lýsigögn)'!$D$42:$D$58,MATCH($C103,'Undirviðmiðalisti (Lýsigögn)'!$C$42:$C$58,0))="","",INDEX('Undirviðmiðalisti (Lýsigögn)'!$D$42:$D$58,MATCH($C103,'Undirviðmiðalisti (Lýsigögn)'!$C$42:$C$58,0))),""))))</f>
        <v/>
      </c>
      <c r="E103" s="14"/>
      <c r="F103" s="23" t="str">
        <f aca="false">IF($C103="","",IF($G103="Einstaklingsbundið",IFERROR(IF(INDEX('Undirviðmiðalisti (Lýsigögn)'!$E$42:$E$58,MATCH($C103,'Undirviðmiðalisti (Lýsigögn)'!$C$42:$C$58,0))="","",INDEX('Undirviðmiðalisti (Lýsigögn)'!$E$42:$E$58,MATCH($C103,'Undirviðmiðalisti (Lýsigögn)'!$C$42:$C$58,0))),""),IFERROR(IF(INDEX('Undirviðmiðalisti (Lýsigögn)'!$E$6:$E$41,MATCH($C103,'Undirviðmiðalisti (Lýsigögn)'!$C$6:$C$41,0))="","",INDEX('Undirviðmiðalisti (Lýsigögn)'!$E$6:$E$41,MATCH($C103,'Undirviðmiðalisti (Lýsigögn)'!$C$6:$C$41,0))),IFERROR(IF(INDEX('Undirviðmiðalisti (Lýsigögn)'!$E$42:$E$58,MATCH($C103,'Undirviðmiðalisti (Lýsigögn)'!$C$42:$C$58,0))="","",INDEX('Undirviðmiðalisti (Lýsigögn)'!$E$42:$E$58,MATCH($C103,'Undirviðmiðalisti (Lýsigögn)'!$C$42:$C$58,0))),""))))</f>
        <v/>
      </c>
      <c r="G103" s="24" t="str">
        <f aca="false">IFERROR(IF(B103="","",INDEX(Viðmið!$B$6:$B$10,MATCH(B103,Viðmið!$C$6:$C$10,0))),"")</f>
        <v/>
      </c>
      <c r="H103" s="25" t="str">
        <f aca="false">IF(OR(E103="",F103=""),"",E103*KVARDI)</f>
        <v/>
      </c>
      <c r="I103" s="26" t="str">
        <f aca="false">IF(B103="","",IF(ROUND(SUMIF($B$6:$B$205,B103,$E$6:$E$205),4)=ROUND(IFERROR(INDEX(Viðmið!$E$6:$E$10,MATCH(B103,Viðmið!$C$6:$C$10,0)),-1),4),"✓","✗"))</f>
        <v/>
      </c>
      <c r="J103" s="16" t="str">
        <f aca="false">IF($C103="","",IF($G103="Einstaklingsbundið",IFERROR(IF(INDEX('Undirviðmiðalisti (Lýsigögn)'!F$42:F$58,MATCH($C103,'Undirviðmiðalisti (Lýsigögn)'!$C$42:$C$58,0))="","",INDEX('Undirviðmiðalisti (Lýsigögn)'!F$42:F$58,MATCH($C103,'Undirviðmiðalisti (Lýsigögn)'!$C$42:$C$58,0))),""),IFERROR(IF(INDEX('Undirviðmiðalisti (Lýsigögn)'!F$6:F$41,MATCH($C103,'Undirviðmiðalisti (Lýsigögn)'!$C$6:$C$41,0))="","",INDEX('Undirviðmiðalisti (Lýsigögn)'!F$6:F$41,MATCH($C103,'Undirviðmiðalisti (Lýsigögn)'!$C$6:$C$41,0))),IFERROR(IF(INDEX('Undirviðmiðalisti (Lýsigögn)'!F$42:F$58,MATCH($C103,'Undirviðmiðalisti (Lýsigögn)'!$C$42:$C$58,0))="","",INDEX('Undirviðmiðalisti (Lýsigögn)'!F$42:F$58,MATCH($C103,'Undirviðmiðalisti (Lýsigögn)'!$C$42:$C$58,0))),""))))</f>
        <v/>
      </c>
      <c r="K103" s="16" t="str">
        <f aca="false">IF($C103="","",IF($G103="Einstaklingsbundið",IFERROR(IF(INDEX('Undirviðmiðalisti (Lýsigögn)'!G$42:G$58,MATCH($C103,'Undirviðmiðalisti (Lýsigögn)'!$C$42:$C$58,0))="","",INDEX('Undirviðmiðalisti (Lýsigögn)'!G$42:G$58,MATCH($C103,'Undirviðmiðalisti (Lýsigögn)'!$C$42:$C$58,0))),""),IFERROR(IF(INDEX('Undirviðmiðalisti (Lýsigögn)'!G$6:G$41,MATCH($C103,'Undirviðmiðalisti (Lýsigögn)'!$C$6:$C$41,0))="","",INDEX('Undirviðmiðalisti (Lýsigögn)'!G$6:G$41,MATCH($C103,'Undirviðmiðalisti (Lýsigögn)'!$C$6:$C$41,0))),IFERROR(IF(INDEX('Undirviðmiðalisti (Lýsigögn)'!G$42:G$58,MATCH($C103,'Undirviðmiðalisti (Lýsigögn)'!$C$42:$C$58,0))="","",INDEX('Undirviðmiðalisti (Lýsigögn)'!G$42:G$58,MATCH($C103,'Undirviðmiðalisti (Lýsigögn)'!$C$42:$C$58,0))),""))))</f>
        <v/>
      </c>
      <c r="L103" s="16" t="str">
        <f aca="false">IF($C103="","",IF($G103="Einstaklingsbundið",IFERROR(IF(INDEX('Undirviðmiðalisti (Lýsigögn)'!H$42:H$58,MATCH($C103,'Undirviðmiðalisti (Lýsigögn)'!$C$42:$C$58,0))="","",INDEX('Undirviðmiðalisti (Lýsigögn)'!H$42:H$58,MATCH($C103,'Undirviðmiðalisti (Lýsigögn)'!$C$42:$C$58,0))),""),IFERROR(IF(INDEX('Undirviðmiðalisti (Lýsigögn)'!H$6:H$41,MATCH($C103,'Undirviðmiðalisti (Lýsigögn)'!$C$6:$C$41,0))="","",INDEX('Undirviðmiðalisti (Lýsigögn)'!H$6:H$41,MATCH($C103,'Undirviðmiðalisti (Lýsigögn)'!$C$6:$C$41,0))),IFERROR(IF(INDEX('Undirviðmiðalisti (Lýsigögn)'!H$42:H$58,MATCH($C103,'Undirviðmiðalisti (Lýsigögn)'!$C$42:$C$58,0))="","",INDEX('Undirviðmiðalisti (Lýsigögn)'!H$42:H$58,MATCH($C103,'Undirviðmiðalisti (Lýsigögn)'!$C$42:$C$58,0))),""))))</f>
        <v/>
      </c>
      <c r="M103" s="16" t="str">
        <f aca="false">IF($C103="","",IF($G103="Einstaklingsbundið",IFERROR(IF(INDEX('Undirviðmiðalisti (Lýsigögn)'!I$42:I$58,MATCH($C103,'Undirviðmiðalisti (Lýsigögn)'!$C$42:$C$58,0))="","",INDEX('Undirviðmiðalisti (Lýsigögn)'!I$42:I$58,MATCH($C103,'Undirviðmiðalisti (Lýsigögn)'!$C$42:$C$58,0))),""),IFERROR(IF(INDEX('Undirviðmiðalisti (Lýsigögn)'!I$6:I$41,MATCH($C103,'Undirviðmiðalisti (Lýsigögn)'!$C$6:$C$41,0))="","",INDEX('Undirviðmiðalisti (Lýsigögn)'!I$6:I$41,MATCH($C103,'Undirviðmiðalisti (Lýsigögn)'!$C$6:$C$41,0))),IFERROR(IF(INDEX('Undirviðmiðalisti (Lýsigögn)'!I$42:I$58,MATCH($C103,'Undirviðmiðalisti (Lýsigögn)'!$C$42:$C$58,0))="","",INDEX('Undirviðmiðalisti (Lýsigögn)'!I$42:I$58,MATCH($C103,'Undirviðmiðalisti (Lýsigögn)'!$C$42:$C$58,0))),""))))</f>
        <v/>
      </c>
      <c r="N103" s="16" t="str">
        <f aca="false">IF($C103="","",IF($G103="Einstaklingsbundið",IFERROR(IF(INDEX('Undirviðmiðalisti (Lýsigögn)'!J$42:J$58,MATCH($C103,'Undirviðmiðalisti (Lýsigögn)'!$C$42:$C$58,0))="","",INDEX('Undirviðmiðalisti (Lýsigögn)'!J$42:J$58,MATCH($C103,'Undirviðmiðalisti (Lýsigögn)'!$C$42:$C$58,0))),""),IFERROR(IF(INDEX('Undirviðmiðalisti (Lýsigögn)'!J$6:J$41,MATCH($C103,'Undirviðmiðalisti (Lýsigögn)'!$C$6:$C$41,0))="","",INDEX('Undirviðmiðalisti (Lýsigögn)'!J$6:J$41,MATCH($C103,'Undirviðmiðalisti (Lýsigögn)'!$C$6:$C$41,0))),IFERROR(IF(INDEX('Undirviðmiðalisti (Lýsigögn)'!J$42:J$58,MATCH($C103,'Undirviðmiðalisti (Lýsigögn)'!$C$42:$C$58,0))="","",INDEX('Undirviðmiðalisti (Lýsigögn)'!J$42:J$58,MATCH($C103,'Undirviðmiðalisti (Lýsigögn)'!$C$42:$C$58,0))),""))))</f>
        <v/>
      </c>
      <c r="O103" s="16" t="str">
        <f aca="false">IF($C103="","",IF($G103="Einstaklingsbundið",IFERROR(IF(INDEX('Undirviðmiðalisti (Lýsigögn)'!K$42:K$58,MATCH($C103,'Undirviðmiðalisti (Lýsigögn)'!$C$42:$C$58,0))="","",INDEX('Undirviðmiðalisti (Lýsigögn)'!K$42:K$58,MATCH($C103,'Undirviðmiðalisti (Lýsigögn)'!$C$42:$C$58,0))),""),IFERROR(IF(INDEX('Undirviðmiðalisti (Lýsigögn)'!K$6:K$41,MATCH($C103,'Undirviðmiðalisti (Lýsigögn)'!$C$6:$C$41,0))="","",INDEX('Undirviðmiðalisti (Lýsigögn)'!K$6:K$41,MATCH($C103,'Undirviðmiðalisti (Lýsigögn)'!$C$6:$C$41,0))),IFERROR(IF(INDEX('Undirviðmiðalisti (Lýsigögn)'!K$42:K$58,MATCH($C103,'Undirviðmiðalisti (Lýsigögn)'!$C$42:$C$58,0))="","",INDEX('Undirviðmiðalisti (Lýsigögn)'!K$42:K$58,MATCH($C103,'Undirviðmiðalisti (Lýsigögn)'!$C$42:$C$58,0))),""))))</f>
        <v/>
      </c>
      <c r="P103" s="16" t="str">
        <f aca="false">IF($C103="","",IF($G103="Einstaklingsbundið",IFERROR(IF(INDEX('Undirviðmiðalisti (Lýsigögn)'!L$42:L$58,MATCH($C103,'Undirviðmiðalisti (Lýsigögn)'!$C$42:$C$58,0))="","",INDEX('Undirviðmiðalisti (Lýsigögn)'!L$42:L$58,MATCH($C103,'Undirviðmiðalisti (Lýsigögn)'!$C$42:$C$58,0))),""),IFERROR(IF(INDEX('Undirviðmiðalisti (Lýsigögn)'!L$6:L$41,MATCH($C103,'Undirviðmiðalisti (Lýsigögn)'!$C$6:$C$41,0))="","",INDEX('Undirviðmiðalisti (Lýsigögn)'!L$6:L$41,MATCH($C103,'Undirviðmiðalisti (Lýsigögn)'!$C$6:$C$41,0))),IFERROR(IF(INDEX('Undirviðmiðalisti (Lýsigögn)'!L$42:L$58,MATCH($C103,'Undirviðmiðalisti (Lýsigögn)'!$C$42:$C$58,0))="","",INDEX('Undirviðmiðalisti (Lýsigögn)'!L$42:L$58,MATCH($C103,'Undirviðmiðalisti (Lýsigögn)'!$C$42:$C$58,0))),""))))</f>
        <v/>
      </c>
      <c r="Q103" s="16" t="str">
        <f aca="false">IF($C103="","",IF($G103="Einstaklingsbundið",IFERROR(IF(INDEX('Undirviðmiðalisti (Lýsigögn)'!M$42:M$58,MATCH($C103,'Undirviðmiðalisti (Lýsigögn)'!$C$42:$C$58,0))="","",INDEX('Undirviðmiðalisti (Lýsigögn)'!M$42:M$58,MATCH($C103,'Undirviðmiðalisti (Lýsigögn)'!$C$42:$C$58,0))),""),IFERROR(IF(INDEX('Undirviðmiðalisti (Lýsigögn)'!M$6:M$41,MATCH($C103,'Undirviðmiðalisti (Lýsigögn)'!$C$6:$C$41,0))="","",INDEX('Undirviðmiðalisti (Lýsigögn)'!M$6:M$41,MATCH($C103,'Undirviðmiðalisti (Lýsigögn)'!$C$6:$C$41,0))),IFERROR(IF(INDEX('Undirviðmiðalisti (Lýsigögn)'!M$42:M$58,MATCH($C103,'Undirviðmiðalisti (Lýsigögn)'!$C$42:$C$58,0))="","",INDEX('Undirviðmiðalisti (Lýsigögn)'!M$42:M$58,MATCH($C103,'Undirviðmiðalisti (Lýsigögn)'!$C$42:$C$58,0))),""))))</f>
        <v/>
      </c>
    </row>
    <row r="104" customFormat="false" ht="15" hidden="false" customHeight="true" outlineLevel="0" collapsed="false">
      <c r="A104" s="22" t="str">
        <f aca="false">IF($B104="","",ROW()-5)</f>
        <v/>
      </c>
      <c r="B104" s="15"/>
      <c r="C104" s="15"/>
      <c r="D104" s="16" t="str">
        <f aca="false">IF($C104="","",IF($G104="Einstaklingsbundið",IFERROR(IF(INDEX('Undirviðmiðalisti (Lýsigögn)'!$D$42:$D$58,MATCH($C104,'Undirviðmiðalisti (Lýsigögn)'!$C$42:$C$58,0))="","",INDEX('Undirviðmiðalisti (Lýsigögn)'!$D$42:$D$58,MATCH($C104,'Undirviðmiðalisti (Lýsigögn)'!$C$42:$C$58,0))),""),IFERROR(IF(INDEX('Undirviðmiðalisti (Lýsigögn)'!$D$6:$D$41,MATCH($C104,'Undirviðmiðalisti (Lýsigögn)'!$C$6:$C$41,0))="","",INDEX('Undirviðmiðalisti (Lýsigögn)'!$D$6:$D$41,MATCH($C104,'Undirviðmiðalisti (Lýsigögn)'!$C$6:$C$41,0))),IFERROR(IF(INDEX('Undirviðmiðalisti (Lýsigögn)'!$D$42:$D$58,MATCH($C104,'Undirviðmiðalisti (Lýsigögn)'!$C$42:$C$58,0))="","",INDEX('Undirviðmiðalisti (Lýsigögn)'!$D$42:$D$58,MATCH($C104,'Undirviðmiðalisti (Lýsigögn)'!$C$42:$C$58,0))),""))))</f>
        <v/>
      </c>
      <c r="E104" s="14"/>
      <c r="F104" s="23" t="str">
        <f aca="false">IF($C104="","",IF($G104="Einstaklingsbundið",IFERROR(IF(INDEX('Undirviðmiðalisti (Lýsigögn)'!$E$42:$E$58,MATCH($C104,'Undirviðmiðalisti (Lýsigögn)'!$C$42:$C$58,0))="","",INDEX('Undirviðmiðalisti (Lýsigögn)'!$E$42:$E$58,MATCH($C104,'Undirviðmiðalisti (Lýsigögn)'!$C$42:$C$58,0))),""),IFERROR(IF(INDEX('Undirviðmiðalisti (Lýsigögn)'!$E$6:$E$41,MATCH($C104,'Undirviðmiðalisti (Lýsigögn)'!$C$6:$C$41,0))="","",INDEX('Undirviðmiðalisti (Lýsigögn)'!$E$6:$E$41,MATCH($C104,'Undirviðmiðalisti (Lýsigögn)'!$C$6:$C$41,0))),IFERROR(IF(INDEX('Undirviðmiðalisti (Lýsigögn)'!$E$42:$E$58,MATCH($C104,'Undirviðmiðalisti (Lýsigögn)'!$C$42:$C$58,0))="","",INDEX('Undirviðmiðalisti (Lýsigögn)'!$E$42:$E$58,MATCH($C104,'Undirviðmiðalisti (Lýsigögn)'!$C$42:$C$58,0))),""))))</f>
        <v/>
      </c>
      <c r="G104" s="24" t="str">
        <f aca="false">IFERROR(IF(B104="","",INDEX(Viðmið!$B$6:$B$10,MATCH(B104,Viðmið!$C$6:$C$10,0))),"")</f>
        <v/>
      </c>
      <c r="H104" s="25" t="str">
        <f aca="false">IF(OR(E104="",F104=""),"",E104*KVARDI)</f>
        <v/>
      </c>
      <c r="I104" s="26" t="str">
        <f aca="false">IF(B104="","",IF(ROUND(SUMIF($B$6:$B$205,B104,$E$6:$E$205),4)=ROUND(IFERROR(INDEX(Viðmið!$E$6:$E$10,MATCH(B104,Viðmið!$C$6:$C$10,0)),-1),4),"✓","✗"))</f>
        <v/>
      </c>
      <c r="J104" s="16" t="str">
        <f aca="false">IF($C104="","",IF($G104="Einstaklingsbundið",IFERROR(IF(INDEX('Undirviðmiðalisti (Lýsigögn)'!F$42:F$58,MATCH($C104,'Undirviðmiðalisti (Lýsigögn)'!$C$42:$C$58,0))="","",INDEX('Undirviðmiðalisti (Lýsigögn)'!F$42:F$58,MATCH($C104,'Undirviðmiðalisti (Lýsigögn)'!$C$42:$C$58,0))),""),IFERROR(IF(INDEX('Undirviðmiðalisti (Lýsigögn)'!F$6:F$41,MATCH($C104,'Undirviðmiðalisti (Lýsigögn)'!$C$6:$C$41,0))="","",INDEX('Undirviðmiðalisti (Lýsigögn)'!F$6:F$41,MATCH($C104,'Undirviðmiðalisti (Lýsigögn)'!$C$6:$C$41,0))),IFERROR(IF(INDEX('Undirviðmiðalisti (Lýsigögn)'!F$42:F$58,MATCH($C104,'Undirviðmiðalisti (Lýsigögn)'!$C$42:$C$58,0))="","",INDEX('Undirviðmiðalisti (Lýsigögn)'!F$42:F$58,MATCH($C104,'Undirviðmiðalisti (Lýsigögn)'!$C$42:$C$58,0))),""))))</f>
        <v/>
      </c>
      <c r="K104" s="16" t="str">
        <f aca="false">IF($C104="","",IF($G104="Einstaklingsbundið",IFERROR(IF(INDEX('Undirviðmiðalisti (Lýsigögn)'!G$42:G$58,MATCH($C104,'Undirviðmiðalisti (Lýsigögn)'!$C$42:$C$58,0))="","",INDEX('Undirviðmiðalisti (Lýsigögn)'!G$42:G$58,MATCH($C104,'Undirviðmiðalisti (Lýsigögn)'!$C$42:$C$58,0))),""),IFERROR(IF(INDEX('Undirviðmiðalisti (Lýsigögn)'!G$6:G$41,MATCH($C104,'Undirviðmiðalisti (Lýsigögn)'!$C$6:$C$41,0))="","",INDEX('Undirviðmiðalisti (Lýsigögn)'!G$6:G$41,MATCH($C104,'Undirviðmiðalisti (Lýsigögn)'!$C$6:$C$41,0))),IFERROR(IF(INDEX('Undirviðmiðalisti (Lýsigögn)'!G$42:G$58,MATCH($C104,'Undirviðmiðalisti (Lýsigögn)'!$C$42:$C$58,0))="","",INDEX('Undirviðmiðalisti (Lýsigögn)'!G$42:G$58,MATCH($C104,'Undirviðmiðalisti (Lýsigögn)'!$C$42:$C$58,0))),""))))</f>
        <v/>
      </c>
      <c r="L104" s="16" t="str">
        <f aca="false">IF($C104="","",IF($G104="Einstaklingsbundið",IFERROR(IF(INDEX('Undirviðmiðalisti (Lýsigögn)'!H$42:H$58,MATCH($C104,'Undirviðmiðalisti (Lýsigögn)'!$C$42:$C$58,0))="","",INDEX('Undirviðmiðalisti (Lýsigögn)'!H$42:H$58,MATCH($C104,'Undirviðmiðalisti (Lýsigögn)'!$C$42:$C$58,0))),""),IFERROR(IF(INDEX('Undirviðmiðalisti (Lýsigögn)'!H$6:H$41,MATCH($C104,'Undirviðmiðalisti (Lýsigögn)'!$C$6:$C$41,0))="","",INDEX('Undirviðmiðalisti (Lýsigögn)'!H$6:H$41,MATCH($C104,'Undirviðmiðalisti (Lýsigögn)'!$C$6:$C$41,0))),IFERROR(IF(INDEX('Undirviðmiðalisti (Lýsigögn)'!H$42:H$58,MATCH($C104,'Undirviðmiðalisti (Lýsigögn)'!$C$42:$C$58,0))="","",INDEX('Undirviðmiðalisti (Lýsigögn)'!H$42:H$58,MATCH($C104,'Undirviðmiðalisti (Lýsigögn)'!$C$42:$C$58,0))),""))))</f>
        <v/>
      </c>
      <c r="M104" s="16" t="str">
        <f aca="false">IF($C104="","",IF($G104="Einstaklingsbundið",IFERROR(IF(INDEX('Undirviðmiðalisti (Lýsigögn)'!I$42:I$58,MATCH($C104,'Undirviðmiðalisti (Lýsigögn)'!$C$42:$C$58,0))="","",INDEX('Undirviðmiðalisti (Lýsigögn)'!I$42:I$58,MATCH($C104,'Undirviðmiðalisti (Lýsigögn)'!$C$42:$C$58,0))),""),IFERROR(IF(INDEX('Undirviðmiðalisti (Lýsigögn)'!I$6:I$41,MATCH($C104,'Undirviðmiðalisti (Lýsigögn)'!$C$6:$C$41,0))="","",INDEX('Undirviðmiðalisti (Lýsigögn)'!I$6:I$41,MATCH($C104,'Undirviðmiðalisti (Lýsigögn)'!$C$6:$C$41,0))),IFERROR(IF(INDEX('Undirviðmiðalisti (Lýsigögn)'!I$42:I$58,MATCH($C104,'Undirviðmiðalisti (Lýsigögn)'!$C$42:$C$58,0))="","",INDEX('Undirviðmiðalisti (Lýsigögn)'!I$42:I$58,MATCH($C104,'Undirviðmiðalisti (Lýsigögn)'!$C$42:$C$58,0))),""))))</f>
        <v/>
      </c>
      <c r="N104" s="16" t="str">
        <f aca="false">IF($C104="","",IF($G104="Einstaklingsbundið",IFERROR(IF(INDEX('Undirviðmiðalisti (Lýsigögn)'!J$42:J$58,MATCH($C104,'Undirviðmiðalisti (Lýsigögn)'!$C$42:$C$58,0))="","",INDEX('Undirviðmiðalisti (Lýsigögn)'!J$42:J$58,MATCH($C104,'Undirviðmiðalisti (Lýsigögn)'!$C$42:$C$58,0))),""),IFERROR(IF(INDEX('Undirviðmiðalisti (Lýsigögn)'!J$6:J$41,MATCH($C104,'Undirviðmiðalisti (Lýsigögn)'!$C$6:$C$41,0))="","",INDEX('Undirviðmiðalisti (Lýsigögn)'!J$6:J$41,MATCH($C104,'Undirviðmiðalisti (Lýsigögn)'!$C$6:$C$41,0))),IFERROR(IF(INDEX('Undirviðmiðalisti (Lýsigögn)'!J$42:J$58,MATCH($C104,'Undirviðmiðalisti (Lýsigögn)'!$C$42:$C$58,0))="","",INDEX('Undirviðmiðalisti (Lýsigögn)'!J$42:J$58,MATCH($C104,'Undirviðmiðalisti (Lýsigögn)'!$C$42:$C$58,0))),""))))</f>
        <v/>
      </c>
      <c r="O104" s="16" t="str">
        <f aca="false">IF($C104="","",IF($G104="Einstaklingsbundið",IFERROR(IF(INDEX('Undirviðmiðalisti (Lýsigögn)'!K$42:K$58,MATCH($C104,'Undirviðmiðalisti (Lýsigögn)'!$C$42:$C$58,0))="","",INDEX('Undirviðmiðalisti (Lýsigögn)'!K$42:K$58,MATCH($C104,'Undirviðmiðalisti (Lýsigögn)'!$C$42:$C$58,0))),""),IFERROR(IF(INDEX('Undirviðmiðalisti (Lýsigögn)'!K$6:K$41,MATCH($C104,'Undirviðmiðalisti (Lýsigögn)'!$C$6:$C$41,0))="","",INDEX('Undirviðmiðalisti (Lýsigögn)'!K$6:K$41,MATCH($C104,'Undirviðmiðalisti (Lýsigögn)'!$C$6:$C$41,0))),IFERROR(IF(INDEX('Undirviðmiðalisti (Lýsigögn)'!K$42:K$58,MATCH($C104,'Undirviðmiðalisti (Lýsigögn)'!$C$42:$C$58,0))="","",INDEX('Undirviðmiðalisti (Lýsigögn)'!K$42:K$58,MATCH($C104,'Undirviðmiðalisti (Lýsigögn)'!$C$42:$C$58,0))),""))))</f>
        <v/>
      </c>
      <c r="P104" s="16" t="str">
        <f aca="false">IF($C104="","",IF($G104="Einstaklingsbundið",IFERROR(IF(INDEX('Undirviðmiðalisti (Lýsigögn)'!L$42:L$58,MATCH($C104,'Undirviðmiðalisti (Lýsigögn)'!$C$42:$C$58,0))="","",INDEX('Undirviðmiðalisti (Lýsigögn)'!L$42:L$58,MATCH($C104,'Undirviðmiðalisti (Lýsigögn)'!$C$42:$C$58,0))),""),IFERROR(IF(INDEX('Undirviðmiðalisti (Lýsigögn)'!L$6:L$41,MATCH($C104,'Undirviðmiðalisti (Lýsigögn)'!$C$6:$C$41,0))="","",INDEX('Undirviðmiðalisti (Lýsigögn)'!L$6:L$41,MATCH($C104,'Undirviðmiðalisti (Lýsigögn)'!$C$6:$C$41,0))),IFERROR(IF(INDEX('Undirviðmiðalisti (Lýsigögn)'!L$42:L$58,MATCH($C104,'Undirviðmiðalisti (Lýsigögn)'!$C$42:$C$58,0))="","",INDEX('Undirviðmiðalisti (Lýsigögn)'!L$42:L$58,MATCH($C104,'Undirviðmiðalisti (Lýsigögn)'!$C$42:$C$58,0))),""))))</f>
        <v/>
      </c>
      <c r="Q104" s="16" t="str">
        <f aca="false">IF($C104="","",IF($G104="Einstaklingsbundið",IFERROR(IF(INDEX('Undirviðmiðalisti (Lýsigögn)'!M$42:M$58,MATCH($C104,'Undirviðmiðalisti (Lýsigögn)'!$C$42:$C$58,0))="","",INDEX('Undirviðmiðalisti (Lýsigögn)'!M$42:M$58,MATCH($C104,'Undirviðmiðalisti (Lýsigögn)'!$C$42:$C$58,0))),""),IFERROR(IF(INDEX('Undirviðmiðalisti (Lýsigögn)'!M$6:M$41,MATCH($C104,'Undirviðmiðalisti (Lýsigögn)'!$C$6:$C$41,0))="","",INDEX('Undirviðmiðalisti (Lýsigögn)'!M$6:M$41,MATCH($C104,'Undirviðmiðalisti (Lýsigögn)'!$C$6:$C$41,0))),IFERROR(IF(INDEX('Undirviðmiðalisti (Lýsigögn)'!M$42:M$58,MATCH($C104,'Undirviðmiðalisti (Lýsigögn)'!$C$42:$C$58,0))="","",INDEX('Undirviðmiðalisti (Lýsigögn)'!M$42:M$58,MATCH($C104,'Undirviðmiðalisti (Lýsigögn)'!$C$42:$C$58,0))),""))))</f>
        <v/>
      </c>
    </row>
    <row r="105" customFormat="false" ht="15" hidden="false" customHeight="true" outlineLevel="0" collapsed="false">
      <c r="A105" s="22" t="str">
        <f aca="false">IF($B105="","",ROW()-5)</f>
        <v/>
      </c>
      <c r="B105" s="15"/>
      <c r="C105" s="15"/>
      <c r="D105" s="16" t="str">
        <f aca="false">IF($C105="","",IF($G105="Einstaklingsbundið",IFERROR(IF(INDEX('Undirviðmiðalisti (Lýsigögn)'!$D$42:$D$58,MATCH($C105,'Undirviðmiðalisti (Lýsigögn)'!$C$42:$C$58,0))="","",INDEX('Undirviðmiðalisti (Lýsigögn)'!$D$42:$D$58,MATCH($C105,'Undirviðmiðalisti (Lýsigögn)'!$C$42:$C$58,0))),""),IFERROR(IF(INDEX('Undirviðmiðalisti (Lýsigögn)'!$D$6:$D$41,MATCH($C105,'Undirviðmiðalisti (Lýsigögn)'!$C$6:$C$41,0))="","",INDEX('Undirviðmiðalisti (Lýsigögn)'!$D$6:$D$41,MATCH($C105,'Undirviðmiðalisti (Lýsigögn)'!$C$6:$C$41,0))),IFERROR(IF(INDEX('Undirviðmiðalisti (Lýsigögn)'!$D$42:$D$58,MATCH($C105,'Undirviðmiðalisti (Lýsigögn)'!$C$42:$C$58,0))="","",INDEX('Undirviðmiðalisti (Lýsigögn)'!$D$42:$D$58,MATCH($C105,'Undirviðmiðalisti (Lýsigögn)'!$C$42:$C$58,0))),""))))</f>
        <v/>
      </c>
      <c r="E105" s="14"/>
      <c r="F105" s="23" t="str">
        <f aca="false">IF($C105="","",IF($G105="Einstaklingsbundið",IFERROR(IF(INDEX('Undirviðmiðalisti (Lýsigögn)'!$E$42:$E$58,MATCH($C105,'Undirviðmiðalisti (Lýsigögn)'!$C$42:$C$58,0))="","",INDEX('Undirviðmiðalisti (Lýsigögn)'!$E$42:$E$58,MATCH($C105,'Undirviðmiðalisti (Lýsigögn)'!$C$42:$C$58,0))),""),IFERROR(IF(INDEX('Undirviðmiðalisti (Lýsigögn)'!$E$6:$E$41,MATCH($C105,'Undirviðmiðalisti (Lýsigögn)'!$C$6:$C$41,0))="","",INDEX('Undirviðmiðalisti (Lýsigögn)'!$E$6:$E$41,MATCH($C105,'Undirviðmiðalisti (Lýsigögn)'!$C$6:$C$41,0))),IFERROR(IF(INDEX('Undirviðmiðalisti (Lýsigögn)'!$E$42:$E$58,MATCH($C105,'Undirviðmiðalisti (Lýsigögn)'!$C$42:$C$58,0))="","",INDEX('Undirviðmiðalisti (Lýsigögn)'!$E$42:$E$58,MATCH($C105,'Undirviðmiðalisti (Lýsigögn)'!$C$42:$C$58,0))),""))))</f>
        <v/>
      </c>
      <c r="G105" s="24" t="str">
        <f aca="false">IFERROR(IF(B105="","",INDEX(Viðmið!$B$6:$B$10,MATCH(B105,Viðmið!$C$6:$C$10,0))),"")</f>
        <v/>
      </c>
      <c r="H105" s="25" t="str">
        <f aca="false">IF(OR(E105="",F105=""),"",E105*KVARDI)</f>
        <v/>
      </c>
      <c r="I105" s="26" t="str">
        <f aca="false">IF(B105="","",IF(ROUND(SUMIF($B$6:$B$205,B105,$E$6:$E$205),4)=ROUND(IFERROR(INDEX(Viðmið!$E$6:$E$10,MATCH(B105,Viðmið!$C$6:$C$10,0)),-1),4),"✓","✗"))</f>
        <v/>
      </c>
      <c r="J105" s="16" t="str">
        <f aca="false">IF($C105="","",IF($G105="Einstaklingsbundið",IFERROR(IF(INDEX('Undirviðmiðalisti (Lýsigögn)'!F$42:F$58,MATCH($C105,'Undirviðmiðalisti (Lýsigögn)'!$C$42:$C$58,0))="","",INDEX('Undirviðmiðalisti (Lýsigögn)'!F$42:F$58,MATCH($C105,'Undirviðmiðalisti (Lýsigögn)'!$C$42:$C$58,0))),""),IFERROR(IF(INDEX('Undirviðmiðalisti (Lýsigögn)'!F$6:F$41,MATCH($C105,'Undirviðmiðalisti (Lýsigögn)'!$C$6:$C$41,0))="","",INDEX('Undirviðmiðalisti (Lýsigögn)'!F$6:F$41,MATCH($C105,'Undirviðmiðalisti (Lýsigögn)'!$C$6:$C$41,0))),IFERROR(IF(INDEX('Undirviðmiðalisti (Lýsigögn)'!F$42:F$58,MATCH($C105,'Undirviðmiðalisti (Lýsigögn)'!$C$42:$C$58,0))="","",INDEX('Undirviðmiðalisti (Lýsigögn)'!F$42:F$58,MATCH($C105,'Undirviðmiðalisti (Lýsigögn)'!$C$42:$C$58,0))),""))))</f>
        <v/>
      </c>
      <c r="K105" s="16" t="str">
        <f aca="false">IF($C105="","",IF($G105="Einstaklingsbundið",IFERROR(IF(INDEX('Undirviðmiðalisti (Lýsigögn)'!G$42:G$58,MATCH($C105,'Undirviðmiðalisti (Lýsigögn)'!$C$42:$C$58,0))="","",INDEX('Undirviðmiðalisti (Lýsigögn)'!G$42:G$58,MATCH($C105,'Undirviðmiðalisti (Lýsigögn)'!$C$42:$C$58,0))),""),IFERROR(IF(INDEX('Undirviðmiðalisti (Lýsigögn)'!G$6:G$41,MATCH($C105,'Undirviðmiðalisti (Lýsigögn)'!$C$6:$C$41,0))="","",INDEX('Undirviðmiðalisti (Lýsigögn)'!G$6:G$41,MATCH($C105,'Undirviðmiðalisti (Lýsigögn)'!$C$6:$C$41,0))),IFERROR(IF(INDEX('Undirviðmiðalisti (Lýsigögn)'!G$42:G$58,MATCH($C105,'Undirviðmiðalisti (Lýsigögn)'!$C$42:$C$58,0))="","",INDEX('Undirviðmiðalisti (Lýsigögn)'!G$42:G$58,MATCH($C105,'Undirviðmiðalisti (Lýsigögn)'!$C$42:$C$58,0))),""))))</f>
        <v/>
      </c>
      <c r="L105" s="16" t="str">
        <f aca="false">IF($C105="","",IF($G105="Einstaklingsbundið",IFERROR(IF(INDEX('Undirviðmiðalisti (Lýsigögn)'!H$42:H$58,MATCH($C105,'Undirviðmiðalisti (Lýsigögn)'!$C$42:$C$58,0))="","",INDEX('Undirviðmiðalisti (Lýsigögn)'!H$42:H$58,MATCH($C105,'Undirviðmiðalisti (Lýsigögn)'!$C$42:$C$58,0))),""),IFERROR(IF(INDEX('Undirviðmiðalisti (Lýsigögn)'!H$6:H$41,MATCH($C105,'Undirviðmiðalisti (Lýsigögn)'!$C$6:$C$41,0))="","",INDEX('Undirviðmiðalisti (Lýsigögn)'!H$6:H$41,MATCH($C105,'Undirviðmiðalisti (Lýsigögn)'!$C$6:$C$41,0))),IFERROR(IF(INDEX('Undirviðmiðalisti (Lýsigögn)'!H$42:H$58,MATCH($C105,'Undirviðmiðalisti (Lýsigögn)'!$C$42:$C$58,0))="","",INDEX('Undirviðmiðalisti (Lýsigögn)'!H$42:H$58,MATCH($C105,'Undirviðmiðalisti (Lýsigögn)'!$C$42:$C$58,0))),""))))</f>
        <v/>
      </c>
      <c r="M105" s="16" t="str">
        <f aca="false">IF($C105="","",IF($G105="Einstaklingsbundið",IFERROR(IF(INDEX('Undirviðmiðalisti (Lýsigögn)'!I$42:I$58,MATCH($C105,'Undirviðmiðalisti (Lýsigögn)'!$C$42:$C$58,0))="","",INDEX('Undirviðmiðalisti (Lýsigögn)'!I$42:I$58,MATCH($C105,'Undirviðmiðalisti (Lýsigögn)'!$C$42:$C$58,0))),""),IFERROR(IF(INDEX('Undirviðmiðalisti (Lýsigögn)'!I$6:I$41,MATCH($C105,'Undirviðmiðalisti (Lýsigögn)'!$C$6:$C$41,0))="","",INDEX('Undirviðmiðalisti (Lýsigögn)'!I$6:I$41,MATCH($C105,'Undirviðmiðalisti (Lýsigögn)'!$C$6:$C$41,0))),IFERROR(IF(INDEX('Undirviðmiðalisti (Lýsigögn)'!I$42:I$58,MATCH($C105,'Undirviðmiðalisti (Lýsigögn)'!$C$42:$C$58,0))="","",INDEX('Undirviðmiðalisti (Lýsigögn)'!I$42:I$58,MATCH($C105,'Undirviðmiðalisti (Lýsigögn)'!$C$42:$C$58,0))),""))))</f>
        <v/>
      </c>
      <c r="N105" s="16" t="str">
        <f aca="false">IF($C105="","",IF($G105="Einstaklingsbundið",IFERROR(IF(INDEX('Undirviðmiðalisti (Lýsigögn)'!J$42:J$58,MATCH($C105,'Undirviðmiðalisti (Lýsigögn)'!$C$42:$C$58,0))="","",INDEX('Undirviðmiðalisti (Lýsigögn)'!J$42:J$58,MATCH($C105,'Undirviðmiðalisti (Lýsigögn)'!$C$42:$C$58,0))),""),IFERROR(IF(INDEX('Undirviðmiðalisti (Lýsigögn)'!J$6:J$41,MATCH($C105,'Undirviðmiðalisti (Lýsigögn)'!$C$6:$C$41,0))="","",INDEX('Undirviðmiðalisti (Lýsigögn)'!J$6:J$41,MATCH($C105,'Undirviðmiðalisti (Lýsigögn)'!$C$6:$C$41,0))),IFERROR(IF(INDEX('Undirviðmiðalisti (Lýsigögn)'!J$42:J$58,MATCH($C105,'Undirviðmiðalisti (Lýsigögn)'!$C$42:$C$58,0))="","",INDEX('Undirviðmiðalisti (Lýsigögn)'!J$42:J$58,MATCH($C105,'Undirviðmiðalisti (Lýsigögn)'!$C$42:$C$58,0))),""))))</f>
        <v/>
      </c>
      <c r="O105" s="16" t="str">
        <f aca="false">IF($C105="","",IF($G105="Einstaklingsbundið",IFERROR(IF(INDEX('Undirviðmiðalisti (Lýsigögn)'!K$42:K$58,MATCH($C105,'Undirviðmiðalisti (Lýsigögn)'!$C$42:$C$58,0))="","",INDEX('Undirviðmiðalisti (Lýsigögn)'!K$42:K$58,MATCH($C105,'Undirviðmiðalisti (Lýsigögn)'!$C$42:$C$58,0))),""),IFERROR(IF(INDEX('Undirviðmiðalisti (Lýsigögn)'!K$6:K$41,MATCH($C105,'Undirviðmiðalisti (Lýsigögn)'!$C$6:$C$41,0))="","",INDEX('Undirviðmiðalisti (Lýsigögn)'!K$6:K$41,MATCH($C105,'Undirviðmiðalisti (Lýsigögn)'!$C$6:$C$41,0))),IFERROR(IF(INDEX('Undirviðmiðalisti (Lýsigögn)'!K$42:K$58,MATCH($C105,'Undirviðmiðalisti (Lýsigögn)'!$C$42:$C$58,0))="","",INDEX('Undirviðmiðalisti (Lýsigögn)'!K$42:K$58,MATCH($C105,'Undirviðmiðalisti (Lýsigögn)'!$C$42:$C$58,0))),""))))</f>
        <v/>
      </c>
      <c r="P105" s="16" t="str">
        <f aca="false">IF($C105="","",IF($G105="Einstaklingsbundið",IFERROR(IF(INDEX('Undirviðmiðalisti (Lýsigögn)'!L$42:L$58,MATCH($C105,'Undirviðmiðalisti (Lýsigögn)'!$C$42:$C$58,0))="","",INDEX('Undirviðmiðalisti (Lýsigögn)'!L$42:L$58,MATCH($C105,'Undirviðmiðalisti (Lýsigögn)'!$C$42:$C$58,0))),""),IFERROR(IF(INDEX('Undirviðmiðalisti (Lýsigögn)'!L$6:L$41,MATCH($C105,'Undirviðmiðalisti (Lýsigögn)'!$C$6:$C$41,0))="","",INDEX('Undirviðmiðalisti (Lýsigögn)'!L$6:L$41,MATCH($C105,'Undirviðmiðalisti (Lýsigögn)'!$C$6:$C$41,0))),IFERROR(IF(INDEX('Undirviðmiðalisti (Lýsigögn)'!L$42:L$58,MATCH($C105,'Undirviðmiðalisti (Lýsigögn)'!$C$42:$C$58,0))="","",INDEX('Undirviðmiðalisti (Lýsigögn)'!L$42:L$58,MATCH($C105,'Undirviðmiðalisti (Lýsigögn)'!$C$42:$C$58,0))),""))))</f>
        <v/>
      </c>
      <c r="Q105" s="16" t="str">
        <f aca="false">IF($C105="","",IF($G105="Einstaklingsbundið",IFERROR(IF(INDEX('Undirviðmiðalisti (Lýsigögn)'!M$42:M$58,MATCH($C105,'Undirviðmiðalisti (Lýsigögn)'!$C$42:$C$58,0))="","",INDEX('Undirviðmiðalisti (Lýsigögn)'!M$42:M$58,MATCH($C105,'Undirviðmiðalisti (Lýsigögn)'!$C$42:$C$58,0))),""),IFERROR(IF(INDEX('Undirviðmiðalisti (Lýsigögn)'!M$6:M$41,MATCH($C105,'Undirviðmiðalisti (Lýsigögn)'!$C$6:$C$41,0))="","",INDEX('Undirviðmiðalisti (Lýsigögn)'!M$6:M$41,MATCH($C105,'Undirviðmiðalisti (Lýsigögn)'!$C$6:$C$41,0))),IFERROR(IF(INDEX('Undirviðmiðalisti (Lýsigögn)'!M$42:M$58,MATCH($C105,'Undirviðmiðalisti (Lýsigögn)'!$C$42:$C$58,0))="","",INDEX('Undirviðmiðalisti (Lýsigögn)'!M$42:M$58,MATCH($C105,'Undirviðmiðalisti (Lýsigögn)'!$C$42:$C$58,0))),""))))</f>
        <v/>
      </c>
    </row>
    <row r="106" customFormat="false" ht="15" hidden="false" customHeight="true" outlineLevel="0" collapsed="false">
      <c r="A106" s="22" t="str">
        <f aca="false">IF($B106="","",ROW()-5)</f>
        <v/>
      </c>
      <c r="B106" s="15"/>
      <c r="C106" s="15"/>
      <c r="D106" s="16" t="str">
        <f aca="false">IF($C106="","",IF($G106="Einstaklingsbundið",IFERROR(IF(INDEX('Undirviðmiðalisti (Lýsigögn)'!$D$42:$D$58,MATCH($C106,'Undirviðmiðalisti (Lýsigögn)'!$C$42:$C$58,0))="","",INDEX('Undirviðmiðalisti (Lýsigögn)'!$D$42:$D$58,MATCH($C106,'Undirviðmiðalisti (Lýsigögn)'!$C$42:$C$58,0))),""),IFERROR(IF(INDEX('Undirviðmiðalisti (Lýsigögn)'!$D$6:$D$41,MATCH($C106,'Undirviðmiðalisti (Lýsigögn)'!$C$6:$C$41,0))="","",INDEX('Undirviðmiðalisti (Lýsigögn)'!$D$6:$D$41,MATCH($C106,'Undirviðmiðalisti (Lýsigögn)'!$C$6:$C$41,0))),IFERROR(IF(INDEX('Undirviðmiðalisti (Lýsigögn)'!$D$42:$D$58,MATCH($C106,'Undirviðmiðalisti (Lýsigögn)'!$C$42:$C$58,0))="","",INDEX('Undirviðmiðalisti (Lýsigögn)'!$D$42:$D$58,MATCH($C106,'Undirviðmiðalisti (Lýsigögn)'!$C$42:$C$58,0))),""))))</f>
        <v/>
      </c>
      <c r="E106" s="14"/>
      <c r="F106" s="23" t="str">
        <f aca="false">IF($C106="","",IF($G106="Einstaklingsbundið",IFERROR(IF(INDEX('Undirviðmiðalisti (Lýsigögn)'!$E$42:$E$58,MATCH($C106,'Undirviðmiðalisti (Lýsigögn)'!$C$42:$C$58,0))="","",INDEX('Undirviðmiðalisti (Lýsigögn)'!$E$42:$E$58,MATCH($C106,'Undirviðmiðalisti (Lýsigögn)'!$C$42:$C$58,0))),""),IFERROR(IF(INDEX('Undirviðmiðalisti (Lýsigögn)'!$E$6:$E$41,MATCH($C106,'Undirviðmiðalisti (Lýsigögn)'!$C$6:$C$41,0))="","",INDEX('Undirviðmiðalisti (Lýsigögn)'!$E$6:$E$41,MATCH($C106,'Undirviðmiðalisti (Lýsigögn)'!$C$6:$C$41,0))),IFERROR(IF(INDEX('Undirviðmiðalisti (Lýsigögn)'!$E$42:$E$58,MATCH($C106,'Undirviðmiðalisti (Lýsigögn)'!$C$42:$C$58,0))="","",INDEX('Undirviðmiðalisti (Lýsigögn)'!$E$42:$E$58,MATCH($C106,'Undirviðmiðalisti (Lýsigögn)'!$C$42:$C$58,0))),""))))</f>
        <v/>
      </c>
      <c r="G106" s="24" t="str">
        <f aca="false">IFERROR(IF(B106="","",INDEX(Viðmið!$B$6:$B$10,MATCH(B106,Viðmið!$C$6:$C$10,0))),"")</f>
        <v/>
      </c>
      <c r="H106" s="25" t="str">
        <f aca="false">IF(OR(E106="",F106=""),"",E106*KVARDI)</f>
        <v/>
      </c>
      <c r="I106" s="26" t="str">
        <f aca="false">IF(B106="","",IF(ROUND(SUMIF($B$6:$B$205,B106,$E$6:$E$205),4)=ROUND(IFERROR(INDEX(Viðmið!$E$6:$E$10,MATCH(B106,Viðmið!$C$6:$C$10,0)),-1),4),"✓","✗"))</f>
        <v/>
      </c>
      <c r="J106" s="16" t="str">
        <f aca="false">IF($C106="","",IF($G106="Einstaklingsbundið",IFERROR(IF(INDEX('Undirviðmiðalisti (Lýsigögn)'!F$42:F$58,MATCH($C106,'Undirviðmiðalisti (Lýsigögn)'!$C$42:$C$58,0))="","",INDEX('Undirviðmiðalisti (Lýsigögn)'!F$42:F$58,MATCH($C106,'Undirviðmiðalisti (Lýsigögn)'!$C$42:$C$58,0))),""),IFERROR(IF(INDEX('Undirviðmiðalisti (Lýsigögn)'!F$6:F$41,MATCH($C106,'Undirviðmiðalisti (Lýsigögn)'!$C$6:$C$41,0))="","",INDEX('Undirviðmiðalisti (Lýsigögn)'!F$6:F$41,MATCH($C106,'Undirviðmiðalisti (Lýsigögn)'!$C$6:$C$41,0))),IFERROR(IF(INDEX('Undirviðmiðalisti (Lýsigögn)'!F$42:F$58,MATCH($C106,'Undirviðmiðalisti (Lýsigögn)'!$C$42:$C$58,0))="","",INDEX('Undirviðmiðalisti (Lýsigögn)'!F$42:F$58,MATCH($C106,'Undirviðmiðalisti (Lýsigögn)'!$C$42:$C$58,0))),""))))</f>
        <v/>
      </c>
      <c r="K106" s="16" t="str">
        <f aca="false">IF($C106="","",IF($G106="Einstaklingsbundið",IFERROR(IF(INDEX('Undirviðmiðalisti (Lýsigögn)'!G$42:G$58,MATCH($C106,'Undirviðmiðalisti (Lýsigögn)'!$C$42:$C$58,0))="","",INDEX('Undirviðmiðalisti (Lýsigögn)'!G$42:G$58,MATCH($C106,'Undirviðmiðalisti (Lýsigögn)'!$C$42:$C$58,0))),""),IFERROR(IF(INDEX('Undirviðmiðalisti (Lýsigögn)'!G$6:G$41,MATCH($C106,'Undirviðmiðalisti (Lýsigögn)'!$C$6:$C$41,0))="","",INDEX('Undirviðmiðalisti (Lýsigögn)'!G$6:G$41,MATCH($C106,'Undirviðmiðalisti (Lýsigögn)'!$C$6:$C$41,0))),IFERROR(IF(INDEX('Undirviðmiðalisti (Lýsigögn)'!G$42:G$58,MATCH($C106,'Undirviðmiðalisti (Lýsigögn)'!$C$42:$C$58,0))="","",INDEX('Undirviðmiðalisti (Lýsigögn)'!G$42:G$58,MATCH($C106,'Undirviðmiðalisti (Lýsigögn)'!$C$42:$C$58,0))),""))))</f>
        <v/>
      </c>
      <c r="L106" s="16" t="str">
        <f aca="false">IF($C106="","",IF($G106="Einstaklingsbundið",IFERROR(IF(INDEX('Undirviðmiðalisti (Lýsigögn)'!H$42:H$58,MATCH($C106,'Undirviðmiðalisti (Lýsigögn)'!$C$42:$C$58,0))="","",INDEX('Undirviðmiðalisti (Lýsigögn)'!H$42:H$58,MATCH($C106,'Undirviðmiðalisti (Lýsigögn)'!$C$42:$C$58,0))),""),IFERROR(IF(INDEX('Undirviðmiðalisti (Lýsigögn)'!H$6:H$41,MATCH($C106,'Undirviðmiðalisti (Lýsigögn)'!$C$6:$C$41,0))="","",INDEX('Undirviðmiðalisti (Lýsigögn)'!H$6:H$41,MATCH($C106,'Undirviðmiðalisti (Lýsigögn)'!$C$6:$C$41,0))),IFERROR(IF(INDEX('Undirviðmiðalisti (Lýsigögn)'!H$42:H$58,MATCH($C106,'Undirviðmiðalisti (Lýsigögn)'!$C$42:$C$58,0))="","",INDEX('Undirviðmiðalisti (Lýsigögn)'!H$42:H$58,MATCH($C106,'Undirviðmiðalisti (Lýsigögn)'!$C$42:$C$58,0))),""))))</f>
        <v/>
      </c>
      <c r="M106" s="16" t="str">
        <f aca="false">IF($C106="","",IF($G106="Einstaklingsbundið",IFERROR(IF(INDEX('Undirviðmiðalisti (Lýsigögn)'!I$42:I$58,MATCH($C106,'Undirviðmiðalisti (Lýsigögn)'!$C$42:$C$58,0))="","",INDEX('Undirviðmiðalisti (Lýsigögn)'!I$42:I$58,MATCH($C106,'Undirviðmiðalisti (Lýsigögn)'!$C$42:$C$58,0))),""),IFERROR(IF(INDEX('Undirviðmiðalisti (Lýsigögn)'!I$6:I$41,MATCH($C106,'Undirviðmiðalisti (Lýsigögn)'!$C$6:$C$41,0))="","",INDEX('Undirviðmiðalisti (Lýsigögn)'!I$6:I$41,MATCH($C106,'Undirviðmiðalisti (Lýsigögn)'!$C$6:$C$41,0))),IFERROR(IF(INDEX('Undirviðmiðalisti (Lýsigögn)'!I$42:I$58,MATCH($C106,'Undirviðmiðalisti (Lýsigögn)'!$C$42:$C$58,0))="","",INDEX('Undirviðmiðalisti (Lýsigögn)'!I$42:I$58,MATCH($C106,'Undirviðmiðalisti (Lýsigögn)'!$C$42:$C$58,0))),""))))</f>
        <v/>
      </c>
      <c r="N106" s="16" t="str">
        <f aca="false">IF($C106="","",IF($G106="Einstaklingsbundið",IFERROR(IF(INDEX('Undirviðmiðalisti (Lýsigögn)'!J$42:J$58,MATCH($C106,'Undirviðmiðalisti (Lýsigögn)'!$C$42:$C$58,0))="","",INDEX('Undirviðmiðalisti (Lýsigögn)'!J$42:J$58,MATCH($C106,'Undirviðmiðalisti (Lýsigögn)'!$C$42:$C$58,0))),""),IFERROR(IF(INDEX('Undirviðmiðalisti (Lýsigögn)'!J$6:J$41,MATCH($C106,'Undirviðmiðalisti (Lýsigögn)'!$C$6:$C$41,0))="","",INDEX('Undirviðmiðalisti (Lýsigögn)'!J$6:J$41,MATCH($C106,'Undirviðmiðalisti (Lýsigögn)'!$C$6:$C$41,0))),IFERROR(IF(INDEX('Undirviðmiðalisti (Lýsigögn)'!J$42:J$58,MATCH($C106,'Undirviðmiðalisti (Lýsigögn)'!$C$42:$C$58,0))="","",INDEX('Undirviðmiðalisti (Lýsigögn)'!J$42:J$58,MATCH($C106,'Undirviðmiðalisti (Lýsigögn)'!$C$42:$C$58,0))),""))))</f>
        <v/>
      </c>
      <c r="O106" s="16" t="str">
        <f aca="false">IF($C106="","",IF($G106="Einstaklingsbundið",IFERROR(IF(INDEX('Undirviðmiðalisti (Lýsigögn)'!K$42:K$58,MATCH($C106,'Undirviðmiðalisti (Lýsigögn)'!$C$42:$C$58,0))="","",INDEX('Undirviðmiðalisti (Lýsigögn)'!K$42:K$58,MATCH($C106,'Undirviðmiðalisti (Lýsigögn)'!$C$42:$C$58,0))),""),IFERROR(IF(INDEX('Undirviðmiðalisti (Lýsigögn)'!K$6:K$41,MATCH($C106,'Undirviðmiðalisti (Lýsigögn)'!$C$6:$C$41,0))="","",INDEX('Undirviðmiðalisti (Lýsigögn)'!K$6:K$41,MATCH($C106,'Undirviðmiðalisti (Lýsigögn)'!$C$6:$C$41,0))),IFERROR(IF(INDEX('Undirviðmiðalisti (Lýsigögn)'!K$42:K$58,MATCH($C106,'Undirviðmiðalisti (Lýsigögn)'!$C$42:$C$58,0))="","",INDEX('Undirviðmiðalisti (Lýsigögn)'!K$42:K$58,MATCH($C106,'Undirviðmiðalisti (Lýsigögn)'!$C$42:$C$58,0))),""))))</f>
        <v/>
      </c>
      <c r="P106" s="16" t="str">
        <f aca="false">IF($C106="","",IF($G106="Einstaklingsbundið",IFERROR(IF(INDEX('Undirviðmiðalisti (Lýsigögn)'!L$42:L$58,MATCH($C106,'Undirviðmiðalisti (Lýsigögn)'!$C$42:$C$58,0))="","",INDEX('Undirviðmiðalisti (Lýsigögn)'!L$42:L$58,MATCH($C106,'Undirviðmiðalisti (Lýsigögn)'!$C$42:$C$58,0))),""),IFERROR(IF(INDEX('Undirviðmiðalisti (Lýsigögn)'!L$6:L$41,MATCH($C106,'Undirviðmiðalisti (Lýsigögn)'!$C$6:$C$41,0))="","",INDEX('Undirviðmiðalisti (Lýsigögn)'!L$6:L$41,MATCH($C106,'Undirviðmiðalisti (Lýsigögn)'!$C$6:$C$41,0))),IFERROR(IF(INDEX('Undirviðmiðalisti (Lýsigögn)'!L$42:L$58,MATCH($C106,'Undirviðmiðalisti (Lýsigögn)'!$C$42:$C$58,0))="","",INDEX('Undirviðmiðalisti (Lýsigögn)'!L$42:L$58,MATCH($C106,'Undirviðmiðalisti (Lýsigögn)'!$C$42:$C$58,0))),""))))</f>
        <v/>
      </c>
      <c r="Q106" s="16" t="str">
        <f aca="false">IF($C106="","",IF($G106="Einstaklingsbundið",IFERROR(IF(INDEX('Undirviðmiðalisti (Lýsigögn)'!M$42:M$58,MATCH($C106,'Undirviðmiðalisti (Lýsigögn)'!$C$42:$C$58,0))="","",INDEX('Undirviðmiðalisti (Lýsigögn)'!M$42:M$58,MATCH($C106,'Undirviðmiðalisti (Lýsigögn)'!$C$42:$C$58,0))),""),IFERROR(IF(INDEX('Undirviðmiðalisti (Lýsigögn)'!M$6:M$41,MATCH($C106,'Undirviðmiðalisti (Lýsigögn)'!$C$6:$C$41,0))="","",INDEX('Undirviðmiðalisti (Lýsigögn)'!M$6:M$41,MATCH($C106,'Undirviðmiðalisti (Lýsigögn)'!$C$6:$C$41,0))),IFERROR(IF(INDEX('Undirviðmiðalisti (Lýsigögn)'!M$42:M$58,MATCH($C106,'Undirviðmiðalisti (Lýsigögn)'!$C$42:$C$58,0))="","",INDEX('Undirviðmiðalisti (Lýsigögn)'!M$42:M$58,MATCH($C106,'Undirviðmiðalisti (Lýsigögn)'!$C$42:$C$58,0))),""))))</f>
        <v/>
      </c>
    </row>
    <row r="107" customFormat="false" ht="15" hidden="false" customHeight="true" outlineLevel="0" collapsed="false">
      <c r="A107" s="22" t="str">
        <f aca="false">IF($B107="","",ROW()-5)</f>
        <v/>
      </c>
      <c r="B107" s="15"/>
      <c r="C107" s="15"/>
      <c r="D107" s="16" t="str">
        <f aca="false">IF($C107="","",IF($G107="Einstaklingsbundið",IFERROR(IF(INDEX('Undirviðmiðalisti (Lýsigögn)'!$D$42:$D$58,MATCH($C107,'Undirviðmiðalisti (Lýsigögn)'!$C$42:$C$58,0))="","",INDEX('Undirviðmiðalisti (Lýsigögn)'!$D$42:$D$58,MATCH($C107,'Undirviðmiðalisti (Lýsigögn)'!$C$42:$C$58,0))),""),IFERROR(IF(INDEX('Undirviðmiðalisti (Lýsigögn)'!$D$6:$D$41,MATCH($C107,'Undirviðmiðalisti (Lýsigögn)'!$C$6:$C$41,0))="","",INDEX('Undirviðmiðalisti (Lýsigögn)'!$D$6:$D$41,MATCH($C107,'Undirviðmiðalisti (Lýsigögn)'!$C$6:$C$41,0))),IFERROR(IF(INDEX('Undirviðmiðalisti (Lýsigögn)'!$D$42:$D$58,MATCH($C107,'Undirviðmiðalisti (Lýsigögn)'!$C$42:$C$58,0))="","",INDEX('Undirviðmiðalisti (Lýsigögn)'!$D$42:$D$58,MATCH($C107,'Undirviðmiðalisti (Lýsigögn)'!$C$42:$C$58,0))),""))))</f>
        <v/>
      </c>
      <c r="E107" s="14"/>
      <c r="F107" s="23" t="str">
        <f aca="false">IF($C107="","",IF($G107="Einstaklingsbundið",IFERROR(IF(INDEX('Undirviðmiðalisti (Lýsigögn)'!$E$42:$E$58,MATCH($C107,'Undirviðmiðalisti (Lýsigögn)'!$C$42:$C$58,0))="","",INDEX('Undirviðmiðalisti (Lýsigögn)'!$E$42:$E$58,MATCH($C107,'Undirviðmiðalisti (Lýsigögn)'!$C$42:$C$58,0))),""),IFERROR(IF(INDEX('Undirviðmiðalisti (Lýsigögn)'!$E$6:$E$41,MATCH($C107,'Undirviðmiðalisti (Lýsigögn)'!$C$6:$C$41,0))="","",INDEX('Undirviðmiðalisti (Lýsigögn)'!$E$6:$E$41,MATCH($C107,'Undirviðmiðalisti (Lýsigögn)'!$C$6:$C$41,0))),IFERROR(IF(INDEX('Undirviðmiðalisti (Lýsigögn)'!$E$42:$E$58,MATCH($C107,'Undirviðmiðalisti (Lýsigögn)'!$C$42:$C$58,0))="","",INDEX('Undirviðmiðalisti (Lýsigögn)'!$E$42:$E$58,MATCH($C107,'Undirviðmiðalisti (Lýsigögn)'!$C$42:$C$58,0))),""))))</f>
        <v/>
      </c>
      <c r="G107" s="24" t="str">
        <f aca="false">IFERROR(IF(B107="","",INDEX(Viðmið!$B$6:$B$10,MATCH(B107,Viðmið!$C$6:$C$10,0))),"")</f>
        <v/>
      </c>
      <c r="H107" s="25" t="str">
        <f aca="false">IF(OR(E107="",F107=""),"",E107*KVARDI)</f>
        <v/>
      </c>
      <c r="I107" s="26" t="str">
        <f aca="false">IF(B107="","",IF(ROUND(SUMIF($B$6:$B$205,B107,$E$6:$E$205),4)=ROUND(IFERROR(INDEX(Viðmið!$E$6:$E$10,MATCH(B107,Viðmið!$C$6:$C$10,0)),-1),4),"✓","✗"))</f>
        <v/>
      </c>
      <c r="J107" s="16" t="str">
        <f aca="false">IF($C107="","",IF($G107="Einstaklingsbundið",IFERROR(IF(INDEX('Undirviðmiðalisti (Lýsigögn)'!F$42:F$58,MATCH($C107,'Undirviðmiðalisti (Lýsigögn)'!$C$42:$C$58,0))="","",INDEX('Undirviðmiðalisti (Lýsigögn)'!F$42:F$58,MATCH($C107,'Undirviðmiðalisti (Lýsigögn)'!$C$42:$C$58,0))),""),IFERROR(IF(INDEX('Undirviðmiðalisti (Lýsigögn)'!F$6:F$41,MATCH($C107,'Undirviðmiðalisti (Lýsigögn)'!$C$6:$C$41,0))="","",INDEX('Undirviðmiðalisti (Lýsigögn)'!F$6:F$41,MATCH($C107,'Undirviðmiðalisti (Lýsigögn)'!$C$6:$C$41,0))),IFERROR(IF(INDEX('Undirviðmiðalisti (Lýsigögn)'!F$42:F$58,MATCH($C107,'Undirviðmiðalisti (Lýsigögn)'!$C$42:$C$58,0))="","",INDEX('Undirviðmiðalisti (Lýsigögn)'!F$42:F$58,MATCH($C107,'Undirviðmiðalisti (Lýsigögn)'!$C$42:$C$58,0))),""))))</f>
        <v/>
      </c>
      <c r="K107" s="16" t="str">
        <f aca="false">IF($C107="","",IF($G107="Einstaklingsbundið",IFERROR(IF(INDEX('Undirviðmiðalisti (Lýsigögn)'!G$42:G$58,MATCH($C107,'Undirviðmiðalisti (Lýsigögn)'!$C$42:$C$58,0))="","",INDEX('Undirviðmiðalisti (Lýsigögn)'!G$42:G$58,MATCH($C107,'Undirviðmiðalisti (Lýsigögn)'!$C$42:$C$58,0))),""),IFERROR(IF(INDEX('Undirviðmiðalisti (Lýsigögn)'!G$6:G$41,MATCH($C107,'Undirviðmiðalisti (Lýsigögn)'!$C$6:$C$41,0))="","",INDEX('Undirviðmiðalisti (Lýsigögn)'!G$6:G$41,MATCH($C107,'Undirviðmiðalisti (Lýsigögn)'!$C$6:$C$41,0))),IFERROR(IF(INDEX('Undirviðmiðalisti (Lýsigögn)'!G$42:G$58,MATCH($C107,'Undirviðmiðalisti (Lýsigögn)'!$C$42:$C$58,0))="","",INDEX('Undirviðmiðalisti (Lýsigögn)'!G$42:G$58,MATCH($C107,'Undirviðmiðalisti (Lýsigögn)'!$C$42:$C$58,0))),""))))</f>
        <v/>
      </c>
      <c r="L107" s="16" t="str">
        <f aca="false">IF($C107="","",IF($G107="Einstaklingsbundið",IFERROR(IF(INDEX('Undirviðmiðalisti (Lýsigögn)'!H$42:H$58,MATCH($C107,'Undirviðmiðalisti (Lýsigögn)'!$C$42:$C$58,0))="","",INDEX('Undirviðmiðalisti (Lýsigögn)'!H$42:H$58,MATCH($C107,'Undirviðmiðalisti (Lýsigögn)'!$C$42:$C$58,0))),""),IFERROR(IF(INDEX('Undirviðmiðalisti (Lýsigögn)'!H$6:H$41,MATCH($C107,'Undirviðmiðalisti (Lýsigögn)'!$C$6:$C$41,0))="","",INDEX('Undirviðmiðalisti (Lýsigögn)'!H$6:H$41,MATCH($C107,'Undirviðmiðalisti (Lýsigögn)'!$C$6:$C$41,0))),IFERROR(IF(INDEX('Undirviðmiðalisti (Lýsigögn)'!H$42:H$58,MATCH($C107,'Undirviðmiðalisti (Lýsigögn)'!$C$42:$C$58,0))="","",INDEX('Undirviðmiðalisti (Lýsigögn)'!H$42:H$58,MATCH($C107,'Undirviðmiðalisti (Lýsigögn)'!$C$42:$C$58,0))),""))))</f>
        <v/>
      </c>
      <c r="M107" s="16" t="str">
        <f aca="false">IF($C107="","",IF($G107="Einstaklingsbundið",IFERROR(IF(INDEX('Undirviðmiðalisti (Lýsigögn)'!I$42:I$58,MATCH($C107,'Undirviðmiðalisti (Lýsigögn)'!$C$42:$C$58,0))="","",INDEX('Undirviðmiðalisti (Lýsigögn)'!I$42:I$58,MATCH($C107,'Undirviðmiðalisti (Lýsigögn)'!$C$42:$C$58,0))),""),IFERROR(IF(INDEX('Undirviðmiðalisti (Lýsigögn)'!I$6:I$41,MATCH($C107,'Undirviðmiðalisti (Lýsigögn)'!$C$6:$C$41,0))="","",INDEX('Undirviðmiðalisti (Lýsigögn)'!I$6:I$41,MATCH($C107,'Undirviðmiðalisti (Lýsigögn)'!$C$6:$C$41,0))),IFERROR(IF(INDEX('Undirviðmiðalisti (Lýsigögn)'!I$42:I$58,MATCH($C107,'Undirviðmiðalisti (Lýsigögn)'!$C$42:$C$58,0))="","",INDEX('Undirviðmiðalisti (Lýsigögn)'!I$42:I$58,MATCH($C107,'Undirviðmiðalisti (Lýsigögn)'!$C$42:$C$58,0))),""))))</f>
        <v/>
      </c>
      <c r="N107" s="16" t="str">
        <f aca="false">IF($C107="","",IF($G107="Einstaklingsbundið",IFERROR(IF(INDEX('Undirviðmiðalisti (Lýsigögn)'!J$42:J$58,MATCH($C107,'Undirviðmiðalisti (Lýsigögn)'!$C$42:$C$58,0))="","",INDEX('Undirviðmiðalisti (Lýsigögn)'!J$42:J$58,MATCH($C107,'Undirviðmiðalisti (Lýsigögn)'!$C$42:$C$58,0))),""),IFERROR(IF(INDEX('Undirviðmiðalisti (Lýsigögn)'!J$6:J$41,MATCH($C107,'Undirviðmiðalisti (Lýsigögn)'!$C$6:$C$41,0))="","",INDEX('Undirviðmiðalisti (Lýsigögn)'!J$6:J$41,MATCH($C107,'Undirviðmiðalisti (Lýsigögn)'!$C$6:$C$41,0))),IFERROR(IF(INDEX('Undirviðmiðalisti (Lýsigögn)'!J$42:J$58,MATCH($C107,'Undirviðmiðalisti (Lýsigögn)'!$C$42:$C$58,0))="","",INDEX('Undirviðmiðalisti (Lýsigögn)'!J$42:J$58,MATCH($C107,'Undirviðmiðalisti (Lýsigögn)'!$C$42:$C$58,0))),""))))</f>
        <v/>
      </c>
      <c r="O107" s="16" t="str">
        <f aca="false">IF($C107="","",IF($G107="Einstaklingsbundið",IFERROR(IF(INDEX('Undirviðmiðalisti (Lýsigögn)'!K$42:K$58,MATCH($C107,'Undirviðmiðalisti (Lýsigögn)'!$C$42:$C$58,0))="","",INDEX('Undirviðmiðalisti (Lýsigögn)'!K$42:K$58,MATCH($C107,'Undirviðmiðalisti (Lýsigögn)'!$C$42:$C$58,0))),""),IFERROR(IF(INDEX('Undirviðmiðalisti (Lýsigögn)'!K$6:K$41,MATCH($C107,'Undirviðmiðalisti (Lýsigögn)'!$C$6:$C$41,0))="","",INDEX('Undirviðmiðalisti (Lýsigögn)'!K$6:K$41,MATCH($C107,'Undirviðmiðalisti (Lýsigögn)'!$C$6:$C$41,0))),IFERROR(IF(INDEX('Undirviðmiðalisti (Lýsigögn)'!K$42:K$58,MATCH($C107,'Undirviðmiðalisti (Lýsigögn)'!$C$42:$C$58,0))="","",INDEX('Undirviðmiðalisti (Lýsigögn)'!K$42:K$58,MATCH($C107,'Undirviðmiðalisti (Lýsigögn)'!$C$42:$C$58,0))),""))))</f>
        <v/>
      </c>
      <c r="P107" s="16" t="str">
        <f aca="false">IF($C107="","",IF($G107="Einstaklingsbundið",IFERROR(IF(INDEX('Undirviðmiðalisti (Lýsigögn)'!L$42:L$58,MATCH($C107,'Undirviðmiðalisti (Lýsigögn)'!$C$42:$C$58,0))="","",INDEX('Undirviðmiðalisti (Lýsigögn)'!L$42:L$58,MATCH($C107,'Undirviðmiðalisti (Lýsigögn)'!$C$42:$C$58,0))),""),IFERROR(IF(INDEX('Undirviðmiðalisti (Lýsigögn)'!L$6:L$41,MATCH($C107,'Undirviðmiðalisti (Lýsigögn)'!$C$6:$C$41,0))="","",INDEX('Undirviðmiðalisti (Lýsigögn)'!L$6:L$41,MATCH($C107,'Undirviðmiðalisti (Lýsigögn)'!$C$6:$C$41,0))),IFERROR(IF(INDEX('Undirviðmiðalisti (Lýsigögn)'!L$42:L$58,MATCH($C107,'Undirviðmiðalisti (Lýsigögn)'!$C$42:$C$58,0))="","",INDEX('Undirviðmiðalisti (Lýsigögn)'!L$42:L$58,MATCH($C107,'Undirviðmiðalisti (Lýsigögn)'!$C$42:$C$58,0))),""))))</f>
        <v/>
      </c>
      <c r="Q107" s="16" t="str">
        <f aca="false">IF($C107="","",IF($G107="Einstaklingsbundið",IFERROR(IF(INDEX('Undirviðmiðalisti (Lýsigögn)'!M$42:M$58,MATCH($C107,'Undirviðmiðalisti (Lýsigögn)'!$C$42:$C$58,0))="","",INDEX('Undirviðmiðalisti (Lýsigögn)'!M$42:M$58,MATCH($C107,'Undirviðmiðalisti (Lýsigögn)'!$C$42:$C$58,0))),""),IFERROR(IF(INDEX('Undirviðmiðalisti (Lýsigögn)'!M$6:M$41,MATCH($C107,'Undirviðmiðalisti (Lýsigögn)'!$C$6:$C$41,0))="","",INDEX('Undirviðmiðalisti (Lýsigögn)'!M$6:M$41,MATCH($C107,'Undirviðmiðalisti (Lýsigögn)'!$C$6:$C$41,0))),IFERROR(IF(INDEX('Undirviðmiðalisti (Lýsigögn)'!M$42:M$58,MATCH($C107,'Undirviðmiðalisti (Lýsigögn)'!$C$42:$C$58,0))="","",INDEX('Undirviðmiðalisti (Lýsigögn)'!M$42:M$58,MATCH($C107,'Undirviðmiðalisti (Lýsigögn)'!$C$42:$C$58,0))),""))))</f>
        <v/>
      </c>
    </row>
    <row r="108" customFormat="false" ht="15" hidden="false" customHeight="true" outlineLevel="0" collapsed="false">
      <c r="A108" s="22" t="str">
        <f aca="false">IF($B108="","",ROW()-5)</f>
        <v/>
      </c>
      <c r="B108" s="15"/>
      <c r="C108" s="15"/>
      <c r="D108" s="16" t="str">
        <f aca="false">IF($C108="","",IF($G108="Einstaklingsbundið",IFERROR(IF(INDEX('Undirviðmiðalisti (Lýsigögn)'!$D$42:$D$58,MATCH($C108,'Undirviðmiðalisti (Lýsigögn)'!$C$42:$C$58,0))="","",INDEX('Undirviðmiðalisti (Lýsigögn)'!$D$42:$D$58,MATCH($C108,'Undirviðmiðalisti (Lýsigögn)'!$C$42:$C$58,0))),""),IFERROR(IF(INDEX('Undirviðmiðalisti (Lýsigögn)'!$D$6:$D$41,MATCH($C108,'Undirviðmiðalisti (Lýsigögn)'!$C$6:$C$41,0))="","",INDEX('Undirviðmiðalisti (Lýsigögn)'!$D$6:$D$41,MATCH($C108,'Undirviðmiðalisti (Lýsigögn)'!$C$6:$C$41,0))),IFERROR(IF(INDEX('Undirviðmiðalisti (Lýsigögn)'!$D$42:$D$58,MATCH($C108,'Undirviðmiðalisti (Lýsigögn)'!$C$42:$C$58,0))="","",INDEX('Undirviðmiðalisti (Lýsigögn)'!$D$42:$D$58,MATCH($C108,'Undirviðmiðalisti (Lýsigögn)'!$C$42:$C$58,0))),""))))</f>
        <v/>
      </c>
      <c r="E108" s="14"/>
      <c r="F108" s="23" t="str">
        <f aca="false">IF($C108="","",IF($G108="Einstaklingsbundið",IFERROR(IF(INDEX('Undirviðmiðalisti (Lýsigögn)'!$E$42:$E$58,MATCH($C108,'Undirviðmiðalisti (Lýsigögn)'!$C$42:$C$58,0))="","",INDEX('Undirviðmiðalisti (Lýsigögn)'!$E$42:$E$58,MATCH($C108,'Undirviðmiðalisti (Lýsigögn)'!$C$42:$C$58,0))),""),IFERROR(IF(INDEX('Undirviðmiðalisti (Lýsigögn)'!$E$6:$E$41,MATCH($C108,'Undirviðmiðalisti (Lýsigögn)'!$C$6:$C$41,0))="","",INDEX('Undirviðmiðalisti (Lýsigögn)'!$E$6:$E$41,MATCH($C108,'Undirviðmiðalisti (Lýsigögn)'!$C$6:$C$41,0))),IFERROR(IF(INDEX('Undirviðmiðalisti (Lýsigögn)'!$E$42:$E$58,MATCH($C108,'Undirviðmiðalisti (Lýsigögn)'!$C$42:$C$58,0))="","",INDEX('Undirviðmiðalisti (Lýsigögn)'!$E$42:$E$58,MATCH($C108,'Undirviðmiðalisti (Lýsigögn)'!$C$42:$C$58,0))),""))))</f>
        <v/>
      </c>
      <c r="G108" s="24" t="str">
        <f aca="false">IFERROR(IF(B108="","",INDEX(Viðmið!$B$6:$B$10,MATCH(B108,Viðmið!$C$6:$C$10,0))),"")</f>
        <v/>
      </c>
      <c r="H108" s="25" t="str">
        <f aca="false">IF(OR(E108="",F108=""),"",E108*KVARDI)</f>
        <v/>
      </c>
      <c r="I108" s="26" t="str">
        <f aca="false">IF(B108="","",IF(ROUND(SUMIF($B$6:$B$205,B108,$E$6:$E$205),4)=ROUND(IFERROR(INDEX(Viðmið!$E$6:$E$10,MATCH(B108,Viðmið!$C$6:$C$10,0)),-1),4),"✓","✗"))</f>
        <v/>
      </c>
      <c r="J108" s="16" t="str">
        <f aca="false">IF($C108="","",IF($G108="Einstaklingsbundið",IFERROR(IF(INDEX('Undirviðmiðalisti (Lýsigögn)'!F$42:F$58,MATCH($C108,'Undirviðmiðalisti (Lýsigögn)'!$C$42:$C$58,0))="","",INDEX('Undirviðmiðalisti (Lýsigögn)'!F$42:F$58,MATCH($C108,'Undirviðmiðalisti (Lýsigögn)'!$C$42:$C$58,0))),""),IFERROR(IF(INDEX('Undirviðmiðalisti (Lýsigögn)'!F$6:F$41,MATCH($C108,'Undirviðmiðalisti (Lýsigögn)'!$C$6:$C$41,0))="","",INDEX('Undirviðmiðalisti (Lýsigögn)'!F$6:F$41,MATCH($C108,'Undirviðmiðalisti (Lýsigögn)'!$C$6:$C$41,0))),IFERROR(IF(INDEX('Undirviðmiðalisti (Lýsigögn)'!F$42:F$58,MATCH($C108,'Undirviðmiðalisti (Lýsigögn)'!$C$42:$C$58,0))="","",INDEX('Undirviðmiðalisti (Lýsigögn)'!F$42:F$58,MATCH($C108,'Undirviðmiðalisti (Lýsigögn)'!$C$42:$C$58,0))),""))))</f>
        <v/>
      </c>
      <c r="K108" s="16" t="str">
        <f aca="false">IF($C108="","",IF($G108="Einstaklingsbundið",IFERROR(IF(INDEX('Undirviðmiðalisti (Lýsigögn)'!G$42:G$58,MATCH($C108,'Undirviðmiðalisti (Lýsigögn)'!$C$42:$C$58,0))="","",INDEX('Undirviðmiðalisti (Lýsigögn)'!G$42:G$58,MATCH($C108,'Undirviðmiðalisti (Lýsigögn)'!$C$42:$C$58,0))),""),IFERROR(IF(INDEX('Undirviðmiðalisti (Lýsigögn)'!G$6:G$41,MATCH($C108,'Undirviðmiðalisti (Lýsigögn)'!$C$6:$C$41,0))="","",INDEX('Undirviðmiðalisti (Lýsigögn)'!G$6:G$41,MATCH($C108,'Undirviðmiðalisti (Lýsigögn)'!$C$6:$C$41,0))),IFERROR(IF(INDEX('Undirviðmiðalisti (Lýsigögn)'!G$42:G$58,MATCH($C108,'Undirviðmiðalisti (Lýsigögn)'!$C$42:$C$58,0))="","",INDEX('Undirviðmiðalisti (Lýsigögn)'!G$42:G$58,MATCH($C108,'Undirviðmiðalisti (Lýsigögn)'!$C$42:$C$58,0))),""))))</f>
        <v/>
      </c>
      <c r="L108" s="16" t="str">
        <f aca="false">IF($C108="","",IF($G108="Einstaklingsbundið",IFERROR(IF(INDEX('Undirviðmiðalisti (Lýsigögn)'!H$42:H$58,MATCH($C108,'Undirviðmiðalisti (Lýsigögn)'!$C$42:$C$58,0))="","",INDEX('Undirviðmiðalisti (Lýsigögn)'!H$42:H$58,MATCH($C108,'Undirviðmiðalisti (Lýsigögn)'!$C$42:$C$58,0))),""),IFERROR(IF(INDEX('Undirviðmiðalisti (Lýsigögn)'!H$6:H$41,MATCH($C108,'Undirviðmiðalisti (Lýsigögn)'!$C$6:$C$41,0))="","",INDEX('Undirviðmiðalisti (Lýsigögn)'!H$6:H$41,MATCH($C108,'Undirviðmiðalisti (Lýsigögn)'!$C$6:$C$41,0))),IFERROR(IF(INDEX('Undirviðmiðalisti (Lýsigögn)'!H$42:H$58,MATCH($C108,'Undirviðmiðalisti (Lýsigögn)'!$C$42:$C$58,0))="","",INDEX('Undirviðmiðalisti (Lýsigögn)'!H$42:H$58,MATCH($C108,'Undirviðmiðalisti (Lýsigögn)'!$C$42:$C$58,0))),""))))</f>
        <v/>
      </c>
      <c r="M108" s="16" t="str">
        <f aca="false">IF($C108="","",IF($G108="Einstaklingsbundið",IFERROR(IF(INDEX('Undirviðmiðalisti (Lýsigögn)'!I$42:I$58,MATCH($C108,'Undirviðmiðalisti (Lýsigögn)'!$C$42:$C$58,0))="","",INDEX('Undirviðmiðalisti (Lýsigögn)'!I$42:I$58,MATCH($C108,'Undirviðmiðalisti (Lýsigögn)'!$C$42:$C$58,0))),""),IFERROR(IF(INDEX('Undirviðmiðalisti (Lýsigögn)'!I$6:I$41,MATCH($C108,'Undirviðmiðalisti (Lýsigögn)'!$C$6:$C$41,0))="","",INDEX('Undirviðmiðalisti (Lýsigögn)'!I$6:I$41,MATCH($C108,'Undirviðmiðalisti (Lýsigögn)'!$C$6:$C$41,0))),IFERROR(IF(INDEX('Undirviðmiðalisti (Lýsigögn)'!I$42:I$58,MATCH($C108,'Undirviðmiðalisti (Lýsigögn)'!$C$42:$C$58,0))="","",INDEX('Undirviðmiðalisti (Lýsigögn)'!I$42:I$58,MATCH($C108,'Undirviðmiðalisti (Lýsigögn)'!$C$42:$C$58,0))),""))))</f>
        <v/>
      </c>
      <c r="N108" s="16" t="str">
        <f aca="false">IF($C108="","",IF($G108="Einstaklingsbundið",IFERROR(IF(INDEX('Undirviðmiðalisti (Lýsigögn)'!J$42:J$58,MATCH($C108,'Undirviðmiðalisti (Lýsigögn)'!$C$42:$C$58,0))="","",INDEX('Undirviðmiðalisti (Lýsigögn)'!J$42:J$58,MATCH($C108,'Undirviðmiðalisti (Lýsigögn)'!$C$42:$C$58,0))),""),IFERROR(IF(INDEX('Undirviðmiðalisti (Lýsigögn)'!J$6:J$41,MATCH($C108,'Undirviðmiðalisti (Lýsigögn)'!$C$6:$C$41,0))="","",INDEX('Undirviðmiðalisti (Lýsigögn)'!J$6:J$41,MATCH($C108,'Undirviðmiðalisti (Lýsigögn)'!$C$6:$C$41,0))),IFERROR(IF(INDEX('Undirviðmiðalisti (Lýsigögn)'!J$42:J$58,MATCH($C108,'Undirviðmiðalisti (Lýsigögn)'!$C$42:$C$58,0))="","",INDEX('Undirviðmiðalisti (Lýsigögn)'!J$42:J$58,MATCH($C108,'Undirviðmiðalisti (Lýsigögn)'!$C$42:$C$58,0))),""))))</f>
        <v/>
      </c>
      <c r="O108" s="16" t="str">
        <f aca="false">IF($C108="","",IF($G108="Einstaklingsbundið",IFERROR(IF(INDEX('Undirviðmiðalisti (Lýsigögn)'!K$42:K$58,MATCH($C108,'Undirviðmiðalisti (Lýsigögn)'!$C$42:$C$58,0))="","",INDEX('Undirviðmiðalisti (Lýsigögn)'!K$42:K$58,MATCH($C108,'Undirviðmiðalisti (Lýsigögn)'!$C$42:$C$58,0))),""),IFERROR(IF(INDEX('Undirviðmiðalisti (Lýsigögn)'!K$6:K$41,MATCH($C108,'Undirviðmiðalisti (Lýsigögn)'!$C$6:$C$41,0))="","",INDEX('Undirviðmiðalisti (Lýsigögn)'!K$6:K$41,MATCH($C108,'Undirviðmiðalisti (Lýsigögn)'!$C$6:$C$41,0))),IFERROR(IF(INDEX('Undirviðmiðalisti (Lýsigögn)'!K$42:K$58,MATCH($C108,'Undirviðmiðalisti (Lýsigögn)'!$C$42:$C$58,0))="","",INDEX('Undirviðmiðalisti (Lýsigögn)'!K$42:K$58,MATCH($C108,'Undirviðmiðalisti (Lýsigögn)'!$C$42:$C$58,0))),""))))</f>
        <v/>
      </c>
      <c r="P108" s="16" t="str">
        <f aca="false">IF($C108="","",IF($G108="Einstaklingsbundið",IFERROR(IF(INDEX('Undirviðmiðalisti (Lýsigögn)'!L$42:L$58,MATCH($C108,'Undirviðmiðalisti (Lýsigögn)'!$C$42:$C$58,0))="","",INDEX('Undirviðmiðalisti (Lýsigögn)'!L$42:L$58,MATCH($C108,'Undirviðmiðalisti (Lýsigögn)'!$C$42:$C$58,0))),""),IFERROR(IF(INDEX('Undirviðmiðalisti (Lýsigögn)'!L$6:L$41,MATCH($C108,'Undirviðmiðalisti (Lýsigögn)'!$C$6:$C$41,0))="","",INDEX('Undirviðmiðalisti (Lýsigögn)'!L$6:L$41,MATCH($C108,'Undirviðmiðalisti (Lýsigögn)'!$C$6:$C$41,0))),IFERROR(IF(INDEX('Undirviðmiðalisti (Lýsigögn)'!L$42:L$58,MATCH($C108,'Undirviðmiðalisti (Lýsigögn)'!$C$42:$C$58,0))="","",INDEX('Undirviðmiðalisti (Lýsigögn)'!L$42:L$58,MATCH($C108,'Undirviðmiðalisti (Lýsigögn)'!$C$42:$C$58,0))),""))))</f>
        <v/>
      </c>
      <c r="Q108" s="16" t="str">
        <f aca="false">IF($C108="","",IF($G108="Einstaklingsbundið",IFERROR(IF(INDEX('Undirviðmiðalisti (Lýsigögn)'!M$42:M$58,MATCH($C108,'Undirviðmiðalisti (Lýsigögn)'!$C$42:$C$58,0))="","",INDEX('Undirviðmiðalisti (Lýsigögn)'!M$42:M$58,MATCH($C108,'Undirviðmiðalisti (Lýsigögn)'!$C$42:$C$58,0))),""),IFERROR(IF(INDEX('Undirviðmiðalisti (Lýsigögn)'!M$6:M$41,MATCH($C108,'Undirviðmiðalisti (Lýsigögn)'!$C$6:$C$41,0))="","",INDEX('Undirviðmiðalisti (Lýsigögn)'!M$6:M$41,MATCH($C108,'Undirviðmiðalisti (Lýsigögn)'!$C$6:$C$41,0))),IFERROR(IF(INDEX('Undirviðmiðalisti (Lýsigögn)'!M$42:M$58,MATCH($C108,'Undirviðmiðalisti (Lýsigögn)'!$C$42:$C$58,0))="","",INDEX('Undirviðmiðalisti (Lýsigögn)'!M$42:M$58,MATCH($C108,'Undirviðmiðalisti (Lýsigögn)'!$C$42:$C$58,0))),""))))</f>
        <v/>
      </c>
    </row>
    <row r="109" customFormat="false" ht="15" hidden="false" customHeight="true" outlineLevel="0" collapsed="false">
      <c r="A109" s="22" t="str">
        <f aca="false">IF($B109="","",ROW()-5)</f>
        <v/>
      </c>
      <c r="B109" s="15"/>
      <c r="C109" s="15"/>
      <c r="D109" s="16" t="str">
        <f aca="false">IF($C109="","",IF($G109="Einstaklingsbundið",IFERROR(IF(INDEX('Undirviðmiðalisti (Lýsigögn)'!$D$42:$D$58,MATCH($C109,'Undirviðmiðalisti (Lýsigögn)'!$C$42:$C$58,0))="","",INDEX('Undirviðmiðalisti (Lýsigögn)'!$D$42:$D$58,MATCH($C109,'Undirviðmiðalisti (Lýsigögn)'!$C$42:$C$58,0))),""),IFERROR(IF(INDEX('Undirviðmiðalisti (Lýsigögn)'!$D$6:$D$41,MATCH($C109,'Undirviðmiðalisti (Lýsigögn)'!$C$6:$C$41,0))="","",INDEX('Undirviðmiðalisti (Lýsigögn)'!$D$6:$D$41,MATCH($C109,'Undirviðmiðalisti (Lýsigögn)'!$C$6:$C$41,0))),IFERROR(IF(INDEX('Undirviðmiðalisti (Lýsigögn)'!$D$42:$D$58,MATCH($C109,'Undirviðmiðalisti (Lýsigögn)'!$C$42:$C$58,0))="","",INDEX('Undirviðmiðalisti (Lýsigögn)'!$D$42:$D$58,MATCH($C109,'Undirviðmiðalisti (Lýsigögn)'!$C$42:$C$58,0))),""))))</f>
        <v/>
      </c>
      <c r="E109" s="14"/>
      <c r="F109" s="23" t="str">
        <f aca="false">IF($C109="","",IF($G109="Einstaklingsbundið",IFERROR(IF(INDEX('Undirviðmiðalisti (Lýsigögn)'!$E$42:$E$58,MATCH($C109,'Undirviðmiðalisti (Lýsigögn)'!$C$42:$C$58,0))="","",INDEX('Undirviðmiðalisti (Lýsigögn)'!$E$42:$E$58,MATCH($C109,'Undirviðmiðalisti (Lýsigögn)'!$C$42:$C$58,0))),""),IFERROR(IF(INDEX('Undirviðmiðalisti (Lýsigögn)'!$E$6:$E$41,MATCH($C109,'Undirviðmiðalisti (Lýsigögn)'!$C$6:$C$41,0))="","",INDEX('Undirviðmiðalisti (Lýsigögn)'!$E$6:$E$41,MATCH($C109,'Undirviðmiðalisti (Lýsigögn)'!$C$6:$C$41,0))),IFERROR(IF(INDEX('Undirviðmiðalisti (Lýsigögn)'!$E$42:$E$58,MATCH($C109,'Undirviðmiðalisti (Lýsigögn)'!$C$42:$C$58,0))="","",INDEX('Undirviðmiðalisti (Lýsigögn)'!$E$42:$E$58,MATCH($C109,'Undirviðmiðalisti (Lýsigögn)'!$C$42:$C$58,0))),""))))</f>
        <v/>
      </c>
      <c r="G109" s="24" t="str">
        <f aca="false">IFERROR(IF(B109="","",INDEX(Viðmið!$B$6:$B$10,MATCH(B109,Viðmið!$C$6:$C$10,0))),"")</f>
        <v/>
      </c>
      <c r="H109" s="25" t="str">
        <f aca="false">IF(OR(E109="",F109=""),"",E109*KVARDI)</f>
        <v/>
      </c>
      <c r="I109" s="26" t="str">
        <f aca="false">IF(B109="","",IF(ROUND(SUMIF($B$6:$B$205,B109,$E$6:$E$205),4)=ROUND(IFERROR(INDEX(Viðmið!$E$6:$E$10,MATCH(B109,Viðmið!$C$6:$C$10,0)),-1),4),"✓","✗"))</f>
        <v/>
      </c>
      <c r="J109" s="16" t="str">
        <f aca="false">IF($C109="","",IF($G109="Einstaklingsbundið",IFERROR(IF(INDEX('Undirviðmiðalisti (Lýsigögn)'!F$42:F$58,MATCH($C109,'Undirviðmiðalisti (Lýsigögn)'!$C$42:$C$58,0))="","",INDEX('Undirviðmiðalisti (Lýsigögn)'!F$42:F$58,MATCH($C109,'Undirviðmiðalisti (Lýsigögn)'!$C$42:$C$58,0))),""),IFERROR(IF(INDEX('Undirviðmiðalisti (Lýsigögn)'!F$6:F$41,MATCH($C109,'Undirviðmiðalisti (Lýsigögn)'!$C$6:$C$41,0))="","",INDEX('Undirviðmiðalisti (Lýsigögn)'!F$6:F$41,MATCH($C109,'Undirviðmiðalisti (Lýsigögn)'!$C$6:$C$41,0))),IFERROR(IF(INDEX('Undirviðmiðalisti (Lýsigögn)'!F$42:F$58,MATCH($C109,'Undirviðmiðalisti (Lýsigögn)'!$C$42:$C$58,0))="","",INDEX('Undirviðmiðalisti (Lýsigögn)'!F$42:F$58,MATCH($C109,'Undirviðmiðalisti (Lýsigögn)'!$C$42:$C$58,0))),""))))</f>
        <v/>
      </c>
      <c r="K109" s="16" t="str">
        <f aca="false">IF($C109="","",IF($G109="Einstaklingsbundið",IFERROR(IF(INDEX('Undirviðmiðalisti (Lýsigögn)'!G$42:G$58,MATCH($C109,'Undirviðmiðalisti (Lýsigögn)'!$C$42:$C$58,0))="","",INDEX('Undirviðmiðalisti (Lýsigögn)'!G$42:G$58,MATCH($C109,'Undirviðmiðalisti (Lýsigögn)'!$C$42:$C$58,0))),""),IFERROR(IF(INDEX('Undirviðmiðalisti (Lýsigögn)'!G$6:G$41,MATCH($C109,'Undirviðmiðalisti (Lýsigögn)'!$C$6:$C$41,0))="","",INDEX('Undirviðmiðalisti (Lýsigögn)'!G$6:G$41,MATCH($C109,'Undirviðmiðalisti (Lýsigögn)'!$C$6:$C$41,0))),IFERROR(IF(INDEX('Undirviðmiðalisti (Lýsigögn)'!G$42:G$58,MATCH($C109,'Undirviðmiðalisti (Lýsigögn)'!$C$42:$C$58,0))="","",INDEX('Undirviðmiðalisti (Lýsigögn)'!G$42:G$58,MATCH($C109,'Undirviðmiðalisti (Lýsigögn)'!$C$42:$C$58,0))),""))))</f>
        <v/>
      </c>
      <c r="L109" s="16" t="str">
        <f aca="false">IF($C109="","",IF($G109="Einstaklingsbundið",IFERROR(IF(INDEX('Undirviðmiðalisti (Lýsigögn)'!H$42:H$58,MATCH($C109,'Undirviðmiðalisti (Lýsigögn)'!$C$42:$C$58,0))="","",INDEX('Undirviðmiðalisti (Lýsigögn)'!H$42:H$58,MATCH($C109,'Undirviðmiðalisti (Lýsigögn)'!$C$42:$C$58,0))),""),IFERROR(IF(INDEX('Undirviðmiðalisti (Lýsigögn)'!H$6:H$41,MATCH($C109,'Undirviðmiðalisti (Lýsigögn)'!$C$6:$C$41,0))="","",INDEX('Undirviðmiðalisti (Lýsigögn)'!H$6:H$41,MATCH($C109,'Undirviðmiðalisti (Lýsigögn)'!$C$6:$C$41,0))),IFERROR(IF(INDEX('Undirviðmiðalisti (Lýsigögn)'!H$42:H$58,MATCH($C109,'Undirviðmiðalisti (Lýsigögn)'!$C$42:$C$58,0))="","",INDEX('Undirviðmiðalisti (Lýsigögn)'!H$42:H$58,MATCH($C109,'Undirviðmiðalisti (Lýsigögn)'!$C$42:$C$58,0))),""))))</f>
        <v/>
      </c>
      <c r="M109" s="16" t="str">
        <f aca="false">IF($C109="","",IF($G109="Einstaklingsbundið",IFERROR(IF(INDEX('Undirviðmiðalisti (Lýsigögn)'!I$42:I$58,MATCH($C109,'Undirviðmiðalisti (Lýsigögn)'!$C$42:$C$58,0))="","",INDEX('Undirviðmiðalisti (Lýsigögn)'!I$42:I$58,MATCH($C109,'Undirviðmiðalisti (Lýsigögn)'!$C$42:$C$58,0))),""),IFERROR(IF(INDEX('Undirviðmiðalisti (Lýsigögn)'!I$6:I$41,MATCH($C109,'Undirviðmiðalisti (Lýsigögn)'!$C$6:$C$41,0))="","",INDEX('Undirviðmiðalisti (Lýsigögn)'!I$6:I$41,MATCH($C109,'Undirviðmiðalisti (Lýsigögn)'!$C$6:$C$41,0))),IFERROR(IF(INDEX('Undirviðmiðalisti (Lýsigögn)'!I$42:I$58,MATCH($C109,'Undirviðmiðalisti (Lýsigögn)'!$C$42:$C$58,0))="","",INDEX('Undirviðmiðalisti (Lýsigögn)'!I$42:I$58,MATCH($C109,'Undirviðmiðalisti (Lýsigögn)'!$C$42:$C$58,0))),""))))</f>
        <v/>
      </c>
      <c r="N109" s="16" t="str">
        <f aca="false">IF($C109="","",IF($G109="Einstaklingsbundið",IFERROR(IF(INDEX('Undirviðmiðalisti (Lýsigögn)'!J$42:J$58,MATCH($C109,'Undirviðmiðalisti (Lýsigögn)'!$C$42:$C$58,0))="","",INDEX('Undirviðmiðalisti (Lýsigögn)'!J$42:J$58,MATCH($C109,'Undirviðmiðalisti (Lýsigögn)'!$C$42:$C$58,0))),""),IFERROR(IF(INDEX('Undirviðmiðalisti (Lýsigögn)'!J$6:J$41,MATCH($C109,'Undirviðmiðalisti (Lýsigögn)'!$C$6:$C$41,0))="","",INDEX('Undirviðmiðalisti (Lýsigögn)'!J$6:J$41,MATCH($C109,'Undirviðmiðalisti (Lýsigögn)'!$C$6:$C$41,0))),IFERROR(IF(INDEX('Undirviðmiðalisti (Lýsigögn)'!J$42:J$58,MATCH($C109,'Undirviðmiðalisti (Lýsigögn)'!$C$42:$C$58,0))="","",INDEX('Undirviðmiðalisti (Lýsigögn)'!J$42:J$58,MATCH($C109,'Undirviðmiðalisti (Lýsigögn)'!$C$42:$C$58,0))),""))))</f>
        <v/>
      </c>
      <c r="O109" s="16" t="str">
        <f aca="false">IF($C109="","",IF($G109="Einstaklingsbundið",IFERROR(IF(INDEX('Undirviðmiðalisti (Lýsigögn)'!K$42:K$58,MATCH($C109,'Undirviðmiðalisti (Lýsigögn)'!$C$42:$C$58,0))="","",INDEX('Undirviðmiðalisti (Lýsigögn)'!K$42:K$58,MATCH($C109,'Undirviðmiðalisti (Lýsigögn)'!$C$42:$C$58,0))),""),IFERROR(IF(INDEX('Undirviðmiðalisti (Lýsigögn)'!K$6:K$41,MATCH($C109,'Undirviðmiðalisti (Lýsigögn)'!$C$6:$C$41,0))="","",INDEX('Undirviðmiðalisti (Lýsigögn)'!K$6:K$41,MATCH($C109,'Undirviðmiðalisti (Lýsigögn)'!$C$6:$C$41,0))),IFERROR(IF(INDEX('Undirviðmiðalisti (Lýsigögn)'!K$42:K$58,MATCH($C109,'Undirviðmiðalisti (Lýsigögn)'!$C$42:$C$58,0))="","",INDEX('Undirviðmiðalisti (Lýsigögn)'!K$42:K$58,MATCH($C109,'Undirviðmiðalisti (Lýsigögn)'!$C$42:$C$58,0))),""))))</f>
        <v/>
      </c>
      <c r="P109" s="16" t="str">
        <f aca="false">IF($C109="","",IF($G109="Einstaklingsbundið",IFERROR(IF(INDEX('Undirviðmiðalisti (Lýsigögn)'!L$42:L$58,MATCH($C109,'Undirviðmiðalisti (Lýsigögn)'!$C$42:$C$58,0))="","",INDEX('Undirviðmiðalisti (Lýsigögn)'!L$42:L$58,MATCH($C109,'Undirviðmiðalisti (Lýsigögn)'!$C$42:$C$58,0))),""),IFERROR(IF(INDEX('Undirviðmiðalisti (Lýsigögn)'!L$6:L$41,MATCH($C109,'Undirviðmiðalisti (Lýsigögn)'!$C$6:$C$41,0))="","",INDEX('Undirviðmiðalisti (Lýsigögn)'!L$6:L$41,MATCH($C109,'Undirviðmiðalisti (Lýsigögn)'!$C$6:$C$41,0))),IFERROR(IF(INDEX('Undirviðmiðalisti (Lýsigögn)'!L$42:L$58,MATCH($C109,'Undirviðmiðalisti (Lýsigögn)'!$C$42:$C$58,0))="","",INDEX('Undirviðmiðalisti (Lýsigögn)'!L$42:L$58,MATCH($C109,'Undirviðmiðalisti (Lýsigögn)'!$C$42:$C$58,0))),""))))</f>
        <v/>
      </c>
      <c r="Q109" s="16" t="str">
        <f aca="false">IF($C109="","",IF($G109="Einstaklingsbundið",IFERROR(IF(INDEX('Undirviðmiðalisti (Lýsigögn)'!M$42:M$58,MATCH($C109,'Undirviðmiðalisti (Lýsigögn)'!$C$42:$C$58,0))="","",INDEX('Undirviðmiðalisti (Lýsigögn)'!M$42:M$58,MATCH($C109,'Undirviðmiðalisti (Lýsigögn)'!$C$42:$C$58,0))),""),IFERROR(IF(INDEX('Undirviðmiðalisti (Lýsigögn)'!M$6:M$41,MATCH($C109,'Undirviðmiðalisti (Lýsigögn)'!$C$6:$C$41,0))="","",INDEX('Undirviðmiðalisti (Lýsigögn)'!M$6:M$41,MATCH($C109,'Undirviðmiðalisti (Lýsigögn)'!$C$6:$C$41,0))),IFERROR(IF(INDEX('Undirviðmiðalisti (Lýsigögn)'!M$42:M$58,MATCH($C109,'Undirviðmiðalisti (Lýsigögn)'!$C$42:$C$58,0))="","",INDEX('Undirviðmiðalisti (Lýsigögn)'!M$42:M$58,MATCH($C109,'Undirviðmiðalisti (Lýsigögn)'!$C$42:$C$58,0))),""))))</f>
        <v/>
      </c>
    </row>
    <row r="110" customFormat="false" ht="15" hidden="false" customHeight="true" outlineLevel="0" collapsed="false">
      <c r="A110" s="22" t="str">
        <f aca="false">IF($B110="","",ROW()-5)</f>
        <v/>
      </c>
      <c r="B110" s="15"/>
      <c r="C110" s="15"/>
      <c r="D110" s="16" t="str">
        <f aca="false">IF($C110="","",IF($G110="Einstaklingsbundið",IFERROR(IF(INDEX('Undirviðmiðalisti (Lýsigögn)'!$D$42:$D$58,MATCH($C110,'Undirviðmiðalisti (Lýsigögn)'!$C$42:$C$58,0))="","",INDEX('Undirviðmiðalisti (Lýsigögn)'!$D$42:$D$58,MATCH($C110,'Undirviðmiðalisti (Lýsigögn)'!$C$42:$C$58,0))),""),IFERROR(IF(INDEX('Undirviðmiðalisti (Lýsigögn)'!$D$6:$D$41,MATCH($C110,'Undirviðmiðalisti (Lýsigögn)'!$C$6:$C$41,0))="","",INDEX('Undirviðmiðalisti (Lýsigögn)'!$D$6:$D$41,MATCH($C110,'Undirviðmiðalisti (Lýsigögn)'!$C$6:$C$41,0))),IFERROR(IF(INDEX('Undirviðmiðalisti (Lýsigögn)'!$D$42:$D$58,MATCH($C110,'Undirviðmiðalisti (Lýsigögn)'!$C$42:$C$58,0))="","",INDEX('Undirviðmiðalisti (Lýsigögn)'!$D$42:$D$58,MATCH($C110,'Undirviðmiðalisti (Lýsigögn)'!$C$42:$C$58,0))),""))))</f>
        <v/>
      </c>
      <c r="E110" s="14"/>
      <c r="F110" s="23" t="str">
        <f aca="false">IF($C110="","",IF($G110="Einstaklingsbundið",IFERROR(IF(INDEX('Undirviðmiðalisti (Lýsigögn)'!$E$42:$E$58,MATCH($C110,'Undirviðmiðalisti (Lýsigögn)'!$C$42:$C$58,0))="","",INDEX('Undirviðmiðalisti (Lýsigögn)'!$E$42:$E$58,MATCH($C110,'Undirviðmiðalisti (Lýsigögn)'!$C$42:$C$58,0))),""),IFERROR(IF(INDEX('Undirviðmiðalisti (Lýsigögn)'!$E$6:$E$41,MATCH($C110,'Undirviðmiðalisti (Lýsigögn)'!$C$6:$C$41,0))="","",INDEX('Undirviðmiðalisti (Lýsigögn)'!$E$6:$E$41,MATCH($C110,'Undirviðmiðalisti (Lýsigögn)'!$C$6:$C$41,0))),IFERROR(IF(INDEX('Undirviðmiðalisti (Lýsigögn)'!$E$42:$E$58,MATCH($C110,'Undirviðmiðalisti (Lýsigögn)'!$C$42:$C$58,0))="","",INDEX('Undirviðmiðalisti (Lýsigögn)'!$E$42:$E$58,MATCH($C110,'Undirviðmiðalisti (Lýsigögn)'!$C$42:$C$58,0))),""))))</f>
        <v/>
      </c>
      <c r="G110" s="24" t="str">
        <f aca="false">IFERROR(IF(B110="","",INDEX(Viðmið!$B$6:$B$10,MATCH(B110,Viðmið!$C$6:$C$10,0))),"")</f>
        <v/>
      </c>
      <c r="H110" s="25" t="str">
        <f aca="false">IF(OR(E110="",F110=""),"",E110*KVARDI)</f>
        <v/>
      </c>
      <c r="I110" s="26" t="str">
        <f aca="false">IF(B110="","",IF(ROUND(SUMIF($B$6:$B$205,B110,$E$6:$E$205),4)=ROUND(IFERROR(INDEX(Viðmið!$E$6:$E$10,MATCH(B110,Viðmið!$C$6:$C$10,0)),-1),4),"✓","✗"))</f>
        <v/>
      </c>
      <c r="J110" s="16" t="str">
        <f aca="false">IF($C110="","",IF($G110="Einstaklingsbundið",IFERROR(IF(INDEX('Undirviðmiðalisti (Lýsigögn)'!F$42:F$58,MATCH($C110,'Undirviðmiðalisti (Lýsigögn)'!$C$42:$C$58,0))="","",INDEX('Undirviðmiðalisti (Lýsigögn)'!F$42:F$58,MATCH($C110,'Undirviðmiðalisti (Lýsigögn)'!$C$42:$C$58,0))),""),IFERROR(IF(INDEX('Undirviðmiðalisti (Lýsigögn)'!F$6:F$41,MATCH($C110,'Undirviðmiðalisti (Lýsigögn)'!$C$6:$C$41,0))="","",INDEX('Undirviðmiðalisti (Lýsigögn)'!F$6:F$41,MATCH($C110,'Undirviðmiðalisti (Lýsigögn)'!$C$6:$C$41,0))),IFERROR(IF(INDEX('Undirviðmiðalisti (Lýsigögn)'!F$42:F$58,MATCH($C110,'Undirviðmiðalisti (Lýsigögn)'!$C$42:$C$58,0))="","",INDEX('Undirviðmiðalisti (Lýsigögn)'!F$42:F$58,MATCH($C110,'Undirviðmiðalisti (Lýsigögn)'!$C$42:$C$58,0))),""))))</f>
        <v/>
      </c>
      <c r="K110" s="16" t="str">
        <f aca="false">IF($C110="","",IF($G110="Einstaklingsbundið",IFERROR(IF(INDEX('Undirviðmiðalisti (Lýsigögn)'!G$42:G$58,MATCH($C110,'Undirviðmiðalisti (Lýsigögn)'!$C$42:$C$58,0))="","",INDEX('Undirviðmiðalisti (Lýsigögn)'!G$42:G$58,MATCH($C110,'Undirviðmiðalisti (Lýsigögn)'!$C$42:$C$58,0))),""),IFERROR(IF(INDEX('Undirviðmiðalisti (Lýsigögn)'!G$6:G$41,MATCH($C110,'Undirviðmiðalisti (Lýsigögn)'!$C$6:$C$41,0))="","",INDEX('Undirviðmiðalisti (Lýsigögn)'!G$6:G$41,MATCH($C110,'Undirviðmiðalisti (Lýsigögn)'!$C$6:$C$41,0))),IFERROR(IF(INDEX('Undirviðmiðalisti (Lýsigögn)'!G$42:G$58,MATCH($C110,'Undirviðmiðalisti (Lýsigögn)'!$C$42:$C$58,0))="","",INDEX('Undirviðmiðalisti (Lýsigögn)'!G$42:G$58,MATCH($C110,'Undirviðmiðalisti (Lýsigögn)'!$C$42:$C$58,0))),""))))</f>
        <v/>
      </c>
      <c r="L110" s="16" t="str">
        <f aca="false">IF($C110="","",IF($G110="Einstaklingsbundið",IFERROR(IF(INDEX('Undirviðmiðalisti (Lýsigögn)'!H$42:H$58,MATCH($C110,'Undirviðmiðalisti (Lýsigögn)'!$C$42:$C$58,0))="","",INDEX('Undirviðmiðalisti (Lýsigögn)'!H$42:H$58,MATCH($C110,'Undirviðmiðalisti (Lýsigögn)'!$C$42:$C$58,0))),""),IFERROR(IF(INDEX('Undirviðmiðalisti (Lýsigögn)'!H$6:H$41,MATCH($C110,'Undirviðmiðalisti (Lýsigögn)'!$C$6:$C$41,0))="","",INDEX('Undirviðmiðalisti (Lýsigögn)'!H$6:H$41,MATCH($C110,'Undirviðmiðalisti (Lýsigögn)'!$C$6:$C$41,0))),IFERROR(IF(INDEX('Undirviðmiðalisti (Lýsigögn)'!H$42:H$58,MATCH($C110,'Undirviðmiðalisti (Lýsigögn)'!$C$42:$C$58,0))="","",INDEX('Undirviðmiðalisti (Lýsigögn)'!H$42:H$58,MATCH($C110,'Undirviðmiðalisti (Lýsigögn)'!$C$42:$C$58,0))),""))))</f>
        <v/>
      </c>
      <c r="M110" s="16" t="str">
        <f aca="false">IF($C110="","",IF($G110="Einstaklingsbundið",IFERROR(IF(INDEX('Undirviðmiðalisti (Lýsigögn)'!I$42:I$58,MATCH($C110,'Undirviðmiðalisti (Lýsigögn)'!$C$42:$C$58,0))="","",INDEX('Undirviðmiðalisti (Lýsigögn)'!I$42:I$58,MATCH($C110,'Undirviðmiðalisti (Lýsigögn)'!$C$42:$C$58,0))),""),IFERROR(IF(INDEX('Undirviðmiðalisti (Lýsigögn)'!I$6:I$41,MATCH($C110,'Undirviðmiðalisti (Lýsigögn)'!$C$6:$C$41,0))="","",INDEX('Undirviðmiðalisti (Lýsigögn)'!I$6:I$41,MATCH($C110,'Undirviðmiðalisti (Lýsigögn)'!$C$6:$C$41,0))),IFERROR(IF(INDEX('Undirviðmiðalisti (Lýsigögn)'!I$42:I$58,MATCH($C110,'Undirviðmiðalisti (Lýsigögn)'!$C$42:$C$58,0))="","",INDEX('Undirviðmiðalisti (Lýsigögn)'!I$42:I$58,MATCH($C110,'Undirviðmiðalisti (Lýsigögn)'!$C$42:$C$58,0))),""))))</f>
        <v/>
      </c>
      <c r="N110" s="16" t="str">
        <f aca="false">IF($C110="","",IF($G110="Einstaklingsbundið",IFERROR(IF(INDEX('Undirviðmiðalisti (Lýsigögn)'!J$42:J$58,MATCH($C110,'Undirviðmiðalisti (Lýsigögn)'!$C$42:$C$58,0))="","",INDEX('Undirviðmiðalisti (Lýsigögn)'!J$42:J$58,MATCH($C110,'Undirviðmiðalisti (Lýsigögn)'!$C$42:$C$58,0))),""),IFERROR(IF(INDEX('Undirviðmiðalisti (Lýsigögn)'!J$6:J$41,MATCH($C110,'Undirviðmiðalisti (Lýsigögn)'!$C$6:$C$41,0))="","",INDEX('Undirviðmiðalisti (Lýsigögn)'!J$6:J$41,MATCH($C110,'Undirviðmiðalisti (Lýsigögn)'!$C$6:$C$41,0))),IFERROR(IF(INDEX('Undirviðmiðalisti (Lýsigögn)'!J$42:J$58,MATCH($C110,'Undirviðmiðalisti (Lýsigögn)'!$C$42:$C$58,0))="","",INDEX('Undirviðmiðalisti (Lýsigögn)'!J$42:J$58,MATCH($C110,'Undirviðmiðalisti (Lýsigögn)'!$C$42:$C$58,0))),""))))</f>
        <v/>
      </c>
      <c r="O110" s="16" t="str">
        <f aca="false">IF($C110="","",IF($G110="Einstaklingsbundið",IFERROR(IF(INDEX('Undirviðmiðalisti (Lýsigögn)'!K$42:K$58,MATCH($C110,'Undirviðmiðalisti (Lýsigögn)'!$C$42:$C$58,0))="","",INDEX('Undirviðmiðalisti (Lýsigögn)'!K$42:K$58,MATCH($C110,'Undirviðmiðalisti (Lýsigögn)'!$C$42:$C$58,0))),""),IFERROR(IF(INDEX('Undirviðmiðalisti (Lýsigögn)'!K$6:K$41,MATCH($C110,'Undirviðmiðalisti (Lýsigögn)'!$C$6:$C$41,0))="","",INDEX('Undirviðmiðalisti (Lýsigögn)'!K$6:K$41,MATCH($C110,'Undirviðmiðalisti (Lýsigögn)'!$C$6:$C$41,0))),IFERROR(IF(INDEX('Undirviðmiðalisti (Lýsigögn)'!K$42:K$58,MATCH($C110,'Undirviðmiðalisti (Lýsigögn)'!$C$42:$C$58,0))="","",INDEX('Undirviðmiðalisti (Lýsigögn)'!K$42:K$58,MATCH($C110,'Undirviðmiðalisti (Lýsigögn)'!$C$42:$C$58,0))),""))))</f>
        <v/>
      </c>
      <c r="P110" s="16" t="str">
        <f aca="false">IF($C110="","",IF($G110="Einstaklingsbundið",IFERROR(IF(INDEX('Undirviðmiðalisti (Lýsigögn)'!L$42:L$58,MATCH($C110,'Undirviðmiðalisti (Lýsigögn)'!$C$42:$C$58,0))="","",INDEX('Undirviðmiðalisti (Lýsigögn)'!L$42:L$58,MATCH($C110,'Undirviðmiðalisti (Lýsigögn)'!$C$42:$C$58,0))),""),IFERROR(IF(INDEX('Undirviðmiðalisti (Lýsigögn)'!L$6:L$41,MATCH($C110,'Undirviðmiðalisti (Lýsigögn)'!$C$6:$C$41,0))="","",INDEX('Undirviðmiðalisti (Lýsigögn)'!L$6:L$41,MATCH($C110,'Undirviðmiðalisti (Lýsigögn)'!$C$6:$C$41,0))),IFERROR(IF(INDEX('Undirviðmiðalisti (Lýsigögn)'!L$42:L$58,MATCH($C110,'Undirviðmiðalisti (Lýsigögn)'!$C$42:$C$58,0))="","",INDEX('Undirviðmiðalisti (Lýsigögn)'!L$42:L$58,MATCH($C110,'Undirviðmiðalisti (Lýsigögn)'!$C$42:$C$58,0))),""))))</f>
        <v/>
      </c>
      <c r="Q110" s="16" t="str">
        <f aca="false">IF($C110="","",IF($G110="Einstaklingsbundið",IFERROR(IF(INDEX('Undirviðmiðalisti (Lýsigögn)'!M$42:M$58,MATCH($C110,'Undirviðmiðalisti (Lýsigögn)'!$C$42:$C$58,0))="","",INDEX('Undirviðmiðalisti (Lýsigögn)'!M$42:M$58,MATCH($C110,'Undirviðmiðalisti (Lýsigögn)'!$C$42:$C$58,0))),""),IFERROR(IF(INDEX('Undirviðmiðalisti (Lýsigögn)'!M$6:M$41,MATCH($C110,'Undirviðmiðalisti (Lýsigögn)'!$C$6:$C$41,0))="","",INDEX('Undirviðmiðalisti (Lýsigögn)'!M$6:M$41,MATCH($C110,'Undirviðmiðalisti (Lýsigögn)'!$C$6:$C$41,0))),IFERROR(IF(INDEX('Undirviðmiðalisti (Lýsigögn)'!M$42:M$58,MATCH($C110,'Undirviðmiðalisti (Lýsigögn)'!$C$42:$C$58,0))="","",INDEX('Undirviðmiðalisti (Lýsigögn)'!M$42:M$58,MATCH($C110,'Undirviðmiðalisti (Lýsigögn)'!$C$42:$C$58,0))),""))))</f>
        <v/>
      </c>
    </row>
    <row r="111" customFormat="false" ht="15" hidden="false" customHeight="true" outlineLevel="0" collapsed="false">
      <c r="A111" s="22" t="str">
        <f aca="false">IF($B111="","",ROW()-5)</f>
        <v/>
      </c>
      <c r="B111" s="15"/>
      <c r="C111" s="15"/>
      <c r="D111" s="16" t="str">
        <f aca="false">IF($C111="","",IF($G111="Einstaklingsbundið",IFERROR(IF(INDEX('Undirviðmiðalisti (Lýsigögn)'!$D$42:$D$58,MATCH($C111,'Undirviðmiðalisti (Lýsigögn)'!$C$42:$C$58,0))="","",INDEX('Undirviðmiðalisti (Lýsigögn)'!$D$42:$D$58,MATCH($C111,'Undirviðmiðalisti (Lýsigögn)'!$C$42:$C$58,0))),""),IFERROR(IF(INDEX('Undirviðmiðalisti (Lýsigögn)'!$D$6:$D$41,MATCH($C111,'Undirviðmiðalisti (Lýsigögn)'!$C$6:$C$41,0))="","",INDEX('Undirviðmiðalisti (Lýsigögn)'!$D$6:$D$41,MATCH($C111,'Undirviðmiðalisti (Lýsigögn)'!$C$6:$C$41,0))),IFERROR(IF(INDEX('Undirviðmiðalisti (Lýsigögn)'!$D$42:$D$58,MATCH($C111,'Undirviðmiðalisti (Lýsigögn)'!$C$42:$C$58,0))="","",INDEX('Undirviðmiðalisti (Lýsigögn)'!$D$42:$D$58,MATCH($C111,'Undirviðmiðalisti (Lýsigögn)'!$C$42:$C$58,0))),""))))</f>
        <v/>
      </c>
      <c r="E111" s="14"/>
      <c r="F111" s="23" t="str">
        <f aca="false">IF($C111="","",IF($G111="Einstaklingsbundið",IFERROR(IF(INDEX('Undirviðmiðalisti (Lýsigögn)'!$E$42:$E$58,MATCH($C111,'Undirviðmiðalisti (Lýsigögn)'!$C$42:$C$58,0))="","",INDEX('Undirviðmiðalisti (Lýsigögn)'!$E$42:$E$58,MATCH($C111,'Undirviðmiðalisti (Lýsigögn)'!$C$42:$C$58,0))),""),IFERROR(IF(INDEX('Undirviðmiðalisti (Lýsigögn)'!$E$6:$E$41,MATCH($C111,'Undirviðmiðalisti (Lýsigögn)'!$C$6:$C$41,0))="","",INDEX('Undirviðmiðalisti (Lýsigögn)'!$E$6:$E$41,MATCH($C111,'Undirviðmiðalisti (Lýsigögn)'!$C$6:$C$41,0))),IFERROR(IF(INDEX('Undirviðmiðalisti (Lýsigögn)'!$E$42:$E$58,MATCH($C111,'Undirviðmiðalisti (Lýsigögn)'!$C$42:$C$58,0))="","",INDEX('Undirviðmiðalisti (Lýsigögn)'!$E$42:$E$58,MATCH($C111,'Undirviðmiðalisti (Lýsigögn)'!$C$42:$C$58,0))),""))))</f>
        <v/>
      </c>
      <c r="G111" s="24" t="str">
        <f aca="false">IFERROR(IF(B111="","",INDEX(Viðmið!$B$6:$B$10,MATCH(B111,Viðmið!$C$6:$C$10,0))),"")</f>
        <v/>
      </c>
      <c r="H111" s="25" t="str">
        <f aca="false">IF(OR(E111="",F111=""),"",E111*KVARDI)</f>
        <v/>
      </c>
      <c r="I111" s="26" t="str">
        <f aca="false">IF(B111="","",IF(ROUND(SUMIF($B$6:$B$205,B111,$E$6:$E$205),4)=ROUND(IFERROR(INDEX(Viðmið!$E$6:$E$10,MATCH(B111,Viðmið!$C$6:$C$10,0)),-1),4),"✓","✗"))</f>
        <v/>
      </c>
      <c r="J111" s="16" t="str">
        <f aca="false">IF($C111="","",IF($G111="Einstaklingsbundið",IFERROR(IF(INDEX('Undirviðmiðalisti (Lýsigögn)'!F$42:F$58,MATCH($C111,'Undirviðmiðalisti (Lýsigögn)'!$C$42:$C$58,0))="","",INDEX('Undirviðmiðalisti (Lýsigögn)'!F$42:F$58,MATCH($C111,'Undirviðmiðalisti (Lýsigögn)'!$C$42:$C$58,0))),""),IFERROR(IF(INDEX('Undirviðmiðalisti (Lýsigögn)'!F$6:F$41,MATCH($C111,'Undirviðmiðalisti (Lýsigögn)'!$C$6:$C$41,0))="","",INDEX('Undirviðmiðalisti (Lýsigögn)'!F$6:F$41,MATCH($C111,'Undirviðmiðalisti (Lýsigögn)'!$C$6:$C$41,0))),IFERROR(IF(INDEX('Undirviðmiðalisti (Lýsigögn)'!F$42:F$58,MATCH($C111,'Undirviðmiðalisti (Lýsigögn)'!$C$42:$C$58,0))="","",INDEX('Undirviðmiðalisti (Lýsigögn)'!F$42:F$58,MATCH($C111,'Undirviðmiðalisti (Lýsigögn)'!$C$42:$C$58,0))),""))))</f>
        <v/>
      </c>
      <c r="K111" s="16" t="str">
        <f aca="false">IF($C111="","",IF($G111="Einstaklingsbundið",IFERROR(IF(INDEX('Undirviðmiðalisti (Lýsigögn)'!G$42:G$58,MATCH($C111,'Undirviðmiðalisti (Lýsigögn)'!$C$42:$C$58,0))="","",INDEX('Undirviðmiðalisti (Lýsigögn)'!G$42:G$58,MATCH($C111,'Undirviðmiðalisti (Lýsigögn)'!$C$42:$C$58,0))),""),IFERROR(IF(INDEX('Undirviðmiðalisti (Lýsigögn)'!G$6:G$41,MATCH($C111,'Undirviðmiðalisti (Lýsigögn)'!$C$6:$C$41,0))="","",INDEX('Undirviðmiðalisti (Lýsigögn)'!G$6:G$41,MATCH($C111,'Undirviðmiðalisti (Lýsigögn)'!$C$6:$C$41,0))),IFERROR(IF(INDEX('Undirviðmiðalisti (Lýsigögn)'!G$42:G$58,MATCH($C111,'Undirviðmiðalisti (Lýsigögn)'!$C$42:$C$58,0))="","",INDEX('Undirviðmiðalisti (Lýsigögn)'!G$42:G$58,MATCH($C111,'Undirviðmiðalisti (Lýsigögn)'!$C$42:$C$58,0))),""))))</f>
        <v/>
      </c>
      <c r="L111" s="16" t="str">
        <f aca="false">IF($C111="","",IF($G111="Einstaklingsbundið",IFERROR(IF(INDEX('Undirviðmiðalisti (Lýsigögn)'!H$42:H$58,MATCH($C111,'Undirviðmiðalisti (Lýsigögn)'!$C$42:$C$58,0))="","",INDEX('Undirviðmiðalisti (Lýsigögn)'!H$42:H$58,MATCH($C111,'Undirviðmiðalisti (Lýsigögn)'!$C$42:$C$58,0))),""),IFERROR(IF(INDEX('Undirviðmiðalisti (Lýsigögn)'!H$6:H$41,MATCH($C111,'Undirviðmiðalisti (Lýsigögn)'!$C$6:$C$41,0))="","",INDEX('Undirviðmiðalisti (Lýsigögn)'!H$6:H$41,MATCH($C111,'Undirviðmiðalisti (Lýsigögn)'!$C$6:$C$41,0))),IFERROR(IF(INDEX('Undirviðmiðalisti (Lýsigögn)'!H$42:H$58,MATCH($C111,'Undirviðmiðalisti (Lýsigögn)'!$C$42:$C$58,0))="","",INDEX('Undirviðmiðalisti (Lýsigögn)'!H$42:H$58,MATCH($C111,'Undirviðmiðalisti (Lýsigögn)'!$C$42:$C$58,0))),""))))</f>
        <v/>
      </c>
      <c r="M111" s="16" t="str">
        <f aca="false">IF($C111="","",IF($G111="Einstaklingsbundið",IFERROR(IF(INDEX('Undirviðmiðalisti (Lýsigögn)'!I$42:I$58,MATCH($C111,'Undirviðmiðalisti (Lýsigögn)'!$C$42:$C$58,0))="","",INDEX('Undirviðmiðalisti (Lýsigögn)'!I$42:I$58,MATCH($C111,'Undirviðmiðalisti (Lýsigögn)'!$C$42:$C$58,0))),""),IFERROR(IF(INDEX('Undirviðmiðalisti (Lýsigögn)'!I$6:I$41,MATCH($C111,'Undirviðmiðalisti (Lýsigögn)'!$C$6:$C$41,0))="","",INDEX('Undirviðmiðalisti (Lýsigögn)'!I$6:I$41,MATCH($C111,'Undirviðmiðalisti (Lýsigögn)'!$C$6:$C$41,0))),IFERROR(IF(INDEX('Undirviðmiðalisti (Lýsigögn)'!I$42:I$58,MATCH($C111,'Undirviðmiðalisti (Lýsigögn)'!$C$42:$C$58,0))="","",INDEX('Undirviðmiðalisti (Lýsigögn)'!I$42:I$58,MATCH($C111,'Undirviðmiðalisti (Lýsigögn)'!$C$42:$C$58,0))),""))))</f>
        <v/>
      </c>
      <c r="N111" s="16" t="str">
        <f aca="false">IF($C111="","",IF($G111="Einstaklingsbundið",IFERROR(IF(INDEX('Undirviðmiðalisti (Lýsigögn)'!J$42:J$58,MATCH($C111,'Undirviðmiðalisti (Lýsigögn)'!$C$42:$C$58,0))="","",INDEX('Undirviðmiðalisti (Lýsigögn)'!J$42:J$58,MATCH($C111,'Undirviðmiðalisti (Lýsigögn)'!$C$42:$C$58,0))),""),IFERROR(IF(INDEX('Undirviðmiðalisti (Lýsigögn)'!J$6:J$41,MATCH($C111,'Undirviðmiðalisti (Lýsigögn)'!$C$6:$C$41,0))="","",INDEX('Undirviðmiðalisti (Lýsigögn)'!J$6:J$41,MATCH($C111,'Undirviðmiðalisti (Lýsigögn)'!$C$6:$C$41,0))),IFERROR(IF(INDEX('Undirviðmiðalisti (Lýsigögn)'!J$42:J$58,MATCH($C111,'Undirviðmiðalisti (Lýsigögn)'!$C$42:$C$58,0))="","",INDEX('Undirviðmiðalisti (Lýsigögn)'!J$42:J$58,MATCH($C111,'Undirviðmiðalisti (Lýsigögn)'!$C$42:$C$58,0))),""))))</f>
        <v/>
      </c>
      <c r="O111" s="16" t="str">
        <f aca="false">IF($C111="","",IF($G111="Einstaklingsbundið",IFERROR(IF(INDEX('Undirviðmiðalisti (Lýsigögn)'!K$42:K$58,MATCH($C111,'Undirviðmiðalisti (Lýsigögn)'!$C$42:$C$58,0))="","",INDEX('Undirviðmiðalisti (Lýsigögn)'!K$42:K$58,MATCH($C111,'Undirviðmiðalisti (Lýsigögn)'!$C$42:$C$58,0))),""),IFERROR(IF(INDEX('Undirviðmiðalisti (Lýsigögn)'!K$6:K$41,MATCH($C111,'Undirviðmiðalisti (Lýsigögn)'!$C$6:$C$41,0))="","",INDEX('Undirviðmiðalisti (Lýsigögn)'!K$6:K$41,MATCH($C111,'Undirviðmiðalisti (Lýsigögn)'!$C$6:$C$41,0))),IFERROR(IF(INDEX('Undirviðmiðalisti (Lýsigögn)'!K$42:K$58,MATCH($C111,'Undirviðmiðalisti (Lýsigögn)'!$C$42:$C$58,0))="","",INDEX('Undirviðmiðalisti (Lýsigögn)'!K$42:K$58,MATCH($C111,'Undirviðmiðalisti (Lýsigögn)'!$C$42:$C$58,0))),""))))</f>
        <v/>
      </c>
      <c r="P111" s="16" t="str">
        <f aca="false">IF($C111="","",IF($G111="Einstaklingsbundið",IFERROR(IF(INDEX('Undirviðmiðalisti (Lýsigögn)'!L$42:L$58,MATCH($C111,'Undirviðmiðalisti (Lýsigögn)'!$C$42:$C$58,0))="","",INDEX('Undirviðmiðalisti (Lýsigögn)'!L$42:L$58,MATCH($C111,'Undirviðmiðalisti (Lýsigögn)'!$C$42:$C$58,0))),""),IFERROR(IF(INDEX('Undirviðmiðalisti (Lýsigögn)'!L$6:L$41,MATCH($C111,'Undirviðmiðalisti (Lýsigögn)'!$C$6:$C$41,0))="","",INDEX('Undirviðmiðalisti (Lýsigögn)'!L$6:L$41,MATCH($C111,'Undirviðmiðalisti (Lýsigögn)'!$C$6:$C$41,0))),IFERROR(IF(INDEX('Undirviðmiðalisti (Lýsigögn)'!L$42:L$58,MATCH($C111,'Undirviðmiðalisti (Lýsigögn)'!$C$42:$C$58,0))="","",INDEX('Undirviðmiðalisti (Lýsigögn)'!L$42:L$58,MATCH($C111,'Undirviðmiðalisti (Lýsigögn)'!$C$42:$C$58,0))),""))))</f>
        <v/>
      </c>
      <c r="Q111" s="16" t="str">
        <f aca="false">IF($C111="","",IF($G111="Einstaklingsbundið",IFERROR(IF(INDEX('Undirviðmiðalisti (Lýsigögn)'!M$42:M$58,MATCH($C111,'Undirviðmiðalisti (Lýsigögn)'!$C$42:$C$58,0))="","",INDEX('Undirviðmiðalisti (Lýsigögn)'!M$42:M$58,MATCH($C111,'Undirviðmiðalisti (Lýsigögn)'!$C$42:$C$58,0))),""),IFERROR(IF(INDEX('Undirviðmiðalisti (Lýsigögn)'!M$6:M$41,MATCH($C111,'Undirviðmiðalisti (Lýsigögn)'!$C$6:$C$41,0))="","",INDEX('Undirviðmiðalisti (Lýsigögn)'!M$6:M$41,MATCH($C111,'Undirviðmiðalisti (Lýsigögn)'!$C$6:$C$41,0))),IFERROR(IF(INDEX('Undirviðmiðalisti (Lýsigögn)'!M$42:M$58,MATCH($C111,'Undirviðmiðalisti (Lýsigögn)'!$C$42:$C$58,0))="","",INDEX('Undirviðmiðalisti (Lýsigögn)'!M$42:M$58,MATCH($C111,'Undirviðmiðalisti (Lýsigögn)'!$C$42:$C$58,0))),""))))</f>
        <v/>
      </c>
    </row>
    <row r="112" customFormat="false" ht="15" hidden="false" customHeight="true" outlineLevel="0" collapsed="false">
      <c r="A112" s="22" t="str">
        <f aca="false">IF($B112="","",ROW()-5)</f>
        <v/>
      </c>
      <c r="B112" s="15"/>
      <c r="C112" s="15"/>
      <c r="D112" s="16" t="str">
        <f aca="false">IF($C112="","",IF($G112="Einstaklingsbundið",IFERROR(IF(INDEX('Undirviðmiðalisti (Lýsigögn)'!$D$42:$D$58,MATCH($C112,'Undirviðmiðalisti (Lýsigögn)'!$C$42:$C$58,0))="","",INDEX('Undirviðmiðalisti (Lýsigögn)'!$D$42:$D$58,MATCH($C112,'Undirviðmiðalisti (Lýsigögn)'!$C$42:$C$58,0))),""),IFERROR(IF(INDEX('Undirviðmiðalisti (Lýsigögn)'!$D$6:$D$41,MATCH($C112,'Undirviðmiðalisti (Lýsigögn)'!$C$6:$C$41,0))="","",INDEX('Undirviðmiðalisti (Lýsigögn)'!$D$6:$D$41,MATCH($C112,'Undirviðmiðalisti (Lýsigögn)'!$C$6:$C$41,0))),IFERROR(IF(INDEX('Undirviðmiðalisti (Lýsigögn)'!$D$42:$D$58,MATCH($C112,'Undirviðmiðalisti (Lýsigögn)'!$C$42:$C$58,0))="","",INDEX('Undirviðmiðalisti (Lýsigögn)'!$D$42:$D$58,MATCH($C112,'Undirviðmiðalisti (Lýsigögn)'!$C$42:$C$58,0))),""))))</f>
        <v/>
      </c>
      <c r="E112" s="14"/>
      <c r="F112" s="23" t="str">
        <f aca="false">IF($C112="","",IF($G112="Einstaklingsbundið",IFERROR(IF(INDEX('Undirviðmiðalisti (Lýsigögn)'!$E$42:$E$58,MATCH($C112,'Undirviðmiðalisti (Lýsigögn)'!$C$42:$C$58,0))="","",INDEX('Undirviðmiðalisti (Lýsigögn)'!$E$42:$E$58,MATCH($C112,'Undirviðmiðalisti (Lýsigögn)'!$C$42:$C$58,0))),""),IFERROR(IF(INDEX('Undirviðmiðalisti (Lýsigögn)'!$E$6:$E$41,MATCH($C112,'Undirviðmiðalisti (Lýsigögn)'!$C$6:$C$41,0))="","",INDEX('Undirviðmiðalisti (Lýsigögn)'!$E$6:$E$41,MATCH($C112,'Undirviðmiðalisti (Lýsigögn)'!$C$6:$C$41,0))),IFERROR(IF(INDEX('Undirviðmiðalisti (Lýsigögn)'!$E$42:$E$58,MATCH($C112,'Undirviðmiðalisti (Lýsigögn)'!$C$42:$C$58,0))="","",INDEX('Undirviðmiðalisti (Lýsigögn)'!$E$42:$E$58,MATCH($C112,'Undirviðmiðalisti (Lýsigögn)'!$C$42:$C$58,0))),""))))</f>
        <v/>
      </c>
      <c r="G112" s="24" t="str">
        <f aca="false">IFERROR(IF(B112="","",INDEX(Viðmið!$B$6:$B$10,MATCH(B112,Viðmið!$C$6:$C$10,0))),"")</f>
        <v/>
      </c>
      <c r="H112" s="25" t="str">
        <f aca="false">IF(OR(E112="",F112=""),"",E112*KVARDI)</f>
        <v/>
      </c>
      <c r="I112" s="26" t="str">
        <f aca="false">IF(B112="","",IF(ROUND(SUMIF($B$6:$B$205,B112,$E$6:$E$205),4)=ROUND(IFERROR(INDEX(Viðmið!$E$6:$E$10,MATCH(B112,Viðmið!$C$6:$C$10,0)),-1),4),"✓","✗"))</f>
        <v/>
      </c>
      <c r="J112" s="16" t="str">
        <f aca="false">IF($C112="","",IF($G112="Einstaklingsbundið",IFERROR(IF(INDEX('Undirviðmiðalisti (Lýsigögn)'!F$42:F$58,MATCH($C112,'Undirviðmiðalisti (Lýsigögn)'!$C$42:$C$58,0))="","",INDEX('Undirviðmiðalisti (Lýsigögn)'!F$42:F$58,MATCH($C112,'Undirviðmiðalisti (Lýsigögn)'!$C$42:$C$58,0))),""),IFERROR(IF(INDEX('Undirviðmiðalisti (Lýsigögn)'!F$6:F$41,MATCH($C112,'Undirviðmiðalisti (Lýsigögn)'!$C$6:$C$41,0))="","",INDEX('Undirviðmiðalisti (Lýsigögn)'!F$6:F$41,MATCH($C112,'Undirviðmiðalisti (Lýsigögn)'!$C$6:$C$41,0))),IFERROR(IF(INDEX('Undirviðmiðalisti (Lýsigögn)'!F$42:F$58,MATCH($C112,'Undirviðmiðalisti (Lýsigögn)'!$C$42:$C$58,0))="","",INDEX('Undirviðmiðalisti (Lýsigögn)'!F$42:F$58,MATCH($C112,'Undirviðmiðalisti (Lýsigögn)'!$C$42:$C$58,0))),""))))</f>
        <v/>
      </c>
      <c r="K112" s="16" t="str">
        <f aca="false">IF($C112="","",IF($G112="Einstaklingsbundið",IFERROR(IF(INDEX('Undirviðmiðalisti (Lýsigögn)'!G$42:G$58,MATCH($C112,'Undirviðmiðalisti (Lýsigögn)'!$C$42:$C$58,0))="","",INDEX('Undirviðmiðalisti (Lýsigögn)'!G$42:G$58,MATCH($C112,'Undirviðmiðalisti (Lýsigögn)'!$C$42:$C$58,0))),""),IFERROR(IF(INDEX('Undirviðmiðalisti (Lýsigögn)'!G$6:G$41,MATCH($C112,'Undirviðmiðalisti (Lýsigögn)'!$C$6:$C$41,0))="","",INDEX('Undirviðmiðalisti (Lýsigögn)'!G$6:G$41,MATCH($C112,'Undirviðmiðalisti (Lýsigögn)'!$C$6:$C$41,0))),IFERROR(IF(INDEX('Undirviðmiðalisti (Lýsigögn)'!G$42:G$58,MATCH($C112,'Undirviðmiðalisti (Lýsigögn)'!$C$42:$C$58,0))="","",INDEX('Undirviðmiðalisti (Lýsigögn)'!G$42:G$58,MATCH($C112,'Undirviðmiðalisti (Lýsigögn)'!$C$42:$C$58,0))),""))))</f>
        <v/>
      </c>
      <c r="L112" s="16" t="str">
        <f aca="false">IF($C112="","",IF($G112="Einstaklingsbundið",IFERROR(IF(INDEX('Undirviðmiðalisti (Lýsigögn)'!H$42:H$58,MATCH($C112,'Undirviðmiðalisti (Lýsigögn)'!$C$42:$C$58,0))="","",INDEX('Undirviðmiðalisti (Lýsigögn)'!H$42:H$58,MATCH($C112,'Undirviðmiðalisti (Lýsigögn)'!$C$42:$C$58,0))),""),IFERROR(IF(INDEX('Undirviðmiðalisti (Lýsigögn)'!H$6:H$41,MATCH($C112,'Undirviðmiðalisti (Lýsigögn)'!$C$6:$C$41,0))="","",INDEX('Undirviðmiðalisti (Lýsigögn)'!H$6:H$41,MATCH($C112,'Undirviðmiðalisti (Lýsigögn)'!$C$6:$C$41,0))),IFERROR(IF(INDEX('Undirviðmiðalisti (Lýsigögn)'!H$42:H$58,MATCH($C112,'Undirviðmiðalisti (Lýsigögn)'!$C$42:$C$58,0))="","",INDEX('Undirviðmiðalisti (Lýsigögn)'!H$42:H$58,MATCH($C112,'Undirviðmiðalisti (Lýsigögn)'!$C$42:$C$58,0))),""))))</f>
        <v/>
      </c>
      <c r="M112" s="16" t="str">
        <f aca="false">IF($C112="","",IF($G112="Einstaklingsbundið",IFERROR(IF(INDEX('Undirviðmiðalisti (Lýsigögn)'!I$42:I$58,MATCH($C112,'Undirviðmiðalisti (Lýsigögn)'!$C$42:$C$58,0))="","",INDEX('Undirviðmiðalisti (Lýsigögn)'!I$42:I$58,MATCH($C112,'Undirviðmiðalisti (Lýsigögn)'!$C$42:$C$58,0))),""),IFERROR(IF(INDEX('Undirviðmiðalisti (Lýsigögn)'!I$6:I$41,MATCH($C112,'Undirviðmiðalisti (Lýsigögn)'!$C$6:$C$41,0))="","",INDEX('Undirviðmiðalisti (Lýsigögn)'!I$6:I$41,MATCH($C112,'Undirviðmiðalisti (Lýsigögn)'!$C$6:$C$41,0))),IFERROR(IF(INDEX('Undirviðmiðalisti (Lýsigögn)'!I$42:I$58,MATCH($C112,'Undirviðmiðalisti (Lýsigögn)'!$C$42:$C$58,0))="","",INDEX('Undirviðmiðalisti (Lýsigögn)'!I$42:I$58,MATCH($C112,'Undirviðmiðalisti (Lýsigögn)'!$C$42:$C$58,0))),""))))</f>
        <v/>
      </c>
      <c r="N112" s="16" t="str">
        <f aca="false">IF($C112="","",IF($G112="Einstaklingsbundið",IFERROR(IF(INDEX('Undirviðmiðalisti (Lýsigögn)'!J$42:J$58,MATCH($C112,'Undirviðmiðalisti (Lýsigögn)'!$C$42:$C$58,0))="","",INDEX('Undirviðmiðalisti (Lýsigögn)'!J$42:J$58,MATCH($C112,'Undirviðmiðalisti (Lýsigögn)'!$C$42:$C$58,0))),""),IFERROR(IF(INDEX('Undirviðmiðalisti (Lýsigögn)'!J$6:J$41,MATCH($C112,'Undirviðmiðalisti (Lýsigögn)'!$C$6:$C$41,0))="","",INDEX('Undirviðmiðalisti (Lýsigögn)'!J$6:J$41,MATCH($C112,'Undirviðmiðalisti (Lýsigögn)'!$C$6:$C$41,0))),IFERROR(IF(INDEX('Undirviðmiðalisti (Lýsigögn)'!J$42:J$58,MATCH($C112,'Undirviðmiðalisti (Lýsigögn)'!$C$42:$C$58,0))="","",INDEX('Undirviðmiðalisti (Lýsigögn)'!J$42:J$58,MATCH($C112,'Undirviðmiðalisti (Lýsigögn)'!$C$42:$C$58,0))),""))))</f>
        <v/>
      </c>
      <c r="O112" s="16" t="str">
        <f aca="false">IF($C112="","",IF($G112="Einstaklingsbundið",IFERROR(IF(INDEX('Undirviðmiðalisti (Lýsigögn)'!K$42:K$58,MATCH($C112,'Undirviðmiðalisti (Lýsigögn)'!$C$42:$C$58,0))="","",INDEX('Undirviðmiðalisti (Lýsigögn)'!K$42:K$58,MATCH($C112,'Undirviðmiðalisti (Lýsigögn)'!$C$42:$C$58,0))),""),IFERROR(IF(INDEX('Undirviðmiðalisti (Lýsigögn)'!K$6:K$41,MATCH($C112,'Undirviðmiðalisti (Lýsigögn)'!$C$6:$C$41,0))="","",INDEX('Undirviðmiðalisti (Lýsigögn)'!K$6:K$41,MATCH($C112,'Undirviðmiðalisti (Lýsigögn)'!$C$6:$C$41,0))),IFERROR(IF(INDEX('Undirviðmiðalisti (Lýsigögn)'!K$42:K$58,MATCH($C112,'Undirviðmiðalisti (Lýsigögn)'!$C$42:$C$58,0))="","",INDEX('Undirviðmiðalisti (Lýsigögn)'!K$42:K$58,MATCH($C112,'Undirviðmiðalisti (Lýsigögn)'!$C$42:$C$58,0))),""))))</f>
        <v/>
      </c>
      <c r="P112" s="16" t="str">
        <f aca="false">IF($C112="","",IF($G112="Einstaklingsbundið",IFERROR(IF(INDEX('Undirviðmiðalisti (Lýsigögn)'!L$42:L$58,MATCH($C112,'Undirviðmiðalisti (Lýsigögn)'!$C$42:$C$58,0))="","",INDEX('Undirviðmiðalisti (Lýsigögn)'!L$42:L$58,MATCH($C112,'Undirviðmiðalisti (Lýsigögn)'!$C$42:$C$58,0))),""),IFERROR(IF(INDEX('Undirviðmiðalisti (Lýsigögn)'!L$6:L$41,MATCH($C112,'Undirviðmiðalisti (Lýsigögn)'!$C$6:$C$41,0))="","",INDEX('Undirviðmiðalisti (Lýsigögn)'!L$6:L$41,MATCH($C112,'Undirviðmiðalisti (Lýsigögn)'!$C$6:$C$41,0))),IFERROR(IF(INDEX('Undirviðmiðalisti (Lýsigögn)'!L$42:L$58,MATCH($C112,'Undirviðmiðalisti (Lýsigögn)'!$C$42:$C$58,0))="","",INDEX('Undirviðmiðalisti (Lýsigögn)'!L$42:L$58,MATCH($C112,'Undirviðmiðalisti (Lýsigögn)'!$C$42:$C$58,0))),""))))</f>
        <v/>
      </c>
      <c r="Q112" s="16" t="str">
        <f aca="false">IF($C112="","",IF($G112="Einstaklingsbundið",IFERROR(IF(INDEX('Undirviðmiðalisti (Lýsigögn)'!M$42:M$58,MATCH($C112,'Undirviðmiðalisti (Lýsigögn)'!$C$42:$C$58,0))="","",INDEX('Undirviðmiðalisti (Lýsigögn)'!M$42:M$58,MATCH($C112,'Undirviðmiðalisti (Lýsigögn)'!$C$42:$C$58,0))),""),IFERROR(IF(INDEX('Undirviðmiðalisti (Lýsigögn)'!M$6:M$41,MATCH($C112,'Undirviðmiðalisti (Lýsigögn)'!$C$6:$C$41,0))="","",INDEX('Undirviðmiðalisti (Lýsigögn)'!M$6:M$41,MATCH($C112,'Undirviðmiðalisti (Lýsigögn)'!$C$6:$C$41,0))),IFERROR(IF(INDEX('Undirviðmiðalisti (Lýsigögn)'!M$42:M$58,MATCH($C112,'Undirviðmiðalisti (Lýsigögn)'!$C$42:$C$58,0))="","",INDEX('Undirviðmiðalisti (Lýsigögn)'!M$42:M$58,MATCH($C112,'Undirviðmiðalisti (Lýsigögn)'!$C$42:$C$58,0))),""))))</f>
        <v/>
      </c>
    </row>
    <row r="113" customFormat="false" ht="15" hidden="false" customHeight="true" outlineLevel="0" collapsed="false">
      <c r="A113" s="22" t="str">
        <f aca="false">IF($B113="","",ROW()-5)</f>
        <v/>
      </c>
      <c r="B113" s="15"/>
      <c r="C113" s="15"/>
      <c r="D113" s="16" t="str">
        <f aca="false">IF($C113="","",IF($G113="Einstaklingsbundið",IFERROR(IF(INDEX('Undirviðmiðalisti (Lýsigögn)'!$D$42:$D$58,MATCH($C113,'Undirviðmiðalisti (Lýsigögn)'!$C$42:$C$58,0))="","",INDEX('Undirviðmiðalisti (Lýsigögn)'!$D$42:$D$58,MATCH($C113,'Undirviðmiðalisti (Lýsigögn)'!$C$42:$C$58,0))),""),IFERROR(IF(INDEX('Undirviðmiðalisti (Lýsigögn)'!$D$6:$D$41,MATCH($C113,'Undirviðmiðalisti (Lýsigögn)'!$C$6:$C$41,0))="","",INDEX('Undirviðmiðalisti (Lýsigögn)'!$D$6:$D$41,MATCH($C113,'Undirviðmiðalisti (Lýsigögn)'!$C$6:$C$41,0))),IFERROR(IF(INDEX('Undirviðmiðalisti (Lýsigögn)'!$D$42:$D$58,MATCH($C113,'Undirviðmiðalisti (Lýsigögn)'!$C$42:$C$58,0))="","",INDEX('Undirviðmiðalisti (Lýsigögn)'!$D$42:$D$58,MATCH($C113,'Undirviðmiðalisti (Lýsigögn)'!$C$42:$C$58,0))),""))))</f>
        <v/>
      </c>
      <c r="E113" s="14"/>
      <c r="F113" s="23" t="str">
        <f aca="false">IF($C113="","",IF($G113="Einstaklingsbundið",IFERROR(IF(INDEX('Undirviðmiðalisti (Lýsigögn)'!$E$42:$E$58,MATCH($C113,'Undirviðmiðalisti (Lýsigögn)'!$C$42:$C$58,0))="","",INDEX('Undirviðmiðalisti (Lýsigögn)'!$E$42:$E$58,MATCH($C113,'Undirviðmiðalisti (Lýsigögn)'!$C$42:$C$58,0))),""),IFERROR(IF(INDEX('Undirviðmiðalisti (Lýsigögn)'!$E$6:$E$41,MATCH($C113,'Undirviðmiðalisti (Lýsigögn)'!$C$6:$C$41,0))="","",INDEX('Undirviðmiðalisti (Lýsigögn)'!$E$6:$E$41,MATCH($C113,'Undirviðmiðalisti (Lýsigögn)'!$C$6:$C$41,0))),IFERROR(IF(INDEX('Undirviðmiðalisti (Lýsigögn)'!$E$42:$E$58,MATCH($C113,'Undirviðmiðalisti (Lýsigögn)'!$C$42:$C$58,0))="","",INDEX('Undirviðmiðalisti (Lýsigögn)'!$E$42:$E$58,MATCH($C113,'Undirviðmiðalisti (Lýsigögn)'!$C$42:$C$58,0))),""))))</f>
        <v/>
      </c>
      <c r="G113" s="24" t="str">
        <f aca="false">IFERROR(IF(B113="","",INDEX(Viðmið!$B$6:$B$10,MATCH(B113,Viðmið!$C$6:$C$10,0))),"")</f>
        <v/>
      </c>
      <c r="H113" s="25" t="str">
        <f aca="false">IF(OR(E113="",F113=""),"",E113*KVARDI)</f>
        <v/>
      </c>
      <c r="I113" s="26" t="str">
        <f aca="false">IF(B113="","",IF(ROUND(SUMIF($B$6:$B$205,B113,$E$6:$E$205),4)=ROUND(IFERROR(INDEX(Viðmið!$E$6:$E$10,MATCH(B113,Viðmið!$C$6:$C$10,0)),-1),4),"✓","✗"))</f>
        <v/>
      </c>
      <c r="J113" s="16" t="str">
        <f aca="false">IF($C113="","",IF($G113="Einstaklingsbundið",IFERROR(IF(INDEX('Undirviðmiðalisti (Lýsigögn)'!F$42:F$58,MATCH($C113,'Undirviðmiðalisti (Lýsigögn)'!$C$42:$C$58,0))="","",INDEX('Undirviðmiðalisti (Lýsigögn)'!F$42:F$58,MATCH($C113,'Undirviðmiðalisti (Lýsigögn)'!$C$42:$C$58,0))),""),IFERROR(IF(INDEX('Undirviðmiðalisti (Lýsigögn)'!F$6:F$41,MATCH($C113,'Undirviðmiðalisti (Lýsigögn)'!$C$6:$C$41,0))="","",INDEX('Undirviðmiðalisti (Lýsigögn)'!F$6:F$41,MATCH($C113,'Undirviðmiðalisti (Lýsigögn)'!$C$6:$C$41,0))),IFERROR(IF(INDEX('Undirviðmiðalisti (Lýsigögn)'!F$42:F$58,MATCH($C113,'Undirviðmiðalisti (Lýsigögn)'!$C$42:$C$58,0))="","",INDEX('Undirviðmiðalisti (Lýsigögn)'!F$42:F$58,MATCH($C113,'Undirviðmiðalisti (Lýsigögn)'!$C$42:$C$58,0))),""))))</f>
        <v/>
      </c>
      <c r="K113" s="16" t="str">
        <f aca="false">IF($C113="","",IF($G113="Einstaklingsbundið",IFERROR(IF(INDEX('Undirviðmiðalisti (Lýsigögn)'!G$42:G$58,MATCH($C113,'Undirviðmiðalisti (Lýsigögn)'!$C$42:$C$58,0))="","",INDEX('Undirviðmiðalisti (Lýsigögn)'!G$42:G$58,MATCH($C113,'Undirviðmiðalisti (Lýsigögn)'!$C$42:$C$58,0))),""),IFERROR(IF(INDEX('Undirviðmiðalisti (Lýsigögn)'!G$6:G$41,MATCH($C113,'Undirviðmiðalisti (Lýsigögn)'!$C$6:$C$41,0))="","",INDEX('Undirviðmiðalisti (Lýsigögn)'!G$6:G$41,MATCH($C113,'Undirviðmiðalisti (Lýsigögn)'!$C$6:$C$41,0))),IFERROR(IF(INDEX('Undirviðmiðalisti (Lýsigögn)'!G$42:G$58,MATCH($C113,'Undirviðmiðalisti (Lýsigögn)'!$C$42:$C$58,0))="","",INDEX('Undirviðmiðalisti (Lýsigögn)'!G$42:G$58,MATCH($C113,'Undirviðmiðalisti (Lýsigögn)'!$C$42:$C$58,0))),""))))</f>
        <v/>
      </c>
      <c r="L113" s="16" t="str">
        <f aca="false">IF($C113="","",IF($G113="Einstaklingsbundið",IFERROR(IF(INDEX('Undirviðmiðalisti (Lýsigögn)'!H$42:H$58,MATCH($C113,'Undirviðmiðalisti (Lýsigögn)'!$C$42:$C$58,0))="","",INDEX('Undirviðmiðalisti (Lýsigögn)'!H$42:H$58,MATCH($C113,'Undirviðmiðalisti (Lýsigögn)'!$C$42:$C$58,0))),""),IFERROR(IF(INDEX('Undirviðmiðalisti (Lýsigögn)'!H$6:H$41,MATCH($C113,'Undirviðmiðalisti (Lýsigögn)'!$C$6:$C$41,0))="","",INDEX('Undirviðmiðalisti (Lýsigögn)'!H$6:H$41,MATCH($C113,'Undirviðmiðalisti (Lýsigögn)'!$C$6:$C$41,0))),IFERROR(IF(INDEX('Undirviðmiðalisti (Lýsigögn)'!H$42:H$58,MATCH($C113,'Undirviðmiðalisti (Lýsigögn)'!$C$42:$C$58,0))="","",INDEX('Undirviðmiðalisti (Lýsigögn)'!H$42:H$58,MATCH($C113,'Undirviðmiðalisti (Lýsigögn)'!$C$42:$C$58,0))),""))))</f>
        <v/>
      </c>
      <c r="M113" s="16" t="str">
        <f aca="false">IF($C113="","",IF($G113="Einstaklingsbundið",IFERROR(IF(INDEX('Undirviðmiðalisti (Lýsigögn)'!I$42:I$58,MATCH($C113,'Undirviðmiðalisti (Lýsigögn)'!$C$42:$C$58,0))="","",INDEX('Undirviðmiðalisti (Lýsigögn)'!I$42:I$58,MATCH($C113,'Undirviðmiðalisti (Lýsigögn)'!$C$42:$C$58,0))),""),IFERROR(IF(INDEX('Undirviðmiðalisti (Lýsigögn)'!I$6:I$41,MATCH($C113,'Undirviðmiðalisti (Lýsigögn)'!$C$6:$C$41,0))="","",INDEX('Undirviðmiðalisti (Lýsigögn)'!I$6:I$41,MATCH($C113,'Undirviðmiðalisti (Lýsigögn)'!$C$6:$C$41,0))),IFERROR(IF(INDEX('Undirviðmiðalisti (Lýsigögn)'!I$42:I$58,MATCH($C113,'Undirviðmiðalisti (Lýsigögn)'!$C$42:$C$58,0))="","",INDEX('Undirviðmiðalisti (Lýsigögn)'!I$42:I$58,MATCH($C113,'Undirviðmiðalisti (Lýsigögn)'!$C$42:$C$58,0))),""))))</f>
        <v/>
      </c>
      <c r="N113" s="16" t="str">
        <f aca="false">IF($C113="","",IF($G113="Einstaklingsbundið",IFERROR(IF(INDEX('Undirviðmiðalisti (Lýsigögn)'!J$42:J$58,MATCH($C113,'Undirviðmiðalisti (Lýsigögn)'!$C$42:$C$58,0))="","",INDEX('Undirviðmiðalisti (Lýsigögn)'!J$42:J$58,MATCH($C113,'Undirviðmiðalisti (Lýsigögn)'!$C$42:$C$58,0))),""),IFERROR(IF(INDEX('Undirviðmiðalisti (Lýsigögn)'!J$6:J$41,MATCH($C113,'Undirviðmiðalisti (Lýsigögn)'!$C$6:$C$41,0))="","",INDEX('Undirviðmiðalisti (Lýsigögn)'!J$6:J$41,MATCH($C113,'Undirviðmiðalisti (Lýsigögn)'!$C$6:$C$41,0))),IFERROR(IF(INDEX('Undirviðmiðalisti (Lýsigögn)'!J$42:J$58,MATCH($C113,'Undirviðmiðalisti (Lýsigögn)'!$C$42:$C$58,0))="","",INDEX('Undirviðmiðalisti (Lýsigögn)'!J$42:J$58,MATCH($C113,'Undirviðmiðalisti (Lýsigögn)'!$C$42:$C$58,0))),""))))</f>
        <v/>
      </c>
      <c r="O113" s="16" t="str">
        <f aca="false">IF($C113="","",IF($G113="Einstaklingsbundið",IFERROR(IF(INDEX('Undirviðmiðalisti (Lýsigögn)'!K$42:K$58,MATCH($C113,'Undirviðmiðalisti (Lýsigögn)'!$C$42:$C$58,0))="","",INDEX('Undirviðmiðalisti (Lýsigögn)'!K$42:K$58,MATCH($C113,'Undirviðmiðalisti (Lýsigögn)'!$C$42:$C$58,0))),""),IFERROR(IF(INDEX('Undirviðmiðalisti (Lýsigögn)'!K$6:K$41,MATCH($C113,'Undirviðmiðalisti (Lýsigögn)'!$C$6:$C$41,0))="","",INDEX('Undirviðmiðalisti (Lýsigögn)'!K$6:K$41,MATCH($C113,'Undirviðmiðalisti (Lýsigögn)'!$C$6:$C$41,0))),IFERROR(IF(INDEX('Undirviðmiðalisti (Lýsigögn)'!K$42:K$58,MATCH($C113,'Undirviðmiðalisti (Lýsigögn)'!$C$42:$C$58,0))="","",INDEX('Undirviðmiðalisti (Lýsigögn)'!K$42:K$58,MATCH($C113,'Undirviðmiðalisti (Lýsigögn)'!$C$42:$C$58,0))),""))))</f>
        <v/>
      </c>
      <c r="P113" s="16" t="str">
        <f aca="false">IF($C113="","",IF($G113="Einstaklingsbundið",IFERROR(IF(INDEX('Undirviðmiðalisti (Lýsigögn)'!L$42:L$58,MATCH($C113,'Undirviðmiðalisti (Lýsigögn)'!$C$42:$C$58,0))="","",INDEX('Undirviðmiðalisti (Lýsigögn)'!L$42:L$58,MATCH($C113,'Undirviðmiðalisti (Lýsigögn)'!$C$42:$C$58,0))),""),IFERROR(IF(INDEX('Undirviðmiðalisti (Lýsigögn)'!L$6:L$41,MATCH($C113,'Undirviðmiðalisti (Lýsigögn)'!$C$6:$C$41,0))="","",INDEX('Undirviðmiðalisti (Lýsigögn)'!L$6:L$41,MATCH($C113,'Undirviðmiðalisti (Lýsigögn)'!$C$6:$C$41,0))),IFERROR(IF(INDEX('Undirviðmiðalisti (Lýsigögn)'!L$42:L$58,MATCH($C113,'Undirviðmiðalisti (Lýsigögn)'!$C$42:$C$58,0))="","",INDEX('Undirviðmiðalisti (Lýsigögn)'!L$42:L$58,MATCH($C113,'Undirviðmiðalisti (Lýsigögn)'!$C$42:$C$58,0))),""))))</f>
        <v/>
      </c>
      <c r="Q113" s="16" t="str">
        <f aca="false">IF($C113="","",IF($G113="Einstaklingsbundið",IFERROR(IF(INDEX('Undirviðmiðalisti (Lýsigögn)'!M$42:M$58,MATCH($C113,'Undirviðmiðalisti (Lýsigögn)'!$C$42:$C$58,0))="","",INDEX('Undirviðmiðalisti (Lýsigögn)'!M$42:M$58,MATCH($C113,'Undirviðmiðalisti (Lýsigögn)'!$C$42:$C$58,0))),""),IFERROR(IF(INDEX('Undirviðmiðalisti (Lýsigögn)'!M$6:M$41,MATCH($C113,'Undirviðmiðalisti (Lýsigögn)'!$C$6:$C$41,0))="","",INDEX('Undirviðmiðalisti (Lýsigögn)'!M$6:M$41,MATCH($C113,'Undirviðmiðalisti (Lýsigögn)'!$C$6:$C$41,0))),IFERROR(IF(INDEX('Undirviðmiðalisti (Lýsigögn)'!M$42:M$58,MATCH($C113,'Undirviðmiðalisti (Lýsigögn)'!$C$42:$C$58,0))="","",INDEX('Undirviðmiðalisti (Lýsigögn)'!M$42:M$58,MATCH($C113,'Undirviðmiðalisti (Lýsigögn)'!$C$42:$C$58,0))),""))))</f>
        <v/>
      </c>
    </row>
    <row r="114" customFormat="false" ht="15" hidden="false" customHeight="true" outlineLevel="0" collapsed="false">
      <c r="A114" s="22" t="str">
        <f aca="false">IF($B114="","",ROW()-5)</f>
        <v/>
      </c>
      <c r="B114" s="15"/>
      <c r="C114" s="15"/>
      <c r="D114" s="16" t="str">
        <f aca="false">IF($C114="","",IF($G114="Einstaklingsbundið",IFERROR(IF(INDEX('Undirviðmiðalisti (Lýsigögn)'!$D$42:$D$58,MATCH($C114,'Undirviðmiðalisti (Lýsigögn)'!$C$42:$C$58,0))="","",INDEX('Undirviðmiðalisti (Lýsigögn)'!$D$42:$D$58,MATCH($C114,'Undirviðmiðalisti (Lýsigögn)'!$C$42:$C$58,0))),""),IFERROR(IF(INDEX('Undirviðmiðalisti (Lýsigögn)'!$D$6:$D$41,MATCH($C114,'Undirviðmiðalisti (Lýsigögn)'!$C$6:$C$41,0))="","",INDEX('Undirviðmiðalisti (Lýsigögn)'!$D$6:$D$41,MATCH($C114,'Undirviðmiðalisti (Lýsigögn)'!$C$6:$C$41,0))),IFERROR(IF(INDEX('Undirviðmiðalisti (Lýsigögn)'!$D$42:$D$58,MATCH($C114,'Undirviðmiðalisti (Lýsigögn)'!$C$42:$C$58,0))="","",INDEX('Undirviðmiðalisti (Lýsigögn)'!$D$42:$D$58,MATCH($C114,'Undirviðmiðalisti (Lýsigögn)'!$C$42:$C$58,0))),""))))</f>
        <v/>
      </c>
      <c r="E114" s="14"/>
      <c r="F114" s="23" t="str">
        <f aca="false">IF($C114="","",IF($G114="Einstaklingsbundið",IFERROR(IF(INDEX('Undirviðmiðalisti (Lýsigögn)'!$E$42:$E$58,MATCH($C114,'Undirviðmiðalisti (Lýsigögn)'!$C$42:$C$58,0))="","",INDEX('Undirviðmiðalisti (Lýsigögn)'!$E$42:$E$58,MATCH($C114,'Undirviðmiðalisti (Lýsigögn)'!$C$42:$C$58,0))),""),IFERROR(IF(INDEX('Undirviðmiðalisti (Lýsigögn)'!$E$6:$E$41,MATCH($C114,'Undirviðmiðalisti (Lýsigögn)'!$C$6:$C$41,0))="","",INDEX('Undirviðmiðalisti (Lýsigögn)'!$E$6:$E$41,MATCH($C114,'Undirviðmiðalisti (Lýsigögn)'!$C$6:$C$41,0))),IFERROR(IF(INDEX('Undirviðmiðalisti (Lýsigögn)'!$E$42:$E$58,MATCH($C114,'Undirviðmiðalisti (Lýsigögn)'!$C$42:$C$58,0))="","",INDEX('Undirviðmiðalisti (Lýsigögn)'!$E$42:$E$58,MATCH($C114,'Undirviðmiðalisti (Lýsigögn)'!$C$42:$C$58,0))),""))))</f>
        <v/>
      </c>
      <c r="G114" s="24" t="str">
        <f aca="false">IFERROR(IF(B114="","",INDEX(Viðmið!$B$6:$B$10,MATCH(B114,Viðmið!$C$6:$C$10,0))),"")</f>
        <v/>
      </c>
      <c r="H114" s="25" t="str">
        <f aca="false">IF(OR(E114="",F114=""),"",E114*KVARDI)</f>
        <v/>
      </c>
      <c r="I114" s="26" t="str">
        <f aca="false">IF(B114="","",IF(ROUND(SUMIF($B$6:$B$205,B114,$E$6:$E$205),4)=ROUND(IFERROR(INDEX(Viðmið!$E$6:$E$10,MATCH(B114,Viðmið!$C$6:$C$10,0)),-1),4),"✓","✗"))</f>
        <v/>
      </c>
      <c r="J114" s="16" t="str">
        <f aca="false">IF($C114="","",IF($G114="Einstaklingsbundið",IFERROR(IF(INDEX('Undirviðmiðalisti (Lýsigögn)'!F$42:F$58,MATCH($C114,'Undirviðmiðalisti (Lýsigögn)'!$C$42:$C$58,0))="","",INDEX('Undirviðmiðalisti (Lýsigögn)'!F$42:F$58,MATCH($C114,'Undirviðmiðalisti (Lýsigögn)'!$C$42:$C$58,0))),""),IFERROR(IF(INDEX('Undirviðmiðalisti (Lýsigögn)'!F$6:F$41,MATCH($C114,'Undirviðmiðalisti (Lýsigögn)'!$C$6:$C$41,0))="","",INDEX('Undirviðmiðalisti (Lýsigögn)'!F$6:F$41,MATCH($C114,'Undirviðmiðalisti (Lýsigögn)'!$C$6:$C$41,0))),IFERROR(IF(INDEX('Undirviðmiðalisti (Lýsigögn)'!F$42:F$58,MATCH($C114,'Undirviðmiðalisti (Lýsigögn)'!$C$42:$C$58,0))="","",INDEX('Undirviðmiðalisti (Lýsigögn)'!F$42:F$58,MATCH($C114,'Undirviðmiðalisti (Lýsigögn)'!$C$42:$C$58,0))),""))))</f>
        <v/>
      </c>
      <c r="K114" s="16" t="str">
        <f aca="false">IF($C114="","",IF($G114="Einstaklingsbundið",IFERROR(IF(INDEX('Undirviðmiðalisti (Lýsigögn)'!G$42:G$58,MATCH($C114,'Undirviðmiðalisti (Lýsigögn)'!$C$42:$C$58,0))="","",INDEX('Undirviðmiðalisti (Lýsigögn)'!G$42:G$58,MATCH($C114,'Undirviðmiðalisti (Lýsigögn)'!$C$42:$C$58,0))),""),IFERROR(IF(INDEX('Undirviðmiðalisti (Lýsigögn)'!G$6:G$41,MATCH($C114,'Undirviðmiðalisti (Lýsigögn)'!$C$6:$C$41,0))="","",INDEX('Undirviðmiðalisti (Lýsigögn)'!G$6:G$41,MATCH($C114,'Undirviðmiðalisti (Lýsigögn)'!$C$6:$C$41,0))),IFERROR(IF(INDEX('Undirviðmiðalisti (Lýsigögn)'!G$42:G$58,MATCH($C114,'Undirviðmiðalisti (Lýsigögn)'!$C$42:$C$58,0))="","",INDEX('Undirviðmiðalisti (Lýsigögn)'!G$42:G$58,MATCH($C114,'Undirviðmiðalisti (Lýsigögn)'!$C$42:$C$58,0))),""))))</f>
        <v/>
      </c>
      <c r="L114" s="16" t="str">
        <f aca="false">IF($C114="","",IF($G114="Einstaklingsbundið",IFERROR(IF(INDEX('Undirviðmiðalisti (Lýsigögn)'!H$42:H$58,MATCH($C114,'Undirviðmiðalisti (Lýsigögn)'!$C$42:$C$58,0))="","",INDEX('Undirviðmiðalisti (Lýsigögn)'!H$42:H$58,MATCH($C114,'Undirviðmiðalisti (Lýsigögn)'!$C$42:$C$58,0))),""),IFERROR(IF(INDEX('Undirviðmiðalisti (Lýsigögn)'!H$6:H$41,MATCH($C114,'Undirviðmiðalisti (Lýsigögn)'!$C$6:$C$41,0))="","",INDEX('Undirviðmiðalisti (Lýsigögn)'!H$6:H$41,MATCH($C114,'Undirviðmiðalisti (Lýsigögn)'!$C$6:$C$41,0))),IFERROR(IF(INDEX('Undirviðmiðalisti (Lýsigögn)'!H$42:H$58,MATCH($C114,'Undirviðmiðalisti (Lýsigögn)'!$C$42:$C$58,0))="","",INDEX('Undirviðmiðalisti (Lýsigögn)'!H$42:H$58,MATCH($C114,'Undirviðmiðalisti (Lýsigögn)'!$C$42:$C$58,0))),""))))</f>
        <v/>
      </c>
      <c r="M114" s="16" t="str">
        <f aca="false">IF($C114="","",IF($G114="Einstaklingsbundið",IFERROR(IF(INDEX('Undirviðmiðalisti (Lýsigögn)'!I$42:I$58,MATCH($C114,'Undirviðmiðalisti (Lýsigögn)'!$C$42:$C$58,0))="","",INDEX('Undirviðmiðalisti (Lýsigögn)'!I$42:I$58,MATCH($C114,'Undirviðmiðalisti (Lýsigögn)'!$C$42:$C$58,0))),""),IFERROR(IF(INDEX('Undirviðmiðalisti (Lýsigögn)'!I$6:I$41,MATCH($C114,'Undirviðmiðalisti (Lýsigögn)'!$C$6:$C$41,0))="","",INDEX('Undirviðmiðalisti (Lýsigögn)'!I$6:I$41,MATCH($C114,'Undirviðmiðalisti (Lýsigögn)'!$C$6:$C$41,0))),IFERROR(IF(INDEX('Undirviðmiðalisti (Lýsigögn)'!I$42:I$58,MATCH($C114,'Undirviðmiðalisti (Lýsigögn)'!$C$42:$C$58,0))="","",INDEX('Undirviðmiðalisti (Lýsigögn)'!I$42:I$58,MATCH($C114,'Undirviðmiðalisti (Lýsigögn)'!$C$42:$C$58,0))),""))))</f>
        <v/>
      </c>
      <c r="N114" s="16" t="str">
        <f aca="false">IF($C114="","",IF($G114="Einstaklingsbundið",IFERROR(IF(INDEX('Undirviðmiðalisti (Lýsigögn)'!J$42:J$58,MATCH($C114,'Undirviðmiðalisti (Lýsigögn)'!$C$42:$C$58,0))="","",INDEX('Undirviðmiðalisti (Lýsigögn)'!J$42:J$58,MATCH($C114,'Undirviðmiðalisti (Lýsigögn)'!$C$42:$C$58,0))),""),IFERROR(IF(INDEX('Undirviðmiðalisti (Lýsigögn)'!J$6:J$41,MATCH($C114,'Undirviðmiðalisti (Lýsigögn)'!$C$6:$C$41,0))="","",INDEX('Undirviðmiðalisti (Lýsigögn)'!J$6:J$41,MATCH($C114,'Undirviðmiðalisti (Lýsigögn)'!$C$6:$C$41,0))),IFERROR(IF(INDEX('Undirviðmiðalisti (Lýsigögn)'!J$42:J$58,MATCH($C114,'Undirviðmiðalisti (Lýsigögn)'!$C$42:$C$58,0))="","",INDEX('Undirviðmiðalisti (Lýsigögn)'!J$42:J$58,MATCH($C114,'Undirviðmiðalisti (Lýsigögn)'!$C$42:$C$58,0))),""))))</f>
        <v/>
      </c>
      <c r="O114" s="16" t="str">
        <f aca="false">IF($C114="","",IF($G114="Einstaklingsbundið",IFERROR(IF(INDEX('Undirviðmiðalisti (Lýsigögn)'!K$42:K$58,MATCH($C114,'Undirviðmiðalisti (Lýsigögn)'!$C$42:$C$58,0))="","",INDEX('Undirviðmiðalisti (Lýsigögn)'!K$42:K$58,MATCH($C114,'Undirviðmiðalisti (Lýsigögn)'!$C$42:$C$58,0))),""),IFERROR(IF(INDEX('Undirviðmiðalisti (Lýsigögn)'!K$6:K$41,MATCH($C114,'Undirviðmiðalisti (Lýsigögn)'!$C$6:$C$41,0))="","",INDEX('Undirviðmiðalisti (Lýsigögn)'!K$6:K$41,MATCH($C114,'Undirviðmiðalisti (Lýsigögn)'!$C$6:$C$41,0))),IFERROR(IF(INDEX('Undirviðmiðalisti (Lýsigögn)'!K$42:K$58,MATCH($C114,'Undirviðmiðalisti (Lýsigögn)'!$C$42:$C$58,0))="","",INDEX('Undirviðmiðalisti (Lýsigögn)'!K$42:K$58,MATCH($C114,'Undirviðmiðalisti (Lýsigögn)'!$C$42:$C$58,0))),""))))</f>
        <v/>
      </c>
      <c r="P114" s="16" t="str">
        <f aca="false">IF($C114="","",IF($G114="Einstaklingsbundið",IFERROR(IF(INDEX('Undirviðmiðalisti (Lýsigögn)'!L$42:L$58,MATCH($C114,'Undirviðmiðalisti (Lýsigögn)'!$C$42:$C$58,0))="","",INDEX('Undirviðmiðalisti (Lýsigögn)'!L$42:L$58,MATCH($C114,'Undirviðmiðalisti (Lýsigögn)'!$C$42:$C$58,0))),""),IFERROR(IF(INDEX('Undirviðmiðalisti (Lýsigögn)'!L$6:L$41,MATCH($C114,'Undirviðmiðalisti (Lýsigögn)'!$C$6:$C$41,0))="","",INDEX('Undirviðmiðalisti (Lýsigögn)'!L$6:L$41,MATCH($C114,'Undirviðmiðalisti (Lýsigögn)'!$C$6:$C$41,0))),IFERROR(IF(INDEX('Undirviðmiðalisti (Lýsigögn)'!L$42:L$58,MATCH($C114,'Undirviðmiðalisti (Lýsigögn)'!$C$42:$C$58,0))="","",INDEX('Undirviðmiðalisti (Lýsigögn)'!L$42:L$58,MATCH($C114,'Undirviðmiðalisti (Lýsigögn)'!$C$42:$C$58,0))),""))))</f>
        <v/>
      </c>
      <c r="Q114" s="16" t="str">
        <f aca="false">IF($C114="","",IF($G114="Einstaklingsbundið",IFERROR(IF(INDEX('Undirviðmiðalisti (Lýsigögn)'!M$42:M$58,MATCH($C114,'Undirviðmiðalisti (Lýsigögn)'!$C$42:$C$58,0))="","",INDEX('Undirviðmiðalisti (Lýsigögn)'!M$42:M$58,MATCH($C114,'Undirviðmiðalisti (Lýsigögn)'!$C$42:$C$58,0))),""),IFERROR(IF(INDEX('Undirviðmiðalisti (Lýsigögn)'!M$6:M$41,MATCH($C114,'Undirviðmiðalisti (Lýsigögn)'!$C$6:$C$41,0))="","",INDEX('Undirviðmiðalisti (Lýsigögn)'!M$6:M$41,MATCH($C114,'Undirviðmiðalisti (Lýsigögn)'!$C$6:$C$41,0))),IFERROR(IF(INDEX('Undirviðmiðalisti (Lýsigögn)'!M$42:M$58,MATCH($C114,'Undirviðmiðalisti (Lýsigögn)'!$C$42:$C$58,0))="","",INDEX('Undirviðmiðalisti (Lýsigögn)'!M$42:M$58,MATCH($C114,'Undirviðmiðalisti (Lýsigögn)'!$C$42:$C$58,0))),""))))</f>
        <v/>
      </c>
    </row>
    <row r="115" customFormat="false" ht="15" hidden="false" customHeight="true" outlineLevel="0" collapsed="false">
      <c r="A115" s="22" t="str">
        <f aca="false">IF($B115="","",ROW()-5)</f>
        <v/>
      </c>
      <c r="B115" s="15"/>
      <c r="C115" s="15"/>
      <c r="D115" s="16" t="str">
        <f aca="false">IF($C115="","",IF($G115="Einstaklingsbundið",IFERROR(IF(INDEX('Undirviðmiðalisti (Lýsigögn)'!$D$42:$D$58,MATCH($C115,'Undirviðmiðalisti (Lýsigögn)'!$C$42:$C$58,0))="","",INDEX('Undirviðmiðalisti (Lýsigögn)'!$D$42:$D$58,MATCH($C115,'Undirviðmiðalisti (Lýsigögn)'!$C$42:$C$58,0))),""),IFERROR(IF(INDEX('Undirviðmiðalisti (Lýsigögn)'!$D$6:$D$41,MATCH($C115,'Undirviðmiðalisti (Lýsigögn)'!$C$6:$C$41,0))="","",INDEX('Undirviðmiðalisti (Lýsigögn)'!$D$6:$D$41,MATCH($C115,'Undirviðmiðalisti (Lýsigögn)'!$C$6:$C$41,0))),IFERROR(IF(INDEX('Undirviðmiðalisti (Lýsigögn)'!$D$42:$D$58,MATCH($C115,'Undirviðmiðalisti (Lýsigögn)'!$C$42:$C$58,0))="","",INDEX('Undirviðmiðalisti (Lýsigögn)'!$D$42:$D$58,MATCH($C115,'Undirviðmiðalisti (Lýsigögn)'!$C$42:$C$58,0))),""))))</f>
        <v/>
      </c>
      <c r="E115" s="14"/>
      <c r="F115" s="23" t="str">
        <f aca="false">IF($C115="","",IF($G115="Einstaklingsbundið",IFERROR(IF(INDEX('Undirviðmiðalisti (Lýsigögn)'!$E$42:$E$58,MATCH($C115,'Undirviðmiðalisti (Lýsigögn)'!$C$42:$C$58,0))="","",INDEX('Undirviðmiðalisti (Lýsigögn)'!$E$42:$E$58,MATCH($C115,'Undirviðmiðalisti (Lýsigögn)'!$C$42:$C$58,0))),""),IFERROR(IF(INDEX('Undirviðmiðalisti (Lýsigögn)'!$E$6:$E$41,MATCH($C115,'Undirviðmiðalisti (Lýsigögn)'!$C$6:$C$41,0))="","",INDEX('Undirviðmiðalisti (Lýsigögn)'!$E$6:$E$41,MATCH($C115,'Undirviðmiðalisti (Lýsigögn)'!$C$6:$C$41,0))),IFERROR(IF(INDEX('Undirviðmiðalisti (Lýsigögn)'!$E$42:$E$58,MATCH($C115,'Undirviðmiðalisti (Lýsigögn)'!$C$42:$C$58,0))="","",INDEX('Undirviðmiðalisti (Lýsigögn)'!$E$42:$E$58,MATCH($C115,'Undirviðmiðalisti (Lýsigögn)'!$C$42:$C$58,0))),""))))</f>
        <v/>
      </c>
      <c r="G115" s="24" t="str">
        <f aca="false">IFERROR(IF(B115="","",INDEX(Viðmið!$B$6:$B$10,MATCH(B115,Viðmið!$C$6:$C$10,0))),"")</f>
        <v/>
      </c>
      <c r="H115" s="25" t="str">
        <f aca="false">IF(OR(E115="",F115=""),"",E115*KVARDI)</f>
        <v/>
      </c>
      <c r="I115" s="26" t="str">
        <f aca="false">IF(B115="","",IF(ROUND(SUMIF($B$6:$B$205,B115,$E$6:$E$205),4)=ROUND(IFERROR(INDEX(Viðmið!$E$6:$E$10,MATCH(B115,Viðmið!$C$6:$C$10,0)),-1),4),"✓","✗"))</f>
        <v/>
      </c>
      <c r="J115" s="16" t="str">
        <f aca="false">IF($C115="","",IF($G115="Einstaklingsbundið",IFERROR(IF(INDEX('Undirviðmiðalisti (Lýsigögn)'!F$42:F$58,MATCH($C115,'Undirviðmiðalisti (Lýsigögn)'!$C$42:$C$58,0))="","",INDEX('Undirviðmiðalisti (Lýsigögn)'!F$42:F$58,MATCH($C115,'Undirviðmiðalisti (Lýsigögn)'!$C$42:$C$58,0))),""),IFERROR(IF(INDEX('Undirviðmiðalisti (Lýsigögn)'!F$6:F$41,MATCH($C115,'Undirviðmiðalisti (Lýsigögn)'!$C$6:$C$41,0))="","",INDEX('Undirviðmiðalisti (Lýsigögn)'!F$6:F$41,MATCH($C115,'Undirviðmiðalisti (Lýsigögn)'!$C$6:$C$41,0))),IFERROR(IF(INDEX('Undirviðmiðalisti (Lýsigögn)'!F$42:F$58,MATCH($C115,'Undirviðmiðalisti (Lýsigögn)'!$C$42:$C$58,0))="","",INDEX('Undirviðmiðalisti (Lýsigögn)'!F$42:F$58,MATCH($C115,'Undirviðmiðalisti (Lýsigögn)'!$C$42:$C$58,0))),""))))</f>
        <v/>
      </c>
      <c r="K115" s="16" t="str">
        <f aca="false">IF($C115="","",IF($G115="Einstaklingsbundið",IFERROR(IF(INDEX('Undirviðmiðalisti (Lýsigögn)'!G$42:G$58,MATCH($C115,'Undirviðmiðalisti (Lýsigögn)'!$C$42:$C$58,0))="","",INDEX('Undirviðmiðalisti (Lýsigögn)'!G$42:G$58,MATCH($C115,'Undirviðmiðalisti (Lýsigögn)'!$C$42:$C$58,0))),""),IFERROR(IF(INDEX('Undirviðmiðalisti (Lýsigögn)'!G$6:G$41,MATCH($C115,'Undirviðmiðalisti (Lýsigögn)'!$C$6:$C$41,0))="","",INDEX('Undirviðmiðalisti (Lýsigögn)'!G$6:G$41,MATCH($C115,'Undirviðmiðalisti (Lýsigögn)'!$C$6:$C$41,0))),IFERROR(IF(INDEX('Undirviðmiðalisti (Lýsigögn)'!G$42:G$58,MATCH($C115,'Undirviðmiðalisti (Lýsigögn)'!$C$42:$C$58,0))="","",INDEX('Undirviðmiðalisti (Lýsigögn)'!G$42:G$58,MATCH($C115,'Undirviðmiðalisti (Lýsigögn)'!$C$42:$C$58,0))),""))))</f>
        <v/>
      </c>
      <c r="L115" s="16" t="str">
        <f aca="false">IF($C115="","",IF($G115="Einstaklingsbundið",IFERROR(IF(INDEX('Undirviðmiðalisti (Lýsigögn)'!H$42:H$58,MATCH($C115,'Undirviðmiðalisti (Lýsigögn)'!$C$42:$C$58,0))="","",INDEX('Undirviðmiðalisti (Lýsigögn)'!H$42:H$58,MATCH($C115,'Undirviðmiðalisti (Lýsigögn)'!$C$42:$C$58,0))),""),IFERROR(IF(INDEX('Undirviðmiðalisti (Lýsigögn)'!H$6:H$41,MATCH($C115,'Undirviðmiðalisti (Lýsigögn)'!$C$6:$C$41,0))="","",INDEX('Undirviðmiðalisti (Lýsigögn)'!H$6:H$41,MATCH($C115,'Undirviðmiðalisti (Lýsigögn)'!$C$6:$C$41,0))),IFERROR(IF(INDEX('Undirviðmiðalisti (Lýsigögn)'!H$42:H$58,MATCH($C115,'Undirviðmiðalisti (Lýsigögn)'!$C$42:$C$58,0))="","",INDEX('Undirviðmiðalisti (Lýsigögn)'!H$42:H$58,MATCH($C115,'Undirviðmiðalisti (Lýsigögn)'!$C$42:$C$58,0))),""))))</f>
        <v/>
      </c>
      <c r="M115" s="16" t="str">
        <f aca="false">IF($C115="","",IF($G115="Einstaklingsbundið",IFERROR(IF(INDEX('Undirviðmiðalisti (Lýsigögn)'!I$42:I$58,MATCH($C115,'Undirviðmiðalisti (Lýsigögn)'!$C$42:$C$58,0))="","",INDEX('Undirviðmiðalisti (Lýsigögn)'!I$42:I$58,MATCH($C115,'Undirviðmiðalisti (Lýsigögn)'!$C$42:$C$58,0))),""),IFERROR(IF(INDEX('Undirviðmiðalisti (Lýsigögn)'!I$6:I$41,MATCH($C115,'Undirviðmiðalisti (Lýsigögn)'!$C$6:$C$41,0))="","",INDEX('Undirviðmiðalisti (Lýsigögn)'!I$6:I$41,MATCH($C115,'Undirviðmiðalisti (Lýsigögn)'!$C$6:$C$41,0))),IFERROR(IF(INDEX('Undirviðmiðalisti (Lýsigögn)'!I$42:I$58,MATCH($C115,'Undirviðmiðalisti (Lýsigögn)'!$C$42:$C$58,0))="","",INDEX('Undirviðmiðalisti (Lýsigögn)'!I$42:I$58,MATCH($C115,'Undirviðmiðalisti (Lýsigögn)'!$C$42:$C$58,0))),""))))</f>
        <v/>
      </c>
      <c r="N115" s="16" t="str">
        <f aca="false">IF($C115="","",IF($G115="Einstaklingsbundið",IFERROR(IF(INDEX('Undirviðmiðalisti (Lýsigögn)'!J$42:J$58,MATCH($C115,'Undirviðmiðalisti (Lýsigögn)'!$C$42:$C$58,0))="","",INDEX('Undirviðmiðalisti (Lýsigögn)'!J$42:J$58,MATCH($C115,'Undirviðmiðalisti (Lýsigögn)'!$C$42:$C$58,0))),""),IFERROR(IF(INDEX('Undirviðmiðalisti (Lýsigögn)'!J$6:J$41,MATCH($C115,'Undirviðmiðalisti (Lýsigögn)'!$C$6:$C$41,0))="","",INDEX('Undirviðmiðalisti (Lýsigögn)'!J$6:J$41,MATCH($C115,'Undirviðmiðalisti (Lýsigögn)'!$C$6:$C$41,0))),IFERROR(IF(INDEX('Undirviðmiðalisti (Lýsigögn)'!J$42:J$58,MATCH($C115,'Undirviðmiðalisti (Lýsigögn)'!$C$42:$C$58,0))="","",INDEX('Undirviðmiðalisti (Lýsigögn)'!J$42:J$58,MATCH($C115,'Undirviðmiðalisti (Lýsigögn)'!$C$42:$C$58,0))),""))))</f>
        <v/>
      </c>
      <c r="O115" s="16" t="str">
        <f aca="false">IF($C115="","",IF($G115="Einstaklingsbundið",IFERROR(IF(INDEX('Undirviðmiðalisti (Lýsigögn)'!K$42:K$58,MATCH($C115,'Undirviðmiðalisti (Lýsigögn)'!$C$42:$C$58,0))="","",INDEX('Undirviðmiðalisti (Lýsigögn)'!K$42:K$58,MATCH($C115,'Undirviðmiðalisti (Lýsigögn)'!$C$42:$C$58,0))),""),IFERROR(IF(INDEX('Undirviðmiðalisti (Lýsigögn)'!K$6:K$41,MATCH($C115,'Undirviðmiðalisti (Lýsigögn)'!$C$6:$C$41,0))="","",INDEX('Undirviðmiðalisti (Lýsigögn)'!K$6:K$41,MATCH($C115,'Undirviðmiðalisti (Lýsigögn)'!$C$6:$C$41,0))),IFERROR(IF(INDEX('Undirviðmiðalisti (Lýsigögn)'!K$42:K$58,MATCH($C115,'Undirviðmiðalisti (Lýsigögn)'!$C$42:$C$58,0))="","",INDEX('Undirviðmiðalisti (Lýsigögn)'!K$42:K$58,MATCH($C115,'Undirviðmiðalisti (Lýsigögn)'!$C$42:$C$58,0))),""))))</f>
        <v/>
      </c>
      <c r="P115" s="16" t="str">
        <f aca="false">IF($C115="","",IF($G115="Einstaklingsbundið",IFERROR(IF(INDEX('Undirviðmiðalisti (Lýsigögn)'!L$42:L$58,MATCH($C115,'Undirviðmiðalisti (Lýsigögn)'!$C$42:$C$58,0))="","",INDEX('Undirviðmiðalisti (Lýsigögn)'!L$42:L$58,MATCH($C115,'Undirviðmiðalisti (Lýsigögn)'!$C$42:$C$58,0))),""),IFERROR(IF(INDEX('Undirviðmiðalisti (Lýsigögn)'!L$6:L$41,MATCH($C115,'Undirviðmiðalisti (Lýsigögn)'!$C$6:$C$41,0))="","",INDEX('Undirviðmiðalisti (Lýsigögn)'!L$6:L$41,MATCH($C115,'Undirviðmiðalisti (Lýsigögn)'!$C$6:$C$41,0))),IFERROR(IF(INDEX('Undirviðmiðalisti (Lýsigögn)'!L$42:L$58,MATCH($C115,'Undirviðmiðalisti (Lýsigögn)'!$C$42:$C$58,0))="","",INDEX('Undirviðmiðalisti (Lýsigögn)'!L$42:L$58,MATCH($C115,'Undirviðmiðalisti (Lýsigögn)'!$C$42:$C$58,0))),""))))</f>
        <v/>
      </c>
      <c r="Q115" s="16" t="str">
        <f aca="false">IF($C115="","",IF($G115="Einstaklingsbundið",IFERROR(IF(INDEX('Undirviðmiðalisti (Lýsigögn)'!M$42:M$58,MATCH($C115,'Undirviðmiðalisti (Lýsigögn)'!$C$42:$C$58,0))="","",INDEX('Undirviðmiðalisti (Lýsigögn)'!M$42:M$58,MATCH($C115,'Undirviðmiðalisti (Lýsigögn)'!$C$42:$C$58,0))),""),IFERROR(IF(INDEX('Undirviðmiðalisti (Lýsigögn)'!M$6:M$41,MATCH($C115,'Undirviðmiðalisti (Lýsigögn)'!$C$6:$C$41,0))="","",INDEX('Undirviðmiðalisti (Lýsigögn)'!M$6:M$41,MATCH($C115,'Undirviðmiðalisti (Lýsigögn)'!$C$6:$C$41,0))),IFERROR(IF(INDEX('Undirviðmiðalisti (Lýsigögn)'!M$42:M$58,MATCH($C115,'Undirviðmiðalisti (Lýsigögn)'!$C$42:$C$58,0))="","",INDEX('Undirviðmiðalisti (Lýsigögn)'!M$42:M$58,MATCH($C115,'Undirviðmiðalisti (Lýsigögn)'!$C$42:$C$58,0))),""))))</f>
        <v/>
      </c>
    </row>
    <row r="116" customFormat="false" ht="15" hidden="false" customHeight="true" outlineLevel="0" collapsed="false">
      <c r="A116" s="22" t="str">
        <f aca="false">IF($B116="","",ROW()-5)</f>
        <v/>
      </c>
      <c r="B116" s="15"/>
      <c r="C116" s="15"/>
      <c r="D116" s="16" t="str">
        <f aca="false">IF($C116="","",IF($G116="Einstaklingsbundið",IFERROR(IF(INDEX('Undirviðmiðalisti (Lýsigögn)'!$D$42:$D$58,MATCH($C116,'Undirviðmiðalisti (Lýsigögn)'!$C$42:$C$58,0))="","",INDEX('Undirviðmiðalisti (Lýsigögn)'!$D$42:$D$58,MATCH($C116,'Undirviðmiðalisti (Lýsigögn)'!$C$42:$C$58,0))),""),IFERROR(IF(INDEX('Undirviðmiðalisti (Lýsigögn)'!$D$6:$D$41,MATCH($C116,'Undirviðmiðalisti (Lýsigögn)'!$C$6:$C$41,0))="","",INDEX('Undirviðmiðalisti (Lýsigögn)'!$D$6:$D$41,MATCH($C116,'Undirviðmiðalisti (Lýsigögn)'!$C$6:$C$41,0))),IFERROR(IF(INDEX('Undirviðmiðalisti (Lýsigögn)'!$D$42:$D$58,MATCH($C116,'Undirviðmiðalisti (Lýsigögn)'!$C$42:$C$58,0))="","",INDEX('Undirviðmiðalisti (Lýsigögn)'!$D$42:$D$58,MATCH($C116,'Undirviðmiðalisti (Lýsigögn)'!$C$42:$C$58,0))),""))))</f>
        <v/>
      </c>
      <c r="E116" s="14"/>
      <c r="F116" s="23" t="str">
        <f aca="false">IF($C116="","",IF($G116="Einstaklingsbundið",IFERROR(IF(INDEX('Undirviðmiðalisti (Lýsigögn)'!$E$42:$E$58,MATCH($C116,'Undirviðmiðalisti (Lýsigögn)'!$C$42:$C$58,0))="","",INDEX('Undirviðmiðalisti (Lýsigögn)'!$E$42:$E$58,MATCH($C116,'Undirviðmiðalisti (Lýsigögn)'!$C$42:$C$58,0))),""),IFERROR(IF(INDEX('Undirviðmiðalisti (Lýsigögn)'!$E$6:$E$41,MATCH($C116,'Undirviðmiðalisti (Lýsigögn)'!$C$6:$C$41,0))="","",INDEX('Undirviðmiðalisti (Lýsigögn)'!$E$6:$E$41,MATCH($C116,'Undirviðmiðalisti (Lýsigögn)'!$C$6:$C$41,0))),IFERROR(IF(INDEX('Undirviðmiðalisti (Lýsigögn)'!$E$42:$E$58,MATCH($C116,'Undirviðmiðalisti (Lýsigögn)'!$C$42:$C$58,0))="","",INDEX('Undirviðmiðalisti (Lýsigögn)'!$E$42:$E$58,MATCH($C116,'Undirviðmiðalisti (Lýsigögn)'!$C$42:$C$58,0))),""))))</f>
        <v/>
      </c>
      <c r="G116" s="24" t="str">
        <f aca="false">IFERROR(IF(B116="","",INDEX(Viðmið!$B$6:$B$10,MATCH(B116,Viðmið!$C$6:$C$10,0))),"")</f>
        <v/>
      </c>
      <c r="H116" s="25" t="str">
        <f aca="false">IF(OR(E116="",F116=""),"",E116*KVARDI)</f>
        <v/>
      </c>
      <c r="I116" s="26" t="str">
        <f aca="false">IF(B116="","",IF(ROUND(SUMIF($B$6:$B$205,B116,$E$6:$E$205),4)=ROUND(IFERROR(INDEX(Viðmið!$E$6:$E$10,MATCH(B116,Viðmið!$C$6:$C$10,0)),-1),4),"✓","✗"))</f>
        <v/>
      </c>
      <c r="J116" s="16" t="str">
        <f aca="false">IF($C116="","",IF($G116="Einstaklingsbundið",IFERROR(IF(INDEX('Undirviðmiðalisti (Lýsigögn)'!F$42:F$58,MATCH($C116,'Undirviðmiðalisti (Lýsigögn)'!$C$42:$C$58,0))="","",INDEX('Undirviðmiðalisti (Lýsigögn)'!F$42:F$58,MATCH($C116,'Undirviðmiðalisti (Lýsigögn)'!$C$42:$C$58,0))),""),IFERROR(IF(INDEX('Undirviðmiðalisti (Lýsigögn)'!F$6:F$41,MATCH($C116,'Undirviðmiðalisti (Lýsigögn)'!$C$6:$C$41,0))="","",INDEX('Undirviðmiðalisti (Lýsigögn)'!F$6:F$41,MATCH($C116,'Undirviðmiðalisti (Lýsigögn)'!$C$6:$C$41,0))),IFERROR(IF(INDEX('Undirviðmiðalisti (Lýsigögn)'!F$42:F$58,MATCH($C116,'Undirviðmiðalisti (Lýsigögn)'!$C$42:$C$58,0))="","",INDEX('Undirviðmiðalisti (Lýsigögn)'!F$42:F$58,MATCH($C116,'Undirviðmiðalisti (Lýsigögn)'!$C$42:$C$58,0))),""))))</f>
        <v/>
      </c>
      <c r="K116" s="16" t="str">
        <f aca="false">IF($C116="","",IF($G116="Einstaklingsbundið",IFERROR(IF(INDEX('Undirviðmiðalisti (Lýsigögn)'!G$42:G$58,MATCH($C116,'Undirviðmiðalisti (Lýsigögn)'!$C$42:$C$58,0))="","",INDEX('Undirviðmiðalisti (Lýsigögn)'!G$42:G$58,MATCH($C116,'Undirviðmiðalisti (Lýsigögn)'!$C$42:$C$58,0))),""),IFERROR(IF(INDEX('Undirviðmiðalisti (Lýsigögn)'!G$6:G$41,MATCH($C116,'Undirviðmiðalisti (Lýsigögn)'!$C$6:$C$41,0))="","",INDEX('Undirviðmiðalisti (Lýsigögn)'!G$6:G$41,MATCH($C116,'Undirviðmiðalisti (Lýsigögn)'!$C$6:$C$41,0))),IFERROR(IF(INDEX('Undirviðmiðalisti (Lýsigögn)'!G$42:G$58,MATCH($C116,'Undirviðmiðalisti (Lýsigögn)'!$C$42:$C$58,0))="","",INDEX('Undirviðmiðalisti (Lýsigögn)'!G$42:G$58,MATCH($C116,'Undirviðmiðalisti (Lýsigögn)'!$C$42:$C$58,0))),""))))</f>
        <v/>
      </c>
      <c r="L116" s="16" t="str">
        <f aca="false">IF($C116="","",IF($G116="Einstaklingsbundið",IFERROR(IF(INDEX('Undirviðmiðalisti (Lýsigögn)'!H$42:H$58,MATCH($C116,'Undirviðmiðalisti (Lýsigögn)'!$C$42:$C$58,0))="","",INDEX('Undirviðmiðalisti (Lýsigögn)'!H$42:H$58,MATCH($C116,'Undirviðmiðalisti (Lýsigögn)'!$C$42:$C$58,0))),""),IFERROR(IF(INDEX('Undirviðmiðalisti (Lýsigögn)'!H$6:H$41,MATCH($C116,'Undirviðmiðalisti (Lýsigögn)'!$C$6:$C$41,0))="","",INDEX('Undirviðmiðalisti (Lýsigögn)'!H$6:H$41,MATCH($C116,'Undirviðmiðalisti (Lýsigögn)'!$C$6:$C$41,0))),IFERROR(IF(INDEX('Undirviðmiðalisti (Lýsigögn)'!H$42:H$58,MATCH($C116,'Undirviðmiðalisti (Lýsigögn)'!$C$42:$C$58,0))="","",INDEX('Undirviðmiðalisti (Lýsigögn)'!H$42:H$58,MATCH($C116,'Undirviðmiðalisti (Lýsigögn)'!$C$42:$C$58,0))),""))))</f>
        <v/>
      </c>
      <c r="M116" s="16" t="str">
        <f aca="false">IF($C116="","",IF($G116="Einstaklingsbundið",IFERROR(IF(INDEX('Undirviðmiðalisti (Lýsigögn)'!I$42:I$58,MATCH($C116,'Undirviðmiðalisti (Lýsigögn)'!$C$42:$C$58,0))="","",INDEX('Undirviðmiðalisti (Lýsigögn)'!I$42:I$58,MATCH($C116,'Undirviðmiðalisti (Lýsigögn)'!$C$42:$C$58,0))),""),IFERROR(IF(INDEX('Undirviðmiðalisti (Lýsigögn)'!I$6:I$41,MATCH($C116,'Undirviðmiðalisti (Lýsigögn)'!$C$6:$C$41,0))="","",INDEX('Undirviðmiðalisti (Lýsigögn)'!I$6:I$41,MATCH($C116,'Undirviðmiðalisti (Lýsigögn)'!$C$6:$C$41,0))),IFERROR(IF(INDEX('Undirviðmiðalisti (Lýsigögn)'!I$42:I$58,MATCH($C116,'Undirviðmiðalisti (Lýsigögn)'!$C$42:$C$58,0))="","",INDEX('Undirviðmiðalisti (Lýsigögn)'!I$42:I$58,MATCH($C116,'Undirviðmiðalisti (Lýsigögn)'!$C$42:$C$58,0))),""))))</f>
        <v/>
      </c>
      <c r="N116" s="16" t="str">
        <f aca="false">IF($C116="","",IF($G116="Einstaklingsbundið",IFERROR(IF(INDEX('Undirviðmiðalisti (Lýsigögn)'!J$42:J$58,MATCH($C116,'Undirviðmiðalisti (Lýsigögn)'!$C$42:$C$58,0))="","",INDEX('Undirviðmiðalisti (Lýsigögn)'!J$42:J$58,MATCH($C116,'Undirviðmiðalisti (Lýsigögn)'!$C$42:$C$58,0))),""),IFERROR(IF(INDEX('Undirviðmiðalisti (Lýsigögn)'!J$6:J$41,MATCH($C116,'Undirviðmiðalisti (Lýsigögn)'!$C$6:$C$41,0))="","",INDEX('Undirviðmiðalisti (Lýsigögn)'!J$6:J$41,MATCH($C116,'Undirviðmiðalisti (Lýsigögn)'!$C$6:$C$41,0))),IFERROR(IF(INDEX('Undirviðmiðalisti (Lýsigögn)'!J$42:J$58,MATCH($C116,'Undirviðmiðalisti (Lýsigögn)'!$C$42:$C$58,0))="","",INDEX('Undirviðmiðalisti (Lýsigögn)'!J$42:J$58,MATCH($C116,'Undirviðmiðalisti (Lýsigögn)'!$C$42:$C$58,0))),""))))</f>
        <v/>
      </c>
      <c r="O116" s="16" t="str">
        <f aca="false">IF($C116="","",IF($G116="Einstaklingsbundið",IFERROR(IF(INDEX('Undirviðmiðalisti (Lýsigögn)'!K$42:K$58,MATCH($C116,'Undirviðmiðalisti (Lýsigögn)'!$C$42:$C$58,0))="","",INDEX('Undirviðmiðalisti (Lýsigögn)'!K$42:K$58,MATCH($C116,'Undirviðmiðalisti (Lýsigögn)'!$C$42:$C$58,0))),""),IFERROR(IF(INDEX('Undirviðmiðalisti (Lýsigögn)'!K$6:K$41,MATCH($C116,'Undirviðmiðalisti (Lýsigögn)'!$C$6:$C$41,0))="","",INDEX('Undirviðmiðalisti (Lýsigögn)'!K$6:K$41,MATCH($C116,'Undirviðmiðalisti (Lýsigögn)'!$C$6:$C$41,0))),IFERROR(IF(INDEX('Undirviðmiðalisti (Lýsigögn)'!K$42:K$58,MATCH($C116,'Undirviðmiðalisti (Lýsigögn)'!$C$42:$C$58,0))="","",INDEX('Undirviðmiðalisti (Lýsigögn)'!K$42:K$58,MATCH($C116,'Undirviðmiðalisti (Lýsigögn)'!$C$42:$C$58,0))),""))))</f>
        <v/>
      </c>
      <c r="P116" s="16" t="str">
        <f aca="false">IF($C116="","",IF($G116="Einstaklingsbundið",IFERROR(IF(INDEX('Undirviðmiðalisti (Lýsigögn)'!L$42:L$58,MATCH($C116,'Undirviðmiðalisti (Lýsigögn)'!$C$42:$C$58,0))="","",INDEX('Undirviðmiðalisti (Lýsigögn)'!L$42:L$58,MATCH($C116,'Undirviðmiðalisti (Lýsigögn)'!$C$42:$C$58,0))),""),IFERROR(IF(INDEX('Undirviðmiðalisti (Lýsigögn)'!L$6:L$41,MATCH($C116,'Undirviðmiðalisti (Lýsigögn)'!$C$6:$C$41,0))="","",INDEX('Undirviðmiðalisti (Lýsigögn)'!L$6:L$41,MATCH($C116,'Undirviðmiðalisti (Lýsigögn)'!$C$6:$C$41,0))),IFERROR(IF(INDEX('Undirviðmiðalisti (Lýsigögn)'!L$42:L$58,MATCH($C116,'Undirviðmiðalisti (Lýsigögn)'!$C$42:$C$58,0))="","",INDEX('Undirviðmiðalisti (Lýsigögn)'!L$42:L$58,MATCH($C116,'Undirviðmiðalisti (Lýsigögn)'!$C$42:$C$58,0))),""))))</f>
        <v/>
      </c>
      <c r="Q116" s="16" t="str">
        <f aca="false">IF($C116="","",IF($G116="Einstaklingsbundið",IFERROR(IF(INDEX('Undirviðmiðalisti (Lýsigögn)'!M$42:M$58,MATCH($C116,'Undirviðmiðalisti (Lýsigögn)'!$C$42:$C$58,0))="","",INDEX('Undirviðmiðalisti (Lýsigögn)'!M$42:M$58,MATCH($C116,'Undirviðmiðalisti (Lýsigögn)'!$C$42:$C$58,0))),""),IFERROR(IF(INDEX('Undirviðmiðalisti (Lýsigögn)'!M$6:M$41,MATCH($C116,'Undirviðmiðalisti (Lýsigögn)'!$C$6:$C$41,0))="","",INDEX('Undirviðmiðalisti (Lýsigögn)'!M$6:M$41,MATCH($C116,'Undirviðmiðalisti (Lýsigögn)'!$C$6:$C$41,0))),IFERROR(IF(INDEX('Undirviðmiðalisti (Lýsigögn)'!M$42:M$58,MATCH($C116,'Undirviðmiðalisti (Lýsigögn)'!$C$42:$C$58,0))="","",INDEX('Undirviðmiðalisti (Lýsigögn)'!M$42:M$58,MATCH($C116,'Undirviðmiðalisti (Lýsigögn)'!$C$42:$C$58,0))),""))))</f>
        <v/>
      </c>
    </row>
    <row r="117" customFormat="false" ht="15" hidden="false" customHeight="true" outlineLevel="0" collapsed="false">
      <c r="A117" s="22" t="str">
        <f aca="false">IF($B117="","",ROW()-5)</f>
        <v/>
      </c>
      <c r="B117" s="15"/>
      <c r="C117" s="15"/>
      <c r="D117" s="16" t="str">
        <f aca="false">IF($C117="","",IF($G117="Einstaklingsbundið",IFERROR(IF(INDEX('Undirviðmiðalisti (Lýsigögn)'!$D$42:$D$58,MATCH($C117,'Undirviðmiðalisti (Lýsigögn)'!$C$42:$C$58,0))="","",INDEX('Undirviðmiðalisti (Lýsigögn)'!$D$42:$D$58,MATCH($C117,'Undirviðmiðalisti (Lýsigögn)'!$C$42:$C$58,0))),""),IFERROR(IF(INDEX('Undirviðmiðalisti (Lýsigögn)'!$D$6:$D$41,MATCH($C117,'Undirviðmiðalisti (Lýsigögn)'!$C$6:$C$41,0))="","",INDEX('Undirviðmiðalisti (Lýsigögn)'!$D$6:$D$41,MATCH($C117,'Undirviðmiðalisti (Lýsigögn)'!$C$6:$C$41,0))),IFERROR(IF(INDEX('Undirviðmiðalisti (Lýsigögn)'!$D$42:$D$58,MATCH($C117,'Undirviðmiðalisti (Lýsigögn)'!$C$42:$C$58,0))="","",INDEX('Undirviðmiðalisti (Lýsigögn)'!$D$42:$D$58,MATCH($C117,'Undirviðmiðalisti (Lýsigögn)'!$C$42:$C$58,0))),""))))</f>
        <v/>
      </c>
      <c r="E117" s="14"/>
      <c r="F117" s="23" t="str">
        <f aca="false">IF($C117="","",IF($G117="Einstaklingsbundið",IFERROR(IF(INDEX('Undirviðmiðalisti (Lýsigögn)'!$E$42:$E$58,MATCH($C117,'Undirviðmiðalisti (Lýsigögn)'!$C$42:$C$58,0))="","",INDEX('Undirviðmiðalisti (Lýsigögn)'!$E$42:$E$58,MATCH($C117,'Undirviðmiðalisti (Lýsigögn)'!$C$42:$C$58,0))),""),IFERROR(IF(INDEX('Undirviðmiðalisti (Lýsigögn)'!$E$6:$E$41,MATCH($C117,'Undirviðmiðalisti (Lýsigögn)'!$C$6:$C$41,0))="","",INDEX('Undirviðmiðalisti (Lýsigögn)'!$E$6:$E$41,MATCH($C117,'Undirviðmiðalisti (Lýsigögn)'!$C$6:$C$41,0))),IFERROR(IF(INDEX('Undirviðmiðalisti (Lýsigögn)'!$E$42:$E$58,MATCH($C117,'Undirviðmiðalisti (Lýsigögn)'!$C$42:$C$58,0))="","",INDEX('Undirviðmiðalisti (Lýsigögn)'!$E$42:$E$58,MATCH($C117,'Undirviðmiðalisti (Lýsigögn)'!$C$42:$C$58,0))),""))))</f>
        <v/>
      </c>
      <c r="G117" s="24" t="str">
        <f aca="false">IFERROR(IF(B117="","",INDEX(Viðmið!$B$6:$B$10,MATCH(B117,Viðmið!$C$6:$C$10,0))),"")</f>
        <v/>
      </c>
      <c r="H117" s="25" t="str">
        <f aca="false">IF(OR(E117="",F117=""),"",E117*KVARDI)</f>
        <v/>
      </c>
      <c r="I117" s="26" t="str">
        <f aca="false">IF(B117="","",IF(ROUND(SUMIF($B$6:$B$205,B117,$E$6:$E$205),4)=ROUND(IFERROR(INDEX(Viðmið!$E$6:$E$10,MATCH(B117,Viðmið!$C$6:$C$10,0)),-1),4),"✓","✗"))</f>
        <v/>
      </c>
      <c r="J117" s="16" t="str">
        <f aca="false">IF($C117="","",IF($G117="Einstaklingsbundið",IFERROR(IF(INDEX('Undirviðmiðalisti (Lýsigögn)'!F$42:F$58,MATCH($C117,'Undirviðmiðalisti (Lýsigögn)'!$C$42:$C$58,0))="","",INDEX('Undirviðmiðalisti (Lýsigögn)'!F$42:F$58,MATCH($C117,'Undirviðmiðalisti (Lýsigögn)'!$C$42:$C$58,0))),""),IFERROR(IF(INDEX('Undirviðmiðalisti (Lýsigögn)'!F$6:F$41,MATCH($C117,'Undirviðmiðalisti (Lýsigögn)'!$C$6:$C$41,0))="","",INDEX('Undirviðmiðalisti (Lýsigögn)'!F$6:F$41,MATCH($C117,'Undirviðmiðalisti (Lýsigögn)'!$C$6:$C$41,0))),IFERROR(IF(INDEX('Undirviðmiðalisti (Lýsigögn)'!F$42:F$58,MATCH($C117,'Undirviðmiðalisti (Lýsigögn)'!$C$42:$C$58,0))="","",INDEX('Undirviðmiðalisti (Lýsigögn)'!F$42:F$58,MATCH($C117,'Undirviðmiðalisti (Lýsigögn)'!$C$42:$C$58,0))),""))))</f>
        <v/>
      </c>
      <c r="K117" s="16" t="str">
        <f aca="false">IF($C117="","",IF($G117="Einstaklingsbundið",IFERROR(IF(INDEX('Undirviðmiðalisti (Lýsigögn)'!G$42:G$58,MATCH($C117,'Undirviðmiðalisti (Lýsigögn)'!$C$42:$C$58,0))="","",INDEX('Undirviðmiðalisti (Lýsigögn)'!G$42:G$58,MATCH($C117,'Undirviðmiðalisti (Lýsigögn)'!$C$42:$C$58,0))),""),IFERROR(IF(INDEX('Undirviðmiðalisti (Lýsigögn)'!G$6:G$41,MATCH($C117,'Undirviðmiðalisti (Lýsigögn)'!$C$6:$C$41,0))="","",INDEX('Undirviðmiðalisti (Lýsigögn)'!G$6:G$41,MATCH($C117,'Undirviðmiðalisti (Lýsigögn)'!$C$6:$C$41,0))),IFERROR(IF(INDEX('Undirviðmiðalisti (Lýsigögn)'!G$42:G$58,MATCH($C117,'Undirviðmiðalisti (Lýsigögn)'!$C$42:$C$58,0))="","",INDEX('Undirviðmiðalisti (Lýsigögn)'!G$42:G$58,MATCH($C117,'Undirviðmiðalisti (Lýsigögn)'!$C$42:$C$58,0))),""))))</f>
        <v/>
      </c>
      <c r="L117" s="16" t="str">
        <f aca="false">IF($C117="","",IF($G117="Einstaklingsbundið",IFERROR(IF(INDEX('Undirviðmiðalisti (Lýsigögn)'!H$42:H$58,MATCH($C117,'Undirviðmiðalisti (Lýsigögn)'!$C$42:$C$58,0))="","",INDEX('Undirviðmiðalisti (Lýsigögn)'!H$42:H$58,MATCH($C117,'Undirviðmiðalisti (Lýsigögn)'!$C$42:$C$58,0))),""),IFERROR(IF(INDEX('Undirviðmiðalisti (Lýsigögn)'!H$6:H$41,MATCH($C117,'Undirviðmiðalisti (Lýsigögn)'!$C$6:$C$41,0))="","",INDEX('Undirviðmiðalisti (Lýsigögn)'!H$6:H$41,MATCH($C117,'Undirviðmiðalisti (Lýsigögn)'!$C$6:$C$41,0))),IFERROR(IF(INDEX('Undirviðmiðalisti (Lýsigögn)'!H$42:H$58,MATCH($C117,'Undirviðmiðalisti (Lýsigögn)'!$C$42:$C$58,0))="","",INDEX('Undirviðmiðalisti (Lýsigögn)'!H$42:H$58,MATCH($C117,'Undirviðmiðalisti (Lýsigögn)'!$C$42:$C$58,0))),""))))</f>
        <v/>
      </c>
      <c r="M117" s="16" t="str">
        <f aca="false">IF($C117="","",IF($G117="Einstaklingsbundið",IFERROR(IF(INDEX('Undirviðmiðalisti (Lýsigögn)'!I$42:I$58,MATCH($C117,'Undirviðmiðalisti (Lýsigögn)'!$C$42:$C$58,0))="","",INDEX('Undirviðmiðalisti (Lýsigögn)'!I$42:I$58,MATCH($C117,'Undirviðmiðalisti (Lýsigögn)'!$C$42:$C$58,0))),""),IFERROR(IF(INDEX('Undirviðmiðalisti (Lýsigögn)'!I$6:I$41,MATCH($C117,'Undirviðmiðalisti (Lýsigögn)'!$C$6:$C$41,0))="","",INDEX('Undirviðmiðalisti (Lýsigögn)'!I$6:I$41,MATCH($C117,'Undirviðmiðalisti (Lýsigögn)'!$C$6:$C$41,0))),IFERROR(IF(INDEX('Undirviðmiðalisti (Lýsigögn)'!I$42:I$58,MATCH($C117,'Undirviðmiðalisti (Lýsigögn)'!$C$42:$C$58,0))="","",INDEX('Undirviðmiðalisti (Lýsigögn)'!I$42:I$58,MATCH($C117,'Undirviðmiðalisti (Lýsigögn)'!$C$42:$C$58,0))),""))))</f>
        <v/>
      </c>
      <c r="N117" s="16" t="str">
        <f aca="false">IF($C117="","",IF($G117="Einstaklingsbundið",IFERROR(IF(INDEX('Undirviðmiðalisti (Lýsigögn)'!J$42:J$58,MATCH($C117,'Undirviðmiðalisti (Lýsigögn)'!$C$42:$C$58,0))="","",INDEX('Undirviðmiðalisti (Lýsigögn)'!J$42:J$58,MATCH($C117,'Undirviðmiðalisti (Lýsigögn)'!$C$42:$C$58,0))),""),IFERROR(IF(INDEX('Undirviðmiðalisti (Lýsigögn)'!J$6:J$41,MATCH($C117,'Undirviðmiðalisti (Lýsigögn)'!$C$6:$C$41,0))="","",INDEX('Undirviðmiðalisti (Lýsigögn)'!J$6:J$41,MATCH($C117,'Undirviðmiðalisti (Lýsigögn)'!$C$6:$C$41,0))),IFERROR(IF(INDEX('Undirviðmiðalisti (Lýsigögn)'!J$42:J$58,MATCH($C117,'Undirviðmiðalisti (Lýsigögn)'!$C$42:$C$58,0))="","",INDEX('Undirviðmiðalisti (Lýsigögn)'!J$42:J$58,MATCH($C117,'Undirviðmiðalisti (Lýsigögn)'!$C$42:$C$58,0))),""))))</f>
        <v/>
      </c>
      <c r="O117" s="16" t="str">
        <f aca="false">IF($C117="","",IF($G117="Einstaklingsbundið",IFERROR(IF(INDEX('Undirviðmiðalisti (Lýsigögn)'!K$42:K$58,MATCH($C117,'Undirviðmiðalisti (Lýsigögn)'!$C$42:$C$58,0))="","",INDEX('Undirviðmiðalisti (Lýsigögn)'!K$42:K$58,MATCH($C117,'Undirviðmiðalisti (Lýsigögn)'!$C$42:$C$58,0))),""),IFERROR(IF(INDEX('Undirviðmiðalisti (Lýsigögn)'!K$6:K$41,MATCH($C117,'Undirviðmiðalisti (Lýsigögn)'!$C$6:$C$41,0))="","",INDEX('Undirviðmiðalisti (Lýsigögn)'!K$6:K$41,MATCH($C117,'Undirviðmiðalisti (Lýsigögn)'!$C$6:$C$41,0))),IFERROR(IF(INDEX('Undirviðmiðalisti (Lýsigögn)'!K$42:K$58,MATCH($C117,'Undirviðmiðalisti (Lýsigögn)'!$C$42:$C$58,0))="","",INDEX('Undirviðmiðalisti (Lýsigögn)'!K$42:K$58,MATCH($C117,'Undirviðmiðalisti (Lýsigögn)'!$C$42:$C$58,0))),""))))</f>
        <v/>
      </c>
      <c r="P117" s="16" t="str">
        <f aca="false">IF($C117="","",IF($G117="Einstaklingsbundið",IFERROR(IF(INDEX('Undirviðmiðalisti (Lýsigögn)'!L$42:L$58,MATCH($C117,'Undirviðmiðalisti (Lýsigögn)'!$C$42:$C$58,0))="","",INDEX('Undirviðmiðalisti (Lýsigögn)'!L$42:L$58,MATCH($C117,'Undirviðmiðalisti (Lýsigögn)'!$C$42:$C$58,0))),""),IFERROR(IF(INDEX('Undirviðmiðalisti (Lýsigögn)'!L$6:L$41,MATCH($C117,'Undirviðmiðalisti (Lýsigögn)'!$C$6:$C$41,0))="","",INDEX('Undirviðmiðalisti (Lýsigögn)'!L$6:L$41,MATCH($C117,'Undirviðmiðalisti (Lýsigögn)'!$C$6:$C$41,0))),IFERROR(IF(INDEX('Undirviðmiðalisti (Lýsigögn)'!L$42:L$58,MATCH($C117,'Undirviðmiðalisti (Lýsigögn)'!$C$42:$C$58,0))="","",INDEX('Undirviðmiðalisti (Lýsigögn)'!L$42:L$58,MATCH($C117,'Undirviðmiðalisti (Lýsigögn)'!$C$42:$C$58,0))),""))))</f>
        <v/>
      </c>
      <c r="Q117" s="16" t="str">
        <f aca="false">IF($C117="","",IF($G117="Einstaklingsbundið",IFERROR(IF(INDEX('Undirviðmiðalisti (Lýsigögn)'!M$42:M$58,MATCH($C117,'Undirviðmiðalisti (Lýsigögn)'!$C$42:$C$58,0))="","",INDEX('Undirviðmiðalisti (Lýsigögn)'!M$42:M$58,MATCH($C117,'Undirviðmiðalisti (Lýsigögn)'!$C$42:$C$58,0))),""),IFERROR(IF(INDEX('Undirviðmiðalisti (Lýsigögn)'!M$6:M$41,MATCH($C117,'Undirviðmiðalisti (Lýsigögn)'!$C$6:$C$41,0))="","",INDEX('Undirviðmiðalisti (Lýsigögn)'!M$6:M$41,MATCH($C117,'Undirviðmiðalisti (Lýsigögn)'!$C$6:$C$41,0))),IFERROR(IF(INDEX('Undirviðmiðalisti (Lýsigögn)'!M$42:M$58,MATCH($C117,'Undirviðmiðalisti (Lýsigögn)'!$C$42:$C$58,0))="","",INDEX('Undirviðmiðalisti (Lýsigögn)'!M$42:M$58,MATCH($C117,'Undirviðmiðalisti (Lýsigögn)'!$C$42:$C$58,0))),""))))</f>
        <v/>
      </c>
    </row>
    <row r="118" customFormat="false" ht="15" hidden="false" customHeight="true" outlineLevel="0" collapsed="false">
      <c r="A118" s="22" t="str">
        <f aca="false">IF($B118="","",ROW()-5)</f>
        <v/>
      </c>
      <c r="B118" s="15"/>
      <c r="C118" s="15"/>
      <c r="D118" s="16" t="str">
        <f aca="false">IF($C118="","",IF($G118="Einstaklingsbundið",IFERROR(IF(INDEX('Undirviðmiðalisti (Lýsigögn)'!$D$42:$D$58,MATCH($C118,'Undirviðmiðalisti (Lýsigögn)'!$C$42:$C$58,0))="","",INDEX('Undirviðmiðalisti (Lýsigögn)'!$D$42:$D$58,MATCH($C118,'Undirviðmiðalisti (Lýsigögn)'!$C$42:$C$58,0))),""),IFERROR(IF(INDEX('Undirviðmiðalisti (Lýsigögn)'!$D$6:$D$41,MATCH($C118,'Undirviðmiðalisti (Lýsigögn)'!$C$6:$C$41,0))="","",INDEX('Undirviðmiðalisti (Lýsigögn)'!$D$6:$D$41,MATCH($C118,'Undirviðmiðalisti (Lýsigögn)'!$C$6:$C$41,0))),IFERROR(IF(INDEX('Undirviðmiðalisti (Lýsigögn)'!$D$42:$D$58,MATCH($C118,'Undirviðmiðalisti (Lýsigögn)'!$C$42:$C$58,0))="","",INDEX('Undirviðmiðalisti (Lýsigögn)'!$D$42:$D$58,MATCH($C118,'Undirviðmiðalisti (Lýsigögn)'!$C$42:$C$58,0))),""))))</f>
        <v/>
      </c>
      <c r="E118" s="14"/>
      <c r="F118" s="23" t="str">
        <f aca="false">IF($C118="","",IF($G118="Einstaklingsbundið",IFERROR(IF(INDEX('Undirviðmiðalisti (Lýsigögn)'!$E$42:$E$58,MATCH($C118,'Undirviðmiðalisti (Lýsigögn)'!$C$42:$C$58,0))="","",INDEX('Undirviðmiðalisti (Lýsigögn)'!$E$42:$E$58,MATCH($C118,'Undirviðmiðalisti (Lýsigögn)'!$C$42:$C$58,0))),""),IFERROR(IF(INDEX('Undirviðmiðalisti (Lýsigögn)'!$E$6:$E$41,MATCH($C118,'Undirviðmiðalisti (Lýsigögn)'!$C$6:$C$41,0))="","",INDEX('Undirviðmiðalisti (Lýsigögn)'!$E$6:$E$41,MATCH($C118,'Undirviðmiðalisti (Lýsigögn)'!$C$6:$C$41,0))),IFERROR(IF(INDEX('Undirviðmiðalisti (Lýsigögn)'!$E$42:$E$58,MATCH($C118,'Undirviðmiðalisti (Lýsigögn)'!$C$42:$C$58,0))="","",INDEX('Undirviðmiðalisti (Lýsigögn)'!$E$42:$E$58,MATCH($C118,'Undirviðmiðalisti (Lýsigögn)'!$C$42:$C$58,0))),""))))</f>
        <v/>
      </c>
      <c r="G118" s="24" t="str">
        <f aca="false">IFERROR(IF(B118="","",INDEX(Viðmið!$B$6:$B$10,MATCH(B118,Viðmið!$C$6:$C$10,0))),"")</f>
        <v/>
      </c>
      <c r="H118" s="25" t="str">
        <f aca="false">IF(OR(E118="",F118=""),"",E118*KVARDI)</f>
        <v/>
      </c>
      <c r="I118" s="26" t="str">
        <f aca="false">IF(B118="","",IF(ROUND(SUMIF($B$6:$B$205,B118,$E$6:$E$205),4)=ROUND(IFERROR(INDEX(Viðmið!$E$6:$E$10,MATCH(B118,Viðmið!$C$6:$C$10,0)),-1),4),"✓","✗"))</f>
        <v/>
      </c>
      <c r="J118" s="16" t="str">
        <f aca="false">IF($C118="","",IF($G118="Einstaklingsbundið",IFERROR(IF(INDEX('Undirviðmiðalisti (Lýsigögn)'!F$42:F$58,MATCH($C118,'Undirviðmiðalisti (Lýsigögn)'!$C$42:$C$58,0))="","",INDEX('Undirviðmiðalisti (Lýsigögn)'!F$42:F$58,MATCH($C118,'Undirviðmiðalisti (Lýsigögn)'!$C$42:$C$58,0))),""),IFERROR(IF(INDEX('Undirviðmiðalisti (Lýsigögn)'!F$6:F$41,MATCH($C118,'Undirviðmiðalisti (Lýsigögn)'!$C$6:$C$41,0))="","",INDEX('Undirviðmiðalisti (Lýsigögn)'!F$6:F$41,MATCH($C118,'Undirviðmiðalisti (Lýsigögn)'!$C$6:$C$41,0))),IFERROR(IF(INDEX('Undirviðmiðalisti (Lýsigögn)'!F$42:F$58,MATCH($C118,'Undirviðmiðalisti (Lýsigögn)'!$C$42:$C$58,0))="","",INDEX('Undirviðmiðalisti (Lýsigögn)'!F$42:F$58,MATCH($C118,'Undirviðmiðalisti (Lýsigögn)'!$C$42:$C$58,0))),""))))</f>
        <v/>
      </c>
      <c r="K118" s="16" t="str">
        <f aca="false">IF($C118="","",IF($G118="Einstaklingsbundið",IFERROR(IF(INDEX('Undirviðmiðalisti (Lýsigögn)'!G$42:G$58,MATCH($C118,'Undirviðmiðalisti (Lýsigögn)'!$C$42:$C$58,0))="","",INDEX('Undirviðmiðalisti (Lýsigögn)'!G$42:G$58,MATCH($C118,'Undirviðmiðalisti (Lýsigögn)'!$C$42:$C$58,0))),""),IFERROR(IF(INDEX('Undirviðmiðalisti (Lýsigögn)'!G$6:G$41,MATCH($C118,'Undirviðmiðalisti (Lýsigögn)'!$C$6:$C$41,0))="","",INDEX('Undirviðmiðalisti (Lýsigögn)'!G$6:G$41,MATCH($C118,'Undirviðmiðalisti (Lýsigögn)'!$C$6:$C$41,0))),IFERROR(IF(INDEX('Undirviðmiðalisti (Lýsigögn)'!G$42:G$58,MATCH($C118,'Undirviðmiðalisti (Lýsigögn)'!$C$42:$C$58,0))="","",INDEX('Undirviðmiðalisti (Lýsigögn)'!G$42:G$58,MATCH($C118,'Undirviðmiðalisti (Lýsigögn)'!$C$42:$C$58,0))),""))))</f>
        <v/>
      </c>
      <c r="L118" s="16" t="str">
        <f aca="false">IF($C118="","",IF($G118="Einstaklingsbundið",IFERROR(IF(INDEX('Undirviðmiðalisti (Lýsigögn)'!H$42:H$58,MATCH($C118,'Undirviðmiðalisti (Lýsigögn)'!$C$42:$C$58,0))="","",INDEX('Undirviðmiðalisti (Lýsigögn)'!H$42:H$58,MATCH($C118,'Undirviðmiðalisti (Lýsigögn)'!$C$42:$C$58,0))),""),IFERROR(IF(INDEX('Undirviðmiðalisti (Lýsigögn)'!H$6:H$41,MATCH($C118,'Undirviðmiðalisti (Lýsigögn)'!$C$6:$C$41,0))="","",INDEX('Undirviðmiðalisti (Lýsigögn)'!H$6:H$41,MATCH($C118,'Undirviðmiðalisti (Lýsigögn)'!$C$6:$C$41,0))),IFERROR(IF(INDEX('Undirviðmiðalisti (Lýsigögn)'!H$42:H$58,MATCH($C118,'Undirviðmiðalisti (Lýsigögn)'!$C$42:$C$58,0))="","",INDEX('Undirviðmiðalisti (Lýsigögn)'!H$42:H$58,MATCH($C118,'Undirviðmiðalisti (Lýsigögn)'!$C$42:$C$58,0))),""))))</f>
        <v/>
      </c>
      <c r="M118" s="16" t="str">
        <f aca="false">IF($C118="","",IF($G118="Einstaklingsbundið",IFERROR(IF(INDEX('Undirviðmiðalisti (Lýsigögn)'!I$42:I$58,MATCH($C118,'Undirviðmiðalisti (Lýsigögn)'!$C$42:$C$58,0))="","",INDEX('Undirviðmiðalisti (Lýsigögn)'!I$42:I$58,MATCH($C118,'Undirviðmiðalisti (Lýsigögn)'!$C$42:$C$58,0))),""),IFERROR(IF(INDEX('Undirviðmiðalisti (Lýsigögn)'!I$6:I$41,MATCH($C118,'Undirviðmiðalisti (Lýsigögn)'!$C$6:$C$41,0))="","",INDEX('Undirviðmiðalisti (Lýsigögn)'!I$6:I$41,MATCH($C118,'Undirviðmiðalisti (Lýsigögn)'!$C$6:$C$41,0))),IFERROR(IF(INDEX('Undirviðmiðalisti (Lýsigögn)'!I$42:I$58,MATCH($C118,'Undirviðmiðalisti (Lýsigögn)'!$C$42:$C$58,0))="","",INDEX('Undirviðmiðalisti (Lýsigögn)'!I$42:I$58,MATCH($C118,'Undirviðmiðalisti (Lýsigögn)'!$C$42:$C$58,0))),""))))</f>
        <v/>
      </c>
      <c r="N118" s="16" t="str">
        <f aca="false">IF($C118="","",IF($G118="Einstaklingsbundið",IFERROR(IF(INDEX('Undirviðmiðalisti (Lýsigögn)'!J$42:J$58,MATCH($C118,'Undirviðmiðalisti (Lýsigögn)'!$C$42:$C$58,0))="","",INDEX('Undirviðmiðalisti (Lýsigögn)'!J$42:J$58,MATCH($C118,'Undirviðmiðalisti (Lýsigögn)'!$C$42:$C$58,0))),""),IFERROR(IF(INDEX('Undirviðmiðalisti (Lýsigögn)'!J$6:J$41,MATCH($C118,'Undirviðmiðalisti (Lýsigögn)'!$C$6:$C$41,0))="","",INDEX('Undirviðmiðalisti (Lýsigögn)'!J$6:J$41,MATCH($C118,'Undirviðmiðalisti (Lýsigögn)'!$C$6:$C$41,0))),IFERROR(IF(INDEX('Undirviðmiðalisti (Lýsigögn)'!J$42:J$58,MATCH($C118,'Undirviðmiðalisti (Lýsigögn)'!$C$42:$C$58,0))="","",INDEX('Undirviðmiðalisti (Lýsigögn)'!J$42:J$58,MATCH($C118,'Undirviðmiðalisti (Lýsigögn)'!$C$42:$C$58,0))),""))))</f>
        <v/>
      </c>
      <c r="O118" s="16" t="str">
        <f aca="false">IF($C118="","",IF($G118="Einstaklingsbundið",IFERROR(IF(INDEX('Undirviðmiðalisti (Lýsigögn)'!K$42:K$58,MATCH($C118,'Undirviðmiðalisti (Lýsigögn)'!$C$42:$C$58,0))="","",INDEX('Undirviðmiðalisti (Lýsigögn)'!K$42:K$58,MATCH($C118,'Undirviðmiðalisti (Lýsigögn)'!$C$42:$C$58,0))),""),IFERROR(IF(INDEX('Undirviðmiðalisti (Lýsigögn)'!K$6:K$41,MATCH($C118,'Undirviðmiðalisti (Lýsigögn)'!$C$6:$C$41,0))="","",INDEX('Undirviðmiðalisti (Lýsigögn)'!K$6:K$41,MATCH($C118,'Undirviðmiðalisti (Lýsigögn)'!$C$6:$C$41,0))),IFERROR(IF(INDEX('Undirviðmiðalisti (Lýsigögn)'!K$42:K$58,MATCH($C118,'Undirviðmiðalisti (Lýsigögn)'!$C$42:$C$58,0))="","",INDEX('Undirviðmiðalisti (Lýsigögn)'!K$42:K$58,MATCH($C118,'Undirviðmiðalisti (Lýsigögn)'!$C$42:$C$58,0))),""))))</f>
        <v/>
      </c>
      <c r="P118" s="16" t="str">
        <f aca="false">IF($C118="","",IF($G118="Einstaklingsbundið",IFERROR(IF(INDEX('Undirviðmiðalisti (Lýsigögn)'!L$42:L$58,MATCH($C118,'Undirviðmiðalisti (Lýsigögn)'!$C$42:$C$58,0))="","",INDEX('Undirviðmiðalisti (Lýsigögn)'!L$42:L$58,MATCH($C118,'Undirviðmiðalisti (Lýsigögn)'!$C$42:$C$58,0))),""),IFERROR(IF(INDEX('Undirviðmiðalisti (Lýsigögn)'!L$6:L$41,MATCH($C118,'Undirviðmiðalisti (Lýsigögn)'!$C$6:$C$41,0))="","",INDEX('Undirviðmiðalisti (Lýsigögn)'!L$6:L$41,MATCH($C118,'Undirviðmiðalisti (Lýsigögn)'!$C$6:$C$41,0))),IFERROR(IF(INDEX('Undirviðmiðalisti (Lýsigögn)'!L$42:L$58,MATCH($C118,'Undirviðmiðalisti (Lýsigögn)'!$C$42:$C$58,0))="","",INDEX('Undirviðmiðalisti (Lýsigögn)'!L$42:L$58,MATCH($C118,'Undirviðmiðalisti (Lýsigögn)'!$C$42:$C$58,0))),""))))</f>
        <v/>
      </c>
      <c r="Q118" s="16" t="str">
        <f aca="false">IF($C118="","",IF($G118="Einstaklingsbundið",IFERROR(IF(INDEX('Undirviðmiðalisti (Lýsigögn)'!M$42:M$58,MATCH($C118,'Undirviðmiðalisti (Lýsigögn)'!$C$42:$C$58,0))="","",INDEX('Undirviðmiðalisti (Lýsigögn)'!M$42:M$58,MATCH($C118,'Undirviðmiðalisti (Lýsigögn)'!$C$42:$C$58,0))),""),IFERROR(IF(INDEX('Undirviðmiðalisti (Lýsigögn)'!M$6:M$41,MATCH($C118,'Undirviðmiðalisti (Lýsigögn)'!$C$6:$C$41,0))="","",INDEX('Undirviðmiðalisti (Lýsigögn)'!M$6:M$41,MATCH($C118,'Undirviðmiðalisti (Lýsigögn)'!$C$6:$C$41,0))),IFERROR(IF(INDEX('Undirviðmiðalisti (Lýsigögn)'!M$42:M$58,MATCH($C118,'Undirviðmiðalisti (Lýsigögn)'!$C$42:$C$58,0))="","",INDEX('Undirviðmiðalisti (Lýsigögn)'!M$42:M$58,MATCH($C118,'Undirviðmiðalisti (Lýsigögn)'!$C$42:$C$58,0))),""))))</f>
        <v/>
      </c>
    </row>
    <row r="119" customFormat="false" ht="15" hidden="false" customHeight="true" outlineLevel="0" collapsed="false">
      <c r="A119" s="22" t="str">
        <f aca="false">IF($B119="","",ROW()-5)</f>
        <v/>
      </c>
      <c r="B119" s="15"/>
      <c r="C119" s="15"/>
      <c r="D119" s="16" t="str">
        <f aca="false">IF($C119="","",IF($G119="Einstaklingsbundið",IFERROR(IF(INDEX('Undirviðmiðalisti (Lýsigögn)'!$D$42:$D$58,MATCH($C119,'Undirviðmiðalisti (Lýsigögn)'!$C$42:$C$58,0))="","",INDEX('Undirviðmiðalisti (Lýsigögn)'!$D$42:$D$58,MATCH($C119,'Undirviðmiðalisti (Lýsigögn)'!$C$42:$C$58,0))),""),IFERROR(IF(INDEX('Undirviðmiðalisti (Lýsigögn)'!$D$6:$D$41,MATCH($C119,'Undirviðmiðalisti (Lýsigögn)'!$C$6:$C$41,0))="","",INDEX('Undirviðmiðalisti (Lýsigögn)'!$D$6:$D$41,MATCH($C119,'Undirviðmiðalisti (Lýsigögn)'!$C$6:$C$41,0))),IFERROR(IF(INDEX('Undirviðmiðalisti (Lýsigögn)'!$D$42:$D$58,MATCH($C119,'Undirviðmiðalisti (Lýsigögn)'!$C$42:$C$58,0))="","",INDEX('Undirviðmiðalisti (Lýsigögn)'!$D$42:$D$58,MATCH($C119,'Undirviðmiðalisti (Lýsigögn)'!$C$42:$C$58,0))),""))))</f>
        <v/>
      </c>
      <c r="E119" s="14"/>
      <c r="F119" s="23" t="str">
        <f aca="false">IF($C119="","",IF($G119="Einstaklingsbundið",IFERROR(IF(INDEX('Undirviðmiðalisti (Lýsigögn)'!$E$42:$E$58,MATCH($C119,'Undirviðmiðalisti (Lýsigögn)'!$C$42:$C$58,0))="","",INDEX('Undirviðmiðalisti (Lýsigögn)'!$E$42:$E$58,MATCH($C119,'Undirviðmiðalisti (Lýsigögn)'!$C$42:$C$58,0))),""),IFERROR(IF(INDEX('Undirviðmiðalisti (Lýsigögn)'!$E$6:$E$41,MATCH($C119,'Undirviðmiðalisti (Lýsigögn)'!$C$6:$C$41,0))="","",INDEX('Undirviðmiðalisti (Lýsigögn)'!$E$6:$E$41,MATCH($C119,'Undirviðmiðalisti (Lýsigögn)'!$C$6:$C$41,0))),IFERROR(IF(INDEX('Undirviðmiðalisti (Lýsigögn)'!$E$42:$E$58,MATCH($C119,'Undirviðmiðalisti (Lýsigögn)'!$C$42:$C$58,0))="","",INDEX('Undirviðmiðalisti (Lýsigögn)'!$E$42:$E$58,MATCH($C119,'Undirviðmiðalisti (Lýsigögn)'!$C$42:$C$58,0))),""))))</f>
        <v/>
      </c>
      <c r="G119" s="24" t="str">
        <f aca="false">IFERROR(IF(B119="","",INDEX(Viðmið!$B$6:$B$10,MATCH(B119,Viðmið!$C$6:$C$10,0))),"")</f>
        <v/>
      </c>
      <c r="H119" s="25" t="str">
        <f aca="false">IF(OR(E119="",F119=""),"",E119*KVARDI)</f>
        <v/>
      </c>
      <c r="I119" s="26" t="str">
        <f aca="false">IF(B119="","",IF(ROUND(SUMIF($B$6:$B$205,B119,$E$6:$E$205),4)=ROUND(IFERROR(INDEX(Viðmið!$E$6:$E$10,MATCH(B119,Viðmið!$C$6:$C$10,0)),-1),4),"✓","✗"))</f>
        <v/>
      </c>
      <c r="J119" s="16" t="str">
        <f aca="false">IF($C119="","",IF($G119="Einstaklingsbundið",IFERROR(IF(INDEX('Undirviðmiðalisti (Lýsigögn)'!F$42:F$58,MATCH($C119,'Undirviðmiðalisti (Lýsigögn)'!$C$42:$C$58,0))="","",INDEX('Undirviðmiðalisti (Lýsigögn)'!F$42:F$58,MATCH($C119,'Undirviðmiðalisti (Lýsigögn)'!$C$42:$C$58,0))),""),IFERROR(IF(INDEX('Undirviðmiðalisti (Lýsigögn)'!F$6:F$41,MATCH($C119,'Undirviðmiðalisti (Lýsigögn)'!$C$6:$C$41,0))="","",INDEX('Undirviðmiðalisti (Lýsigögn)'!F$6:F$41,MATCH($C119,'Undirviðmiðalisti (Lýsigögn)'!$C$6:$C$41,0))),IFERROR(IF(INDEX('Undirviðmiðalisti (Lýsigögn)'!F$42:F$58,MATCH($C119,'Undirviðmiðalisti (Lýsigögn)'!$C$42:$C$58,0))="","",INDEX('Undirviðmiðalisti (Lýsigögn)'!F$42:F$58,MATCH($C119,'Undirviðmiðalisti (Lýsigögn)'!$C$42:$C$58,0))),""))))</f>
        <v/>
      </c>
      <c r="K119" s="16" t="str">
        <f aca="false">IF($C119="","",IF($G119="Einstaklingsbundið",IFERROR(IF(INDEX('Undirviðmiðalisti (Lýsigögn)'!G$42:G$58,MATCH($C119,'Undirviðmiðalisti (Lýsigögn)'!$C$42:$C$58,0))="","",INDEX('Undirviðmiðalisti (Lýsigögn)'!G$42:G$58,MATCH($C119,'Undirviðmiðalisti (Lýsigögn)'!$C$42:$C$58,0))),""),IFERROR(IF(INDEX('Undirviðmiðalisti (Lýsigögn)'!G$6:G$41,MATCH($C119,'Undirviðmiðalisti (Lýsigögn)'!$C$6:$C$41,0))="","",INDEX('Undirviðmiðalisti (Lýsigögn)'!G$6:G$41,MATCH($C119,'Undirviðmiðalisti (Lýsigögn)'!$C$6:$C$41,0))),IFERROR(IF(INDEX('Undirviðmiðalisti (Lýsigögn)'!G$42:G$58,MATCH($C119,'Undirviðmiðalisti (Lýsigögn)'!$C$42:$C$58,0))="","",INDEX('Undirviðmiðalisti (Lýsigögn)'!G$42:G$58,MATCH($C119,'Undirviðmiðalisti (Lýsigögn)'!$C$42:$C$58,0))),""))))</f>
        <v/>
      </c>
      <c r="L119" s="16" t="str">
        <f aca="false">IF($C119="","",IF($G119="Einstaklingsbundið",IFERROR(IF(INDEX('Undirviðmiðalisti (Lýsigögn)'!H$42:H$58,MATCH($C119,'Undirviðmiðalisti (Lýsigögn)'!$C$42:$C$58,0))="","",INDEX('Undirviðmiðalisti (Lýsigögn)'!H$42:H$58,MATCH($C119,'Undirviðmiðalisti (Lýsigögn)'!$C$42:$C$58,0))),""),IFERROR(IF(INDEX('Undirviðmiðalisti (Lýsigögn)'!H$6:H$41,MATCH($C119,'Undirviðmiðalisti (Lýsigögn)'!$C$6:$C$41,0))="","",INDEX('Undirviðmiðalisti (Lýsigögn)'!H$6:H$41,MATCH($C119,'Undirviðmiðalisti (Lýsigögn)'!$C$6:$C$41,0))),IFERROR(IF(INDEX('Undirviðmiðalisti (Lýsigögn)'!H$42:H$58,MATCH($C119,'Undirviðmiðalisti (Lýsigögn)'!$C$42:$C$58,0))="","",INDEX('Undirviðmiðalisti (Lýsigögn)'!H$42:H$58,MATCH($C119,'Undirviðmiðalisti (Lýsigögn)'!$C$42:$C$58,0))),""))))</f>
        <v/>
      </c>
      <c r="M119" s="16" t="str">
        <f aca="false">IF($C119="","",IF($G119="Einstaklingsbundið",IFERROR(IF(INDEX('Undirviðmiðalisti (Lýsigögn)'!I$42:I$58,MATCH($C119,'Undirviðmiðalisti (Lýsigögn)'!$C$42:$C$58,0))="","",INDEX('Undirviðmiðalisti (Lýsigögn)'!I$42:I$58,MATCH($C119,'Undirviðmiðalisti (Lýsigögn)'!$C$42:$C$58,0))),""),IFERROR(IF(INDEX('Undirviðmiðalisti (Lýsigögn)'!I$6:I$41,MATCH($C119,'Undirviðmiðalisti (Lýsigögn)'!$C$6:$C$41,0))="","",INDEX('Undirviðmiðalisti (Lýsigögn)'!I$6:I$41,MATCH($C119,'Undirviðmiðalisti (Lýsigögn)'!$C$6:$C$41,0))),IFERROR(IF(INDEX('Undirviðmiðalisti (Lýsigögn)'!I$42:I$58,MATCH($C119,'Undirviðmiðalisti (Lýsigögn)'!$C$42:$C$58,0))="","",INDEX('Undirviðmiðalisti (Lýsigögn)'!I$42:I$58,MATCH($C119,'Undirviðmiðalisti (Lýsigögn)'!$C$42:$C$58,0))),""))))</f>
        <v/>
      </c>
      <c r="N119" s="16" t="str">
        <f aca="false">IF($C119="","",IF($G119="Einstaklingsbundið",IFERROR(IF(INDEX('Undirviðmiðalisti (Lýsigögn)'!J$42:J$58,MATCH($C119,'Undirviðmiðalisti (Lýsigögn)'!$C$42:$C$58,0))="","",INDEX('Undirviðmiðalisti (Lýsigögn)'!J$42:J$58,MATCH($C119,'Undirviðmiðalisti (Lýsigögn)'!$C$42:$C$58,0))),""),IFERROR(IF(INDEX('Undirviðmiðalisti (Lýsigögn)'!J$6:J$41,MATCH($C119,'Undirviðmiðalisti (Lýsigögn)'!$C$6:$C$41,0))="","",INDEX('Undirviðmiðalisti (Lýsigögn)'!J$6:J$41,MATCH($C119,'Undirviðmiðalisti (Lýsigögn)'!$C$6:$C$41,0))),IFERROR(IF(INDEX('Undirviðmiðalisti (Lýsigögn)'!J$42:J$58,MATCH($C119,'Undirviðmiðalisti (Lýsigögn)'!$C$42:$C$58,0))="","",INDEX('Undirviðmiðalisti (Lýsigögn)'!J$42:J$58,MATCH($C119,'Undirviðmiðalisti (Lýsigögn)'!$C$42:$C$58,0))),""))))</f>
        <v/>
      </c>
      <c r="O119" s="16" t="str">
        <f aca="false">IF($C119="","",IF($G119="Einstaklingsbundið",IFERROR(IF(INDEX('Undirviðmiðalisti (Lýsigögn)'!K$42:K$58,MATCH($C119,'Undirviðmiðalisti (Lýsigögn)'!$C$42:$C$58,0))="","",INDEX('Undirviðmiðalisti (Lýsigögn)'!K$42:K$58,MATCH($C119,'Undirviðmiðalisti (Lýsigögn)'!$C$42:$C$58,0))),""),IFERROR(IF(INDEX('Undirviðmiðalisti (Lýsigögn)'!K$6:K$41,MATCH($C119,'Undirviðmiðalisti (Lýsigögn)'!$C$6:$C$41,0))="","",INDEX('Undirviðmiðalisti (Lýsigögn)'!K$6:K$41,MATCH($C119,'Undirviðmiðalisti (Lýsigögn)'!$C$6:$C$41,0))),IFERROR(IF(INDEX('Undirviðmiðalisti (Lýsigögn)'!K$42:K$58,MATCH($C119,'Undirviðmiðalisti (Lýsigögn)'!$C$42:$C$58,0))="","",INDEX('Undirviðmiðalisti (Lýsigögn)'!K$42:K$58,MATCH($C119,'Undirviðmiðalisti (Lýsigögn)'!$C$42:$C$58,0))),""))))</f>
        <v/>
      </c>
      <c r="P119" s="16" t="str">
        <f aca="false">IF($C119="","",IF($G119="Einstaklingsbundið",IFERROR(IF(INDEX('Undirviðmiðalisti (Lýsigögn)'!L$42:L$58,MATCH($C119,'Undirviðmiðalisti (Lýsigögn)'!$C$42:$C$58,0))="","",INDEX('Undirviðmiðalisti (Lýsigögn)'!L$42:L$58,MATCH($C119,'Undirviðmiðalisti (Lýsigögn)'!$C$42:$C$58,0))),""),IFERROR(IF(INDEX('Undirviðmiðalisti (Lýsigögn)'!L$6:L$41,MATCH($C119,'Undirviðmiðalisti (Lýsigögn)'!$C$6:$C$41,0))="","",INDEX('Undirviðmiðalisti (Lýsigögn)'!L$6:L$41,MATCH($C119,'Undirviðmiðalisti (Lýsigögn)'!$C$6:$C$41,0))),IFERROR(IF(INDEX('Undirviðmiðalisti (Lýsigögn)'!L$42:L$58,MATCH($C119,'Undirviðmiðalisti (Lýsigögn)'!$C$42:$C$58,0))="","",INDEX('Undirviðmiðalisti (Lýsigögn)'!L$42:L$58,MATCH($C119,'Undirviðmiðalisti (Lýsigögn)'!$C$42:$C$58,0))),""))))</f>
        <v/>
      </c>
      <c r="Q119" s="16" t="str">
        <f aca="false">IF($C119="","",IF($G119="Einstaklingsbundið",IFERROR(IF(INDEX('Undirviðmiðalisti (Lýsigögn)'!M$42:M$58,MATCH($C119,'Undirviðmiðalisti (Lýsigögn)'!$C$42:$C$58,0))="","",INDEX('Undirviðmiðalisti (Lýsigögn)'!M$42:M$58,MATCH($C119,'Undirviðmiðalisti (Lýsigögn)'!$C$42:$C$58,0))),""),IFERROR(IF(INDEX('Undirviðmiðalisti (Lýsigögn)'!M$6:M$41,MATCH($C119,'Undirviðmiðalisti (Lýsigögn)'!$C$6:$C$41,0))="","",INDEX('Undirviðmiðalisti (Lýsigögn)'!M$6:M$41,MATCH($C119,'Undirviðmiðalisti (Lýsigögn)'!$C$6:$C$41,0))),IFERROR(IF(INDEX('Undirviðmiðalisti (Lýsigögn)'!M$42:M$58,MATCH($C119,'Undirviðmiðalisti (Lýsigögn)'!$C$42:$C$58,0))="","",INDEX('Undirviðmiðalisti (Lýsigögn)'!M$42:M$58,MATCH($C119,'Undirviðmiðalisti (Lýsigögn)'!$C$42:$C$58,0))),""))))</f>
        <v/>
      </c>
    </row>
    <row r="120" customFormat="false" ht="15" hidden="false" customHeight="true" outlineLevel="0" collapsed="false">
      <c r="A120" s="22" t="str">
        <f aca="false">IF($B120="","",ROW()-5)</f>
        <v/>
      </c>
      <c r="B120" s="15"/>
      <c r="C120" s="15"/>
      <c r="D120" s="16" t="str">
        <f aca="false">IF($C120="","",IF($G120="Einstaklingsbundið",IFERROR(IF(INDEX('Undirviðmiðalisti (Lýsigögn)'!$D$42:$D$58,MATCH($C120,'Undirviðmiðalisti (Lýsigögn)'!$C$42:$C$58,0))="","",INDEX('Undirviðmiðalisti (Lýsigögn)'!$D$42:$D$58,MATCH($C120,'Undirviðmiðalisti (Lýsigögn)'!$C$42:$C$58,0))),""),IFERROR(IF(INDEX('Undirviðmiðalisti (Lýsigögn)'!$D$6:$D$41,MATCH($C120,'Undirviðmiðalisti (Lýsigögn)'!$C$6:$C$41,0))="","",INDEX('Undirviðmiðalisti (Lýsigögn)'!$D$6:$D$41,MATCH($C120,'Undirviðmiðalisti (Lýsigögn)'!$C$6:$C$41,0))),IFERROR(IF(INDEX('Undirviðmiðalisti (Lýsigögn)'!$D$42:$D$58,MATCH($C120,'Undirviðmiðalisti (Lýsigögn)'!$C$42:$C$58,0))="","",INDEX('Undirviðmiðalisti (Lýsigögn)'!$D$42:$D$58,MATCH($C120,'Undirviðmiðalisti (Lýsigögn)'!$C$42:$C$58,0))),""))))</f>
        <v/>
      </c>
      <c r="E120" s="14"/>
      <c r="F120" s="23" t="str">
        <f aca="false">IF($C120="","",IF($G120="Einstaklingsbundið",IFERROR(IF(INDEX('Undirviðmiðalisti (Lýsigögn)'!$E$42:$E$58,MATCH($C120,'Undirviðmiðalisti (Lýsigögn)'!$C$42:$C$58,0))="","",INDEX('Undirviðmiðalisti (Lýsigögn)'!$E$42:$E$58,MATCH($C120,'Undirviðmiðalisti (Lýsigögn)'!$C$42:$C$58,0))),""),IFERROR(IF(INDEX('Undirviðmiðalisti (Lýsigögn)'!$E$6:$E$41,MATCH($C120,'Undirviðmiðalisti (Lýsigögn)'!$C$6:$C$41,0))="","",INDEX('Undirviðmiðalisti (Lýsigögn)'!$E$6:$E$41,MATCH($C120,'Undirviðmiðalisti (Lýsigögn)'!$C$6:$C$41,0))),IFERROR(IF(INDEX('Undirviðmiðalisti (Lýsigögn)'!$E$42:$E$58,MATCH($C120,'Undirviðmiðalisti (Lýsigögn)'!$C$42:$C$58,0))="","",INDEX('Undirviðmiðalisti (Lýsigögn)'!$E$42:$E$58,MATCH($C120,'Undirviðmiðalisti (Lýsigögn)'!$C$42:$C$58,0))),""))))</f>
        <v/>
      </c>
      <c r="G120" s="24" t="str">
        <f aca="false">IFERROR(IF(B120="","",INDEX(Viðmið!$B$6:$B$10,MATCH(B120,Viðmið!$C$6:$C$10,0))),"")</f>
        <v/>
      </c>
      <c r="H120" s="25" t="str">
        <f aca="false">IF(OR(E120="",F120=""),"",E120*KVARDI)</f>
        <v/>
      </c>
      <c r="I120" s="26" t="str">
        <f aca="false">IF(B120="","",IF(ROUND(SUMIF($B$6:$B$205,B120,$E$6:$E$205),4)=ROUND(IFERROR(INDEX(Viðmið!$E$6:$E$10,MATCH(B120,Viðmið!$C$6:$C$10,0)),-1),4),"✓","✗"))</f>
        <v/>
      </c>
      <c r="J120" s="16" t="str">
        <f aca="false">IF($C120="","",IF($G120="Einstaklingsbundið",IFERROR(IF(INDEX('Undirviðmiðalisti (Lýsigögn)'!F$42:F$58,MATCH($C120,'Undirviðmiðalisti (Lýsigögn)'!$C$42:$C$58,0))="","",INDEX('Undirviðmiðalisti (Lýsigögn)'!F$42:F$58,MATCH($C120,'Undirviðmiðalisti (Lýsigögn)'!$C$42:$C$58,0))),""),IFERROR(IF(INDEX('Undirviðmiðalisti (Lýsigögn)'!F$6:F$41,MATCH($C120,'Undirviðmiðalisti (Lýsigögn)'!$C$6:$C$41,0))="","",INDEX('Undirviðmiðalisti (Lýsigögn)'!F$6:F$41,MATCH($C120,'Undirviðmiðalisti (Lýsigögn)'!$C$6:$C$41,0))),IFERROR(IF(INDEX('Undirviðmiðalisti (Lýsigögn)'!F$42:F$58,MATCH($C120,'Undirviðmiðalisti (Lýsigögn)'!$C$42:$C$58,0))="","",INDEX('Undirviðmiðalisti (Lýsigögn)'!F$42:F$58,MATCH($C120,'Undirviðmiðalisti (Lýsigögn)'!$C$42:$C$58,0))),""))))</f>
        <v/>
      </c>
      <c r="K120" s="16" t="str">
        <f aca="false">IF($C120="","",IF($G120="Einstaklingsbundið",IFERROR(IF(INDEX('Undirviðmiðalisti (Lýsigögn)'!G$42:G$58,MATCH($C120,'Undirviðmiðalisti (Lýsigögn)'!$C$42:$C$58,0))="","",INDEX('Undirviðmiðalisti (Lýsigögn)'!G$42:G$58,MATCH($C120,'Undirviðmiðalisti (Lýsigögn)'!$C$42:$C$58,0))),""),IFERROR(IF(INDEX('Undirviðmiðalisti (Lýsigögn)'!G$6:G$41,MATCH($C120,'Undirviðmiðalisti (Lýsigögn)'!$C$6:$C$41,0))="","",INDEX('Undirviðmiðalisti (Lýsigögn)'!G$6:G$41,MATCH($C120,'Undirviðmiðalisti (Lýsigögn)'!$C$6:$C$41,0))),IFERROR(IF(INDEX('Undirviðmiðalisti (Lýsigögn)'!G$42:G$58,MATCH($C120,'Undirviðmiðalisti (Lýsigögn)'!$C$42:$C$58,0))="","",INDEX('Undirviðmiðalisti (Lýsigögn)'!G$42:G$58,MATCH($C120,'Undirviðmiðalisti (Lýsigögn)'!$C$42:$C$58,0))),""))))</f>
        <v/>
      </c>
      <c r="L120" s="16" t="str">
        <f aca="false">IF($C120="","",IF($G120="Einstaklingsbundið",IFERROR(IF(INDEX('Undirviðmiðalisti (Lýsigögn)'!H$42:H$58,MATCH($C120,'Undirviðmiðalisti (Lýsigögn)'!$C$42:$C$58,0))="","",INDEX('Undirviðmiðalisti (Lýsigögn)'!H$42:H$58,MATCH($C120,'Undirviðmiðalisti (Lýsigögn)'!$C$42:$C$58,0))),""),IFERROR(IF(INDEX('Undirviðmiðalisti (Lýsigögn)'!H$6:H$41,MATCH($C120,'Undirviðmiðalisti (Lýsigögn)'!$C$6:$C$41,0))="","",INDEX('Undirviðmiðalisti (Lýsigögn)'!H$6:H$41,MATCH($C120,'Undirviðmiðalisti (Lýsigögn)'!$C$6:$C$41,0))),IFERROR(IF(INDEX('Undirviðmiðalisti (Lýsigögn)'!H$42:H$58,MATCH($C120,'Undirviðmiðalisti (Lýsigögn)'!$C$42:$C$58,0))="","",INDEX('Undirviðmiðalisti (Lýsigögn)'!H$42:H$58,MATCH($C120,'Undirviðmiðalisti (Lýsigögn)'!$C$42:$C$58,0))),""))))</f>
        <v/>
      </c>
      <c r="M120" s="16" t="str">
        <f aca="false">IF($C120="","",IF($G120="Einstaklingsbundið",IFERROR(IF(INDEX('Undirviðmiðalisti (Lýsigögn)'!I$42:I$58,MATCH($C120,'Undirviðmiðalisti (Lýsigögn)'!$C$42:$C$58,0))="","",INDEX('Undirviðmiðalisti (Lýsigögn)'!I$42:I$58,MATCH($C120,'Undirviðmiðalisti (Lýsigögn)'!$C$42:$C$58,0))),""),IFERROR(IF(INDEX('Undirviðmiðalisti (Lýsigögn)'!I$6:I$41,MATCH($C120,'Undirviðmiðalisti (Lýsigögn)'!$C$6:$C$41,0))="","",INDEX('Undirviðmiðalisti (Lýsigögn)'!I$6:I$41,MATCH($C120,'Undirviðmiðalisti (Lýsigögn)'!$C$6:$C$41,0))),IFERROR(IF(INDEX('Undirviðmiðalisti (Lýsigögn)'!I$42:I$58,MATCH($C120,'Undirviðmiðalisti (Lýsigögn)'!$C$42:$C$58,0))="","",INDEX('Undirviðmiðalisti (Lýsigögn)'!I$42:I$58,MATCH($C120,'Undirviðmiðalisti (Lýsigögn)'!$C$42:$C$58,0))),""))))</f>
        <v/>
      </c>
      <c r="N120" s="16" t="str">
        <f aca="false">IF($C120="","",IF($G120="Einstaklingsbundið",IFERROR(IF(INDEX('Undirviðmiðalisti (Lýsigögn)'!J$42:J$58,MATCH($C120,'Undirviðmiðalisti (Lýsigögn)'!$C$42:$C$58,0))="","",INDEX('Undirviðmiðalisti (Lýsigögn)'!J$42:J$58,MATCH($C120,'Undirviðmiðalisti (Lýsigögn)'!$C$42:$C$58,0))),""),IFERROR(IF(INDEX('Undirviðmiðalisti (Lýsigögn)'!J$6:J$41,MATCH($C120,'Undirviðmiðalisti (Lýsigögn)'!$C$6:$C$41,0))="","",INDEX('Undirviðmiðalisti (Lýsigögn)'!J$6:J$41,MATCH($C120,'Undirviðmiðalisti (Lýsigögn)'!$C$6:$C$41,0))),IFERROR(IF(INDEX('Undirviðmiðalisti (Lýsigögn)'!J$42:J$58,MATCH($C120,'Undirviðmiðalisti (Lýsigögn)'!$C$42:$C$58,0))="","",INDEX('Undirviðmiðalisti (Lýsigögn)'!J$42:J$58,MATCH($C120,'Undirviðmiðalisti (Lýsigögn)'!$C$42:$C$58,0))),""))))</f>
        <v/>
      </c>
      <c r="O120" s="16" t="str">
        <f aca="false">IF($C120="","",IF($G120="Einstaklingsbundið",IFERROR(IF(INDEX('Undirviðmiðalisti (Lýsigögn)'!K$42:K$58,MATCH($C120,'Undirviðmiðalisti (Lýsigögn)'!$C$42:$C$58,0))="","",INDEX('Undirviðmiðalisti (Lýsigögn)'!K$42:K$58,MATCH($C120,'Undirviðmiðalisti (Lýsigögn)'!$C$42:$C$58,0))),""),IFERROR(IF(INDEX('Undirviðmiðalisti (Lýsigögn)'!K$6:K$41,MATCH($C120,'Undirviðmiðalisti (Lýsigögn)'!$C$6:$C$41,0))="","",INDEX('Undirviðmiðalisti (Lýsigögn)'!K$6:K$41,MATCH($C120,'Undirviðmiðalisti (Lýsigögn)'!$C$6:$C$41,0))),IFERROR(IF(INDEX('Undirviðmiðalisti (Lýsigögn)'!K$42:K$58,MATCH($C120,'Undirviðmiðalisti (Lýsigögn)'!$C$42:$C$58,0))="","",INDEX('Undirviðmiðalisti (Lýsigögn)'!K$42:K$58,MATCH($C120,'Undirviðmiðalisti (Lýsigögn)'!$C$42:$C$58,0))),""))))</f>
        <v/>
      </c>
      <c r="P120" s="16" t="str">
        <f aca="false">IF($C120="","",IF($G120="Einstaklingsbundið",IFERROR(IF(INDEX('Undirviðmiðalisti (Lýsigögn)'!L$42:L$58,MATCH($C120,'Undirviðmiðalisti (Lýsigögn)'!$C$42:$C$58,0))="","",INDEX('Undirviðmiðalisti (Lýsigögn)'!L$42:L$58,MATCH($C120,'Undirviðmiðalisti (Lýsigögn)'!$C$42:$C$58,0))),""),IFERROR(IF(INDEX('Undirviðmiðalisti (Lýsigögn)'!L$6:L$41,MATCH($C120,'Undirviðmiðalisti (Lýsigögn)'!$C$6:$C$41,0))="","",INDEX('Undirviðmiðalisti (Lýsigögn)'!L$6:L$41,MATCH($C120,'Undirviðmiðalisti (Lýsigögn)'!$C$6:$C$41,0))),IFERROR(IF(INDEX('Undirviðmiðalisti (Lýsigögn)'!L$42:L$58,MATCH($C120,'Undirviðmiðalisti (Lýsigögn)'!$C$42:$C$58,0))="","",INDEX('Undirviðmiðalisti (Lýsigögn)'!L$42:L$58,MATCH($C120,'Undirviðmiðalisti (Lýsigögn)'!$C$42:$C$58,0))),""))))</f>
        <v/>
      </c>
      <c r="Q120" s="16" t="str">
        <f aca="false">IF($C120="","",IF($G120="Einstaklingsbundið",IFERROR(IF(INDEX('Undirviðmiðalisti (Lýsigögn)'!M$42:M$58,MATCH($C120,'Undirviðmiðalisti (Lýsigögn)'!$C$42:$C$58,0))="","",INDEX('Undirviðmiðalisti (Lýsigögn)'!M$42:M$58,MATCH($C120,'Undirviðmiðalisti (Lýsigögn)'!$C$42:$C$58,0))),""),IFERROR(IF(INDEX('Undirviðmiðalisti (Lýsigögn)'!M$6:M$41,MATCH($C120,'Undirviðmiðalisti (Lýsigögn)'!$C$6:$C$41,0))="","",INDEX('Undirviðmiðalisti (Lýsigögn)'!M$6:M$41,MATCH($C120,'Undirviðmiðalisti (Lýsigögn)'!$C$6:$C$41,0))),IFERROR(IF(INDEX('Undirviðmiðalisti (Lýsigögn)'!M$42:M$58,MATCH($C120,'Undirviðmiðalisti (Lýsigögn)'!$C$42:$C$58,0))="","",INDEX('Undirviðmiðalisti (Lýsigögn)'!M$42:M$58,MATCH($C120,'Undirviðmiðalisti (Lýsigögn)'!$C$42:$C$58,0))),""))))</f>
        <v/>
      </c>
    </row>
    <row r="121" customFormat="false" ht="15" hidden="false" customHeight="true" outlineLevel="0" collapsed="false">
      <c r="A121" s="22" t="str">
        <f aca="false">IF($B121="","",ROW()-5)</f>
        <v/>
      </c>
      <c r="B121" s="15"/>
      <c r="C121" s="15"/>
      <c r="D121" s="16" t="str">
        <f aca="false">IF($C121="","",IF($G121="Einstaklingsbundið",IFERROR(IF(INDEX('Undirviðmiðalisti (Lýsigögn)'!$D$42:$D$58,MATCH($C121,'Undirviðmiðalisti (Lýsigögn)'!$C$42:$C$58,0))="","",INDEX('Undirviðmiðalisti (Lýsigögn)'!$D$42:$D$58,MATCH($C121,'Undirviðmiðalisti (Lýsigögn)'!$C$42:$C$58,0))),""),IFERROR(IF(INDEX('Undirviðmiðalisti (Lýsigögn)'!$D$6:$D$41,MATCH($C121,'Undirviðmiðalisti (Lýsigögn)'!$C$6:$C$41,0))="","",INDEX('Undirviðmiðalisti (Lýsigögn)'!$D$6:$D$41,MATCH($C121,'Undirviðmiðalisti (Lýsigögn)'!$C$6:$C$41,0))),IFERROR(IF(INDEX('Undirviðmiðalisti (Lýsigögn)'!$D$42:$D$58,MATCH($C121,'Undirviðmiðalisti (Lýsigögn)'!$C$42:$C$58,0))="","",INDEX('Undirviðmiðalisti (Lýsigögn)'!$D$42:$D$58,MATCH($C121,'Undirviðmiðalisti (Lýsigögn)'!$C$42:$C$58,0))),""))))</f>
        <v/>
      </c>
      <c r="E121" s="14"/>
      <c r="F121" s="23" t="str">
        <f aca="false">IF($C121="","",IF($G121="Einstaklingsbundið",IFERROR(IF(INDEX('Undirviðmiðalisti (Lýsigögn)'!$E$42:$E$58,MATCH($C121,'Undirviðmiðalisti (Lýsigögn)'!$C$42:$C$58,0))="","",INDEX('Undirviðmiðalisti (Lýsigögn)'!$E$42:$E$58,MATCH($C121,'Undirviðmiðalisti (Lýsigögn)'!$C$42:$C$58,0))),""),IFERROR(IF(INDEX('Undirviðmiðalisti (Lýsigögn)'!$E$6:$E$41,MATCH($C121,'Undirviðmiðalisti (Lýsigögn)'!$C$6:$C$41,0))="","",INDEX('Undirviðmiðalisti (Lýsigögn)'!$E$6:$E$41,MATCH($C121,'Undirviðmiðalisti (Lýsigögn)'!$C$6:$C$41,0))),IFERROR(IF(INDEX('Undirviðmiðalisti (Lýsigögn)'!$E$42:$E$58,MATCH($C121,'Undirviðmiðalisti (Lýsigögn)'!$C$42:$C$58,0))="","",INDEX('Undirviðmiðalisti (Lýsigögn)'!$E$42:$E$58,MATCH($C121,'Undirviðmiðalisti (Lýsigögn)'!$C$42:$C$58,0))),""))))</f>
        <v/>
      </c>
      <c r="G121" s="24" t="str">
        <f aca="false">IFERROR(IF(B121="","",INDEX(Viðmið!$B$6:$B$10,MATCH(B121,Viðmið!$C$6:$C$10,0))),"")</f>
        <v/>
      </c>
      <c r="H121" s="25" t="str">
        <f aca="false">IF(OR(E121="",F121=""),"",E121*KVARDI)</f>
        <v/>
      </c>
      <c r="I121" s="26" t="str">
        <f aca="false">IF(B121="","",IF(ROUND(SUMIF($B$6:$B$205,B121,$E$6:$E$205),4)=ROUND(IFERROR(INDEX(Viðmið!$E$6:$E$10,MATCH(B121,Viðmið!$C$6:$C$10,0)),-1),4),"✓","✗"))</f>
        <v/>
      </c>
      <c r="J121" s="16" t="str">
        <f aca="false">IF($C121="","",IF($G121="Einstaklingsbundið",IFERROR(IF(INDEX('Undirviðmiðalisti (Lýsigögn)'!F$42:F$58,MATCH($C121,'Undirviðmiðalisti (Lýsigögn)'!$C$42:$C$58,0))="","",INDEX('Undirviðmiðalisti (Lýsigögn)'!F$42:F$58,MATCH($C121,'Undirviðmiðalisti (Lýsigögn)'!$C$42:$C$58,0))),""),IFERROR(IF(INDEX('Undirviðmiðalisti (Lýsigögn)'!F$6:F$41,MATCH($C121,'Undirviðmiðalisti (Lýsigögn)'!$C$6:$C$41,0))="","",INDEX('Undirviðmiðalisti (Lýsigögn)'!F$6:F$41,MATCH($C121,'Undirviðmiðalisti (Lýsigögn)'!$C$6:$C$41,0))),IFERROR(IF(INDEX('Undirviðmiðalisti (Lýsigögn)'!F$42:F$58,MATCH($C121,'Undirviðmiðalisti (Lýsigögn)'!$C$42:$C$58,0))="","",INDEX('Undirviðmiðalisti (Lýsigögn)'!F$42:F$58,MATCH($C121,'Undirviðmiðalisti (Lýsigögn)'!$C$42:$C$58,0))),""))))</f>
        <v/>
      </c>
      <c r="K121" s="16" t="str">
        <f aca="false">IF($C121="","",IF($G121="Einstaklingsbundið",IFERROR(IF(INDEX('Undirviðmiðalisti (Lýsigögn)'!G$42:G$58,MATCH($C121,'Undirviðmiðalisti (Lýsigögn)'!$C$42:$C$58,0))="","",INDEX('Undirviðmiðalisti (Lýsigögn)'!G$42:G$58,MATCH($C121,'Undirviðmiðalisti (Lýsigögn)'!$C$42:$C$58,0))),""),IFERROR(IF(INDEX('Undirviðmiðalisti (Lýsigögn)'!G$6:G$41,MATCH($C121,'Undirviðmiðalisti (Lýsigögn)'!$C$6:$C$41,0))="","",INDEX('Undirviðmiðalisti (Lýsigögn)'!G$6:G$41,MATCH($C121,'Undirviðmiðalisti (Lýsigögn)'!$C$6:$C$41,0))),IFERROR(IF(INDEX('Undirviðmiðalisti (Lýsigögn)'!G$42:G$58,MATCH($C121,'Undirviðmiðalisti (Lýsigögn)'!$C$42:$C$58,0))="","",INDEX('Undirviðmiðalisti (Lýsigögn)'!G$42:G$58,MATCH($C121,'Undirviðmiðalisti (Lýsigögn)'!$C$42:$C$58,0))),""))))</f>
        <v/>
      </c>
      <c r="L121" s="16" t="str">
        <f aca="false">IF($C121="","",IF($G121="Einstaklingsbundið",IFERROR(IF(INDEX('Undirviðmiðalisti (Lýsigögn)'!H$42:H$58,MATCH($C121,'Undirviðmiðalisti (Lýsigögn)'!$C$42:$C$58,0))="","",INDEX('Undirviðmiðalisti (Lýsigögn)'!H$42:H$58,MATCH($C121,'Undirviðmiðalisti (Lýsigögn)'!$C$42:$C$58,0))),""),IFERROR(IF(INDEX('Undirviðmiðalisti (Lýsigögn)'!H$6:H$41,MATCH($C121,'Undirviðmiðalisti (Lýsigögn)'!$C$6:$C$41,0))="","",INDEX('Undirviðmiðalisti (Lýsigögn)'!H$6:H$41,MATCH($C121,'Undirviðmiðalisti (Lýsigögn)'!$C$6:$C$41,0))),IFERROR(IF(INDEX('Undirviðmiðalisti (Lýsigögn)'!H$42:H$58,MATCH($C121,'Undirviðmiðalisti (Lýsigögn)'!$C$42:$C$58,0))="","",INDEX('Undirviðmiðalisti (Lýsigögn)'!H$42:H$58,MATCH($C121,'Undirviðmiðalisti (Lýsigögn)'!$C$42:$C$58,0))),""))))</f>
        <v/>
      </c>
      <c r="M121" s="16" t="str">
        <f aca="false">IF($C121="","",IF($G121="Einstaklingsbundið",IFERROR(IF(INDEX('Undirviðmiðalisti (Lýsigögn)'!I$42:I$58,MATCH($C121,'Undirviðmiðalisti (Lýsigögn)'!$C$42:$C$58,0))="","",INDEX('Undirviðmiðalisti (Lýsigögn)'!I$42:I$58,MATCH($C121,'Undirviðmiðalisti (Lýsigögn)'!$C$42:$C$58,0))),""),IFERROR(IF(INDEX('Undirviðmiðalisti (Lýsigögn)'!I$6:I$41,MATCH($C121,'Undirviðmiðalisti (Lýsigögn)'!$C$6:$C$41,0))="","",INDEX('Undirviðmiðalisti (Lýsigögn)'!I$6:I$41,MATCH($C121,'Undirviðmiðalisti (Lýsigögn)'!$C$6:$C$41,0))),IFERROR(IF(INDEX('Undirviðmiðalisti (Lýsigögn)'!I$42:I$58,MATCH($C121,'Undirviðmiðalisti (Lýsigögn)'!$C$42:$C$58,0))="","",INDEX('Undirviðmiðalisti (Lýsigögn)'!I$42:I$58,MATCH($C121,'Undirviðmiðalisti (Lýsigögn)'!$C$42:$C$58,0))),""))))</f>
        <v/>
      </c>
      <c r="N121" s="16" t="str">
        <f aca="false">IF($C121="","",IF($G121="Einstaklingsbundið",IFERROR(IF(INDEX('Undirviðmiðalisti (Lýsigögn)'!J$42:J$58,MATCH($C121,'Undirviðmiðalisti (Lýsigögn)'!$C$42:$C$58,0))="","",INDEX('Undirviðmiðalisti (Lýsigögn)'!J$42:J$58,MATCH($C121,'Undirviðmiðalisti (Lýsigögn)'!$C$42:$C$58,0))),""),IFERROR(IF(INDEX('Undirviðmiðalisti (Lýsigögn)'!J$6:J$41,MATCH($C121,'Undirviðmiðalisti (Lýsigögn)'!$C$6:$C$41,0))="","",INDEX('Undirviðmiðalisti (Lýsigögn)'!J$6:J$41,MATCH($C121,'Undirviðmiðalisti (Lýsigögn)'!$C$6:$C$41,0))),IFERROR(IF(INDEX('Undirviðmiðalisti (Lýsigögn)'!J$42:J$58,MATCH($C121,'Undirviðmiðalisti (Lýsigögn)'!$C$42:$C$58,0))="","",INDEX('Undirviðmiðalisti (Lýsigögn)'!J$42:J$58,MATCH($C121,'Undirviðmiðalisti (Lýsigögn)'!$C$42:$C$58,0))),""))))</f>
        <v/>
      </c>
      <c r="O121" s="16" t="str">
        <f aca="false">IF($C121="","",IF($G121="Einstaklingsbundið",IFERROR(IF(INDEX('Undirviðmiðalisti (Lýsigögn)'!K$42:K$58,MATCH($C121,'Undirviðmiðalisti (Lýsigögn)'!$C$42:$C$58,0))="","",INDEX('Undirviðmiðalisti (Lýsigögn)'!K$42:K$58,MATCH($C121,'Undirviðmiðalisti (Lýsigögn)'!$C$42:$C$58,0))),""),IFERROR(IF(INDEX('Undirviðmiðalisti (Lýsigögn)'!K$6:K$41,MATCH($C121,'Undirviðmiðalisti (Lýsigögn)'!$C$6:$C$41,0))="","",INDEX('Undirviðmiðalisti (Lýsigögn)'!K$6:K$41,MATCH($C121,'Undirviðmiðalisti (Lýsigögn)'!$C$6:$C$41,0))),IFERROR(IF(INDEX('Undirviðmiðalisti (Lýsigögn)'!K$42:K$58,MATCH($C121,'Undirviðmiðalisti (Lýsigögn)'!$C$42:$C$58,0))="","",INDEX('Undirviðmiðalisti (Lýsigögn)'!K$42:K$58,MATCH($C121,'Undirviðmiðalisti (Lýsigögn)'!$C$42:$C$58,0))),""))))</f>
        <v/>
      </c>
      <c r="P121" s="16" t="str">
        <f aca="false">IF($C121="","",IF($G121="Einstaklingsbundið",IFERROR(IF(INDEX('Undirviðmiðalisti (Lýsigögn)'!L$42:L$58,MATCH($C121,'Undirviðmiðalisti (Lýsigögn)'!$C$42:$C$58,0))="","",INDEX('Undirviðmiðalisti (Lýsigögn)'!L$42:L$58,MATCH($C121,'Undirviðmiðalisti (Lýsigögn)'!$C$42:$C$58,0))),""),IFERROR(IF(INDEX('Undirviðmiðalisti (Lýsigögn)'!L$6:L$41,MATCH($C121,'Undirviðmiðalisti (Lýsigögn)'!$C$6:$C$41,0))="","",INDEX('Undirviðmiðalisti (Lýsigögn)'!L$6:L$41,MATCH($C121,'Undirviðmiðalisti (Lýsigögn)'!$C$6:$C$41,0))),IFERROR(IF(INDEX('Undirviðmiðalisti (Lýsigögn)'!L$42:L$58,MATCH($C121,'Undirviðmiðalisti (Lýsigögn)'!$C$42:$C$58,0))="","",INDEX('Undirviðmiðalisti (Lýsigögn)'!L$42:L$58,MATCH($C121,'Undirviðmiðalisti (Lýsigögn)'!$C$42:$C$58,0))),""))))</f>
        <v/>
      </c>
      <c r="Q121" s="16" t="str">
        <f aca="false">IF($C121="","",IF($G121="Einstaklingsbundið",IFERROR(IF(INDEX('Undirviðmiðalisti (Lýsigögn)'!M$42:M$58,MATCH($C121,'Undirviðmiðalisti (Lýsigögn)'!$C$42:$C$58,0))="","",INDEX('Undirviðmiðalisti (Lýsigögn)'!M$42:M$58,MATCH($C121,'Undirviðmiðalisti (Lýsigögn)'!$C$42:$C$58,0))),""),IFERROR(IF(INDEX('Undirviðmiðalisti (Lýsigögn)'!M$6:M$41,MATCH($C121,'Undirviðmiðalisti (Lýsigögn)'!$C$6:$C$41,0))="","",INDEX('Undirviðmiðalisti (Lýsigögn)'!M$6:M$41,MATCH($C121,'Undirviðmiðalisti (Lýsigögn)'!$C$6:$C$41,0))),IFERROR(IF(INDEX('Undirviðmiðalisti (Lýsigögn)'!M$42:M$58,MATCH($C121,'Undirviðmiðalisti (Lýsigögn)'!$C$42:$C$58,0))="","",INDEX('Undirviðmiðalisti (Lýsigögn)'!M$42:M$58,MATCH($C121,'Undirviðmiðalisti (Lýsigögn)'!$C$42:$C$58,0))),""))))</f>
        <v/>
      </c>
    </row>
    <row r="122" customFormat="false" ht="15" hidden="false" customHeight="true" outlineLevel="0" collapsed="false">
      <c r="A122" s="22" t="str">
        <f aca="false">IF($B122="","",ROW()-5)</f>
        <v/>
      </c>
      <c r="B122" s="15"/>
      <c r="C122" s="15"/>
      <c r="D122" s="16" t="str">
        <f aca="false">IF($C122="","",IF($G122="Einstaklingsbundið",IFERROR(IF(INDEX('Undirviðmiðalisti (Lýsigögn)'!$D$42:$D$58,MATCH($C122,'Undirviðmiðalisti (Lýsigögn)'!$C$42:$C$58,0))="","",INDEX('Undirviðmiðalisti (Lýsigögn)'!$D$42:$D$58,MATCH($C122,'Undirviðmiðalisti (Lýsigögn)'!$C$42:$C$58,0))),""),IFERROR(IF(INDEX('Undirviðmiðalisti (Lýsigögn)'!$D$6:$D$41,MATCH($C122,'Undirviðmiðalisti (Lýsigögn)'!$C$6:$C$41,0))="","",INDEX('Undirviðmiðalisti (Lýsigögn)'!$D$6:$D$41,MATCH($C122,'Undirviðmiðalisti (Lýsigögn)'!$C$6:$C$41,0))),IFERROR(IF(INDEX('Undirviðmiðalisti (Lýsigögn)'!$D$42:$D$58,MATCH($C122,'Undirviðmiðalisti (Lýsigögn)'!$C$42:$C$58,0))="","",INDEX('Undirviðmiðalisti (Lýsigögn)'!$D$42:$D$58,MATCH($C122,'Undirviðmiðalisti (Lýsigögn)'!$C$42:$C$58,0))),""))))</f>
        <v/>
      </c>
      <c r="E122" s="14"/>
      <c r="F122" s="23" t="str">
        <f aca="false">IF($C122="","",IF($G122="Einstaklingsbundið",IFERROR(IF(INDEX('Undirviðmiðalisti (Lýsigögn)'!$E$42:$E$58,MATCH($C122,'Undirviðmiðalisti (Lýsigögn)'!$C$42:$C$58,0))="","",INDEX('Undirviðmiðalisti (Lýsigögn)'!$E$42:$E$58,MATCH($C122,'Undirviðmiðalisti (Lýsigögn)'!$C$42:$C$58,0))),""),IFERROR(IF(INDEX('Undirviðmiðalisti (Lýsigögn)'!$E$6:$E$41,MATCH($C122,'Undirviðmiðalisti (Lýsigögn)'!$C$6:$C$41,0))="","",INDEX('Undirviðmiðalisti (Lýsigögn)'!$E$6:$E$41,MATCH($C122,'Undirviðmiðalisti (Lýsigögn)'!$C$6:$C$41,0))),IFERROR(IF(INDEX('Undirviðmiðalisti (Lýsigögn)'!$E$42:$E$58,MATCH($C122,'Undirviðmiðalisti (Lýsigögn)'!$C$42:$C$58,0))="","",INDEX('Undirviðmiðalisti (Lýsigögn)'!$E$42:$E$58,MATCH($C122,'Undirviðmiðalisti (Lýsigögn)'!$C$42:$C$58,0))),""))))</f>
        <v/>
      </c>
      <c r="G122" s="24" t="str">
        <f aca="false">IFERROR(IF(B122="","",INDEX(Viðmið!$B$6:$B$10,MATCH(B122,Viðmið!$C$6:$C$10,0))),"")</f>
        <v/>
      </c>
      <c r="H122" s="25" t="str">
        <f aca="false">IF(OR(E122="",F122=""),"",E122*KVARDI)</f>
        <v/>
      </c>
      <c r="I122" s="26" t="str">
        <f aca="false">IF(B122="","",IF(ROUND(SUMIF($B$6:$B$205,B122,$E$6:$E$205),4)=ROUND(IFERROR(INDEX(Viðmið!$E$6:$E$10,MATCH(B122,Viðmið!$C$6:$C$10,0)),-1),4),"✓","✗"))</f>
        <v/>
      </c>
      <c r="J122" s="16" t="str">
        <f aca="false">IF($C122="","",IF($G122="Einstaklingsbundið",IFERROR(IF(INDEX('Undirviðmiðalisti (Lýsigögn)'!F$42:F$58,MATCH($C122,'Undirviðmiðalisti (Lýsigögn)'!$C$42:$C$58,0))="","",INDEX('Undirviðmiðalisti (Lýsigögn)'!F$42:F$58,MATCH($C122,'Undirviðmiðalisti (Lýsigögn)'!$C$42:$C$58,0))),""),IFERROR(IF(INDEX('Undirviðmiðalisti (Lýsigögn)'!F$6:F$41,MATCH($C122,'Undirviðmiðalisti (Lýsigögn)'!$C$6:$C$41,0))="","",INDEX('Undirviðmiðalisti (Lýsigögn)'!F$6:F$41,MATCH($C122,'Undirviðmiðalisti (Lýsigögn)'!$C$6:$C$41,0))),IFERROR(IF(INDEX('Undirviðmiðalisti (Lýsigögn)'!F$42:F$58,MATCH($C122,'Undirviðmiðalisti (Lýsigögn)'!$C$42:$C$58,0))="","",INDEX('Undirviðmiðalisti (Lýsigögn)'!F$42:F$58,MATCH($C122,'Undirviðmiðalisti (Lýsigögn)'!$C$42:$C$58,0))),""))))</f>
        <v/>
      </c>
      <c r="K122" s="16" t="str">
        <f aca="false">IF($C122="","",IF($G122="Einstaklingsbundið",IFERROR(IF(INDEX('Undirviðmiðalisti (Lýsigögn)'!G$42:G$58,MATCH($C122,'Undirviðmiðalisti (Lýsigögn)'!$C$42:$C$58,0))="","",INDEX('Undirviðmiðalisti (Lýsigögn)'!G$42:G$58,MATCH($C122,'Undirviðmiðalisti (Lýsigögn)'!$C$42:$C$58,0))),""),IFERROR(IF(INDEX('Undirviðmiðalisti (Lýsigögn)'!G$6:G$41,MATCH($C122,'Undirviðmiðalisti (Lýsigögn)'!$C$6:$C$41,0))="","",INDEX('Undirviðmiðalisti (Lýsigögn)'!G$6:G$41,MATCH($C122,'Undirviðmiðalisti (Lýsigögn)'!$C$6:$C$41,0))),IFERROR(IF(INDEX('Undirviðmiðalisti (Lýsigögn)'!G$42:G$58,MATCH($C122,'Undirviðmiðalisti (Lýsigögn)'!$C$42:$C$58,0))="","",INDEX('Undirviðmiðalisti (Lýsigögn)'!G$42:G$58,MATCH($C122,'Undirviðmiðalisti (Lýsigögn)'!$C$42:$C$58,0))),""))))</f>
        <v/>
      </c>
      <c r="L122" s="16" t="str">
        <f aca="false">IF($C122="","",IF($G122="Einstaklingsbundið",IFERROR(IF(INDEX('Undirviðmiðalisti (Lýsigögn)'!H$42:H$58,MATCH($C122,'Undirviðmiðalisti (Lýsigögn)'!$C$42:$C$58,0))="","",INDEX('Undirviðmiðalisti (Lýsigögn)'!H$42:H$58,MATCH($C122,'Undirviðmiðalisti (Lýsigögn)'!$C$42:$C$58,0))),""),IFERROR(IF(INDEX('Undirviðmiðalisti (Lýsigögn)'!H$6:H$41,MATCH($C122,'Undirviðmiðalisti (Lýsigögn)'!$C$6:$C$41,0))="","",INDEX('Undirviðmiðalisti (Lýsigögn)'!H$6:H$41,MATCH($C122,'Undirviðmiðalisti (Lýsigögn)'!$C$6:$C$41,0))),IFERROR(IF(INDEX('Undirviðmiðalisti (Lýsigögn)'!H$42:H$58,MATCH($C122,'Undirviðmiðalisti (Lýsigögn)'!$C$42:$C$58,0))="","",INDEX('Undirviðmiðalisti (Lýsigögn)'!H$42:H$58,MATCH($C122,'Undirviðmiðalisti (Lýsigögn)'!$C$42:$C$58,0))),""))))</f>
        <v/>
      </c>
      <c r="M122" s="16" t="str">
        <f aca="false">IF($C122="","",IF($G122="Einstaklingsbundið",IFERROR(IF(INDEX('Undirviðmiðalisti (Lýsigögn)'!I$42:I$58,MATCH($C122,'Undirviðmiðalisti (Lýsigögn)'!$C$42:$C$58,0))="","",INDEX('Undirviðmiðalisti (Lýsigögn)'!I$42:I$58,MATCH($C122,'Undirviðmiðalisti (Lýsigögn)'!$C$42:$C$58,0))),""),IFERROR(IF(INDEX('Undirviðmiðalisti (Lýsigögn)'!I$6:I$41,MATCH($C122,'Undirviðmiðalisti (Lýsigögn)'!$C$6:$C$41,0))="","",INDEX('Undirviðmiðalisti (Lýsigögn)'!I$6:I$41,MATCH($C122,'Undirviðmiðalisti (Lýsigögn)'!$C$6:$C$41,0))),IFERROR(IF(INDEX('Undirviðmiðalisti (Lýsigögn)'!I$42:I$58,MATCH($C122,'Undirviðmiðalisti (Lýsigögn)'!$C$42:$C$58,0))="","",INDEX('Undirviðmiðalisti (Lýsigögn)'!I$42:I$58,MATCH($C122,'Undirviðmiðalisti (Lýsigögn)'!$C$42:$C$58,0))),""))))</f>
        <v/>
      </c>
      <c r="N122" s="16" t="str">
        <f aca="false">IF($C122="","",IF($G122="Einstaklingsbundið",IFERROR(IF(INDEX('Undirviðmiðalisti (Lýsigögn)'!J$42:J$58,MATCH($C122,'Undirviðmiðalisti (Lýsigögn)'!$C$42:$C$58,0))="","",INDEX('Undirviðmiðalisti (Lýsigögn)'!J$42:J$58,MATCH($C122,'Undirviðmiðalisti (Lýsigögn)'!$C$42:$C$58,0))),""),IFERROR(IF(INDEX('Undirviðmiðalisti (Lýsigögn)'!J$6:J$41,MATCH($C122,'Undirviðmiðalisti (Lýsigögn)'!$C$6:$C$41,0))="","",INDEX('Undirviðmiðalisti (Lýsigögn)'!J$6:J$41,MATCH($C122,'Undirviðmiðalisti (Lýsigögn)'!$C$6:$C$41,0))),IFERROR(IF(INDEX('Undirviðmiðalisti (Lýsigögn)'!J$42:J$58,MATCH($C122,'Undirviðmiðalisti (Lýsigögn)'!$C$42:$C$58,0))="","",INDEX('Undirviðmiðalisti (Lýsigögn)'!J$42:J$58,MATCH($C122,'Undirviðmiðalisti (Lýsigögn)'!$C$42:$C$58,0))),""))))</f>
        <v/>
      </c>
      <c r="O122" s="16" t="str">
        <f aca="false">IF($C122="","",IF($G122="Einstaklingsbundið",IFERROR(IF(INDEX('Undirviðmiðalisti (Lýsigögn)'!K$42:K$58,MATCH($C122,'Undirviðmiðalisti (Lýsigögn)'!$C$42:$C$58,0))="","",INDEX('Undirviðmiðalisti (Lýsigögn)'!K$42:K$58,MATCH($C122,'Undirviðmiðalisti (Lýsigögn)'!$C$42:$C$58,0))),""),IFERROR(IF(INDEX('Undirviðmiðalisti (Lýsigögn)'!K$6:K$41,MATCH($C122,'Undirviðmiðalisti (Lýsigögn)'!$C$6:$C$41,0))="","",INDEX('Undirviðmiðalisti (Lýsigögn)'!K$6:K$41,MATCH($C122,'Undirviðmiðalisti (Lýsigögn)'!$C$6:$C$41,0))),IFERROR(IF(INDEX('Undirviðmiðalisti (Lýsigögn)'!K$42:K$58,MATCH($C122,'Undirviðmiðalisti (Lýsigögn)'!$C$42:$C$58,0))="","",INDEX('Undirviðmiðalisti (Lýsigögn)'!K$42:K$58,MATCH($C122,'Undirviðmiðalisti (Lýsigögn)'!$C$42:$C$58,0))),""))))</f>
        <v/>
      </c>
      <c r="P122" s="16" t="str">
        <f aca="false">IF($C122="","",IF($G122="Einstaklingsbundið",IFERROR(IF(INDEX('Undirviðmiðalisti (Lýsigögn)'!L$42:L$58,MATCH($C122,'Undirviðmiðalisti (Lýsigögn)'!$C$42:$C$58,0))="","",INDEX('Undirviðmiðalisti (Lýsigögn)'!L$42:L$58,MATCH($C122,'Undirviðmiðalisti (Lýsigögn)'!$C$42:$C$58,0))),""),IFERROR(IF(INDEX('Undirviðmiðalisti (Lýsigögn)'!L$6:L$41,MATCH($C122,'Undirviðmiðalisti (Lýsigögn)'!$C$6:$C$41,0))="","",INDEX('Undirviðmiðalisti (Lýsigögn)'!L$6:L$41,MATCH($C122,'Undirviðmiðalisti (Lýsigögn)'!$C$6:$C$41,0))),IFERROR(IF(INDEX('Undirviðmiðalisti (Lýsigögn)'!L$42:L$58,MATCH($C122,'Undirviðmiðalisti (Lýsigögn)'!$C$42:$C$58,0))="","",INDEX('Undirviðmiðalisti (Lýsigögn)'!L$42:L$58,MATCH($C122,'Undirviðmiðalisti (Lýsigögn)'!$C$42:$C$58,0))),""))))</f>
        <v/>
      </c>
      <c r="Q122" s="16" t="str">
        <f aca="false">IF($C122="","",IF($G122="Einstaklingsbundið",IFERROR(IF(INDEX('Undirviðmiðalisti (Lýsigögn)'!M$42:M$58,MATCH($C122,'Undirviðmiðalisti (Lýsigögn)'!$C$42:$C$58,0))="","",INDEX('Undirviðmiðalisti (Lýsigögn)'!M$42:M$58,MATCH($C122,'Undirviðmiðalisti (Lýsigögn)'!$C$42:$C$58,0))),""),IFERROR(IF(INDEX('Undirviðmiðalisti (Lýsigögn)'!M$6:M$41,MATCH($C122,'Undirviðmiðalisti (Lýsigögn)'!$C$6:$C$41,0))="","",INDEX('Undirviðmiðalisti (Lýsigögn)'!M$6:M$41,MATCH($C122,'Undirviðmiðalisti (Lýsigögn)'!$C$6:$C$41,0))),IFERROR(IF(INDEX('Undirviðmiðalisti (Lýsigögn)'!M$42:M$58,MATCH($C122,'Undirviðmiðalisti (Lýsigögn)'!$C$42:$C$58,0))="","",INDEX('Undirviðmiðalisti (Lýsigögn)'!M$42:M$58,MATCH($C122,'Undirviðmiðalisti (Lýsigögn)'!$C$42:$C$58,0))),""))))</f>
        <v/>
      </c>
    </row>
    <row r="123" customFormat="false" ht="15" hidden="false" customHeight="true" outlineLevel="0" collapsed="false">
      <c r="A123" s="22" t="str">
        <f aca="false">IF($B123="","",ROW()-5)</f>
        <v/>
      </c>
      <c r="B123" s="15"/>
      <c r="C123" s="15"/>
      <c r="D123" s="16" t="str">
        <f aca="false">IF($C123="","",IF($G123="Einstaklingsbundið",IFERROR(IF(INDEX('Undirviðmiðalisti (Lýsigögn)'!$D$42:$D$58,MATCH($C123,'Undirviðmiðalisti (Lýsigögn)'!$C$42:$C$58,0))="","",INDEX('Undirviðmiðalisti (Lýsigögn)'!$D$42:$D$58,MATCH($C123,'Undirviðmiðalisti (Lýsigögn)'!$C$42:$C$58,0))),""),IFERROR(IF(INDEX('Undirviðmiðalisti (Lýsigögn)'!$D$6:$D$41,MATCH($C123,'Undirviðmiðalisti (Lýsigögn)'!$C$6:$C$41,0))="","",INDEX('Undirviðmiðalisti (Lýsigögn)'!$D$6:$D$41,MATCH($C123,'Undirviðmiðalisti (Lýsigögn)'!$C$6:$C$41,0))),IFERROR(IF(INDEX('Undirviðmiðalisti (Lýsigögn)'!$D$42:$D$58,MATCH($C123,'Undirviðmiðalisti (Lýsigögn)'!$C$42:$C$58,0))="","",INDEX('Undirviðmiðalisti (Lýsigögn)'!$D$42:$D$58,MATCH($C123,'Undirviðmiðalisti (Lýsigögn)'!$C$42:$C$58,0))),""))))</f>
        <v/>
      </c>
      <c r="E123" s="14"/>
      <c r="F123" s="23" t="str">
        <f aca="false">IF($C123="","",IF($G123="Einstaklingsbundið",IFERROR(IF(INDEX('Undirviðmiðalisti (Lýsigögn)'!$E$42:$E$58,MATCH($C123,'Undirviðmiðalisti (Lýsigögn)'!$C$42:$C$58,0))="","",INDEX('Undirviðmiðalisti (Lýsigögn)'!$E$42:$E$58,MATCH($C123,'Undirviðmiðalisti (Lýsigögn)'!$C$42:$C$58,0))),""),IFERROR(IF(INDEX('Undirviðmiðalisti (Lýsigögn)'!$E$6:$E$41,MATCH($C123,'Undirviðmiðalisti (Lýsigögn)'!$C$6:$C$41,0))="","",INDEX('Undirviðmiðalisti (Lýsigögn)'!$E$6:$E$41,MATCH($C123,'Undirviðmiðalisti (Lýsigögn)'!$C$6:$C$41,0))),IFERROR(IF(INDEX('Undirviðmiðalisti (Lýsigögn)'!$E$42:$E$58,MATCH($C123,'Undirviðmiðalisti (Lýsigögn)'!$C$42:$C$58,0))="","",INDEX('Undirviðmiðalisti (Lýsigögn)'!$E$42:$E$58,MATCH($C123,'Undirviðmiðalisti (Lýsigögn)'!$C$42:$C$58,0))),""))))</f>
        <v/>
      </c>
      <c r="G123" s="24" t="str">
        <f aca="false">IFERROR(IF(B123="","",INDEX(Viðmið!$B$6:$B$10,MATCH(B123,Viðmið!$C$6:$C$10,0))),"")</f>
        <v/>
      </c>
      <c r="H123" s="25" t="str">
        <f aca="false">IF(OR(E123="",F123=""),"",E123*KVARDI)</f>
        <v/>
      </c>
      <c r="I123" s="26" t="str">
        <f aca="false">IF(B123="","",IF(ROUND(SUMIF($B$6:$B$205,B123,$E$6:$E$205),4)=ROUND(IFERROR(INDEX(Viðmið!$E$6:$E$10,MATCH(B123,Viðmið!$C$6:$C$10,0)),-1),4),"✓","✗"))</f>
        <v/>
      </c>
      <c r="J123" s="16" t="str">
        <f aca="false">IF($C123="","",IF($G123="Einstaklingsbundið",IFERROR(IF(INDEX('Undirviðmiðalisti (Lýsigögn)'!F$42:F$58,MATCH($C123,'Undirviðmiðalisti (Lýsigögn)'!$C$42:$C$58,0))="","",INDEX('Undirviðmiðalisti (Lýsigögn)'!F$42:F$58,MATCH($C123,'Undirviðmiðalisti (Lýsigögn)'!$C$42:$C$58,0))),""),IFERROR(IF(INDEX('Undirviðmiðalisti (Lýsigögn)'!F$6:F$41,MATCH($C123,'Undirviðmiðalisti (Lýsigögn)'!$C$6:$C$41,0))="","",INDEX('Undirviðmiðalisti (Lýsigögn)'!F$6:F$41,MATCH($C123,'Undirviðmiðalisti (Lýsigögn)'!$C$6:$C$41,0))),IFERROR(IF(INDEX('Undirviðmiðalisti (Lýsigögn)'!F$42:F$58,MATCH($C123,'Undirviðmiðalisti (Lýsigögn)'!$C$42:$C$58,0))="","",INDEX('Undirviðmiðalisti (Lýsigögn)'!F$42:F$58,MATCH($C123,'Undirviðmiðalisti (Lýsigögn)'!$C$42:$C$58,0))),""))))</f>
        <v/>
      </c>
      <c r="K123" s="16" t="str">
        <f aca="false">IF($C123="","",IF($G123="Einstaklingsbundið",IFERROR(IF(INDEX('Undirviðmiðalisti (Lýsigögn)'!G$42:G$58,MATCH($C123,'Undirviðmiðalisti (Lýsigögn)'!$C$42:$C$58,0))="","",INDEX('Undirviðmiðalisti (Lýsigögn)'!G$42:G$58,MATCH($C123,'Undirviðmiðalisti (Lýsigögn)'!$C$42:$C$58,0))),""),IFERROR(IF(INDEX('Undirviðmiðalisti (Lýsigögn)'!G$6:G$41,MATCH($C123,'Undirviðmiðalisti (Lýsigögn)'!$C$6:$C$41,0))="","",INDEX('Undirviðmiðalisti (Lýsigögn)'!G$6:G$41,MATCH($C123,'Undirviðmiðalisti (Lýsigögn)'!$C$6:$C$41,0))),IFERROR(IF(INDEX('Undirviðmiðalisti (Lýsigögn)'!G$42:G$58,MATCH($C123,'Undirviðmiðalisti (Lýsigögn)'!$C$42:$C$58,0))="","",INDEX('Undirviðmiðalisti (Lýsigögn)'!G$42:G$58,MATCH($C123,'Undirviðmiðalisti (Lýsigögn)'!$C$42:$C$58,0))),""))))</f>
        <v/>
      </c>
      <c r="L123" s="16" t="str">
        <f aca="false">IF($C123="","",IF($G123="Einstaklingsbundið",IFERROR(IF(INDEX('Undirviðmiðalisti (Lýsigögn)'!H$42:H$58,MATCH($C123,'Undirviðmiðalisti (Lýsigögn)'!$C$42:$C$58,0))="","",INDEX('Undirviðmiðalisti (Lýsigögn)'!H$42:H$58,MATCH($C123,'Undirviðmiðalisti (Lýsigögn)'!$C$42:$C$58,0))),""),IFERROR(IF(INDEX('Undirviðmiðalisti (Lýsigögn)'!H$6:H$41,MATCH($C123,'Undirviðmiðalisti (Lýsigögn)'!$C$6:$C$41,0))="","",INDEX('Undirviðmiðalisti (Lýsigögn)'!H$6:H$41,MATCH($C123,'Undirviðmiðalisti (Lýsigögn)'!$C$6:$C$41,0))),IFERROR(IF(INDEX('Undirviðmiðalisti (Lýsigögn)'!H$42:H$58,MATCH($C123,'Undirviðmiðalisti (Lýsigögn)'!$C$42:$C$58,0))="","",INDEX('Undirviðmiðalisti (Lýsigögn)'!H$42:H$58,MATCH($C123,'Undirviðmiðalisti (Lýsigögn)'!$C$42:$C$58,0))),""))))</f>
        <v/>
      </c>
      <c r="M123" s="16" t="str">
        <f aca="false">IF($C123="","",IF($G123="Einstaklingsbundið",IFERROR(IF(INDEX('Undirviðmiðalisti (Lýsigögn)'!I$42:I$58,MATCH($C123,'Undirviðmiðalisti (Lýsigögn)'!$C$42:$C$58,0))="","",INDEX('Undirviðmiðalisti (Lýsigögn)'!I$42:I$58,MATCH($C123,'Undirviðmiðalisti (Lýsigögn)'!$C$42:$C$58,0))),""),IFERROR(IF(INDEX('Undirviðmiðalisti (Lýsigögn)'!I$6:I$41,MATCH($C123,'Undirviðmiðalisti (Lýsigögn)'!$C$6:$C$41,0))="","",INDEX('Undirviðmiðalisti (Lýsigögn)'!I$6:I$41,MATCH($C123,'Undirviðmiðalisti (Lýsigögn)'!$C$6:$C$41,0))),IFERROR(IF(INDEX('Undirviðmiðalisti (Lýsigögn)'!I$42:I$58,MATCH($C123,'Undirviðmiðalisti (Lýsigögn)'!$C$42:$C$58,0))="","",INDEX('Undirviðmiðalisti (Lýsigögn)'!I$42:I$58,MATCH($C123,'Undirviðmiðalisti (Lýsigögn)'!$C$42:$C$58,0))),""))))</f>
        <v/>
      </c>
      <c r="N123" s="16" t="str">
        <f aca="false">IF($C123="","",IF($G123="Einstaklingsbundið",IFERROR(IF(INDEX('Undirviðmiðalisti (Lýsigögn)'!J$42:J$58,MATCH($C123,'Undirviðmiðalisti (Lýsigögn)'!$C$42:$C$58,0))="","",INDEX('Undirviðmiðalisti (Lýsigögn)'!J$42:J$58,MATCH($C123,'Undirviðmiðalisti (Lýsigögn)'!$C$42:$C$58,0))),""),IFERROR(IF(INDEX('Undirviðmiðalisti (Lýsigögn)'!J$6:J$41,MATCH($C123,'Undirviðmiðalisti (Lýsigögn)'!$C$6:$C$41,0))="","",INDEX('Undirviðmiðalisti (Lýsigögn)'!J$6:J$41,MATCH($C123,'Undirviðmiðalisti (Lýsigögn)'!$C$6:$C$41,0))),IFERROR(IF(INDEX('Undirviðmiðalisti (Lýsigögn)'!J$42:J$58,MATCH($C123,'Undirviðmiðalisti (Lýsigögn)'!$C$42:$C$58,0))="","",INDEX('Undirviðmiðalisti (Lýsigögn)'!J$42:J$58,MATCH($C123,'Undirviðmiðalisti (Lýsigögn)'!$C$42:$C$58,0))),""))))</f>
        <v/>
      </c>
      <c r="O123" s="16" t="str">
        <f aca="false">IF($C123="","",IF($G123="Einstaklingsbundið",IFERROR(IF(INDEX('Undirviðmiðalisti (Lýsigögn)'!K$42:K$58,MATCH($C123,'Undirviðmiðalisti (Lýsigögn)'!$C$42:$C$58,0))="","",INDEX('Undirviðmiðalisti (Lýsigögn)'!K$42:K$58,MATCH($C123,'Undirviðmiðalisti (Lýsigögn)'!$C$42:$C$58,0))),""),IFERROR(IF(INDEX('Undirviðmiðalisti (Lýsigögn)'!K$6:K$41,MATCH($C123,'Undirviðmiðalisti (Lýsigögn)'!$C$6:$C$41,0))="","",INDEX('Undirviðmiðalisti (Lýsigögn)'!K$6:K$41,MATCH($C123,'Undirviðmiðalisti (Lýsigögn)'!$C$6:$C$41,0))),IFERROR(IF(INDEX('Undirviðmiðalisti (Lýsigögn)'!K$42:K$58,MATCH($C123,'Undirviðmiðalisti (Lýsigögn)'!$C$42:$C$58,0))="","",INDEX('Undirviðmiðalisti (Lýsigögn)'!K$42:K$58,MATCH($C123,'Undirviðmiðalisti (Lýsigögn)'!$C$42:$C$58,0))),""))))</f>
        <v/>
      </c>
      <c r="P123" s="16" t="str">
        <f aca="false">IF($C123="","",IF($G123="Einstaklingsbundið",IFERROR(IF(INDEX('Undirviðmiðalisti (Lýsigögn)'!L$42:L$58,MATCH($C123,'Undirviðmiðalisti (Lýsigögn)'!$C$42:$C$58,0))="","",INDEX('Undirviðmiðalisti (Lýsigögn)'!L$42:L$58,MATCH($C123,'Undirviðmiðalisti (Lýsigögn)'!$C$42:$C$58,0))),""),IFERROR(IF(INDEX('Undirviðmiðalisti (Lýsigögn)'!L$6:L$41,MATCH($C123,'Undirviðmiðalisti (Lýsigögn)'!$C$6:$C$41,0))="","",INDEX('Undirviðmiðalisti (Lýsigögn)'!L$6:L$41,MATCH($C123,'Undirviðmiðalisti (Lýsigögn)'!$C$6:$C$41,0))),IFERROR(IF(INDEX('Undirviðmiðalisti (Lýsigögn)'!L$42:L$58,MATCH($C123,'Undirviðmiðalisti (Lýsigögn)'!$C$42:$C$58,0))="","",INDEX('Undirviðmiðalisti (Lýsigögn)'!L$42:L$58,MATCH($C123,'Undirviðmiðalisti (Lýsigögn)'!$C$42:$C$58,0))),""))))</f>
        <v/>
      </c>
      <c r="Q123" s="16" t="str">
        <f aca="false">IF($C123="","",IF($G123="Einstaklingsbundið",IFERROR(IF(INDEX('Undirviðmiðalisti (Lýsigögn)'!M$42:M$58,MATCH($C123,'Undirviðmiðalisti (Lýsigögn)'!$C$42:$C$58,0))="","",INDEX('Undirviðmiðalisti (Lýsigögn)'!M$42:M$58,MATCH($C123,'Undirviðmiðalisti (Lýsigögn)'!$C$42:$C$58,0))),""),IFERROR(IF(INDEX('Undirviðmiðalisti (Lýsigögn)'!M$6:M$41,MATCH($C123,'Undirviðmiðalisti (Lýsigögn)'!$C$6:$C$41,0))="","",INDEX('Undirviðmiðalisti (Lýsigögn)'!M$6:M$41,MATCH($C123,'Undirviðmiðalisti (Lýsigögn)'!$C$6:$C$41,0))),IFERROR(IF(INDEX('Undirviðmiðalisti (Lýsigögn)'!M$42:M$58,MATCH($C123,'Undirviðmiðalisti (Lýsigögn)'!$C$42:$C$58,0))="","",INDEX('Undirviðmiðalisti (Lýsigögn)'!M$42:M$58,MATCH($C123,'Undirviðmiðalisti (Lýsigögn)'!$C$42:$C$58,0))),""))))</f>
        <v/>
      </c>
    </row>
    <row r="124" customFormat="false" ht="15" hidden="false" customHeight="true" outlineLevel="0" collapsed="false">
      <c r="A124" s="22" t="str">
        <f aca="false">IF($B124="","",ROW()-5)</f>
        <v/>
      </c>
      <c r="B124" s="15"/>
      <c r="C124" s="15"/>
      <c r="D124" s="16" t="str">
        <f aca="false">IF($C124="","",IF($G124="Einstaklingsbundið",IFERROR(IF(INDEX('Undirviðmiðalisti (Lýsigögn)'!$D$42:$D$58,MATCH($C124,'Undirviðmiðalisti (Lýsigögn)'!$C$42:$C$58,0))="","",INDEX('Undirviðmiðalisti (Lýsigögn)'!$D$42:$D$58,MATCH($C124,'Undirviðmiðalisti (Lýsigögn)'!$C$42:$C$58,0))),""),IFERROR(IF(INDEX('Undirviðmiðalisti (Lýsigögn)'!$D$6:$D$41,MATCH($C124,'Undirviðmiðalisti (Lýsigögn)'!$C$6:$C$41,0))="","",INDEX('Undirviðmiðalisti (Lýsigögn)'!$D$6:$D$41,MATCH($C124,'Undirviðmiðalisti (Lýsigögn)'!$C$6:$C$41,0))),IFERROR(IF(INDEX('Undirviðmiðalisti (Lýsigögn)'!$D$42:$D$58,MATCH($C124,'Undirviðmiðalisti (Lýsigögn)'!$C$42:$C$58,0))="","",INDEX('Undirviðmiðalisti (Lýsigögn)'!$D$42:$D$58,MATCH($C124,'Undirviðmiðalisti (Lýsigögn)'!$C$42:$C$58,0))),""))))</f>
        <v/>
      </c>
      <c r="E124" s="14"/>
      <c r="F124" s="23" t="str">
        <f aca="false">IF($C124="","",IF($G124="Einstaklingsbundið",IFERROR(IF(INDEX('Undirviðmiðalisti (Lýsigögn)'!$E$42:$E$58,MATCH($C124,'Undirviðmiðalisti (Lýsigögn)'!$C$42:$C$58,0))="","",INDEX('Undirviðmiðalisti (Lýsigögn)'!$E$42:$E$58,MATCH($C124,'Undirviðmiðalisti (Lýsigögn)'!$C$42:$C$58,0))),""),IFERROR(IF(INDEX('Undirviðmiðalisti (Lýsigögn)'!$E$6:$E$41,MATCH($C124,'Undirviðmiðalisti (Lýsigögn)'!$C$6:$C$41,0))="","",INDEX('Undirviðmiðalisti (Lýsigögn)'!$E$6:$E$41,MATCH($C124,'Undirviðmiðalisti (Lýsigögn)'!$C$6:$C$41,0))),IFERROR(IF(INDEX('Undirviðmiðalisti (Lýsigögn)'!$E$42:$E$58,MATCH($C124,'Undirviðmiðalisti (Lýsigögn)'!$C$42:$C$58,0))="","",INDEX('Undirviðmiðalisti (Lýsigögn)'!$E$42:$E$58,MATCH($C124,'Undirviðmiðalisti (Lýsigögn)'!$C$42:$C$58,0))),""))))</f>
        <v/>
      </c>
      <c r="G124" s="24" t="str">
        <f aca="false">IFERROR(IF(B124="","",INDEX(Viðmið!$B$6:$B$10,MATCH(B124,Viðmið!$C$6:$C$10,0))),"")</f>
        <v/>
      </c>
      <c r="H124" s="25" t="str">
        <f aca="false">IF(OR(E124="",F124=""),"",E124*KVARDI)</f>
        <v/>
      </c>
      <c r="I124" s="26" t="str">
        <f aca="false">IF(B124="","",IF(ROUND(SUMIF($B$6:$B$205,B124,$E$6:$E$205),4)=ROUND(IFERROR(INDEX(Viðmið!$E$6:$E$10,MATCH(B124,Viðmið!$C$6:$C$10,0)),-1),4),"✓","✗"))</f>
        <v/>
      </c>
      <c r="J124" s="16" t="str">
        <f aca="false">IF($C124="","",IF($G124="Einstaklingsbundið",IFERROR(IF(INDEX('Undirviðmiðalisti (Lýsigögn)'!F$42:F$58,MATCH($C124,'Undirviðmiðalisti (Lýsigögn)'!$C$42:$C$58,0))="","",INDEX('Undirviðmiðalisti (Lýsigögn)'!F$42:F$58,MATCH($C124,'Undirviðmiðalisti (Lýsigögn)'!$C$42:$C$58,0))),""),IFERROR(IF(INDEX('Undirviðmiðalisti (Lýsigögn)'!F$6:F$41,MATCH($C124,'Undirviðmiðalisti (Lýsigögn)'!$C$6:$C$41,0))="","",INDEX('Undirviðmiðalisti (Lýsigögn)'!F$6:F$41,MATCH($C124,'Undirviðmiðalisti (Lýsigögn)'!$C$6:$C$41,0))),IFERROR(IF(INDEX('Undirviðmiðalisti (Lýsigögn)'!F$42:F$58,MATCH($C124,'Undirviðmiðalisti (Lýsigögn)'!$C$42:$C$58,0))="","",INDEX('Undirviðmiðalisti (Lýsigögn)'!F$42:F$58,MATCH($C124,'Undirviðmiðalisti (Lýsigögn)'!$C$42:$C$58,0))),""))))</f>
        <v/>
      </c>
      <c r="K124" s="16" t="str">
        <f aca="false">IF($C124="","",IF($G124="Einstaklingsbundið",IFERROR(IF(INDEX('Undirviðmiðalisti (Lýsigögn)'!G$42:G$58,MATCH($C124,'Undirviðmiðalisti (Lýsigögn)'!$C$42:$C$58,0))="","",INDEX('Undirviðmiðalisti (Lýsigögn)'!G$42:G$58,MATCH($C124,'Undirviðmiðalisti (Lýsigögn)'!$C$42:$C$58,0))),""),IFERROR(IF(INDEX('Undirviðmiðalisti (Lýsigögn)'!G$6:G$41,MATCH($C124,'Undirviðmiðalisti (Lýsigögn)'!$C$6:$C$41,0))="","",INDEX('Undirviðmiðalisti (Lýsigögn)'!G$6:G$41,MATCH($C124,'Undirviðmiðalisti (Lýsigögn)'!$C$6:$C$41,0))),IFERROR(IF(INDEX('Undirviðmiðalisti (Lýsigögn)'!G$42:G$58,MATCH($C124,'Undirviðmiðalisti (Lýsigögn)'!$C$42:$C$58,0))="","",INDEX('Undirviðmiðalisti (Lýsigögn)'!G$42:G$58,MATCH($C124,'Undirviðmiðalisti (Lýsigögn)'!$C$42:$C$58,0))),""))))</f>
        <v/>
      </c>
      <c r="L124" s="16" t="str">
        <f aca="false">IF($C124="","",IF($G124="Einstaklingsbundið",IFERROR(IF(INDEX('Undirviðmiðalisti (Lýsigögn)'!H$42:H$58,MATCH($C124,'Undirviðmiðalisti (Lýsigögn)'!$C$42:$C$58,0))="","",INDEX('Undirviðmiðalisti (Lýsigögn)'!H$42:H$58,MATCH($C124,'Undirviðmiðalisti (Lýsigögn)'!$C$42:$C$58,0))),""),IFERROR(IF(INDEX('Undirviðmiðalisti (Lýsigögn)'!H$6:H$41,MATCH($C124,'Undirviðmiðalisti (Lýsigögn)'!$C$6:$C$41,0))="","",INDEX('Undirviðmiðalisti (Lýsigögn)'!H$6:H$41,MATCH($C124,'Undirviðmiðalisti (Lýsigögn)'!$C$6:$C$41,0))),IFERROR(IF(INDEX('Undirviðmiðalisti (Lýsigögn)'!H$42:H$58,MATCH($C124,'Undirviðmiðalisti (Lýsigögn)'!$C$42:$C$58,0))="","",INDEX('Undirviðmiðalisti (Lýsigögn)'!H$42:H$58,MATCH($C124,'Undirviðmiðalisti (Lýsigögn)'!$C$42:$C$58,0))),""))))</f>
        <v/>
      </c>
      <c r="M124" s="16" t="str">
        <f aca="false">IF($C124="","",IF($G124="Einstaklingsbundið",IFERROR(IF(INDEX('Undirviðmiðalisti (Lýsigögn)'!I$42:I$58,MATCH($C124,'Undirviðmiðalisti (Lýsigögn)'!$C$42:$C$58,0))="","",INDEX('Undirviðmiðalisti (Lýsigögn)'!I$42:I$58,MATCH($C124,'Undirviðmiðalisti (Lýsigögn)'!$C$42:$C$58,0))),""),IFERROR(IF(INDEX('Undirviðmiðalisti (Lýsigögn)'!I$6:I$41,MATCH($C124,'Undirviðmiðalisti (Lýsigögn)'!$C$6:$C$41,0))="","",INDEX('Undirviðmiðalisti (Lýsigögn)'!I$6:I$41,MATCH($C124,'Undirviðmiðalisti (Lýsigögn)'!$C$6:$C$41,0))),IFERROR(IF(INDEX('Undirviðmiðalisti (Lýsigögn)'!I$42:I$58,MATCH($C124,'Undirviðmiðalisti (Lýsigögn)'!$C$42:$C$58,0))="","",INDEX('Undirviðmiðalisti (Lýsigögn)'!I$42:I$58,MATCH($C124,'Undirviðmiðalisti (Lýsigögn)'!$C$42:$C$58,0))),""))))</f>
        <v/>
      </c>
      <c r="N124" s="16" t="str">
        <f aca="false">IF($C124="","",IF($G124="Einstaklingsbundið",IFERROR(IF(INDEX('Undirviðmiðalisti (Lýsigögn)'!J$42:J$58,MATCH($C124,'Undirviðmiðalisti (Lýsigögn)'!$C$42:$C$58,0))="","",INDEX('Undirviðmiðalisti (Lýsigögn)'!J$42:J$58,MATCH($C124,'Undirviðmiðalisti (Lýsigögn)'!$C$42:$C$58,0))),""),IFERROR(IF(INDEX('Undirviðmiðalisti (Lýsigögn)'!J$6:J$41,MATCH($C124,'Undirviðmiðalisti (Lýsigögn)'!$C$6:$C$41,0))="","",INDEX('Undirviðmiðalisti (Lýsigögn)'!J$6:J$41,MATCH($C124,'Undirviðmiðalisti (Lýsigögn)'!$C$6:$C$41,0))),IFERROR(IF(INDEX('Undirviðmiðalisti (Lýsigögn)'!J$42:J$58,MATCH($C124,'Undirviðmiðalisti (Lýsigögn)'!$C$42:$C$58,0))="","",INDEX('Undirviðmiðalisti (Lýsigögn)'!J$42:J$58,MATCH($C124,'Undirviðmiðalisti (Lýsigögn)'!$C$42:$C$58,0))),""))))</f>
        <v/>
      </c>
      <c r="O124" s="16" t="str">
        <f aca="false">IF($C124="","",IF($G124="Einstaklingsbundið",IFERROR(IF(INDEX('Undirviðmiðalisti (Lýsigögn)'!K$42:K$58,MATCH($C124,'Undirviðmiðalisti (Lýsigögn)'!$C$42:$C$58,0))="","",INDEX('Undirviðmiðalisti (Lýsigögn)'!K$42:K$58,MATCH($C124,'Undirviðmiðalisti (Lýsigögn)'!$C$42:$C$58,0))),""),IFERROR(IF(INDEX('Undirviðmiðalisti (Lýsigögn)'!K$6:K$41,MATCH($C124,'Undirviðmiðalisti (Lýsigögn)'!$C$6:$C$41,0))="","",INDEX('Undirviðmiðalisti (Lýsigögn)'!K$6:K$41,MATCH($C124,'Undirviðmiðalisti (Lýsigögn)'!$C$6:$C$41,0))),IFERROR(IF(INDEX('Undirviðmiðalisti (Lýsigögn)'!K$42:K$58,MATCH($C124,'Undirviðmiðalisti (Lýsigögn)'!$C$42:$C$58,0))="","",INDEX('Undirviðmiðalisti (Lýsigögn)'!K$42:K$58,MATCH($C124,'Undirviðmiðalisti (Lýsigögn)'!$C$42:$C$58,0))),""))))</f>
        <v/>
      </c>
      <c r="P124" s="16" t="str">
        <f aca="false">IF($C124="","",IF($G124="Einstaklingsbundið",IFERROR(IF(INDEX('Undirviðmiðalisti (Lýsigögn)'!L$42:L$58,MATCH($C124,'Undirviðmiðalisti (Lýsigögn)'!$C$42:$C$58,0))="","",INDEX('Undirviðmiðalisti (Lýsigögn)'!L$42:L$58,MATCH($C124,'Undirviðmiðalisti (Lýsigögn)'!$C$42:$C$58,0))),""),IFERROR(IF(INDEX('Undirviðmiðalisti (Lýsigögn)'!L$6:L$41,MATCH($C124,'Undirviðmiðalisti (Lýsigögn)'!$C$6:$C$41,0))="","",INDEX('Undirviðmiðalisti (Lýsigögn)'!L$6:L$41,MATCH($C124,'Undirviðmiðalisti (Lýsigögn)'!$C$6:$C$41,0))),IFERROR(IF(INDEX('Undirviðmiðalisti (Lýsigögn)'!L$42:L$58,MATCH($C124,'Undirviðmiðalisti (Lýsigögn)'!$C$42:$C$58,0))="","",INDEX('Undirviðmiðalisti (Lýsigögn)'!L$42:L$58,MATCH($C124,'Undirviðmiðalisti (Lýsigögn)'!$C$42:$C$58,0))),""))))</f>
        <v/>
      </c>
      <c r="Q124" s="16" t="str">
        <f aca="false">IF($C124="","",IF($G124="Einstaklingsbundið",IFERROR(IF(INDEX('Undirviðmiðalisti (Lýsigögn)'!M$42:M$58,MATCH($C124,'Undirviðmiðalisti (Lýsigögn)'!$C$42:$C$58,0))="","",INDEX('Undirviðmiðalisti (Lýsigögn)'!M$42:M$58,MATCH($C124,'Undirviðmiðalisti (Lýsigögn)'!$C$42:$C$58,0))),""),IFERROR(IF(INDEX('Undirviðmiðalisti (Lýsigögn)'!M$6:M$41,MATCH($C124,'Undirviðmiðalisti (Lýsigögn)'!$C$6:$C$41,0))="","",INDEX('Undirviðmiðalisti (Lýsigögn)'!M$6:M$41,MATCH($C124,'Undirviðmiðalisti (Lýsigögn)'!$C$6:$C$41,0))),IFERROR(IF(INDEX('Undirviðmiðalisti (Lýsigögn)'!M$42:M$58,MATCH($C124,'Undirviðmiðalisti (Lýsigögn)'!$C$42:$C$58,0))="","",INDEX('Undirviðmiðalisti (Lýsigögn)'!M$42:M$58,MATCH($C124,'Undirviðmiðalisti (Lýsigögn)'!$C$42:$C$58,0))),""))))</f>
        <v/>
      </c>
    </row>
    <row r="125" customFormat="false" ht="15" hidden="false" customHeight="true" outlineLevel="0" collapsed="false">
      <c r="A125" s="22" t="str">
        <f aca="false">IF($B125="","",ROW()-5)</f>
        <v/>
      </c>
      <c r="B125" s="15"/>
      <c r="C125" s="15"/>
      <c r="D125" s="16" t="str">
        <f aca="false">IF($C125="","",IF($G125="Einstaklingsbundið",IFERROR(IF(INDEX('Undirviðmiðalisti (Lýsigögn)'!$D$42:$D$58,MATCH($C125,'Undirviðmiðalisti (Lýsigögn)'!$C$42:$C$58,0))="","",INDEX('Undirviðmiðalisti (Lýsigögn)'!$D$42:$D$58,MATCH($C125,'Undirviðmiðalisti (Lýsigögn)'!$C$42:$C$58,0))),""),IFERROR(IF(INDEX('Undirviðmiðalisti (Lýsigögn)'!$D$6:$D$41,MATCH($C125,'Undirviðmiðalisti (Lýsigögn)'!$C$6:$C$41,0))="","",INDEX('Undirviðmiðalisti (Lýsigögn)'!$D$6:$D$41,MATCH($C125,'Undirviðmiðalisti (Lýsigögn)'!$C$6:$C$41,0))),IFERROR(IF(INDEX('Undirviðmiðalisti (Lýsigögn)'!$D$42:$D$58,MATCH($C125,'Undirviðmiðalisti (Lýsigögn)'!$C$42:$C$58,0))="","",INDEX('Undirviðmiðalisti (Lýsigögn)'!$D$42:$D$58,MATCH($C125,'Undirviðmiðalisti (Lýsigögn)'!$C$42:$C$58,0))),""))))</f>
        <v/>
      </c>
      <c r="E125" s="14"/>
      <c r="F125" s="23" t="str">
        <f aca="false">IF($C125="","",IF($G125="Einstaklingsbundið",IFERROR(IF(INDEX('Undirviðmiðalisti (Lýsigögn)'!$E$42:$E$58,MATCH($C125,'Undirviðmiðalisti (Lýsigögn)'!$C$42:$C$58,0))="","",INDEX('Undirviðmiðalisti (Lýsigögn)'!$E$42:$E$58,MATCH($C125,'Undirviðmiðalisti (Lýsigögn)'!$C$42:$C$58,0))),""),IFERROR(IF(INDEX('Undirviðmiðalisti (Lýsigögn)'!$E$6:$E$41,MATCH($C125,'Undirviðmiðalisti (Lýsigögn)'!$C$6:$C$41,0))="","",INDEX('Undirviðmiðalisti (Lýsigögn)'!$E$6:$E$41,MATCH($C125,'Undirviðmiðalisti (Lýsigögn)'!$C$6:$C$41,0))),IFERROR(IF(INDEX('Undirviðmiðalisti (Lýsigögn)'!$E$42:$E$58,MATCH($C125,'Undirviðmiðalisti (Lýsigögn)'!$C$42:$C$58,0))="","",INDEX('Undirviðmiðalisti (Lýsigögn)'!$E$42:$E$58,MATCH($C125,'Undirviðmiðalisti (Lýsigögn)'!$C$42:$C$58,0))),""))))</f>
        <v/>
      </c>
      <c r="G125" s="24" t="str">
        <f aca="false">IFERROR(IF(B125="","",INDEX(Viðmið!$B$6:$B$10,MATCH(B125,Viðmið!$C$6:$C$10,0))),"")</f>
        <v/>
      </c>
      <c r="H125" s="25" t="str">
        <f aca="false">IF(OR(E125="",F125=""),"",E125*KVARDI)</f>
        <v/>
      </c>
      <c r="I125" s="26" t="str">
        <f aca="false">IF(B125="","",IF(ROUND(SUMIF($B$6:$B$205,B125,$E$6:$E$205),4)=ROUND(IFERROR(INDEX(Viðmið!$E$6:$E$10,MATCH(B125,Viðmið!$C$6:$C$10,0)),-1),4),"✓","✗"))</f>
        <v/>
      </c>
      <c r="J125" s="16" t="str">
        <f aca="false">IF($C125="","",IF($G125="Einstaklingsbundið",IFERROR(IF(INDEX('Undirviðmiðalisti (Lýsigögn)'!F$42:F$58,MATCH($C125,'Undirviðmiðalisti (Lýsigögn)'!$C$42:$C$58,0))="","",INDEX('Undirviðmiðalisti (Lýsigögn)'!F$42:F$58,MATCH($C125,'Undirviðmiðalisti (Lýsigögn)'!$C$42:$C$58,0))),""),IFERROR(IF(INDEX('Undirviðmiðalisti (Lýsigögn)'!F$6:F$41,MATCH($C125,'Undirviðmiðalisti (Lýsigögn)'!$C$6:$C$41,0))="","",INDEX('Undirviðmiðalisti (Lýsigögn)'!F$6:F$41,MATCH($C125,'Undirviðmiðalisti (Lýsigögn)'!$C$6:$C$41,0))),IFERROR(IF(INDEX('Undirviðmiðalisti (Lýsigögn)'!F$42:F$58,MATCH($C125,'Undirviðmiðalisti (Lýsigögn)'!$C$42:$C$58,0))="","",INDEX('Undirviðmiðalisti (Lýsigögn)'!F$42:F$58,MATCH($C125,'Undirviðmiðalisti (Lýsigögn)'!$C$42:$C$58,0))),""))))</f>
        <v/>
      </c>
      <c r="K125" s="16" t="str">
        <f aca="false">IF($C125="","",IF($G125="Einstaklingsbundið",IFERROR(IF(INDEX('Undirviðmiðalisti (Lýsigögn)'!G$42:G$58,MATCH($C125,'Undirviðmiðalisti (Lýsigögn)'!$C$42:$C$58,0))="","",INDEX('Undirviðmiðalisti (Lýsigögn)'!G$42:G$58,MATCH($C125,'Undirviðmiðalisti (Lýsigögn)'!$C$42:$C$58,0))),""),IFERROR(IF(INDEX('Undirviðmiðalisti (Lýsigögn)'!G$6:G$41,MATCH($C125,'Undirviðmiðalisti (Lýsigögn)'!$C$6:$C$41,0))="","",INDEX('Undirviðmiðalisti (Lýsigögn)'!G$6:G$41,MATCH($C125,'Undirviðmiðalisti (Lýsigögn)'!$C$6:$C$41,0))),IFERROR(IF(INDEX('Undirviðmiðalisti (Lýsigögn)'!G$42:G$58,MATCH($C125,'Undirviðmiðalisti (Lýsigögn)'!$C$42:$C$58,0))="","",INDEX('Undirviðmiðalisti (Lýsigögn)'!G$42:G$58,MATCH($C125,'Undirviðmiðalisti (Lýsigögn)'!$C$42:$C$58,0))),""))))</f>
        <v/>
      </c>
      <c r="L125" s="16" t="str">
        <f aca="false">IF($C125="","",IF($G125="Einstaklingsbundið",IFERROR(IF(INDEX('Undirviðmiðalisti (Lýsigögn)'!H$42:H$58,MATCH($C125,'Undirviðmiðalisti (Lýsigögn)'!$C$42:$C$58,0))="","",INDEX('Undirviðmiðalisti (Lýsigögn)'!H$42:H$58,MATCH($C125,'Undirviðmiðalisti (Lýsigögn)'!$C$42:$C$58,0))),""),IFERROR(IF(INDEX('Undirviðmiðalisti (Lýsigögn)'!H$6:H$41,MATCH($C125,'Undirviðmiðalisti (Lýsigögn)'!$C$6:$C$41,0))="","",INDEX('Undirviðmiðalisti (Lýsigögn)'!H$6:H$41,MATCH($C125,'Undirviðmiðalisti (Lýsigögn)'!$C$6:$C$41,0))),IFERROR(IF(INDEX('Undirviðmiðalisti (Lýsigögn)'!H$42:H$58,MATCH($C125,'Undirviðmiðalisti (Lýsigögn)'!$C$42:$C$58,0))="","",INDEX('Undirviðmiðalisti (Lýsigögn)'!H$42:H$58,MATCH($C125,'Undirviðmiðalisti (Lýsigögn)'!$C$42:$C$58,0))),""))))</f>
        <v/>
      </c>
      <c r="M125" s="16" t="str">
        <f aca="false">IF($C125="","",IF($G125="Einstaklingsbundið",IFERROR(IF(INDEX('Undirviðmiðalisti (Lýsigögn)'!I$42:I$58,MATCH($C125,'Undirviðmiðalisti (Lýsigögn)'!$C$42:$C$58,0))="","",INDEX('Undirviðmiðalisti (Lýsigögn)'!I$42:I$58,MATCH($C125,'Undirviðmiðalisti (Lýsigögn)'!$C$42:$C$58,0))),""),IFERROR(IF(INDEX('Undirviðmiðalisti (Lýsigögn)'!I$6:I$41,MATCH($C125,'Undirviðmiðalisti (Lýsigögn)'!$C$6:$C$41,0))="","",INDEX('Undirviðmiðalisti (Lýsigögn)'!I$6:I$41,MATCH($C125,'Undirviðmiðalisti (Lýsigögn)'!$C$6:$C$41,0))),IFERROR(IF(INDEX('Undirviðmiðalisti (Lýsigögn)'!I$42:I$58,MATCH($C125,'Undirviðmiðalisti (Lýsigögn)'!$C$42:$C$58,0))="","",INDEX('Undirviðmiðalisti (Lýsigögn)'!I$42:I$58,MATCH($C125,'Undirviðmiðalisti (Lýsigögn)'!$C$42:$C$58,0))),""))))</f>
        <v/>
      </c>
      <c r="N125" s="16" t="str">
        <f aca="false">IF($C125="","",IF($G125="Einstaklingsbundið",IFERROR(IF(INDEX('Undirviðmiðalisti (Lýsigögn)'!J$42:J$58,MATCH($C125,'Undirviðmiðalisti (Lýsigögn)'!$C$42:$C$58,0))="","",INDEX('Undirviðmiðalisti (Lýsigögn)'!J$42:J$58,MATCH($C125,'Undirviðmiðalisti (Lýsigögn)'!$C$42:$C$58,0))),""),IFERROR(IF(INDEX('Undirviðmiðalisti (Lýsigögn)'!J$6:J$41,MATCH($C125,'Undirviðmiðalisti (Lýsigögn)'!$C$6:$C$41,0))="","",INDEX('Undirviðmiðalisti (Lýsigögn)'!J$6:J$41,MATCH($C125,'Undirviðmiðalisti (Lýsigögn)'!$C$6:$C$41,0))),IFERROR(IF(INDEX('Undirviðmiðalisti (Lýsigögn)'!J$42:J$58,MATCH($C125,'Undirviðmiðalisti (Lýsigögn)'!$C$42:$C$58,0))="","",INDEX('Undirviðmiðalisti (Lýsigögn)'!J$42:J$58,MATCH($C125,'Undirviðmiðalisti (Lýsigögn)'!$C$42:$C$58,0))),""))))</f>
        <v/>
      </c>
      <c r="O125" s="16" t="str">
        <f aca="false">IF($C125="","",IF($G125="Einstaklingsbundið",IFERROR(IF(INDEX('Undirviðmiðalisti (Lýsigögn)'!K$42:K$58,MATCH($C125,'Undirviðmiðalisti (Lýsigögn)'!$C$42:$C$58,0))="","",INDEX('Undirviðmiðalisti (Lýsigögn)'!K$42:K$58,MATCH($C125,'Undirviðmiðalisti (Lýsigögn)'!$C$42:$C$58,0))),""),IFERROR(IF(INDEX('Undirviðmiðalisti (Lýsigögn)'!K$6:K$41,MATCH($C125,'Undirviðmiðalisti (Lýsigögn)'!$C$6:$C$41,0))="","",INDEX('Undirviðmiðalisti (Lýsigögn)'!K$6:K$41,MATCH($C125,'Undirviðmiðalisti (Lýsigögn)'!$C$6:$C$41,0))),IFERROR(IF(INDEX('Undirviðmiðalisti (Lýsigögn)'!K$42:K$58,MATCH($C125,'Undirviðmiðalisti (Lýsigögn)'!$C$42:$C$58,0))="","",INDEX('Undirviðmiðalisti (Lýsigögn)'!K$42:K$58,MATCH($C125,'Undirviðmiðalisti (Lýsigögn)'!$C$42:$C$58,0))),""))))</f>
        <v/>
      </c>
      <c r="P125" s="16" t="str">
        <f aca="false">IF($C125="","",IF($G125="Einstaklingsbundið",IFERROR(IF(INDEX('Undirviðmiðalisti (Lýsigögn)'!L$42:L$58,MATCH($C125,'Undirviðmiðalisti (Lýsigögn)'!$C$42:$C$58,0))="","",INDEX('Undirviðmiðalisti (Lýsigögn)'!L$42:L$58,MATCH($C125,'Undirviðmiðalisti (Lýsigögn)'!$C$42:$C$58,0))),""),IFERROR(IF(INDEX('Undirviðmiðalisti (Lýsigögn)'!L$6:L$41,MATCH($C125,'Undirviðmiðalisti (Lýsigögn)'!$C$6:$C$41,0))="","",INDEX('Undirviðmiðalisti (Lýsigögn)'!L$6:L$41,MATCH($C125,'Undirviðmiðalisti (Lýsigögn)'!$C$6:$C$41,0))),IFERROR(IF(INDEX('Undirviðmiðalisti (Lýsigögn)'!L$42:L$58,MATCH($C125,'Undirviðmiðalisti (Lýsigögn)'!$C$42:$C$58,0))="","",INDEX('Undirviðmiðalisti (Lýsigögn)'!L$42:L$58,MATCH($C125,'Undirviðmiðalisti (Lýsigögn)'!$C$42:$C$58,0))),""))))</f>
        <v/>
      </c>
      <c r="Q125" s="16" t="str">
        <f aca="false">IF($C125="","",IF($G125="Einstaklingsbundið",IFERROR(IF(INDEX('Undirviðmiðalisti (Lýsigögn)'!M$42:M$58,MATCH($C125,'Undirviðmiðalisti (Lýsigögn)'!$C$42:$C$58,0))="","",INDEX('Undirviðmiðalisti (Lýsigögn)'!M$42:M$58,MATCH($C125,'Undirviðmiðalisti (Lýsigögn)'!$C$42:$C$58,0))),""),IFERROR(IF(INDEX('Undirviðmiðalisti (Lýsigögn)'!M$6:M$41,MATCH($C125,'Undirviðmiðalisti (Lýsigögn)'!$C$6:$C$41,0))="","",INDEX('Undirviðmiðalisti (Lýsigögn)'!M$6:M$41,MATCH($C125,'Undirviðmiðalisti (Lýsigögn)'!$C$6:$C$41,0))),IFERROR(IF(INDEX('Undirviðmiðalisti (Lýsigögn)'!M$42:M$58,MATCH($C125,'Undirviðmiðalisti (Lýsigögn)'!$C$42:$C$58,0))="","",INDEX('Undirviðmiðalisti (Lýsigögn)'!M$42:M$58,MATCH($C125,'Undirviðmiðalisti (Lýsigögn)'!$C$42:$C$58,0))),""))))</f>
        <v/>
      </c>
    </row>
    <row r="126" customFormat="false" ht="15" hidden="false" customHeight="true" outlineLevel="0" collapsed="false">
      <c r="A126" s="22" t="str">
        <f aca="false">IF($B126="","",ROW()-5)</f>
        <v/>
      </c>
      <c r="B126" s="15"/>
      <c r="C126" s="15"/>
      <c r="D126" s="16" t="str">
        <f aca="false">IF($C126="","",IF($G126="Einstaklingsbundið",IFERROR(IF(INDEX('Undirviðmiðalisti (Lýsigögn)'!$D$42:$D$58,MATCH($C126,'Undirviðmiðalisti (Lýsigögn)'!$C$42:$C$58,0))="","",INDEX('Undirviðmiðalisti (Lýsigögn)'!$D$42:$D$58,MATCH($C126,'Undirviðmiðalisti (Lýsigögn)'!$C$42:$C$58,0))),""),IFERROR(IF(INDEX('Undirviðmiðalisti (Lýsigögn)'!$D$6:$D$41,MATCH($C126,'Undirviðmiðalisti (Lýsigögn)'!$C$6:$C$41,0))="","",INDEX('Undirviðmiðalisti (Lýsigögn)'!$D$6:$D$41,MATCH($C126,'Undirviðmiðalisti (Lýsigögn)'!$C$6:$C$41,0))),IFERROR(IF(INDEX('Undirviðmiðalisti (Lýsigögn)'!$D$42:$D$58,MATCH($C126,'Undirviðmiðalisti (Lýsigögn)'!$C$42:$C$58,0))="","",INDEX('Undirviðmiðalisti (Lýsigögn)'!$D$42:$D$58,MATCH($C126,'Undirviðmiðalisti (Lýsigögn)'!$C$42:$C$58,0))),""))))</f>
        <v/>
      </c>
      <c r="E126" s="14"/>
      <c r="F126" s="23" t="str">
        <f aca="false">IF($C126="","",IF($G126="Einstaklingsbundið",IFERROR(IF(INDEX('Undirviðmiðalisti (Lýsigögn)'!$E$42:$E$58,MATCH($C126,'Undirviðmiðalisti (Lýsigögn)'!$C$42:$C$58,0))="","",INDEX('Undirviðmiðalisti (Lýsigögn)'!$E$42:$E$58,MATCH($C126,'Undirviðmiðalisti (Lýsigögn)'!$C$42:$C$58,0))),""),IFERROR(IF(INDEX('Undirviðmiðalisti (Lýsigögn)'!$E$6:$E$41,MATCH($C126,'Undirviðmiðalisti (Lýsigögn)'!$C$6:$C$41,0))="","",INDEX('Undirviðmiðalisti (Lýsigögn)'!$E$6:$E$41,MATCH($C126,'Undirviðmiðalisti (Lýsigögn)'!$C$6:$C$41,0))),IFERROR(IF(INDEX('Undirviðmiðalisti (Lýsigögn)'!$E$42:$E$58,MATCH($C126,'Undirviðmiðalisti (Lýsigögn)'!$C$42:$C$58,0))="","",INDEX('Undirviðmiðalisti (Lýsigögn)'!$E$42:$E$58,MATCH($C126,'Undirviðmiðalisti (Lýsigögn)'!$C$42:$C$58,0))),""))))</f>
        <v/>
      </c>
      <c r="G126" s="24" t="str">
        <f aca="false">IFERROR(IF(B126="","",INDEX(Viðmið!$B$6:$B$10,MATCH(B126,Viðmið!$C$6:$C$10,0))),"")</f>
        <v/>
      </c>
      <c r="H126" s="25" t="str">
        <f aca="false">IF(OR(E126="",F126=""),"",E126*KVARDI)</f>
        <v/>
      </c>
      <c r="I126" s="26" t="str">
        <f aca="false">IF(B126="","",IF(ROUND(SUMIF($B$6:$B$205,B126,$E$6:$E$205),4)=ROUND(IFERROR(INDEX(Viðmið!$E$6:$E$10,MATCH(B126,Viðmið!$C$6:$C$10,0)),-1),4),"✓","✗"))</f>
        <v/>
      </c>
      <c r="J126" s="16" t="str">
        <f aca="false">IF($C126="","",IF($G126="Einstaklingsbundið",IFERROR(IF(INDEX('Undirviðmiðalisti (Lýsigögn)'!F$42:F$58,MATCH($C126,'Undirviðmiðalisti (Lýsigögn)'!$C$42:$C$58,0))="","",INDEX('Undirviðmiðalisti (Lýsigögn)'!F$42:F$58,MATCH($C126,'Undirviðmiðalisti (Lýsigögn)'!$C$42:$C$58,0))),""),IFERROR(IF(INDEX('Undirviðmiðalisti (Lýsigögn)'!F$6:F$41,MATCH($C126,'Undirviðmiðalisti (Lýsigögn)'!$C$6:$C$41,0))="","",INDEX('Undirviðmiðalisti (Lýsigögn)'!F$6:F$41,MATCH($C126,'Undirviðmiðalisti (Lýsigögn)'!$C$6:$C$41,0))),IFERROR(IF(INDEX('Undirviðmiðalisti (Lýsigögn)'!F$42:F$58,MATCH($C126,'Undirviðmiðalisti (Lýsigögn)'!$C$42:$C$58,0))="","",INDEX('Undirviðmiðalisti (Lýsigögn)'!F$42:F$58,MATCH($C126,'Undirviðmiðalisti (Lýsigögn)'!$C$42:$C$58,0))),""))))</f>
        <v/>
      </c>
      <c r="K126" s="16" t="str">
        <f aca="false">IF($C126="","",IF($G126="Einstaklingsbundið",IFERROR(IF(INDEX('Undirviðmiðalisti (Lýsigögn)'!G$42:G$58,MATCH($C126,'Undirviðmiðalisti (Lýsigögn)'!$C$42:$C$58,0))="","",INDEX('Undirviðmiðalisti (Lýsigögn)'!G$42:G$58,MATCH($C126,'Undirviðmiðalisti (Lýsigögn)'!$C$42:$C$58,0))),""),IFERROR(IF(INDEX('Undirviðmiðalisti (Lýsigögn)'!G$6:G$41,MATCH($C126,'Undirviðmiðalisti (Lýsigögn)'!$C$6:$C$41,0))="","",INDEX('Undirviðmiðalisti (Lýsigögn)'!G$6:G$41,MATCH($C126,'Undirviðmiðalisti (Lýsigögn)'!$C$6:$C$41,0))),IFERROR(IF(INDEX('Undirviðmiðalisti (Lýsigögn)'!G$42:G$58,MATCH($C126,'Undirviðmiðalisti (Lýsigögn)'!$C$42:$C$58,0))="","",INDEX('Undirviðmiðalisti (Lýsigögn)'!G$42:G$58,MATCH($C126,'Undirviðmiðalisti (Lýsigögn)'!$C$42:$C$58,0))),""))))</f>
        <v/>
      </c>
      <c r="L126" s="16" t="str">
        <f aca="false">IF($C126="","",IF($G126="Einstaklingsbundið",IFERROR(IF(INDEX('Undirviðmiðalisti (Lýsigögn)'!H$42:H$58,MATCH($C126,'Undirviðmiðalisti (Lýsigögn)'!$C$42:$C$58,0))="","",INDEX('Undirviðmiðalisti (Lýsigögn)'!H$42:H$58,MATCH($C126,'Undirviðmiðalisti (Lýsigögn)'!$C$42:$C$58,0))),""),IFERROR(IF(INDEX('Undirviðmiðalisti (Lýsigögn)'!H$6:H$41,MATCH($C126,'Undirviðmiðalisti (Lýsigögn)'!$C$6:$C$41,0))="","",INDEX('Undirviðmiðalisti (Lýsigögn)'!H$6:H$41,MATCH($C126,'Undirviðmiðalisti (Lýsigögn)'!$C$6:$C$41,0))),IFERROR(IF(INDEX('Undirviðmiðalisti (Lýsigögn)'!H$42:H$58,MATCH($C126,'Undirviðmiðalisti (Lýsigögn)'!$C$42:$C$58,0))="","",INDEX('Undirviðmiðalisti (Lýsigögn)'!H$42:H$58,MATCH($C126,'Undirviðmiðalisti (Lýsigögn)'!$C$42:$C$58,0))),""))))</f>
        <v/>
      </c>
      <c r="M126" s="16" t="str">
        <f aca="false">IF($C126="","",IF($G126="Einstaklingsbundið",IFERROR(IF(INDEX('Undirviðmiðalisti (Lýsigögn)'!I$42:I$58,MATCH($C126,'Undirviðmiðalisti (Lýsigögn)'!$C$42:$C$58,0))="","",INDEX('Undirviðmiðalisti (Lýsigögn)'!I$42:I$58,MATCH($C126,'Undirviðmiðalisti (Lýsigögn)'!$C$42:$C$58,0))),""),IFERROR(IF(INDEX('Undirviðmiðalisti (Lýsigögn)'!I$6:I$41,MATCH($C126,'Undirviðmiðalisti (Lýsigögn)'!$C$6:$C$41,0))="","",INDEX('Undirviðmiðalisti (Lýsigögn)'!I$6:I$41,MATCH($C126,'Undirviðmiðalisti (Lýsigögn)'!$C$6:$C$41,0))),IFERROR(IF(INDEX('Undirviðmiðalisti (Lýsigögn)'!I$42:I$58,MATCH($C126,'Undirviðmiðalisti (Lýsigögn)'!$C$42:$C$58,0))="","",INDEX('Undirviðmiðalisti (Lýsigögn)'!I$42:I$58,MATCH($C126,'Undirviðmiðalisti (Lýsigögn)'!$C$42:$C$58,0))),""))))</f>
        <v/>
      </c>
      <c r="N126" s="16" t="str">
        <f aca="false">IF($C126="","",IF($G126="Einstaklingsbundið",IFERROR(IF(INDEX('Undirviðmiðalisti (Lýsigögn)'!J$42:J$58,MATCH($C126,'Undirviðmiðalisti (Lýsigögn)'!$C$42:$C$58,0))="","",INDEX('Undirviðmiðalisti (Lýsigögn)'!J$42:J$58,MATCH($C126,'Undirviðmiðalisti (Lýsigögn)'!$C$42:$C$58,0))),""),IFERROR(IF(INDEX('Undirviðmiðalisti (Lýsigögn)'!J$6:J$41,MATCH($C126,'Undirviðmiðalisti (Lýsigögn)'!$C$6:$C$41,0))="","",INDEX('Undirviðmiðalisti (Lýsigögn)'!J$6:J$41,MATCH($C126,'Undirviðmiðalisti (Lýsigögn)'!$C$6:$C$41,0))),IFERROR(IF(INDEX('Undirviðmiðalisti (Lýsigögn)'!J$42:J$58,MATCH($C126,'Undirviðmiðalisti (Lýsigögn)'!$C$42:$C$58,0))="","",INDEX('Undirviðmiðalisti (Lýsigögn)'!J$42:J$58,MATCH($C126,'Undirviðmiðalisti (Lýsigögn)'!$C$42:$C$58,0))),""))))</f>
        <v/>
      </c>
      <c r="O126" s="16" t="str">
        <f aca="false">IF($C126="","",IF($G126="Einstaklingsbundið",IFERROR(IF(INDEX('Undirviðmiðalisti (Lýsigögn)'!K$42:K$58,MATCH($C126,'Undirviðmiðalisti (Lýsigögn)'!$C$42:$C$58,0))="","",INDEX('Undirviðmiðalisti (Lýsigögn)'!K$42:K$58,MATCH($C126,'Undirviðmiðalisti (Lýsigögn)'!$C$42:$C$58,0))),""),IFERROR(IF(INDEX('Undirviðmiðalisti (Lýsigögn)'!K$6:K$41,MATCH($C126,'Undirviðmiðalisti (Lýsigögn)'!$C$6:$C$41,0))="","",INDEX('Undirviðmiðalisti (Lýsigögn)'!K$6:K$41,MATCH($C126,'Undirviðmiðalisti (Lýsigögn)'!$C$6:$C$41,0))),IFERROR(IF(INDEX('Undirviðmiðalisti (Lýsigögn)'!K$42:K$58,MATCH($C126,'Undirviðmiðalisti (Lýsigögn)'!$C$42:$C$58,0))="","",INDEX('Undirviðmiðalisti (Lýsigögn)'!K$42:K$58,MATCH($C126,'Undirviðmiðalisti (Lýsigögn)'!$C$42:$C$58,0))),""))))</f>
        <v/>
      </c>
      <c r="P126" s="16" t="str">
        <f aca="false">IF($C126="","",IF($G126="Einstaklingsbundið",IFERROR(IF(INDEX('Undirviðmiðalisti (Lýsigögn)'!L$42:L$58,MATCH($C126,'Undirviðmiðalisti (Lýsigögn)'!$C$42:$C$58,0))="","",INDEX('Undirviðmiðalisti (Lýsigögn)'!L$42:L$58,MATCH($C126,'Undirviðmiðalisti (Lýsigögn)'!$C$42:$C$58,0))),""),IFERROR(IF(INDEX('Undirviðmiðalisti (Lýsigögn)'!L$6:L$41,MATCH($C126,'Undirviðmiðalisti (Lýsigögn)'!$C$6:$C$41,0))="","",INDEX('Undirviðmiðalisti (Lýsigögn)'!L$6:L$41,MATCH($C126,'Undirviðmiðalisti (Lýsigögn)'!$C$6:$C$41,0))),IFERROR(IF(INDEX('Undirviðmiðalisti (Lýsigögn)'!L$42:L$58,MATCH($C126,'Undirviðmiðalisti (Lýsigögn)'!$C$42:$C$58,0))="","",INDEX('Undirviðmiðalisti (Lýsigögn)'!L$42:L$58,MATCH($C126,'Undirviðmiðalisti (Lýsigögn)'!$C$42:$C$58,0))),""))))</f>
        <v/>
      </c>
      <c r="Q126" s="16" t="str">
        <f aca="false">IF($C126="","",IF($G126="Einstaklingsbundið",IFERROR(IF(INDEX('Undirviðmiðalisti (Lýsigögn)'!M$42:M$58,MATCH($C126,'Undirviðmiðalisti (Lýsigögn)'!$C$42:$C$58,0))="","",INDEX('Undirviðmiðalisti (Lýsigögn)'!M$42:M$58,MATCH($C126,'Undirviðmiðalisti (Lýsigögn)'!$C$42:$C$58,0))),""),IFERROR(IF(INDEX('Undirviðmiðalisti (Lýsigögn)'!M$6:M$41,MATCH($C126,'Undirviðmiðalisti (Lýsigögn)'!$C$6:$C$41,0))="","",INDEX('Undirviðmiðalisti (Lýsigögn)'!M$6:M$41,MATCH($C126,'Undirviðmiðalisti (Lýsigögn)'!$C$6:$C$41,0))),IFERROR(IF(INDEX('Undirviðmiðalisti (Lýsigögn)'!M$42:M$58,MATCH($C126,'Undirviðmiðalisti (Lýsigögn)'!$C$42:$C$58,0))="","",INDEX('Undirviðmiðalisti (Lýsigögn)'!M$42:M$58,MATCH($C126,'Undirviðmiðalisti (Lýsigögn)'!$C$42:$C$58,0))),""))))</f>
        <v/>
      </c>
    </row>
    <row r="127" customFormat="false" ht="15" hidden="false" customHeight="true" outlineLevel="0" collapsed="false">
      <c r="A127" s="22" t="str">
        <f aca="false">IF($B127="","",ROW()-5)</f>
        <v/>
      </c>
      <c r="B127" s="15"/>
      <c r="C127" s="15"/>
      <c r="D127" s="16" t="str">
        <f aca="false">IF($C127="","",IF($G127="Einstaklingsbundið",IFERROR(IF(INDEX('Undirviðmiðalisti (Lýsigögn)'!$D$42:$D$58,MATCH($C127,'Undirviðmiðalisti (Lýsigögn)'!$C$42:$C$58,0))="","",INDEX('Undirviðmiðalisti (Lýsigögn)'!$D$42:$D$58,MATCH($C127,'Undirviðmiðalisti (Lýsigögn)'!$C$42:$C$58,0))),""),IFERROR(IF(INDEX('Undirviðmiðalisti (Lýsigögn)'!$D$6:$D$41,MATCH($C127,'Undirviðmiðalisti (Lýsigögn)'!$C$6:$C$41,0))="","",INDEX('Undirviðmiðalisti (Lýsigögn)'!$D$6:$D$41,MATCH($C127,'Undirviðmiðalisti (Lýsigögn)'!$C$6:$C$41,0))),IFERROR(IF(INDEX('Undirviðmiðalisti (Lýsigögn)'!$D$42:$D$58,MATCH($C127,'Undirviðmiðalisti (Lýsigögn)'!$C$42:$C$58,0))="","",INDEX('Undirviðmiðalisti (Lýsigögn)'!$D$42:$D$58,MATCH($C127,'Undirviðmiðalisti (Lýsigögn)'!$C$42:$C$58,0))),""))))</f>
        <v/>
      </c>
      <c r="E127" s="14"/>
      <c r="F127" s="23" t="str">
        <f aca="false">IF($C127="","",IF($G127="Einstaklingsbundið",IFERROR(IF(INDEX('Undirviðmiðalisti (Lýsigögn)'!$E$42:$E$58,MATCH($C127,'Undirviðmiðalisti (Lýsigögn)'!$C$42:$C$58,0))="","",INDEX('Undirviðmiðalisti (Lýsigögn)'!$E$42:$E$58,MATCH($C127,'Undirviðmiðalisti (Lýsigögn)'!$C$42:$C$58,0))),""),IFERROR(IF(INDEX('Undirviðmiðalisti (Lýsigögn)'!$E$6:$E$41,MATCH($C127,'Undirviðmiðalisti (Lýsigögn)'!$C$6:$C$41,0))="","",INDEX('Undirviðmiðalisti (Lýsigögn)'!$E$6:$E$41,MATCH($C127,'Undirviðmiðalisti (Lýsigögn)'!$C$6:$C$41,0))),IFERROR(IF(INDEX('Undirviðmiðalisti (Lýsigögn)'!$E$42:$E$58,MATCH($C127,'Undirviðmiðalisti (Lýsigögn)'!$C$42:$C$58,0))="","",INDEX('Undirviðmiðalisti (Lýsigögn)'!$E$42:$E$58,MATCH($C127,'Undirviðmiðalisti (Lýsigögn)'!$C$42:$C$58,0))),""))))</f>
        <v/>
      </c>
      <c r="G127" s="24" t="str">
        <f aca="false">IFERROR(IF(B127="","",INDEX(Viðmið!$B$6:$B$10,MATCH(B127,Viðmið!$C$6:$C$10,0))),"")</f>
        <v/>
      </c>
      <c r="H127" s="25" t="str">
        <f aca="false">IF(OR(E127="",F127=""),"",E127*KVARDI)</f>
        <v/>
      </c>
      <c r="I127" s="26" t="str">
        <f aca="false">IF(B127="","",IF(ROUND(SUMIF($B$6:$B$205,B127,$E$6:$E$205),4)=ROUND(IFERROR(INDEX(Viðmið!$E$6:$E$10,MATCH(B127,Viðmið!$C$6:$C$10,0)),-1),4),"✓","✗"))</f>
        <v/>
      </c>
      <c r="J127" s="16" t="str">
        <f aca="false">IF($C127="","",IF($G127="Einstaklingsbundið",IFERROR(IF(INDEX('Undirviðmiðalisti (Lýsigögn)'!F$42:F$58,MATCH($C127,'Undirviðmiðalisti (Lýsigögn)'!$C$42:$C$58,0))="","",INDEX('Undirviðmiðalisti (Lýsigögn)'!F$42:F$58,MATCH($C127,'Undirviðmiðalisti (Lýsigögn)'!$C$42:$C$58,0))),""),IFERROR(IF(INDEX('Undirviðmiðalisti (Lýsigögn)'!F$6:F$41,MATCH($C127,'Undirviðmiðalisti (Lýsigögn)'!$C$6:$C$41,0))="","",INDEX('Undirviðmiðalisti (Lýsigögn)'!F$6:F$41,MATCH($C127,'Undirviðmiðalisti (Lýsigögn)'!$C$6:$C$41,0))),IFERROR(IF(INDEX('Undirviðmiðalisti (Lýsigögn)'!F$42:F$58,MATCH($C127,'Undirviðmiðalisti (Lýsigögn)'!$C$42:$C$58,0))="","",INDEX('Undirviðmiðalisti (Lýsigögn)'!F$42:F$58,MATCH($C127,'Undirviðmiðalisti (Lýsigögn)'!$C$42:$C$58,0))),""))))</f>
        <v/>
      </c>
      <c r="K127" s="16" t="str">
        <f aca="false">IF($C127="","",IF($G127="Einstaklingsbundið",IFERROR(IF(INDEX('Undirviðmiðalisti (Lýsigögn)'!G$42:G$58,MATCH($C127,'Undirviðmiðalisti (Lýsigögn)'!$C$42:$C$58,0))="","",INDEX('Undirviðmiðalisti (Lýsigögn)'!G$42:G$58,MATCH($C127,'Undirviðmiðalisti (Lýsigögn)'!$C$42:$C$58,0))),""),IFERROR(IF(INDEX('Undirviðmiðalisti (Lýsigögn)'!G$6:G$41,MATCH($C127,'Undirviðmiðalisti (Lýsigögn)'!$C$6:$C$41,0))="","",INDEX('Undirviðmiðalisti (Lýsigögn)'!G$6:G$41,MATCH($C127,'Undirviðmiðalisti (Lýsigögn)'!$C$6:$C$41,0))),IFERROR(IF(INDEX('Undirviðmiðalisti (Lýsigögn)'!G$42:G$58,MATCH($C127,'Undirviðmiðalisti (Lýsigögn)'!$C$42:$C$58,0))="","",INDEX('Undirviðmiðalisti (Lýsigögn)'!G$42:G$58,MATCH($C127,'Undirviðmiðalisti (Lýsigögn)'!$C$42:$C$58,0))),""))))</f>
        <v/>
      </c>
      <c r="L127" s="16" t="str">
        <f aca="false">IF($C127="","",IF($G127="Einstaklingsbundið",IFERROR(IF(INDEX('Undirviðmiðalisti (Lýsigögn)'!H$42:H$58,MATCH($C127,'Undirviðmiðalisti (Lýsigögn)'!$C$42:$C$58,0))="","",INDEX('Undirviðmiðalisti (Lýsigögn)'!H$42:H$58,MATCH($C127,'Undirviðmiðalisti (Lýsigögn)'!$C$42:$C$58,0))),""),IFERROR(IF(INDEX('Undirviðmiðalisti (Lýsigögn)'!H$6:H$41,MATCH($C127,'Undirviðmiðalisti (Lýsigögn)'!$C$6:$C$41,0))="","",INDEX('Undirviðmiðalisti (Lýsigögn)'!H$6:H$41,MATCH($C127,'Undirviðmiðalisti (Lýsigögn)'!$C$6:$C$41,0))),IFERROR(IF(INDEX('Undirviðmiðalisti (Lýsigögn)'!H$42:H$58,MATCH($C127,'Undirviðmiðalisti (Lýsigögn)'!$C$42:$C$58,0))="","",INDEX('Undirviðmiðalisti (Lýsigögn)'!H$42:H$58,MATCH($C127,'Undirviðmiðalisti (Lýsigögn)'!$C$42:$C$58,0))),""))))</f>
        <v/>
      </c>
      <c r="M127" s="16" t="str">
        <f aca="false">IF($C127="","",IF($G127="Einstaklingsbundið",IFERROR(IF(INDEX('Undirviðmiðalisti (Lýsigögn)'!I$42:I$58,MATCH($C127,'Undirviðmiðalisti (Lýsigögn)'!$C$42:$C$58,0))="","",INDEX('Undirviðmiðalisti (Lýsigögn)'!I$42:I$58,MATCH($C127,'Undirviðmiðalisti (Lýsigögn)'!$C$42:$C$58,0))),""),IFERROR(IF(INDEX('Undirviðmiðalisti (Lýsigögn)'!I$6:I$41,MATCH($C127,'Undirviðmiðalisti (Lýsigögn)'!$C$6:$C$41,0))="","",INDEX('Undirviðmiðalisti (Lýsigögn)'!I$6:I$41,MATCH($C127,'Undirviðmiðalisti (Lýsigögn)'!$C$6:$C$41,0))),IFERROR(IF(INDEX('Undirviðmiðalisti (Lýsigögn)'!I$42:I$58,MATCH($C127,'Undirviðmiðalisti (Lýsigögn)'!$C$42:$C$58,0))="","",INDEX('Undirviðmiðalisti (Lýsigögn)'!I$42:I$58,MATCH($C127,'Undirviðmiðalisti (Lýsigögn)'!$C$42:$C$58,0))),""))))</f>
        <v/>
      </c>
      <c r="N127" s="16" t="str">
        <f aca="false">IF($C127="","",IF($G127="Einstaklingsbundið",IFERROR(IF(INDEX('Undirviðmiðalisti (Lýsigögn)'!J$42:J$58,MATCH($C127,'Undirviðmiðalisti (Lýsigögn)'!$C$42:$C$58,0))="","",INDEX('Undirviðmiðalisti (Lýsigögn)'!J$42:J$58,MATCH($C127,'Undirviðmiðalisti (Lýsigögn)'!$C$42:$C$58,0))),""),IFERROR(IF(INDEX('Undirviðmiðalisti (Lýsigögn)'!J$6:J$41,MATCH($C127,'Undirviðmiðalisti (Lýsigögn)'!$C$6:$C$41,0))="","",INDEX('Undirviðmiðalisti (Lýsigögn)'!J$6:J$41,MATCH($C127,'Undirviðmiðalisti (Lýsigögn)'!$C$6:$C$41,0))),IFERROR(IF(INDEX('Undirviðmiðalisti (Lýsigögn)'!J$42:J$58,MATCH($C127,'Undirviðmiðalisti (Lýsigögn)'!$C$42:$C$58,0))="","",INDEX('Undirviðmiðalisti (Lýsigögn)'!J$42:J$58,MATCH($C127,'Undirviðmiðalisti (Lýsigögn)'!$C$42:$C$58,0))),""))))</f>
        <v/>
      </c>
      <c r="O127" s="16" t="str">
        <f aca="false">IF($C127="","",IF($G127="Einstaklingsbundið",IFERROR(IF(INDEX('Undirviðmiðalisti (Lýsigögn)'!K$42:K$58,MATCH($C127,'Undirviðmiðalisti (Lýsigögn)'!$C$42:$C$58,0))="","",INDEX('Undirviðmiðalisti (Lýsigögn)'!K$42:K$58,MATCH($C127,'Undirviðmiðalisti (Lýsigögn)'!$C$42:$C$58,0))),""),IFERROR(IF(INDEX('Undirviðmiðalisti (Lýsigögn)'!K$6:K$41,MATCH($C127,'Undirviðmiðalisti (Lýsigögn)'!$C$6:$C$41,0))="","",INDEX('Undirviðmiðalisti (Lýsigögn)'!K$6:K$41,MATCH($C127,'Undirviðmiðalisti (Lýsigögn)'!$C$6:$C$41,0))),IFERROR(IF(INDEX('Undirviðmiðalisti (Lýsigögn)'!K$42:K$58,MATCH($C127,'Undirviðmiðalisti (Lýsigögn)'!$C$42:$C$58,0))="","",INDEX('Undirviðmiðalisti (Lýsigögn)'!K$42:K$58,MATCH($C127,'Undirviðmiðalisti (Lýsigögn)'!$C$42:$C$58,0))),""))))</f>
        <v/>
      </c>
      <c r="P127" s="16" t="str">
        <f aca="false">IF($C127="","",IF($G127="Einstaklingsbundið",IFERROR(IF(INDEX('Undirviðmiðalisti (Lýsigögn)'!L$42:L$58,MATCH($C127,'Undirviðmiðalisti (Lýsigögn)'!$C$42:$C$58,0))="","",INDEX('Undirviðmiðalisti (Lýsigögn)'!L$42:L$58,MATCH($C127,'Undirviðmiðalisti (Lýsigögn)'!$C$42:$C$58,0))),""),IFERROR(IF(INDEX('Undirviðmiðalisti (Lýsigögn)'!L$6:L$41,MATCH($C127,'Undirviðmiðalisti (Lýsigögn)'!$C$6:$C$41,0))="","",INDEX('Undirviðmiðalisti (Lýsigögn)'!L$6:L$41,MATCH($C127,'Undirviðmiðalisti (Lýsigögn)'!$C$6:$C$41,0))),IFERROR(IF(INDEX('Undirviðmiðalisti (Lýsigögn)'!L$42:L$58,MATCH($C127,'Undirviðmiðalisti (Lýsigögn)'!$C$42:$C$58,0))="","",INDEX('Undirviðmiðalisti (Lýsigögn)'!L$42:L$58,MATCH($C127,'Undirviðmiðalisti (Lýsigögn)'!$C$42:$C$58,0))),""))))</f>
        <v/>
      </c>
      <c r="Q127" s="16" t="str">
        <f aca="false">IF($C127="","",IF($G127="Einstaklingsbundið",IFERROR(IF(INDEX('Undirviðmiðalisti (Lýsigögn)'!M$42:M$58,MATCH($C127,'Undirviðmiðalisti (Lýsigögn)'!$C$42:$C$58,0))="","",INDEX('Undirviðmiðalisti (Lýsigögn)'!M$42:M$58,MATCH($C127,'Undirviðmiðalisti (Lýsigögn)'!$C$42:$C$58,0))),""),IFERROR(IF(INDEX('Undirviðmiðalisti (Lýsigögn)'!M$6:M$41,MATCH($C127,'Undirviðmiðalisti (Lýsigögn)'!$C$6:$C$41,0))="","",INDEX('Undirviðmiðalisti (Lýsigögn)'!M$6:M$41,MATCH($C127,'Undirviðmiðalisti (Lýsigögn)'!$C$6:$C$41,0))),IFERROR(IF(INDEX('Undirviðmiðalisti (Lýsigögn)'!M$42:M$58,MATCH($C127,'Undirviðmiðalisti (Lýsigögn)'!$C$42:$C$58,0))="","",INDEX('Undirviðmiðalisti (Lýsigögn)'!M$42:M$58,MATCH($C127,'Undirviðmiðalisti (Lýsigögn)'!$C$42:$C$58,0))),""))))</f>
        <v/>
      </c>
    </row>
    <row r="128" customFormat="false" ht="15" hidden="false" customHeight="true" outlineLevel="0" collapsed="false">
      <c r="A128" s="22" t="str">
        <f aca="false">IF($B128="","",ROW()-5)</f>
        <v/>
      </c>
      <c r="B128" s="15"/>
      <c r="C128" s="15"/>
      <c r="D128" s="16" t="str">
        <f aca="false">IF($C128="","",IF($G128="Einstaklingsbundið",IFERROR(IF(INDEX('Undirviðmiðalisti (Lýsigögn)'!$D$42:$D$58,MATCH($C128,'Undirviðmiðalisti (Lýsigögn)'!$C$42:$C$58,0))="","",INDEX('Undirviðmiðalisti (Lýsigögn)'!$D$42:$D$58,MATCH($C128,'Undirviðmiðalisti (Lýsigögn)'!$C$42:$C$58,0))),""),IFERROR(IF(INDEX('Undirviðmiðalisti (Lýsigögn)'!$D$6:$D$41,MATCH($C128,'Undirviðmiðalisti (Lýsigögn)'!$C$6:$C$41,0))="","",INDEX('Undirviðmiðalisti (Lýsigögn)'!$D$6:$D$41,MATCH($C128,'Undirviðmiðalisti (Lýsigögn)'!$C$6:$C$41,0))),IFERROR(IF(INDEX('Undirviðmiðalisti (Lýsigögn)'!$D$42:$D$58,MATCH($C128,'Undirviðmiðalisti (Lýsigögn)'!$C$42:$C$58,0))="","",INDEX('Undirviðmiðalisti (Lýsigögn)'!$D$42:$D$58,MATCH($C128,'Undirviðmiðalisti (Lýsigögn)'!$C$42:$C$58,0))),""))))</f>
        <v/>
      </c>
      <c r="E128" s="14"/>
      <c r="F128" s="23" t="str">
        <f aca="false">IF($C128="","",IF($G128="Einstaklingsbundið",IFERROR(IF(INDEX('Undirviðmiðalisti (Lýsigögn)'!$E$42:$E$58,MATCH($C128,'Undirviðmiðalisti (Lýsigögn)'!$C$42:$C$58,0))="","",INDEX('Undirviðmiðalisti (Lýsigögn)'!$E$42:$E$58,MATCH($C128,'Undirviðmiðalisti (Lýsigögn)'!$C$42:$C$58,0))),""),IFERROR(IF(INDEX('Undirviðmiðalisti (Lýsigögn)'!$E$6:$E$41,MATCH($C128,'Undirviðmiðalisti (Lýsigögn)'!$C$6:$C$41,0))="","",INDEX('Undirviðmiðalisti (Lýsigögn)'!$E$6:$E$41,MATCH($C128,'Undirviðmiðalisti (Lýsigögn)'!$C$6:$C$41,0))),IFERROR(IF(INDEX('Undirviðmiðalisti (Lýsigögn)'!$E$42:$E$58,MATCH($C128,'Undirviðmiðalisti (Lýsigögn)'!$C$42:$C$58,0))="","",INDEX('Undirviðmiðalisti (Lýsigögn)'!$E$42:$E$58,MATCH($C128,'Undirviðmiðalisti (Lýsigögn)'!$C$42:$C$58,0))),""))))</f>
        <v/>
      </c>
      <c r="G128" s="24" t="str">
        <f aca="false">IFERROR(IF(B128="","",INDEX(Viðmið!$B$6:$B$10,MATCH(B128,Viðmið!$C$6:$C$10,0))),"")</f>
        <v/>
      </c>
      <c r="H128" s="25" t="str">
        <f aca="false">IF(OR(E128="",F128=""),"",E128*KVARDI)</f>
        <v/>
      </c>
      <c r="I128" s="26" t="str">
        <f aca="false">IF(B128="","",IF(ROUND(SUMIF($B$6:$B$205,B128,$E$6:$E$205),4)=ROUND(IFERROR(INDEX(Viðmið!$E$6:$E$10,MATCH(B128,Viðmið!$C$6:$C$10,0)),-1),4),"✓","✗"))</f>
        <v/>
      </c>
      <c r="J128" s="16" t="str">
        <f aca="false">IF($C128="","",IF($G128="Einstaklingsbundið",IFERROR(IF(INDEX('Undirviðmiðalisti (Lýsigögn)'!F$42:F$58,MATCH($C128,'Undirviðmiðalisti (Lýsigögn)'!$C$42:$C$58,0))="","",INDEX('Undirviðmiðalisti (Lýsigögn)'!F$42:F$58,MATCH($C128,'Undirviðmiðalisti (Lýsigögn)'!$C$42:$C$58,0))),""),IFERROR(IF(INDEX('Undirviðmiðalisti (Lýsigögn)'!F$6:F$41,MATCH($C128,'Undirviðmiðalisti (Lýsigögn)'!$C$6:$C$41,0))="","",INDEX('Undirviðmiðalisti (Lýsigögn)'!F$6:F$41,MATCH($C128,'Undirviðmiðalisti (Lýsigögn)'!$C$6:$C$41,0))),IFERROR(IF(INDEX('Undirviðmiðalisti (Lýsigögn)'!F$42:F$58,MATCH($C128,'Undirviðmiðalisti (Lýsigögn)'!$C$42:$C$58,0))="","",INDEX('Undirviðmiðalisti (Lýsigögn)'!F$42:F$58,MATCH($C128,'Undirviðmiðalisti (Lýsigögn)'!$C$42:$C$58,0))),""))))</f>
        <v/>
      </c>
      <c r="K128" s="16" t="str">
        <f aca="false">IF($C128="","",IF($G128="Einstaklingsbundið",IFERROR(IF(INDEX('Undirviðmiðalisti (Lýsigögn)'!G$42:G$58,MATCH($C128,'Undirviðmiðalisti (Lýsigögn)'!$C$42:$C$58,0))="","",INDEX('Undirviðmiðalisti (Lýsigögn)'!G$42:G$58,MATCH($C128,'Undirviðmiðalisti (Lýsigögn)'!$C$42:$C$58,0))),""),IFERROR(IF(INDEX('Undirviðmiðalisti (Lýsigögn)'!G$6:G$41,MATCH($C128,'Undirviðmiðalisti (Lýsigögn)'!$C$6:$C$41,0))="","",INDEX('Undirviðmiðalisti (Lýsigögn)'!G$6:G$41,MATCH($C128,'Undirviðmiðalisti (Lýsigögn)'!$C$6:$C$41,0))),IFERROR(IF(INDEX('Undirviðmiðalisti (Lýsigögn)'!G$42:G$58,MATCH($C128,'Undirviðmiðalisti (Lýsigögn)'!$C$42:$C$58,0))="","",INDEX('Undirviðmiðalisti (Lýsigögn)'!G$42:G$58,MATCH($C128,'Undirviðmiðalisti (Lýsigögn)'!$C$42:$C$58,0))),""))))</f>
        <v/>
      </c>
      <c r="L128" s="16" t="str">
        <f aca="false">IF($C128="","",IF($G128="Einstaklingsbundið",IFERROR(IF(INDEX('Undirviðmiðalisti (Lýsigögn)'!H$42:H$58,MATCH($C128,'Undirviðmiðalisti (Lýsigögn)'!$C$42:$C$58,0))="","",INDEX('Undirviðmiðalisti (Lýsigögn)'!H$42:H$58,MATCH($C128,'Undirviðmiðalisti (Lýsigögn)'!$C$42:$C$58,0))),""),IFERROR(IF(INDEX('Undirviðmiðalisti (Lýsigögn)'!H$6:H$41,MATCH($C128,'Undirviðmiðalisti (Lýsigögn)'!$C$6:$C$41,0))="","",INDEX('Undirviðmiðalisti (Lýsigögn)'!H$6:H$41,MATCH($C128,'Undirviðmiðalisti (Lýsigögn)'!$C$6:$C$41,0))),IFERROR(IF(INDEX('Undirviðmiðalisti (Lýsigögn)'!H$42:H$58,MATCH($C128,'Undirviðmiðalisti (Lýsigögn)'!$C$42:$C$58,0))="","",INDEX('Undirviðmiðalisti (Lýsigögn)'!H$42:H$58,MATCH($C128,'Undirviðmiðalisti (Lýsigögn)'!$C$42:$C$58,0))),""))))</f>
        <v/>
      </c>
      <c r="M128" s="16" t="str">
        <f aca="false">IF($C128="","",IF($G128="Einstaklingsbundið",IFERROR(IF(INDEX('Undirviðmiðalisti (Lýsigögn)'!I$42:I$58,MATCH($C128,'Undirviðmiðalisti (Lýsigögn)'!$C$42:$C$58,0))="","",INDEX('Undirviðmiðalisti (Lýsigögn)'!I$42:I$58,MATCH($C128,'Undirviðmiðalisti (Lýsigögn)'!$C$42:$C$58,0))),""),IFERROR(IF(INDEX('Undirviðmiðalisti (Lýsigögn)'!I$6:I$41,MATCH($C128,'Undirviðmiðalisti (Lýsigögn)'!$C$6:$C$41,0))="","",INDEX('Undirviðmiðalisti (Lýsigögn)'!I$6:I$41,MATCH($C128,'Undirviðmiðalisti (Lýsigögn)'!$C$6:$C$41,0))),IFERROR(IF(INDEX('Undirviðmiðalisti (Lýsigögn)'!I$42:I$58,MATCH($C128,'Undirviðmiðalisti (Lýsigögn)'!$C$42:$C$58,0))="","",INDEX('Undirviðmiðalisti (Lýsigögn)'!I$42:I$58,MATCH($C128,'Undirviðmiðalisti (Lýsigögn)'!$C$42:$C$58,0))),""))))</f>
        <v/>
      </c>
      <c r="N128" s="16" t="str">
        <f aca="false">IF($C128="","",IF($G128="Einstaklingsbundið",IFERROR(IF(INDEX('Undirviðmiðalisti (Lýsigögn)'!J$42:J$58,MATCH($C128,'Undirviðmiðalisti (Lýsigögn)'!$C$42:$C$58,0))="","",INDEX('Undirviðmiðalisti (Lýsigögn)'!J$42:J$58,MATCH($C128,'Undirviðmiðalisti (Lýsigögn)'!$C$42:$C$58,0))),""),IFERROR(IF(INDEX('Undirviðmiðalisti (Lýsigögn)'!J$6:J$41,MATCH($C128,'Undirviðmiðalisti (Lýsigögn)'!$C$6:$C$41,0))="","",INDEX('Undirviðmiðalisti (Lýsigögn)'!J$6:J$41,MATCH($C128,'Undirviðmiðalisti (Lýsigögn)'!$C$6:$C$41,0))),IFERROR(IF(INDEX('Undirviðmiðalisti (Lýsigögn)'!J$42:J$58,MATCH($C128,'Undirviðmiðalisti (Lýsigögn)'!$C$42:$C$58,0))="","",INDEX('Undirviðmiðalisti (Lýsigögn)'!J$42:J$58,MATCH($C128,'Undirviðmiðalisti (Lýsigögn)'!$C$42:$C$58,0))),""))))</f>
        <v/>
      </c>
      <c r="O128" s="16" t="str">
        <f aca="false">IF($C128="","",IF($G128="Einstaklingsbundið",IFERROR(IF(INDEX('Undirviðmiðalisti (Lýsigögn)'!K$42:K$58,MATCH($C128,'Undirviðmiðalisti (Lýsigögn)'!$C$42:$C$58,0))="","",INDEX('Undirviðmiðalisti (Lýsigögn)'!K$42:K$58,MATCH($C128,'Undirviðmiðalisti (Lýsigögn)'!$C$42:$C$58,0))),""),IFERROR(IF(INDEX('Undirviðmiðalisti (Lýsigögn)'!K$6:K$41,MATCH($C128,'Undirviðmiðalisti (Lýsigögn)'!$C$6:$C$41,0))="","",INDEX('Undirviðmiðalisti (Lýsigögn)'!K$6:K$41,MATCH($C128,'Undirviðmiðalisti (Lýsigögn)'!$C$6:$C$41,0))),IFERROR(IF(INDEX('Undirviðmiðalisti (Lýsigögn)'!K$42:K$58,MATCH($C128,'Undirviðmiðalisti (Lýsigögn)'!$C$42:$C$58,0))="","",INDEX('Undirviðmiðalisti (Lýsigögn)'!K$42:K$58,MATCH($C128,'Undirviðmiðalisti (Lýsigögn)'!$C$42:$C$58,0))),""))))</f>
        <v/>
      </c>
      <c r="P128" s="16" t="str">
        <f aca="false">IF($C128="","",IF($G128="Einstaklingsbundið",IFERROR(IF(INDEX('Undirviðmiðalisti (Lýsigögn)'!L$42:L$58,MATCH($C128,'Undirviðmiðalisti (Lýsigögn)'!$C$42:$C$58,0))="","",INDEX('Undirviðmiðalisti (Lýsigögn)'!L$42:L$58,MATCH($C128,'Undirviðmiðalisti (Lýsigögn)'!$C$42:$C$58,0))),""),IFERROR(IF(INDEX('Undirviðmiðalisti (Lýsigögn)'!L$6:L$41,MATCH($C128,'Undirviðmiðalisti (Lýsigögn)'!$C$6:$C$41,0))="","",INDEX('Undirviðmiðalisti (Lýsigögn)'!L$6:L$41,MATCH($C128,'Undirviðmiðalisti (Lýsigögn)'!$C$6:$C$41,0))),IFERROR(IF(INDEX('Undirviðmiðalisti (Lýsigögn)'!L$42:L$58,MATCH($C128,'Undirviðmiðalisti (Lýsigögn)'!$C$42:$C$58,0))="","",INDEX('Undirviðmiðalisti (Lýsigögn)'!L$42:L$58,MATCH($C128,'Undirviðmiðalisti (Lýsigögn)'!$C$42:$C$58,0))),""))))</f>
        <v/>
      </c>
      <c r="Q128" s="16" t="str">
        <f aca="false">IF($C128="","",IF($G128="Einstaklingsbundið",IFERROR(IF(INDEX('Undirviðmiðalisti (Lýsigögn)'!M$42:M$58,MATCH($C128,'Undirviðmiðalisti (Lýsigögn)'!$C$42:$C$58,0))="","",INDEX('Undirviðmiðalisti (Lýsigögn)'!M$42:M$58,MATCH($C128,'Undirviðmiðalisti (Lýsigögn)'!$C$42:$C$58,0))),""),IFERROR(IF(INDEX('Undirviðmiðalisti (Lýsigögn)'!M$6:M$41,MATCH($C128,'Undirviðmiðalisti (Lýsigögn)'!$C$6:$C$41,0))="","",INDEX('Undirviðmiðalisti (Lýsigögn)'!M$6:M$41,MATCH($C128,'Undirviðmiðalisti (Lýsigögn)'!$C$6:$C$41,0))),IFERROR(IF(INDEX('Undirviðmiðalisti (Lýsigögn)'!M$42:M$58,MATCH($C128,'Undirviðmiðalisti (Lýsigögn)'!$C$42:$C$58,0))="","",INDEX('Undirviðmiðalisti (Lýsigögn)'!M$42:M$58,MATCH($C128,'Undirviðmiðalisti (Lýsigögn)'!$C$42:$C$58,0))),""))))</f>
        <v/>
      </c>
    </row>
    <row r="129" customFormat="false" ht="15" hidden="false" customHeight="true" outlineLevel="0" collapsed="false">
      <c r="A129" s="22" t="str">
        <f aca="false">IF($B129="","",ROW()-5)</f>
        <v/>
      </c>
      <c r="B129" s="15"/>
      <c r="C129" s="15"/>
      <c r="D129" s="16" t="str">
        <f aca="false">IF($C129="","",IF($G129="Einstaklingsbundið",IFERROR(IF(INDEX('Undirviðmiðalisti (Lýsigögn)'!$D$42:$D$58,MATCH($C129,'Undirviðmiðalisti (Lýsigögn)'!$C$42:$C$58,0))="","",INDEX('Undirviðmiðalisti (Lýsigögn)'!$D$42:$D$58,MATCH($C129,'Undirviðmiðalisti (Lýsigögn)'!$C$42:$C$58,0))),""),IFERROR(IF(INDEX('Undirviðmiðalisti (Lýsigögn)'!$D$6:$D$41,MATCH($C129,'Undirviðmiðalisti (Lýsigögn)'!$C$6:$C$41,0))="","",INDEX('Undirviðmiðalisti (Lýsigögn)'!$D$6:$D$41,MATCH($C129,'Undirviðmiðalisti (Lýsigögn)'!$C$6:$C$41,0))),IFERROR(IF(INDEX('Undirviðmiðalisti (Lýsigögn)'!$D$42:$D$58,MATCH($C129,'Undirviðmiðalisti (Lýsigögn)'!$C$42:$C$58,0))="","",INDEX('Undirviðmiðalisti (Lýsigögn)'!$D$42:$D$58,MATCH($C129,'Undirviðmiðalisti (Lýsigögn)'!$C$42:$C$58,0))),""))))</f>
        <v/>
      </c>
      <c r="E129" s="14"/>
      <c r="F129" s="23" t="str">
        <f aca="false">IF($C129="","",IF($G129="Einstaklingsbundið",IFERROR(IF(INDEX('Undirviðmiðalisti (Lýsigögn)'!$E$42:$E$58,MATCH($C129,'Undirviðmiðalisti (Lýsigögn)'!$C$42:$C$58,0))="","",INDEX('Undirviðmiðalisti (Lýsigögn)'!$E$42:$E$58,MATCH($C129,'Undirviðmiðalisti (Lýsigögn)'!$C$42:$C$58,0))),""),IFERROR(IF(INDEX('Undirviðmiðalisti (Lýsigögn)'!$E$6:$E$41,MATCH($C129,'Undirviðmiðalisti (Lýsigögn)'!$C$6:$C$41,0))="","",INDEX('Undirviðmiðalisti (Lýsigögn)'!$E$6:$E$41,MATCH($C129,'Undirviðmiðalisti (Lýsigögn)'!$C$6:$C$41,0))),IFERROR(IF(INDEX('Undirviðmiðalisti (Lýsigögn)'!$E$42:$E$58,MATCH($C129,'Undirviðmiðalisti (Lýsigögn)'!$C$42:$C$58,0))="","",INDEX('Undirviðmiðalisti (Lýsigögn)'!$E$42:$E$58,MATCH($C129,'Undirviðmiðalisti (Lýsigögn)'!$C$42:$C$58,0))),""))))</f>
        <v/>
      </c>
      <c r="G129" s="24" t="str">
        <f aca="false">IFERROR(IF(B129="","",INDEX(Viðmið!$B$6:$B$10,MATCH(B129,Viðmið!$C$6:$C$10,0))),"")</f>
        <v/>
      </c>
      <c r="H129" s="25" t="str">
        <f aca="false">IF(OR(E129="",F129=""),"",E129*KVARDI)</f>
        <v/>
      </c>
      <c r="I129" s="26" t="str">
        <f aca="false">IF(B129="","",IF(ROUND(SUMIF($B$6:$B$205,B129,$E$6:$E$205),4)=ROUND(IFERROR(INDEX(Viðmið!$E$6:$E$10,MATCH(B129,Viðmið!$C$6:$C$10,0)),-1),4),"✓","✗"))</f>
        <v/>
      </c>
      <c r="J129" s="16" t="str">
        <f aca="false">IF($C129="","",IF($G129="Einstaklingsbundið",IFERROR(IF(INDEX('Undirviðmiðalisti (Lýsigögn)'!F$42:F$58,MATCH($C129,'Undirviðmiðalisti (Lýsigögn)'!$C$42:$C$58,0))="","",INDEX('Undirviðmiðalisti (Lýsigögn)'!F$42:F$58,MATCH($C129,'Undirviðmiðalisti (Lýsigögn)'!$C$42:$C$58,0))),""),IFERROR(IF(INDEX('Undirviðmiðalisti (Lýsigögn)'!F$6:F$41,MATCH($C129,'Undirviðmiðalisti (Lýsigögn)'!$C$6:$C$41,0))="","",INDEX('Undirviðmiðalisti (Lýsigögn)'!F$6:F$41,MATCH($C129,'Undirviðmiðalisti (Lýsigögn)'!$C$6:$C$41,0))),IFERROR(IF(INDEX('Undirviðmiðalisti (Lýsigögn)'!F$42:F$58,MATCH($C129,'Undirviðmiðalisti (Lýsigögn)'!$C$42:$C$58,0))="","",INDEX('Undirviðmiðalisti (Lýsigögn)'!F$42:F$58,MATCH($C129,'Undirviðmiðalisti (Lýsigögn)'!$C$42:$C$58,0))),""))))</f>
        <v/>
      </c>
      <c r="K129" s="16" t="str">
        <f aca="false">IF($C129="","",IF($G129="Einstaklingsbundið",IFERROR(IF(INDEX('Undirviðmiðalisti (Lýsigögn)'!G$42:G$58,MATCH($C129,'Undirviðmiðalisti (Lýsigögn)'!$C$42:$C$58,0))="","",INDEX('Undirviðmiðalisti (Lýsigögn)'!G$42:G$58,MATCH($C129,'Undirviðmiðalisti (Lýsigögn)'!$C$42:$C$58,0))),""),IFERROR(IF(INDEX('Undirviðmiðalisti (Lýsigögn)'!G$6:G$41,MATCH($C129,'Undirviðmiðalisti (Lýsigögn)'!$C$6:$C$41,0))="","",INDEX('Undirviðmiðalisti (Lýsigögn)'!G$6:G$41,MATCH($C129,'Undirviðmiðalisti (Lýsigögn)'!$C$6:$C$41,0))),IFERROR(IF(INDEX('Undirviðmiðalisti (Lýsigögn)'!G$42:G$58,MATCH($C129,'Undirviðmiðalisti (Lýsigögn)'!$C$42:$C$58,0))="","",INDEX('Undirviðmiðalisti (Lýsigögn)'!G$42:G$58,MATCH($C129,'Undirviðmiðalisti (Lýsigögn)'!$C$42:$C$58,0))),""))))</f>
        <v/>
      </c>
      <c r="L129" s="16" t="str">
        <f aca="false">IF($C129="","",IF($G129="Einstaklingsbundið",IFERROR(IF(INDEX('Undirviðmiðalisti (Lýsigögn)'!H$42:H$58,MATCH($C129,'Undirviðmiðalisti (Lýsigögn)'!$C$42:$C$58,0))="","",INDEX('Undirviðmiðalisti (Lýsigögn)'!H$42:H$58,MATCH($C129,'Undirviðmiðalisti (Lýsigögn)'!$C$42:$C$58,0))),""),IFERROR(IF(INDEX('Undirviðmiðalisti (Lýsigögn)'!H$6:H$41,MATCH($C129,'Undirviðmiðalisti (Lýsigögn)'!$C$6:$C$41,0))="","",INDEX('Undirviðmiðalisti (Lýsigögn)'!H$6:H$41,MATCH($C129,'Undirviðmiðalisti (Lýsigögn)'!$C$6:$C$41,0))),IFERROR(IF(INDEX('Undirviðmiðalisti (Lýsigögn)'!H$42:H$58,MATCH($C129,'Undirviðmiðalisti (Lýsigögn)'!$C$42:$C$58,0))="","",INDEX('Undirviðmiðalisti (Lýsigögn)'!H$42:H$58,MATCH($C129,'Undirviðmiðalisti (Lýsigögn)'!$C$42:$C$58,0))),""))))</f>
        <v/>
      </c>
      <c r="M129" s="16" t="str">
        <f aca="false">IF($C129="","",IF($G129="Einstaklingsbundið",IFERROR(IF(INDEX('Undirviðmiðalisti (Lýsigögn)'!I$42:I$58,MATCH($C129,'Undirviðmiðalisti (Lýsigögn)'!$C$42:$C$58,0))="","",INDEX('Undirviðmiðalisti (Lýsigögn)'!I$42:I$58,MATCH($C129,'Undirviðmiðalisti (Lýsigögn)'!$C$42:$C$58,0))),""),IFERROR(IF(INDEX('Undirviðmiðalisti (Lýsigögn)'!I$6:I$41,MATCH($C129,'Undirviðmiðalisti (Lýsigögn)'!$C$6:$C$41,0))="","",INDEX('Undirviðmiðalisti (Lýsigögn)'!I$6:I$41,MATCH($C129,'Undirviðmiðalisti (Lýsigögn)'!$C$6:$C$41,0))),IFERROR(IF(INDEX('Undirviðmiðalisti (Lýsigögn)'!I$42:I$58,MATCH($C129,'Undirviðmiðalisti (Lýsigögn)'!$C$42:$C$58,0))="","",INDEX('Undirviðmiðalisti (Lýsigögn)'!I$42:I$58,MATCH($C129,'Undirviðmiðalisti (Lýsigögn)'!$C$42:$C$58,0))),""))))</f>
        <v/>
      </c>
      <c r="N129" s="16" t="str">
        <f aca="false">IF($C129="","",IF($G129="Einstaklingsbundið",IFERROR(IF(INDEX('Undirviðmiðalisti (Lýsigögn)'!J$42:J$58,MATCH($C129,'Undirviðmiðalisti (Lýsigögn)'!$C$42:$C$58,0))="","",INDEX('Undirviðmiðalisti (Lýsigögn)'!J$42:J$58,MATCH($C129,'Undirviðmiðalisti (Lýsigögn)'!$C$42:$C$58,0))),""),IFERROR(IF(INDEX('Undirviðmiðalisti (Lýsigögn)'!J$6:J$41,MATCH($C129,'Undirviðmiðalisti (Lýsigögn)'!$C$6:$C$41,0))="","",INDEX('Undirviðmiðalisti (Lýsigögn)'!J$6:J$41,MATCH($C129,'Undirviðmiðalisti (Lýsigögn)'!$C$6:$C$41,0))),IFERROR(IF(INDEX('Undirviðmiðalisti (Lýsigögn)'!J$42:J$58,MATCH($C129,'Undirviðmiðalisti (Lýsigögn)'!$C$42:$C$58,0))="","",INDEX('Undirviðmiðalisti (Lýsigögn)'!J$42:J$58,MATCH($C129,'Undirviðmiðalisti (Lýsigögn)'!$C$42:$C$58,0))),""))))</f>
        <v/>
      </c>
      <c r="O129" s="16" t="str">
        <f aca="false">IF($C129="","",IF($G129="Einstaklingsbundið",IFERROR(IF(INDEX('Undirviðmiðalisti (Lýsigögn)'!K$42:K$58,MATCH($C129,'Undirviðmiðalisti (Lýsigögn)'!$C$42:$C$58,0))="","",INDEX('Undirviðmiðalisti (Lýsigögn)'!K$42:K$58,MATCH($C129,'Undirviðmiðalisti (Lýsigögn)'!$C$42:$C$58,0))),""),IFERROR(IF(INDEX('Undirviðmiðalisti (Lýsigögn)'!K$6:K$41,MATCH($C129,'Undirviðmiðalisti (Lýsigögn)'!$C$6:$C$41,0))="","",INDEX('Undirviðmiðalisti (Lýsigögn)'!K$6:K$41,MATCH($C129,'Undirviðmiðalisti (Lýsigögn)'!$C$6:$C$41,0))),IFERROR(IF(INDEX('Undirviðmiðalisti (Lýsigögn)'!K$42:K$58,MATCH($C129,'Undirviðmiðalisti (Lýsigögn)'!$C$42:$C$58,0))="","",INDEX('Undirviðmiðalisti (Lýsigögn)'!K$42:K$58,MATCH($C129,'Undirviðmiðalisti (Lýsigögn)'!$C$42:$C$58,0))),""))))</f>
        <v/>
      </c>
      <c r="P129" s="16" t="str">
        <f aca="false">IF($C129="","",IF($G129="Einstaklingsbundið",IFERROR(IF(INDEX('Undirviðmiðalisti (Lýsigögn)'!L$42:L$58,MATCH($C129,'Undirviðmiðalisti (Lýsigögn)'!$C$42:$C$58,0))="","",INDEX('Undirviðmiðalisti (Lýsigögn)'!L$42:L$58,MATCH($C129,'Undirviðmiðalisti (Lýsigögn)'!$C$42:$C$58,0))),""),IFERROR(IF(INDEX('Undirviðmiðalisti (Lýsigögn)'!L$6:L$41,MATCH($C129,'Undirviðmiðalisti (Lýsigögn)'!$C$6:$C$41,0))="","",INDEX('Undirviðmiðalisti (Lýsigögn)'!L$6:L$41,MATCH($C129,'Undirviðmiðalisti (Lýsigögn)'!$C$6:$C$41,0))),IFERROR(IF(INDEX('Undirviðmiðalisti (Lýsigögn)'!L$42:L$58,MATCH($C129,'Undirviðmiðalisti (Lýsigögn)'!$C$42:$C$58,0))="","",INDEX('Undirviðmiðalisti (Lýsigögn)'!L$42:L$58,MATCH($C129,'Undirviðmiðalisti (Lýsigögn)'!$C$42:$C$58,0))),""))))</f>
        <v/>
      </c>
      <c r="Q129" s="16" t="str">
        <f aca="false">IF($C129="","",IF($G129="Einstaklingsbundið",IFERROR(IF(INDEX('Undirviðmiðalisti (Lýsigögn)'!M$42:M$58,MATCH($C129,'Undirviðmiðalisti (Lýsigögn)'!$C$42:$C$58,0))="","",INDEX('Undirviðmiðalisti (Lýsigögn)'!M$42:M$58,MATCH($C129,'Undirviðmiðalisti (Lýsigögn)'!$C$42:$C$58,0))),""),IFERROR(IF(INDEX('Undirviðmiðalisti (Lýsigögn)'!M$6:M$41,MATCH($C129,'Undirviðmiðalisti (Lýsigögn)'!$C$6:$C$41,0))="","",INDEX('Undirviðmiðalisti (Lýsigögn)'!M$6:M$41,MATCH($C129,'Undirviðmiðalisti (Lýsigögn)'!$C$6:$C$41,0))),IFERROR(IF(INDEX('Undirviðmiðalisti (Lýsigögn)'!M$42:M$58,MATCH($C129,'Undirviðmiðalisti (Lýsigögn)'!$C$42:$C$58,0))="","",INDEX('Undirviðmiðalisti (Lýsigögn)'!M$42:M$58,MATCH($C129,'Undirviðmiðalisti (Lýsigögn)'!$C$42:$C$58,0))),""))))</f>
        <v/>
      </c>
    </row>
    <row r="130" customFormat="false" ht="15" hidden="false" customHeight="true" outlineLevel="0" collapsed="false">
      <c r="A130" s="22" t="str">
        <f aca="false">IF($B130="","",ROW()-5)</f>
        <v/>
      </c>
      <c r="B130" s="15"/>
      <c r="C130" s="15"/>
      <c r="D130" s="16" t="str">
        <f aca="false">IF($C130="","",IF($G130="Einstaklingsbundið",IFERROR(IF(INDEX('Undirviðmiðalisti (Lýsigögn)'!$D$42:$D$58,MATCH($C130,'Undirviðmiðalisti (Lýsigögn)'!$C$42:$C$58,0))="","",INDEX('Undirviðmiðalisti (Lýsigögn)'!$D$42:$D$58,MATCH($C130,'Undirviðmiðalisti (Lýsigögn)'!$C$42:$C$58,0))),""),IFERROR(IF(INDEX('Undirviðmiðalisti (Lýsigögn)'!$D$6:$D$41,MATCH($C130,'Undirviðmiðalisti (Lýsigögn)'!$C$6:$C$41,0))="","",INDEX('Undirviðmiðalisti (Lýsigögn)'!$D$6:$D$41,MATCH($C130,'Undirviðmiðalisti (Lýsigögn)'!$C$6:$C$41,0))),IFERROR(IF(INDEX('Undirviðmiðalisti (Lýsigögn)'!$D$42:$D$58,MATCH($C130,'Undirviðmiðalisti (Lýsigögn)'!$C$42:$C$58,0))="","",INDEX('Undirviðmiðalisti (Lýsigögn)'!$D$42:$D$58,MATCH($C130,'Undirviðmiðalisti (Lýsigögn)'!$C$42:$C$58,0))),""))))</f>
        <v/>
      </c>
      <c r="E130" s="14"/>
      <c r="F130" s="23" t="str">
        <f aca="false">IF($C130="","",IF($G130="Einstaklingsbundið",IFERROR(IF(INDEX('Undirviðmiðalisti (Lýsigögn)'!$E$42:$E$58,MATCH($C130,'Undirviðmiðalisti (Lýsigögn)'!$C$42:$C$58,0))="","",INDEX('Undirviðmiðalisti (Lýsigögn)'!$E$42:$E$58,MATCH($C130,'Undirviðmiðalisti (Lýsigögn)'!$C$42:$C$58,0))),""),IFERROR(IF(INDEX('Undirviðmiðalisti (Lýsigögn)'!$E$6:$E$41,MATCH($C130,'Undirviðmiðalisti (Lýsigögn)'!$C$6:$C$41,0))="","",INDEX('Undirviðmiðalisti (Lýsigögn)'!$E$6:$E$41,MATCH($C130,'Undirviðmiðalisti (Lýsigögn)'!$C$6:$C$41,0))),IFERROR(IF(INDEX('Undirviðmiðalisti (Lýsigögn)'!$E$42:$E$58,MATCH($C130,'Undirviðmiðalisti (Lýsigögn)'!$C$42:$C$58,0))="","",INDEX('Undirviðmiðalisti (Lýsigögn)'!$E$42:$E$58,MATCH($C130,'Undirviðmiðalisti (Lýsigögn)'!$C$42:$C$58,0))),""))))</f>
        <v/>
      </c>
      <c r="G130" s="24" t="str">
        <f aca="false">IFERROR(IF(B130="","",INDEX(Viðmið!$B$6:$B$10,MATCH(B130,Viðmið!$C$6:$C$10,0))),"")</f>
        <v/>
      </c>
      <c r="H130" s="25" t="str">
        <f aca="false">IF(OR(E130="",F130=""),"",E130*KVARDI)</f>
        <v/>
      </c>
      <c r="I130" s="26" t="str">
        <f aca="false">IF(B130="","",IF(ROUND(SUMIF($B$6:$B$205,B130,$E$6:$E$205),4)=ROUND(IFERROR(INDEX(Viðmið!$E$6:$E$10,MATCH(B130,Viðmið!$C$6:$C$10,0)),-1),4),"✓","✗"))</f>
        <v/>
      </c>
      <c r="J130" s="16" t="str">
        <f aca="false">IF($C130="","",IF($G130="Einstaklingsbundið",IFERROR(IF(INDEX('Undirviðmiðalisti (Lýsigögn)'!F$42:F$58,MATCH($C130,'Undirviðmiðalisti (Lýsigögn)'!$C$42:$C$58,0))="","",INDEX('Undirviðmiðalisti (Lýsigögn)'!F$42:F$58,MATCH($C130,'Undirviðmiðalisti (Lýsigögn)'!$C$42:$C$58,0))),""),IFERROR(IF(INDEX('Undirviðmiðalisti (Lýsigögn)'!F$6:F$41,MATCH($C130,'Undirviðmiðalisti (Lýsigögn)'!$C$6:$C$41,0))="","",INDEX('Undirviðmiðalisti (Lýsigögn)'!F$6:F$41,MATCH($C130,'Undirviðmiðalisti (Lýsigögn)'!$C$6:$C$41,0))),IFERROR(IF(INDEX('Undirviðmiðalisti (Lýsigögn)'!F$42:F$58,MATCH($C130,'Undirviðmiðalisti (Lýsigögn)'!$C$42:$C$58,0))="","",INDEX('Undirviðmiðalisti (Lýsigögn)'!F$42:F$58,MATCH($C130,'Undirviðmiðalisti (Lýsigögn)'!$C$42:$C$58,0))),""))))</f>
        <v/>
      </c>
      <c r="K130" s="16" t="str">
        <f aca="false">IF($C130="","",IF($G130="Einstaklingsbundið",IFERROR(IF(INDEX('Undirviðmiðalisti (Lýsigögn)'!G$42:G$58,MATCH($C130,'Undirviðmiðalisti (Lýsigögn)'!$C$42:$C$58,0))="","",INDEX('Undirviðmiðalisti (Lýsigögn)'!G$42:G$58,MATCH($C130,'Undirviðmiðalisti (Lýsigögn)'!$C$42:$C$58,0))),""),IFERROR(IF(INDEX('Undirviðmiðalisti (Lýsigögn)'!G$6:G$41,MATCH($C130,'Undirviðmiðalisti (Lýsigögn)'!$C$6:$C$41,0))="","",INDEX('Undirviðmiðalisti (Lýsigögn)'!G$6:G$41,MATCH($C130,'Undirviðmiðalisti (Lýsigögn)'!$C$6:$C$41,0))),IFERROR(IF(INDEX('Undirviðmiðalisti (Lýsigögn)'!G$42:G$58,MATCH($C130,'Undirviðmiðalisti (Lýsigögn)'!$C$42:$C$58,0))="","",INDEX('Undirviðmiðalisti (Lýsigögn)'!G$42:G$58,MATCH($C130,'Undirviðmiðalisti (Lýsigögn)'!$C$42:$C$58,0))),""))))</f>
        <v/>
      </c>
      <c r="L130" s="16" t="str">
        <f aca="false">IF($C130="","",IF($G130="Einstaklingsbundið",IFERROR(IF(INDEX('Undirviðmiðalisti (Lýsigögn)'!H$42:H$58,MATCH($C130,'Undirviðmiðalisti (Lýsigögn)'!$C$42:$C$58,0))="","",INDEX('Undirviðmiðalisti (Lýsigögn)'!H$42:H$58,MATCH($C130,'Undirviðmiðalisti (Lýsigögn)'!$C$42:$C$58,0))),""),IFERROR(IF(INDEX('Undirviðmiðalisti (Lýsigögn)'!H$6:H$41,MATCH($C130,'Undirviðmiðalisti (Lýsigögn)'!$C$6:$C$41,0))="","",INDEX('Undirviðmiðalisti (Lýsigögn)'!H$6:H$41,MATCH($C130,'Undirviðmiðalisti (Lýsigögn)'!$C$6:$C$41,0))),IFERROR(IF(INDEX('Undirviðmiðalisti (Lýsigögn)'!H$42:H$58,MATCH($C130,'Undirviðmiðalisti (Lýsigögn)'!$C$42:$C$58,0))="","",INDEX('Undirviðmiðalisti (Lýsigögn)'!H$42:H$58,MATCH($C130,'Undirviðmiðalisti (Lýsigögn)'!$C$42:$C$58,0))),""))))</f>
        <v/>
      </c>
      <c r="M130" s="16" t="str">
        <f aca="false">IF($C130="","",IF($G130="Einstaklingsbundið",IFERROR(IF(INDEX('Undirviðmiðalisti (Lýsigögn)'!I$42:I$58,MATCH($C130,'Undirviðmiðalisti (Lýsigögn)'!$C$42:$C$58,0))="","",INDEX('Undirviðmiðalisti (Lýsigögn)'!I$42:I$58,MATCH($C130,'Undirviðmiðalisti (Lýsigögn)'!$C$42:$C$58,0))),""),IFERROR(IF(INDEX('Undirviðmiðalisti (Lýsigögn)'!I$6:I$41,MATCH($C130,'Undirviðmiðalisti (Lýsigögn)'!$C$6:$C$41,0))="","",INDEX('Undirviðmiðalisti (Lýsigögn)'!I$6:I$41,MATCH($C130,'Undirviðmiðalisti (Lýsigögn)'!$C$6:$C$41,0))),IFERROR(IF(INDEX('Undirviðmiðalisti (Lýsigögn)'!I$42:I$58,MATCH($C130,'Undirviðmiðalisti (Lýsigögn)'!$C$42:$C$58,0))="","",INDEX('Undirviðmiðalisti (Lýsigögn)'!I$42:I$58,MATCH($C130,'Undirviðmiðalisti (Lýsigögn)'!$C$42:$C$58,0))),""))))</f>
        <v/>
      </c>
      <c r="N130" s="16" t="str">
        <f aca="false">IF($C130="","",IF($G130="Einstaklingsbundið",IFERROR(IF(INDEX('Undirviðmiðalisti (Lýsigögn)'!J$42:J$58,MATCH($C130,'Undirviðmiðalisti (Lýsigögn)'!$C$42:$C$58,0))="","",INDEX('Undirviðmiðalisti (Lýsigögn)'!J$42:J$58,MATCH($C130,'Undirviðmiðalisti (Lýsigögn)'!$C$42:$C$58,0))),""),IFERROR(IF(INDEX('Undirviðmiðalisti (Lýsigögn)'!J$6:J$41,MATCH($C130,'Undirviðmiðalisti (Lýsigögn)'!$C$6:$C$41,0))="","",INDEX('Undirviðmiðalisti (Lýsigögn)'!J$6:J$41,MATCH($C130,'Undirviðmiðalisti (Lýsigögn)'!$C$6:$C$41,0))),IFERROR(IF(INDEX('Undirviðmiðalisti (Lýsigögn)'!J$42:J$58,MATCH($C130,'Undirviðmiðalisti (Lýsigögn)'!$C$42:$C$58,0))="","",INDEX('Undirviðmiðalisti (Lýsigögn)'!J$42:J$58,MATCH($C130,'Undirviðmiðalisti (Lýsigögn)'!$C$42:$C$58,0))),""))))</f>
        <v/>
      </c>
      <c r="O130" s="16" t="str">
        <f aca="false">IF($C130="","",IF($G130="Einstaklingsbundið",IFERROR(IF(INDEX('Undirviðmiðalisti (Lýsigögn)'!K$42:K$58,MATCH($C130,'Undirviðmiðalisti (Lýsigögn)'!$C$42:$C$58,0))="","",INDEX('Undirviðmiðalisti (Lýsigögn)'!K$42:K$58,MATCH($C130,'Undirviðmiðalisti (Lýsigögn)'!$C$42:$C$58,0))),""),IFERROR(IF(INDEX('Undirviðmiðalisti (Lýsigögn)'!K$6:K$41,MATCH($C130,'Undirviðmiðalisti (Lýsigögn)'!$C$6:$C$41,0))="","",INDEX('Undirviðmiðalisti (Lýsigögn)'!K$6:K$41,MATCH($C130,'Undirviðmiðalisti (Lýsigögn)'!$C$6:$C$41,0))),IFERROR(IF(INDEX('Undirviðmiðalisti (Lýsigögn)'!K$42:K$58,MATCH($C130,'Undirviðmiðalisti (Lýsigögn)'!$C$42:$C$58,0))="","",INDEX('Undirviðmiðalisti (Lýsigögn)'!K$42:K$58,MATCH($C130,'Undirviðmiðalisti (Lýsigögn)'!$C$42:$C$58,0))),""))))</f>
        <v/>
      </c>
      <c r="P130" s="16" t="str">
        <f aca="false">IF($C130="","",IF($G130="Einstaklingsbundið",IFERROR(IF(INDEX('Undirviðmiðalisti (Lýsigögn)'!L$42:L$58,MATCH($C130,'Undirviðmiðalisti (Lýsigögn)'!$C$42:$C$58,0))="","",INDEX('Undirviðmiðalisti (Lýsigögn)'!L$42:L$58,MATCH($C130,'Undirviðmiðalisti (Lýsigögn)'!$C$42:$C$58,0))),""),IFERROR(IF(INDEX('Undirviðmiðalisti (Lýsigögn)'!L$6:L$41,MATCH($C130,'Undirviðmiðalisti (Lýsigögn)'!$C$6:$C$41,0))="","",INDEX('Undirviðmiðalisti (Lýsigögn)'!L$6:L$41,MATCH($C130,'Undirviðmiðalisti (Lýsigögn)'!$C$6:$C$41,0))),IFERROR(IF(INDEX('Undirviðmiðalisti (Lýsigögn)'!L$42:L$58,MATCH($C130,'Undirviðmiðalisti (Lýsigögn)'!$C$42:$C$58,0))="","",INDEX('Undirviðmiðalisti (Lýsigögn)'!L$42:L$58,MATCH($C130,'Undirviðmiðalisti (Lýsigögn)'!$C$42:$C$58,0))),""))))</f>
        <v/>
      </c>
      <c r="Q130" s="16" t="str">
        <f aca="false">IF($C130="","",IF($G130="Einstaklingsbundið",IFERROR(IF(INDEX('Undirviðmiðalisti (Lýsigögn)'!M$42:M$58,MATCH($C130,'Undirviðmiðalisti (Lýsigögn)'!$C$42:$C$58,0))="","",INDEX('Undirviðmiðalisti (Lýsigögn)'!M$42:M$58,MATCH($C130,'Undirviðmiðalisti (Lýsigögn)'!$C$42:$C$58,0))),""),IFERROR(IF(INDEX('Undirviðmiðalisti (Lýsigögn)'!M$6:M$41,MATCH($C130,'Undirviðmiðalisti (Lýsigögn)'!$C$6:$C$41,0))="","",INDEX('Undirviðmiðalisti (Lýsigögn)'!M$6:M$41,MATCH($C130,'Undirviðmiðalisti (Lýsigögn)'!$C$6:$C$41,0))),IFERROR(IF(INDEX('Undirviðmiðalisti (Lýsigögn)'!M$42:M$58,MATCH($C130,'Undirviðmiðalisti (Lýsigögn)'!$C$42:$C$58,0))="","",INDEX('Undirviðmiðalisti (Lýsigögn)'!M$42:M$58,MATCH($C130,'Undirviðmiðalisti (Lýsigögn)'!$C$42:$C$58,0))),""))))</f>
        <v/>
      </c>
    </row>
    <row r="131" customFormat="false" ht="15" hidden="false" customHeight="true" outlineLevel="0" collapsed="false">
      <c r="A131" s="22" t="str">
        <f aca="false">IF($B131="","",ROW()-5)</f>
        <v/>
      </c>
      <c r="B131" s="15"/>
      <c r="C131" s="15"/>
      <c r="D131" s="16" t="str">
        <f aca="false">IF($C131="","",IF($G131="Einstaklingsbundið",IFERROR(IF(INDEX('Undirviðmiðalisti (Lýsigögn)'!$D$42:$D$58,MATCH($C131,'Undirviðmiðalisti (Lýsigögn)'!$C$42:$C$58,0))="","",INDEX('Undirviðmiðalisti (Lýsigögn)'!$D$42:$D$58,MATCH($C131,'Undirviðmiðalisti (Lýsigögn)'!$C$42:$C$58,0))),""),IFERROR(IF(INDEX('Undirviðmiðalisti (Lýsigögn)'!$D$6:$D$41,MATCH($C131,'Undirviðmiðalisti (Lýsigögn)'!$C$6:$C$41,0))="","",INDEX('Undirviðmiðalisti (Lýsigögn)'!$D$6:$D$41,MATCH($C131,'Undirviðmiðalisti (Lýsigögn)'!$C$6:$C$41,0))),IFERROR(IF(INDEX('Undirviðmiðalisti (Lýsigögn)'!$D$42:$D$58,MATCH($C131,'Undirviðmiðalisti (Lýsigögn)'!$C$42:$C$58,0))="","",INDEX('Undirviðmiðalisti (Lýsigögn)'!$D$42:$D$58,MATCH($C131,'Undirviðmiðalisti (Lýsigögn)'!$C$42:$C$58,0))),""))))</f>
        <v/>
      </c>
      <c r="E131" s="14"/>
      <c r="F131" s="23" t="str">
        <f aca="false">IF($C131="","",IF($G131="Einstaklingsbundið",IFERROR(IF(INDEX('Undirviðmiðalisti (Lýsigögn)'!$E$42:$E$58,MATCH($C131,'Undirviðmiðalisti (Lýsigögn)'!$C$42:$C$58,0))="","",INDEX('Undirviðmiðalisti (Lýsigögn)'!$E$42:$E$58,MATCH($C131,'Undirviðmiðalisti (Lýsigögn)'!$C$42:$C$58,0))),""),IFERROR(IF(INDEX('Undirviðmiðalisti (Lýsigögn)'!$E$6:$E$41,MATCH($C131,'Undirviðmiðalisti (Lýsigögn)'!$C$6:$C$41,0))="","",INDEX('Undirviðmiðalisti (Lýsigögn)'!$E$6:$E$41,MATCH($C131,'Undirviðmiðalisti (Lýsigögn)'!$C$6:$C$41,0))),IFERROR(IF(INDEX('Undirviðmiðalisti (Lýsigögn)'!$E$42:$E$58,MATCH($C131,'Undirviðmiðalisti (Lýsigögn)'!$C$42:$C$58,0))="","",INDEX('Undirviðmiðalisti (Lýsigögn)'!$E$42:$E$58,MATCH($C131,'Undirviðmiðalisti (Lýsigögn)'!$C$42:$C$58,0))),""))))</f>
        <v/>
      </c>
      <c r="G131" s="24" t="str">
        <f aca="false">IFERROR(IF(B131="","",INDEX(Viðmið!$B$6:$B$10,MATCH(B131,Viðmið!$C$6:$C$10,0))),"")</f>
        <v/>
      </c>
      <c r="H131" s="25" t="str">
        <f aca="false">IF(OR(E131="",F131=""),"",E131*KVARDI)</f>
        <v/>
      </c>
      <c r="I131" s="26" t="str">
        <f aca="false">IF(B131="","",IF(ROUND(SUMIF($B$6:$B$205,B131,$E$6:$E$205),4)=ROUND(IFERROR(INDEX(Viðmið!$E$6:$E$10,MATCH(B131,Viðmið!$C$6:$C$10,0)),-1),4),"✓","✗"))</f>
        <v/>
      </c>
      <c r="J131" s="16" t="str">
        <f aca="false">IF($C131="","",IF($G131="Einstaklingsbundið",IFERROR(IF(INDEX('Undirviðmiðalisti (Lýsigögn)'!F$42:F$58,MATCH($C131,'Undirviðmiðalisti (Lýsigögn)'!$C$42:$C$58,0))="","",INDEX('Undirviðmiðalisti (Lýsigögn)'!F$42:F$58,MATCH($C131,'Undirviðmiðalisti (Lýsigögn)'!$C$42:$C$58,0))),""),IFERROR(IF(INDEX('Undirviðmiðalisti (Lýsigögn)'!F$6:F$41,MATCH($C131,'Undirviðmiðalisti (Lýsigögn)'!$C$6:$C$41,0))="","",INDEX('Undirviðmiðalisti (Lýsigögn)'!F$6:F$41,MATCH($C131,'Undirviðmiðalisti (Lýsigögn)'!$C$6:$C$41,0))),IFERROR(IF(INDEX('Undirviðmiðalisti (Lýsigögn)'!F$42:F$58,MATCH($C131,'Undirviðmiðalisti (Lýsigögn)'!$C$42:$C$58,0))="","",INDEX('Undirviðmiðalisti (Lýsigögn)'!F$42:F$58,MATCH($C131,'Undirviðmiðalisti (Lýsigögn)'!$C$42:$C$58,0))),""))))</f>
        <v/>
      </c>
      <c r="K131" s="16" t="str">
        <f aca="false">IF($C131="","",IF($G131="Einstaklingsbundið",IFERROR(IF(INDEX('Undirviðmiðalisti (Lýsigögn)'!G$42:G$58,MATCH($C131,'Undirviðmiðalisti (Lýsigögn)'!$C$42:$C$58,0))="","",INDEX('Undirviðmiðalisti (Lýsigögn)'!G$42:G$58,MATCH($C131,'Undirviðmiðalisti (Lýsigögn)'!$C$42:$C$58,0))),""),IFERROR(IF(INDEX('Undirviðmiðalisti (Lýsigögn)'!G$6:G$41,MATCH($C131,'Undirviðmiðalisti (Lýsigögn)'!$C$6:$C$41,0))="","",INDEX('Undirviðmiðalisti (Lýsigögn)'!G$6:G$41,MATCH($C131,'Undirviðmiðalisti (Lýsigögn)'!$C$6:$C$41,0))),IFERROR(IF(INDEX('Undirviðmiðalisti (Lýsigögn)'!G$42:G$58,MATCH($C131,'Undirviðmiðalisti (Lýsigögn)'!$C$42:$C$58,0))="","",INDEX('Undirviðmiðalisti (Lýsigögn)'!G$42:G$58,MATCH($C131,'Undirviðmiðalisti (Lýsigögn)'!$C$42:$C$58,0))),""))))</f>
        <v/>
      </c>
      <c r="L131" s="16" t="str">
        <f aca="false">IF($C131="","",IF($G131="Einstaklingsbundið",IFERROR(IF(INDEX('Undirviðmiðalisti (Lýsigögn)'!H$42:H$58,MATCH($C131,'Undirviðmiðalisti (Lýsigögn)'!$C$42:$C$58,0))="","",INDEX('Undirviðmiðalisti (Lýsigögn)'!H$42:H$58,MATCH($C131,'Undirviðmiðalisti (Lýsigögn)'!$C$42:$C$58,0))),""),IFERROR(IF(INDEX('Undirviðmiðalisti (Lýsigögn)'!H$6:H$41,MATCH($C131,'Undirviðmiðalisti (Lýsigögn)'!$C$6:$C$41,0))="","",INDEX('Undirviðmiðalisti (Lýsigögn)'!H$6:H$41,MATCH($C131,'Undirviðmiðalisti (Lýsigögn)'!$C$6:$C$41,0))),IFERROR(IF(INDEX('Undirviðmiðalisti (Lýsigögn)'!H$42:H$58,MATCH($C131,'Undirviðmiðalisti (Lýsigögn)'!$C$42:$C$58,0))="","",INDEX('Undirviðmiðalisti (Lýsigögn)'!H$42:H$58,MATCH($C131,'Undirviðmiðalisti (Lýsigögn)'!$C$42:$C$58,0))),""))))</f>
        <v/>
      </c>
      <c r="M131" s="16" t="str">
        <f aca="false">IF($C131="","",IF($G131="Einstaklingsbundið",IFERROR(IF(INDEX('Undirviðmiðalisti (Lýsigögn)'!I$42:I$58,MATCH($C131,'Undirviðmiðalisti (Lýsigögn)'!$C$42:$C$58,0))="","",INDEX('Undirviðmiðalisti (Lýsigögn)'!I$42:I$58,MATCH($C131,'Undirviðmiðalisti (Lýsigögn)'!$C$42:$C$58,0))),""),IFERROR(IF(INDEX('Undirviðmiðalisti (Lýsigögn)'!I$6:I$41,MATCH($C131,'Undirviðmiðalisti (Lýsigögn)'!$C$6:$C$41,0))="","",INDEX('Undirviðmiðalisti (Lýsigögn)'!I$6:I$41,MATCH($C131,'Undirviðmiðalisti (Lýsigögn)'!$C$6:$C$41,0))),IFERROR(IF(INDEX('Undirviðmiðalisti (Lýsigögn)'!I$42:I$58,MATCH($C131,'Undirviðmiðalisti (Lýsigögn)'!$C$42:$C$58,0))="","",INDEX('Undirviðmiðalisti (Lýsigögn)'!I$42:I$58,MATCH($C131,'Undirviðmiðalisti (Lýsigögn)'!$C$42:$C$58,0))),""))))</f>
        <v/>
      </c>
      <c r="N131" s="16" t="str">
        <f aca="false">IF($C131="","",IF($G131="Einstaklingsbundið",IFERROR(IF(INDEX('Undirviðmiðalisti (Lýsigögn)'!J$42:J$58,MATCH($C131,'Undirviðmiðalisti (Lýsigögn)'!$C$42:$C$58,0))="","",INDEX('Undirviðmiðalisti (Lýsigögn)'!J$42:J$58,MATCH($C131,'Undirviðmiðalisti (Lýsigögn)'!$C$42:$C$58,0))),""),IFERROR(IF(INDEX('Undirviðmiðalisti (Lýsigögn)'!J$6:J$41,MATCH($C131,'Undirviðmiðalisti (Lýsigögn)'!$C$6:$C$41,0))="","",INDEX('Undirviðmiðalisti (Lýsigögn)'!J$6:J$41,MATCH($C131,'Undirviðmiðalisti (Lýsigögn)'!$C$6:$C$41,0))),IFERROR(IF(INDEX('Undirviðmiðalisti (Lýsigögn)'!J$42:J$58,MATCH($C131,'Undirviðmiðalisti (Lýsigögn)'!$C$42:$C$58,0))="","",INDEX('Undirviðmiðalisti (Lýsigögn)'!J$42:J$58,MATCH($C131,'Undirviðmiðalisti (Lýsigögn)'!$C$42:$C$58,0))),""))))</f>
        <v/>
      </c>
      <c r="O131" s="16" t="str">
        <f aca="false">IF($C131="","",IF($G131="Einstaklingsbundið",IFERROR(IF(INDEX('Undirviðmiðalisti (Lýsigögn)'!K$42:K$58,MATCH($C131,'Undirviðmiðalisti (Lýsigögn)'!$C$42:$C$58,0))="","",INDEX('Undirviðmiðalisti (Lýsigögn)'!K$42:K$58,MATCH($C131,'Undirviðmiðalisti (Lýsigögn)'!$C$42:$C$58,0))),""),IFERROR(IF(INDEX('Undirviðmiðalisti (Lýsigögn)'!K$6:K$41,MATCH($C131,'Undirviðmiðalisti (Lýsigögn)'!$C$6:$C$41,0))="","",INDEX('Undirviðmiðalisti (Lýsigögn)'!K$6:K$41,MATCH($C131,'Undirviðmiðalisti (Lýsigögn)'!$C$6:$C$41,0))),IFERROR(IF(INDEX('Undirviðmiðalisti (Lýsigögn)'!K$42:K$58,MATCH($C131,'Undirviðmiðalisti (Lýsigögn)'!$C$42:$C$58,0))="","",INDEX('Undirviðmiðalisti (Lýsigögn)'!K$42:K$58,MATCH($C131,'Undirviðmiðalisti (Lýsigögn)'!$C$42:$C$58,0))),""))))</f>
        <v/>
      </c>
      <c r="P131" s="16" t="str">
        <f aca="false">IF($C131="","",IF($G131="Einstaklingsbundið",IFERROR(IF(INDEX('Undirviðmiðalisti (Lýsigögn)'!L$42:L$58,MATCH($C131,'Undirviðmiðalisti (Lýsigögn)'!$C$42:$C$58,0))="","",INDEX('Undirviðmiðalisti (Lýsigögn)'!L$42:L$58,MATCH($C131,'Undirviðmiðalisti (Lýsigögn)'!$C$42:$C$58,0))),""),IFERROR(IF(INDEX('Undirviðmiðalisti (Lýsigögn)'!L$6:L$41,MATCH($C131,'Undirviðmiðalisti (Lýsigögn)'!$C$6:$C$41,0))="","",INDEX('Undirviðmiðalisti (Lýsigögn)'!L$6:L$41,MATCH($C131,'Undirviðmiðalisti (Lýsigögn)'!$C$6:$C$41,0))),IFERROR(IF(INDEX('Undirviðmiðalisti (Lýsigögn)'!L$42:L$58,MATCH($C131,'Undirviðmiðalisti (Lýsigögn)'!$C$42:$C$58,0))="","",INDEX('Undirviðmiðalisti (Lýsigögn)'!L$42:L$58,MATCH($C131,'Undirviðmiðalisti (Lýsigögn)'!$C$42:$C$58,0))),""))))</f>
        <v/>
      </c>
      <c r="Q131" s="16" t="str">
        <f aca="false">IF($C131="","",IF($G131="Einstaklingsbundið",IFERROR(IF(INDEX('Undirviðmiðalisti (Lýsigögn)'!M$42:M$58,MATCH($C131,'Undirviðmiðalisti (Lýsigögn)'!$C$42:$C$58,0))="","",INDEX('Undirviðmiðalisti (Lýsigögn)'!M$42:M$58,MATCH($C131,'Undirviðmiðalisti (Lýsigögn)'!$C$42:$C$58,0))),""),IFERROR(IF(INDEX('Undirviðmiðalisti (Lýsigögn)'!M$6:M$41,MATCH($C131,'Undirviðmiðalisti (Lýsigögn)'!$C$6:$C$41,0))="","",INDEX('Undirviðmiðalisti (Lýsigögn)'!M$6:M$41,MATCH($C131,'Undirviðmiðalisti (Lýsigögn)'!$C$6:$C$41,0))),IFERROR(IF(INDEX('Undirviðmiðalisti (Lýsigögn)'!M$42:M$58,MATCH($C131,'Undirviðmiðalisti (Lýsigögn)'!$C$42:$C$58,0))="","",INDEX('Undirviðmiðalisti (Lýsigögn)'!M$42:M$58,MATCH($C131,'Undirviðmiðalisti (Lýsigögn)'!$C$42:$C$58,0))),""))))</f>
        <v/>
      </c>
    </row>
    <row r="132" customFormat="false" ht="15" hidden="false" customHeight="true" outlineLevel="0" collapsed="false">
      <c r="A132" s="22" t="str">
        <f aca="false">IF($B132="","",ROW()-5)</f>
        <v/>
      </c>
      <c r="B132" s="15"/>
      <c r="C132" s="15"/>
      <c r="D132" s="16" t="str">
        <f aca="false">IF($C132="","",IF($G132="Einstaklingsbundið",IFERROR(IF(INDEX('Undirviðmiðalisti (Lýsigögn)'!$D$42:$D$58,MATCH($C132,'Undirviðmiðalisti (Lýsigögn)'!$C$42:$C$58,0))="","",INDEX('Undirviðmiðalisti (Lýsigögn)'!$D$42:$D$58,MATCH($C132,'Undirviðmiðalisti (Lýsigögn)'!$C$42:$C$58,0))),""),IFERROR(IF(INDEX('Undirviðmiðalisti (Lýsigögn)'!$D$6:$D$41,MATCH($C132,'Undirviðmiðalisti (Lýsigögn)'!$C$6:$C$41,0))="","",INDEX('Undirviðmiðalisti (Lýsigögn)'!$D$6:$D$41,MATCH($C132,'Undirviðmiðalisti (Lýsigögn)'!$C$6:$C$41,0))),IFERROR(IF(INDEX('Undirviðmiðalisti (Lýsigögn)'!$D$42:$D$58,MATCH($C132,'Undirviðmiðalisti (Lýsigögn)'!$C$42:$C$58,0))="","",INDEX('Undirviðmiðalisti (Lýsigögn)'!$D$42:$D$58,MATCH($C132,'Undirviðmiðalisti (Lýsigögn)'!$C$42:$C$58,0))),""))))</f>
        <v/>
      </c>
      <c r="E132" s="14"/>
      <c r="F132" s="23" t="str">
        <f aca="false">IF($C132="","",IF($G132="Einstaklingsbundið",IFERROR(IF(INDEX('Undirviðmiðalisti (Lýsigögn)'!$E$42:$E$58,MATCH($C132,'Undirviðmiðalisti (Lýsigögn)'!$C$42:$C$58,0))="","",INDEX('Undirviðmiðalisti (Lýsigögn)'!$E$42:$E$58,MATCH($C132,'Undirviðmiðalisti (Lýsigögn)'!$C$42:$C$58,0))),""),IFERROR(IF(INDEX('Undirviðmiðalisti (Lýsigögn)'!$E$6:$E$41,MATCH($C132,'Undirviðmiðalisti (Lýsigögn)'!$C$6:$C$41,0))="","",INDEX('Undirviðmiðalisti (Lýsigögn)'!$E$6:$E$41,MATCH($C132,'Undirviðmiðalisti (Lýsigögn)'!$C$6:$C$41,0))),IFERROR(IF(INDEX('Undirviðmiðalisti (Lýsigögn)'!$E$42:$E$58,MATCH($C132,'Undirviðmiðalisti (Lýsigögn)'!$C$42:$C$58,0))="","",INDEX('Undirviðmiðalisti (Lýsigögn)'!$E$42:$E$58,MATCH($C132,'Undirviðmiðalisti (Lýsigögn)'!$C$42:$C$58,0))),""))))</f>
        <v/>
      </c>
      <c r="G132" s="24" t="str">
        <f aca="false">IFERROR(IF(B132="","",INDEX(Viðmið!$B$6:$B$10,MATCH(B132,Viðmið!$C$6:$C$10,0))),"")</f>
        <v/>
      </c>
      <c r="H132" s="25" t="str">
        <f aca="false">IF(OR(E132="",F132=""),"",E132*KVARDI)</f>
        <v/>
      </c>
      <c r="I132" s="26" t="str">
        <f aca="false">IF(B132="","",IF(ROUND(SUMIF($B$6:$B$205,B132,$E$6:$E$205),4)=ROUND(IFERROR(INDEX(Viðmið!$E$6:$E$10,MATCH(B132,Viðmið!$C$6:$C$10,0)),-1),4),"✓","✗"))</f>
        <v/>
      </c>
      <c r="J132" s="16" t="str">
        <f aca="false">IF($C132="","",IF($G132="Einstaklingsbundið",IFERROR(IF(INDEX('Undirviðmiðalisti (Lýsigögn)'!F$42:F$58,MATCH($C132,'Undirviðmiðalisti (Lýsigögn)'!$C$42:$C$58,0))="","",INDEX('Undirviðmiðalisti (Lýsigögn)'!F$42:F$58,MATCH($C132,'Undirviðmiðalisti (Lýsigögn)'!$C$42:$C$58,0))),""),IFERROR(IF(INDEX('Undirviðmiðalisti (Lýsigögn)'!F$6:F$41,MATCH($C132,'Undirviðmiðalisti (Lýsigögn)'!$C$6:$C$41,0))="","",INDEX('Undirviðmiðalisti (Lýsigögn)'!F$6:F$41,MATCH($C132,'Undirviðmiðalisti (Lýsigögn)'!$C$6:$C$41,0))),IFERROR(IF(INDEX('Undirviðmiðalisti (Lýsigögn)'!F$42:F$58,MATCH($C132,'Undirviðmiðalisti (Lýsigögn)'!$C$42:$C$58,0))="","",INDEX('Undirviðmiðalisti (Lýsigögn)'!F$42:F$58,MATCH($C132,'Undirviðmiðalisti (Lýsigögn)'!$C$42:$C$58,0))),""))))</f>
        <v/>
      </c>
      <c r="K132" s="16" t="str">
        <f aca="false">IF($C132="","",IF($G132="Einstaklingsbundið",IFERROR(IF(INDEX('Undirviðmiðalisti (Lýsigögn)'!G$42:G$58,MATCH($C132,'Undirviðmiðalisti (Lýsigögn)'!$C$42:$C$58,0))="","",INDEX('Undirviðmiðalisti (Lýsigögn)'!G$42:G$58,MATCH($C132,'Undirviðmiðalisti (Lýsigögn)'!$C$42:$C$58,0))),""),IFERROR(IF(INDEX('Undirviðmiðalisti (Lýsigögn)'!G$6:G$41,MATCH($C132,'Undirviðmiðalisti (Lýsigögn)'!$C$6:$C$41,0))="","",INDEX('Undirviðmiðalisti (Lýsigögn)'!G$6:G$41,MATCH($C132,'Undirviðmiðalisti (Lýsigögn)'!$C$6:$C$41,0))),IFERROR(IF(INDEX('Undirviðmiðalisti (Lýsigögn)'!G$42:G$58,MATCH($C132,'Undirviðmiðalisti (Lýsigögn)'!$C$42:$C$58,0))="","",INDEX('Undirviðmiðalisti (Lýsigögn)'!G$42:G$58,MATCH($C132,'Undirviðmiðalisti (Lýsigögn)'!$C$42:$C$58,0))),""))))</f>
        <v/>
      </c>
      <c r="L132" s="16" t="str">
        <f aca="false">IF($C132="","",IF($G132="Einstaklingsbundið",IFERROR(IF(INDEX('Undirviðmiðalisti (Lýsigögn)'!H$42:H$58,MATCH($C132,'Undirviðmiðalisti (Lýsigögn)'!$C$42:$C$58,0))="","",INDEX('Undirviðmiðalisti (Lýsigögn)'!H$42:H$58,MATCH($C132,'Undirviðmiðalisti (Lýsigögn)'!$C$42:$C$58,0))),""),IFERROR(IF(INDEX('Undirviðmiðalisti (Lýsigögn)'!H$6:H$41,MATCH($C132,'Undirviðmiðalisti (Lýsigögn)'!$C$6:$C$41,0))="","",INDEX('Undirviðmiðalisti (Lýsigögn)'!H$6:H$41,MATCH($C132,'Undirviðmiðalisti (Lýsigögn)'!$C$6:$C$41,0))),IFERROR(IF(INDEX('Undirviðmiðalisti (Lýsigögn)'!H$42:H$58,MATCH($C132,'Undirviðmiðalisti (Lýsigögn)'!$C$42:$C$58,0))="","",INDEX('Undirviðmiðalisti (Lýsigögn)'!H$42:H$58,MATCH($C132,'Undirviðmiðalisti (Lýsigögn)'!$C$42:$C$58,0))),""))))</f>
        <v/>
      </c>
      <c r="M132" s="16" t="str">
        <f aca="false">IF($C132="","",IF($G132="Einstaklingsbundið",IFERROR(IF(INDEX('Undirviðmiðalisti (Lýsigögn)'!I$42:I$58,MATCH($C132,'Undirviðmiðalisti (Lýsigögn)'!$C$42:$C$58,0))="","",INDEX('Undirviðmiðalisti (Lýsigögn)'!I$42:I$58,MATCH($C132,'Undirviðmiðalisti (Lýsigögn)'!$C$42:$C$58,0))),""),IFERROR(IF(INDEX('Undirviðmiðalisti (Lýsigögn)'!I$6:I$41,MATCH($C132,'Undirviðmiðalisti (Lýsigögn)'!$C$6:$C$41,0))="","",INDEX('Undirviðmiðalisti (Lýsigögn)'!I$6:I$41,MATCH($C132,'Undirviðmiðalisti (Lýsigögn)'!$C$6:$C$41,0))),IFERROR(IF(INDEX('Undirviðmiðalisti (Lýsigögn)'!I$42:I$58,MATCH($C132,'Undirviðmiðalisti (Lýsigögn)'!$C$42:$C$58,0))="","",INDEX('Undirviðmiðalisti (Lýsigögn)'!I$42:I$58,MATCH($C132,'Undirviðmiðalisti (Lýsigögn)'!$C$42:$C$58,0))),""))))</f>
        <v/>
      </c>
      <c r="N132" s="16" t="str">
        <f aca="false">IF($C132="","",IF($G132="Einstaklingsbundið",IFERROR(IF(INDEX('Undirviðmiðalisti (Lýsigögn)'!J$42:J$58,MATCH($C132,'Undirviðmiðalisti (Lýsigögn)'!$C$42:$C$58,0))="","",INDEX('Undirviðmiðalisti (Lýsigögn)'!J$42:J$58,MATCH($C132,'Undirviðmiðalisti (Lýsigögn)'!$C$42:$C$58,0))),""),IFERROR(IF(INDEX('Undirviðmiðalisti (Lýsigögn)'!J$6:J$41,MATCH($C132,'Undirviðmiðalisti (Lýsigögn)'!$C$6:$C$41,0))="","",INDEX('Undirviðmiðalisti (Lýsigögn)'!J$6:J$41,MATCH($C132,'Undirviðmiðalisti (Lýsigögn)'!$C$6:$C$41,0))),IFERROR(IF(INDEX('Undirviðmiðalisti (Lýsigögn)'!J$42:J$58,MATCH($C132,'Undirviðmiðalisti (Lýsigögn)'!$C$42:$C$58,0))="","",INDEX('Undirviðmiðalisti (Lýsigögn)'!J$42:J$58,MATCH($C132,'Undirviðmiðalisti (Lýsigögn)'!$C$42:$C$58,0))),""))))</f>
        <v/>
      </c>
      <c r="O132" s="16" t="str">
        <f aca="false">IF($C132="","",IF($G132="Einstaklingsbundið",IFERROR(IF(INDEX('Undirviðmiðalisti (Lýsigögn)'!K$42:K$58,MATCH($C132,'Undirviðmiðalisti (Lýsigögn)'!$C$42:$C$58,0))="","",INDEX('Undirviðmiðalisti (Lýsigögn)'!K$42:K$58,MATCH($C132,'Undirviðmiðalisti (Lýsigögn)'!$C$42:$C$58,0))),""),IFERROR(IF(INDEX('Undirviðmiðalisti (Lýsigögn)'!K$6:K$41,MATCH($C132,'Undirviðmiðalisti (Lýsigögn)'!$C$6:$C$41,0))="","",INDEX('Undirviðmiðalisti (Lýsigögn)'!K$6:K$41,MATCH($C132,'Undirviðmiðalisti (Lýsigögn)'!$C$6:$C$41,0))),IFERROR(IF(INDEX('Undirviðmiðalisti (Lýsigögn)'!K$42:K$58,MATCH($C132,'Undirviðmiðalisti (Lýsigögn)'!$C$42:$C$58,0))="","",INDEX('Undirviðmiðalisti (Lýsigögn)'!K$42:K$58,MATCH($C132,'Undirviðmiðalisti (Lýsigögn)'!$C$42:$C$58,0))),""))))</f>
        <v/>
      </c>
      <c r="P132" s="16" t="str">
        <f aca="false">IF($C132="","",IF($G132="Einstaklingsbundið",IFERROR(IF(INDEX('Undirviðmiðalisti (Lýsigögn)'!L$42:L$58,MATCH($C132,'Undirviðmiðalisti (Lýsigögn)'!$C$42:$C$58,0))="","",INDEX('Undirviðmiðalisti (Lýsigögn)'!L$42:L$58,MATCH($C132,'Undirviðmiðalisti (Lýsigögn)'!$C$42:$C$58,0))),""),IFERROR(IF(INDEX('Undirviðmiðalisti (Lýsigögn)'!L$6:L$41,MATCH($C132,'Undirviðmiðalisti (Lýsigögn)'!$C$6:$C$41,0))="","",INDEX('Undirviðmiðalisti (Lýsigögn)'!L$6:L$41,MATCH($C132,'Undirviðmiðalisti (Lýsigögn)'!$C$6:$C$41,0))),IFERROR(IF(INDEX('Undirviðmiðalisti (Lýsigögn)'!L$42:L$58,MATCH($C132,'Undirviðmiðalisti (Lýsigögn)'!$C$42:$C$58,0))="","",INDEX('Undirviðmiðalisti (Lýsigögn)'!L$42:L$58,MATCH($C132,'Undirviðmiðalisti (Lýsigögn)'!$C$42:$C$58,0))),""))))</f>
        <v/>
      </c>
      <c r="Q132" s="16" t="str">
        <f aca="false">IF($C132="","",IF($G132="Einstaklingsbundið",IFERROR(IF(INDEX('Undirviðmiðalisti (Lýsigögn)'!M$42:M$58,MATCH($C132,'Undirviðmiðalisti (Lýsigögn)'!$C$42:$C$58,0))="","",INDEX('Undirviðmiðalisti (Lýsigögn)'!M$42:M$58,MATCH($C132,'Undirviðmiðalisti (Lýsigögn)'!$C$42:$C$58,0))),""),IFERROR(IF(INDEX('Undirviðmiðalisti (Lýsigögn)'!M$6:M$41,MATCH($C132,'Undirviðmiðalisti (Lýsigögn)'!$C$6:$C$41,0))="","",INDEX('Undirviðmiðalisti (Lýsigögn)'!M$6:M$41,MATCH($C132,'Undirviðmiðalisti (Lýsigögn)'!$C$6:$C$41,0))),IFERROR(IF(INDEX('Undirviðmiðalisti (Lýsigögn)'!M$42:M$58,MATCH($C132,'Undirviðmiðalisti (Lýsigögn)'!$C$42:$C$58,0))="","",INDEX('Undirviðmiðalisti (Lýsigögn)'!M$42:M$58,MATCH($C132,'Undirviðmiðalisti (Lýsigögn)'!$C$42:$C$58,0))),""))))</f>
        <v/>
      </c>
    </row>
    <row r="133" customFormat="false" ht="15" hidden="false" customHeight="true" outlineLevel="0" collapsed="false">
      <c r="A133" s="22" t="str">
        <f aca="false">IF($B133="","",ROW()-5)</f>
        <v/>
      </c>
      <c r="B133" s="15"/>
      <c r="C133" s="15"/>
      <c r="D133" s="16" t="str">
        <f aca="false">IF($C133="","",IF($G133="Einstaklingsbundið",IFERROR(IF(INDEX('Undirviðmiðalisti (Lýsigögn)'!$D$42:$D$58,MATCH($C133,'Undirviðmiðalisti (Lýsigögn)'!$C$42:$C$58,0))="","",INDEX('Undirviðmiðalisti (Lýsigögn)'!$D$42:$D$58,MATCH($C133,'Undirviðmiðalisti (Lýsigögn)'!$C$42:$C$58,0))),""),IFERROR(IF(INDEX('Undirviðmiðalisti (Lýsigögn)'!$D$6:$D$41,MATCH($C133,'Undirviðmiðalisti (Lýsigögn)'!$C$6:$C$41,0))="","",INDEX('Undirviðmiðalisti (Lýsigögn)'!$D$6:$D$41,MATCH($C133,'Undirviðmiðalisti (Lýsigögn)'!$C$6:$C$41,0))),IFERROR(IF(INDEX('Undirviðmiðalisti (Lýsigögn)'!$D$42:$D$58,MATCH($C133,'Undirviðmiðalisti (Lýsigögn)'!$C$42:$C$58,0))="","",INDEX('Undirviðmiðalisti (Lýsigögn)'!$D$42:$D$58,MATCH($C133,'Undirviðmiðalisti (Lýsigögn)'!$C$42:$C$58,0))),""))))</f>
        <v/>
      </c>
      <c r="E133" s="14"/>
      <c r="F133" s="23" t="str">
        <f aca="false">IF($C133="","",IF($G133="Einstaklingsbundið",IFERROR(IF(INDEX('Undirviðmiðalisti (Lýsigögn)'!$E$42:$E$58,MATCH($C133,'Undirviðmiðalisti (Lýsigögn)'!$C$42:$C$58,0))="","",INDEX('Undirviðmiðalisti (Lýsigögn)'!$E$42:$E$58,MATCH($C133,'Undirviðmiðalisti (Lýsigögn)'!$C$42:$C$58,0))),""),IFERROR(IF(INDEX('Undirviðmiðalisti (Lýsigögn)'!$E$6:$E$41,MATCH($C133,'Undirviðmiðalisti (Lýsigögn)'!$C$6:$C$41,0))="","",INDEX('Undirviðmiðalisti (Lýsigögn)'!$E$6:$E$41,MATCH($C133,'Undirviðmiðalisti (Lýsigögn)'!$C$6:$C$41,0))),IFERROR(IF(INDEX('Undirviðmiðalisti (Lýsigögn)'!$E$42:$E$58,MATCH($C133,'Undirviðmiðalisti (Lýsigögn)'!$C$42:$C$58,0))="","",INDEX('Undirviðmiðalisti (Lýsigögn)'!$E$42:$E$58,MATCH($C133,'Undirviðmiðalisti (Lýsigögn)'!$C$42:$C$58,0))),""))))</f>
        <v/>
      </c>
      <c r="G133" s="24" t="str">
        <f aca="false">IFERROR(IF(B133="","",INDEX(Viðmið!$B$6:$B$10,MATCH(B133,Viðmið!$C$6:$C$10,0))),"")</f>
        <v/>
      </c>
      <c r="H133" s="25" t="str">
        <f aca="false">IF(OR(E133="",F133=""),"",E133*KVARDI)</f>
        <v/>
      </c>
      <c r="I133" s="26" t="str">
        <f aca="false">IF(B133="","",IF(ROUND(SUMIF($B$6:$B$205,B133,$E$6:$E$205),4)=ROUND(IFERROR(INDEX(Viðmið!$E$6:$E$10,MATCH(B133,Viðmið!$C$6:$C$10,0)),-1),4),"✓","✗"))</f>
        <v/>
      </c>
      <c r="J133" s="16" t="str">
        <f aca="false">IF($C133="","",IF($G133="Einstaklingsbundið",IFERROR(IF(INDEX('Undirviðmiðalisti (Lýsigögn)'!F$42:F$58,MATCH($C133,'Undirviðmiðalisti (Lýsigögn)'!$C$42:$C$58,0))="","",INDEX('Undirviðmiðalisti (Lýsigögn)'!F$42:F$58,MATCH($C133,'Undirviðmiðalisti (Lýsigögn)'!$C$42:$C$58,0))),""),IFERROR(IF(INDEX('Undirviðmiðalisti (Lýsigögn)'!F$6:F$41,MATCH($C133,'Undirviðmiðalisti (Lýsigögn)'!$C$6:$C$41,0))="","",INDEX('Undirviðmiðalisti (Lýsigögn)'!F$6:F$41,MATCH($C133,'Undirviðmiðalisti (Lýsigögn)'!$C$6:$C$41,0))),IFERROR(IF(INDEX('Undirviðmiðalisti (Lýsigögn)'!F$42:F$58,MATCH($C133,'Undirviðmiðalisti (Lýsigögn)'!$C$42:$C$58,0))="","",INDEX('Undirviðmiðalisti (Lýsigögn)'!F$42:F$58,MATCH($C133,'Undirviðmiðalisti (Lýsigögn)'!$C$42:$C$58,0))),""))))</f>
        <v/>
      </c>
      <c r="K133" s="16" t="str">
        <f aca="false">IF($C133="","",IF($G133="Einstaklingsbundið",IFERROR(IF(INDEX('Undirviðmiðalisti (Lýsigögn)'!G$42:G$58,MATCH($C133,'Undirviðmiðalisti (Lýsigögn)'!$C$42:$C$58,0))="","",INDEX('Undirviðmiðalisti (Lýsigögn)'!G$42:G$58,MATCH($C133,'Undirviðmiðalisti (Lýsigögn)'!$C$42:$C$58,0))),""),IFERROR(IF(INDEX('Undirviðmiðalisti (Lýsigögn)'!G$6:G$41,MATCH($C133,'Undirviðmiðalisti (Lýsigögn)'!$C$6:$C$41,0))="","",INDEX('Undirviðmiðalisti (Lýsigögn)'!G$6:G$41,MATCH($C133,'Undirviðmiðalisti (Lýsigögn)'!$C$6:$C$41,0))),IFERROR(IF(INDEX('Undirviðmiðalisti (Lýsigögn)'!G$42:G$58,MATCH($C133,'Undirviðmiðalisti (Lýsigögn)'!$C$42:$C$58,0))="","",INDEX('Undirviðmiðalisti (Lýsigögn)'!G$42:G$58,MATCH($C133,'Undirviðmiðalisti (Lýsigögn)'!$C$42:$C$58,0))),""))))</f>
        <v/>
      </c>
      <c r="L133" s="16" t="str">
        <f aca="false">IF($C133="","",IF($G133="Einstaklingsbundið",IFERROR(IF(INDEX('Undirviðmiðalisti (Lýsigögn)'!H$42:H$58,MATCH($C133,'Undirviðmiðalisti (Lýsigögn)'!$C$42:$C$58,0))="","",INDEX('Undirviðmiðalisti (Lýsigögn)'!H$42:H$58,MATCH($C133,'Undirviðmiðalisti (Lýsigögn)'!$C$42:$C$58,0))),""),IFERROR(IF(INDEX('Undirviðmiðalisti (Lýsigögn)'!H$6:H$41,MATCH($C133,'Undirviðmiðalisti (Lýsigögn)'!$C$6:$C$41,0))="","",INDEX('Undirviðmiðalisti (Lýsigögn)'!H$6:H$41,MATCH($C133,'Undirviðmiðalisti (Lýsigögn)'!$C$6:$C$41,0))),IFERROR(IF(INDEX('Undirviðmiðalisti (Lýsigögn)'!H$42:H$58,MATCH($C133,'Undirviðmiðalisti (Lýsigögn)'!$C$42:$C$58,0))="","",INDEX('Undirviðmiðalisti (Lýsigögn)'!H$42:H$58,MATCH($C133,'Undirviðmiðalisti (Lýsigögn)'!$C$42:$C$58,0))),""))))</f>
        <v/>
      </c>
      <c r="M133" s="16" t="str">
        <f aca="false">IF($C133="","",IF($G133="Einstaklingsbundið",IFERROR(IF(INDEX('Undirviðmiðalisti (Lýsigögn)'!I$42:I$58,MATCH($C133,'Undirviðmiðalisti (Lýsigögn)'!$C$42:$C$58,0))="","",INDEX('Undirviðmiðalisti (Lýsigögn)'!I$42:I$58,MATCH($C133,'Undirviðmiðalisti (Lýsigögn)'!$C$42:$C$58,0))),""),IFERROR(IF(INDEX('Undirviðmiðalisti (Lýsigögn)'!I$6:I$41,MATCH($C133,'Undirviðmiðalisti (Lýsigögn)'!$C$6:$C$41,0))="","",INDEX('Undirviðmiðalisti (Lýsigögn)'!I$6:I$41,MATCH($C133,'Undirviðmiðalisti (Lýsigögn)'!$C$6:$C$41,0))),IFERROR(IF(INDEX('Undirviðmiðalisti (Lýsigögn)'!I$42:I$58,MATCH($C133,'Undirviðmiðalisti (Lýsigögn)'!$C$42:$C$58,0))="","",INDEX('Undirviðmiðalisti (Lýsigögn)'!I$42:I$58,MATCH($C133,'Undirviðmiðalisti (Lýsigögn)'!$C$42:$C$58,0))),""))))</f>
        <v/>
      </c>
      <c r="N133" s="16" t="str">
        <f aca="false">IF($C133="","",IF($G133="Einstaklingsbundið",IFERROR(IF(INDEX('Undirviðmiðalisti (Lýsigögn)'!J$42:J$58,MATCH($C133,'Undirviðmiðalisti (Lýsigögn)'!$C$42:$C$58,0))="","",INDEX('Undirviðmiðalisti (Lýsigögn)'!J$42:J$58,MATCH($C133,'Undirviðmiðalisti (Lýsigögn)'!$C$42:$C$58,0))),""),IFERROR(IF(INDEX('Undirviðmiðalisti (Lýsigögn)'!J$6:J$41,MATCH($C133,'Undirviðmiðalisti (Lýsigögn)'!$C$6:$C$41,0))="","",INDEX('Undirviðmiðalisti (Lýsigögn)'!J$6:J$41,MATCH($C133,'Undirviðmiðalisti (Lýsigögn)'!$C$6:$C$41,0))),IFERROR(IF(INDEX('Undirviðmiðalisti (Lýsigögn)'!J$42:J$58,MATCH($C133,'Undirviðmiðalisti (Lýsigögn)'!$C$42:$C$58,0))="","",INDEX('Undirviðmiðalisti (Lýsigögn)'!J$42:J$58,MATCH($C133,'Undirviðmiðalisti (Lýsigögn)'!$C$42:$C$58,0))),""))))</f>
        <v/>
      </c>
      <c r="O133" s="16" t="str">
        <f aca="false">IF($C133="","",IF($G133="Einstaklingsbundið",IFERROR(IF(INDEX('Undirviðmiðalisti (Lýsigögn)'!K$42:K$58,MATCH($C133,'Undirviðmiðalisti (Lýsigögn)'!$C$42:$C$58,0))="","",INDEX('Undirviðmiðalisti (Lýsigögn)'!K$42:K$58,MATCH($C133,'Undirviðmiðalisti (Lýsigögn)'!$C$42:$C$58,0))),""),IFERROR(IF(INDEX('Undirviðmiðalisti (Lýsigögn)'!K$6:K$41,MATCH($C133,'Undirviðmiðalisti (Lýsigögn)'!$C$6:$C$41,0))="","",INDEX('Undirviðmiðalisti (Lýsigögn)'!K$6:K$41,MATCH($C133,'Undirviðmiðalisti (Lýsigögn)'!$C$6:$C$41,0))),IFERROR(IF(INDEX('Undirviðmiðalisti (Lýsigögn)'!K$42:K$58,MATCH($C133,'Undirviðmiðalisti (Lýsigögn)'!$C$42:$C$58,0))="","",INDEX('Undirviðmiðalisti (Lýsigögn)'!K$42:K$58,MATCH($C133,'Undirviðmiðalisti (Lýsigögn)'!$C$42:$C$58,0))),""))))</f>
        <v/>
      </c>
      <c r="P133" s="16" t="str">
        <f aca="false">IF($C133="","",IF($G133="Einstaklingsbundið",IFERROR(IF(INDEX('Undirviðmiðalisti (Lýsigögn)'!L$42:L$58,MATCH($C133,'Undirviðmiðalisti (Lýsigögn)'!$C$42:$C$58,0))="","",INDEX('Undirviðmiðalisti (Lýsigögn)'!L$42:L$58,MATCH($C133,'Undirviðmiðalisti (Lýsigögn)'!$C$42:$C$58,0))),""),IFERROR(IF(INDEX('Undirviðmiðalisti (Lýsigögn)'!L$6:L$41,MATCH($C133,'Undirviðmiðalisti (Lýsigögn)'!$C$6:$C$41,0))="","",INDEX('Undirviðmiðalisti (Lýsigögn)'!L$6:L$41,MATCH($C133,'Undirviðmiðalisti (Lýsigögn)'!$C$6:$C$41,0))),IFERROR(IF(INDEX('Undirviðmiðalisti (Lýsigögn)'!L$42:L$58,MATCH($C133,'Undirviðmiðalisti (Lýsigögn)'!$C$42:$C$58,0))="","",INDEX('Undirviðmiðalisti (Lýsigögn)'!L$42:L$58,MATCH($C133,'Undirviðmiðalisti (Lýsigögn)'!$C$42:$C$58,0))),""))))</f>
        <v/>
      </c>
      <c r="Q133" s="16" t="str">
        <f aca="false">IF($C133="","",IF($G133="Einstaklingsbundið",IFERROR(IF(INDEX('Undirviðmiðalisti (Lýsigögn)'!M$42:M$58,MATCH($C133,'Undirviðmiðalisti (Lýsigögn)'!$C$42:$C$58,0))="","",INDEX('Undirviðmiðalisti (Lýsigögn)'!M$42:M$58,MATCH($C133,'Undirviðmiðalisti (Lýsigögn)'!$C$42:$C$58,0))),""),IFERROR(IF(INDEX('Undirviðmiðalisti (Lýsigögn)'!M$6:M$41,MATCH($C133,'Undirviðmiðalisti (Lýsigögn)'!$C$6:$C$41,0))="","",INDEX('Undirviðmiðalisti (Lýsigögn)'!M$6:M$41,MATCH($C133,'Undirviðmiðalisti (Lýsigögn)'!$C$6:$C$41,0))),IFERROR(IF(INDEX('Undirviðmiðalisti (Lýsigögn)'!M$42:M$58,MATCH($C133,'Undirviðmiðalisti (Lýsigögn)'!$C$42:$C$58,0))="","",INDEX('Undirviðmiðalisti (Lýsigögn)'!M$42:M$58,MATCH($C133,'Undirviðmiðalisti (Lýsigögn)'!$C$42:$C$58,0))),""))))</f>
        <v/>
      </c>
    </row>
    <row r="134" customFormat="false" ht="15" hidden="false" customHeight="true" outlineLevel="0" collapsed="false">
      <c r="A134" s="22" t="str">
        <f aca="false">IF($B134="","",ROW()-5)</f>
        <v/>
      </c>
      <c r="B134" s="15"/>
      <c r="C134" s="15"/>
      <c r="D134" s="16" t="str">
        <f aca="false">IF($C134="","",IF($G134="Einstaklingsbundið",IFERROR(IF(INDEX('Undirviðmiðalisti (Lýsigögn)'!$D$42:$D$58,MATCH($C134,'Undirviðmiðalisti (Lýsigögn)'!$C$42:$C$58,0))="","",INDEX('Undirviðmiðalisti (Lýsigögn)'!$D$42:$D$58,MATCH($C134,'Undirviðmiðalisti (Lýsigögn)'!$C$42:$C$58,0))),""),IFERROR(IF(INDEX('Undirviðmiðalisti (Lýsigögn)'!$D$6:$D$41,MATCH($C134,'Undirviðmiðalisti (Lýsigögn)'!$C$6:$C$41,0))="","",INDEX('Undirviðmiðalisti (Lýsigögn)'!$D$6:$D$41,MATCH($C134,'Undirviðmiðalisti (Lýsigögn)'!$C$6:$C$41,0))),IFERROR(IF(INDEX('Undirviðmiðalisti (Lýsigögn)'!$D$42:$D$58,MATCH($C134,'Undirviðmiðalisti (Lýsigögn)'!$C$42:$C$58,0))="","",INDEX('Undirviðmiðalisti (Lýsigögn)'!$D$42:$D$58,MATCH($C134,'Undirviðmiðalisti (Lýsigögn)'!$C$42:$C$58,0))),""))))</f>
        <v/>
      </c>
      <c r="E134" s="14"/>
      <c r="F134" s="23" t="str">
        <f aca="false">IF($C134="","",IF($G134="Einstaklingsbundið",IFERROR(IF(INDEX('Undirviðmiðalisti (Lýsigögn)'!$E$42:$E$58,MATCH($C134,'Undirviðmiðalisti (Lýsigögn)'!$C$42:$C$58,0))="","",INDEX('Undirviðmiðalisti (Lýsigögn)'!$E$42:$E$58,MATCH($C134,'Undirviðmiðalisti (Lýsigögn)'!$C$42:$C$58,0))),""),IFERROR(IF(INDEX('Undirviðmiðalisti (Lýsigögn)'!$E$6:$E$41,MATCH($C134,'Undirviðmiðalisti (Lýsigögn)'!$C$6:$C$41,0))="","",INDEX('Undirviðmiðalisti (Lýsigögn)'!$E$6:$E$41,MATCH($C134,'Undirviðmiðalisti (Lýsigögn)'!$C$6:$C$41,0))),IFERROR(IF(INDEX('Undirviðmiðalisti (Lýsigögn)'!$E$42:$E$58,MATCH($C134,'Undirviðmiðalisti (Lýsigögn)'!$C$42:$C$58,0))="","",INDEX('Undirviðmiðalisti (Lýsigögn)'!$E$42:$E$58,MATCH($C134,'Undirviðmiðalisti (Lýsigögn)'!$C$42:$C$58,0))),""))))</f>
        <v/>
      </c>
      <c r="G134" s="24" t="str">
        <f aca="false">IFERROR(IF(B134="","",INDEX(Viðmið!$B$6:$B$10,MATCH(B134,Viðmið!$C$6:$C$10,0))),"")</f>
        <v/>
      </c>
      <c r="H134" s="25" t="str">
        <f aca="false">IF(OR(E134="",F134=""),"",E134*KVARDI)</f>
        <v/>
      </c>
      <c r="I134" s="26" t="str">
        <f aca="false">IF(B134="","",IF(ROUND(SUMIF($B$6:$B$205,B134,$E$6:$E$205),4)=ROUND(IFERROR(INDEX(Viðmið!$E$6:$E$10,MATCH(B134,Viðmið!$C$6:$C$10,0)),-1),4),"✓","✗"))</f>
        <v/>
      </c>
      <c r="J134" s="16" t="str">
        <f aca="false">IF($C134="","",IF($G134="Einstaklingsbundið",IFERROR(IF(INDEX('Undirviðmiðalisti (Lýsigögn)'!F$42:F$58,MATCH($C134,'Undirviðmiðalisti (Lýsigögn)'!$C$42:$C$58,0))="","",INDEX('Undirviðmiðalisti (Lýsigögn)'!F$42:F$58,MATCH($C134,'Undirviðmiðalisti (Lýsigögn)'!$C$42:$C$58,0))),""),IFERROR(IF(INDEX('Undirviðmiðalisti (Lýsigögn)'!F$6:F$41,MATCH($C134,'Undirviðmiðalisti (Lýsigögn)'!$C$6:$C$41,0))="","",INDEX('Undirviðmiðalisti (Lýsigögn)'!F$6:F$41,MATCH($C134,'Undirviðmiðalisti (Lýsigögn)'!$C$6:$C$41,0))),IFERROR(IF(INDEX('Undirviðmiðalisti (Lýsigögn)'!F$42:F$58,MATCH($C134,'Undirviðmiðalisti (Lýsigögn)'!$C$42:$C$58,0))="","",INDEX('Undirviðmiðalisti (Lýsigögn)'!F$42:F$58,MATCH($C134,'Undirviðmiðalisti (Lýsigögn)'!$C$42:$C$58,0))),""))))</f>
        <v/>
      </c>
      <c r="K134" s="16" t="str">
        <f aca="false">IF($C134="","",IF($G134="Einstaklingsbundið",IFERROR(IF(INDEX('Undirviðmiðalisti (Lýsigögn)'!G$42:G$58,MATCH($C134,'Undirviðmiðalisti (Lýsigögn)'!$C$42:$C$58,0))="","",INDEX('Undirviðmiðalisti (Lýsigögn)'!G$42:G$58,MATCH($C134,'Undirviðmiðalisti (Lýsigögn)'!$C$42:$C$58,0))),""),IFERROR(IF(INDEX('Undirviðmiðalisti (Lýsigögn)'!G$6:G$41,MATCH($C134,'Undirviðmiðalisti (Lýsigögn)'!$C$6:$C$41,0))="","",INDEX('Undirviðmiðalisti (Lýsigögn)'!G$6:G$41,MATCH($C134,'Undirviðmiðalisti (Lýsigögn)'!$C$6:$C$41,0))),IFERROR(IF(INDEX('Undirviðmiðalisti (Lýsigögn)'!G$42:G$58,MATCH($C134,'Undirviðmiðalisti (Lýsigögn)'!$C$42:$C$58,0))="","",INDEX('Undirviðmiðalisti (Lýsigögn)'!G$42:G$58,MATCH($C134,'Undirviðmiðalisti (Lýsigögn)'!$C$42:$C$58,0))),""))))</f>
        <v/>
      </c>
      <c r="L134" s="16" t="str">
        <f aca="false">IF($C134="","",IF($G134="Einstaklingsbundið",IFERROR(IF(INDEX('Undirviðmiðalisti (Lýsigögn)'!H$42:H$58,MATCH($C134,'Undirviðmiðalisti (Lýsigögn)'!$C$42:$C$58,0))="","",INDEX('Undirviðmiðalisti (Lýsigögn)'!H$42:H$58,MATCH($C134,'Undirviðmiðalisti (Lýsigögn)'!$C$42:$C$58,0))),""),IFERROR(IF(INDEX('Undirviðmiðalisti (Lýsigögn)'!H$6:H$41,MATCH($C134,'Undirviðmiðalisti (Lýsigögn)'!$C$6:$C$41,0))="","",INDEX('Undirviðmiðalisti (Lýsigögn)'!H$6:H$41,MATCH($C134,'Undirviðmiðalisti (Lýsigögn)'!$C$6:$C$41,0))),IFERROR(IF(INDEX('Undirviðmiðalisti (Lýsigögn)'!H$42:H$58,MATCH($C134,'Undirviðmiðalisti (Lýsigögn)'!$C$42:$C$58,0))="","",INDEX('Undirviðmiðalisti (Lýsigögn)'!H$42:H$58,MATCH($C134,'Undirviðmiðalisti (Lýsigögn)'!$C$42:$C$58,0))),""))))</f>
        <v/>
      </c>
      <c r="M134" s="16" t="str">
        <f aca="false">IF($C134="","",IF($G134="Einstaklingsbundið",IFERROR(IF(INDEX('Undirviðmiðalisti (Lýsigögn)'!I$42:I$58,MATCH($C134,'Undirviðmiðalisti (Lýsigögn)'!$C$42:$C$58,0))="","",INDEX('Undirviðmiðalisti (Lýsigögn)'!I$42:I$58,MATCH($C134,'Undirviðmiðalisti (Lýsigögn)'!$C$42:$C$58,0))),""),IFERROR(IF(INDEX('Undirviðmiðalisti (Lýsigögn)'!I$6:I$41,MATCH($C134,'Undirviðmiðalisti (Lýsigögn)'!$C$6:$C$41,0))="","",INDEX('Undirviðmiðalisti (Lýsigögn)'!I$6:I$41,MATCH($C134,'Undirviðmiðalisti (Lýsigögn)'!$C$6:$C$41,0))),IFERROR(IF(INDEX('Undirviðmiðalisti (Lýsigögn)'!I$42:I$58,MATCH($C134,'Undirviðmiðalisti (Lýsigögn)'!$C$42:$C$58,0))="","",INDEX('Undirviðmiðalisti (Lýsigögn)'!I$42:I$58,MATCH($C134,'Undirviðmiðalisti (Lýsigögn)'!$C$42:$C$58,0))),""))))</f>
        <v/>
      </c>
      <c r="N134" s="16" t="str">
        <f aca="false">IF($C134="","",IF($G134="Einstaklingsbundið",IFERROR(IF(INDEX('Undirviðmiðalisti (Lýsigögn)'!J$42:J$58,MATCH($C134,'Undirviðmiðalisti (Lýsigögn)'!$C$42:$C$58,0))="","",INDEX('Undirviðmiðalisti (Lýsigögn)'!J$42:J$58,MATCH($C134,'Undirviðmiðalisti (Lýsigögn)'!$C$42:$C$58,0))),""),IFERROR(IF(INDEX('Undirviðmiðalisti (Lýsigögn)'!J$6:J$41,MATCH($C134,'Undirviðmiðalisti (Lýsigögn)'!$C$6:$C$41,0))="","",INDEX('Undirviðmiðalisti (Lýsigögn)'!J$6:J$41,MATCH($C134,'Undirviðmiðalisti (Lýsigögn)'!$C$6:$C$41,0))),IFERROR(IF(INDEX('Undirviðmiðalisti (Lýsigögn)'!J$42:J$58,MATCH($C134,'Undirviðmiðalisti (Lýsigögn)'!$C$42:$C$58,0))="","",INDEX('Undirviðmiðalisti (Lýsigögn)'!J$42:J$58,MATCH($C134,'Undirviðmiðalisti (Lýsigögn)'!$C$42:$C$58,0))),""))))</f>
        <v/>
      </c>
      <c r="O134" s="16" t="str">
        <f aca="false">IF($C134="","",IF($G134="Einstaklingsbundið",IFERROR(IF(INDEX('Undirviðmiðalisti (Lýsigögn)'!K$42:K$58,MATCH($C134,'Undirviðmiðalisti (Lýsigögn)'!$C$42:$C$58,0))="","",INDEX('Undirviðmiðalisti (Lýsigögn)'!K$42:K$58,MATCH($C134,'Undirviðmiðalisti (Lýsigögn)'!$C$42:$C$58,0))),""),IFERROR(IF(INDEX('Undirviðmiðalisti (Lýsigögn)'!K$6:K$41,MATCH($C134,'Undirviðmiðalisti (Lýsigögn)'!$C$6:$C$41,0))="","",INDEX('Undirviðmiðalisti (Lýsigögn)'!K$6:K$41,MATCH($C134,'Undirviðmiðalisti (Lýsigögn)'!$C$6:$C$41,0))),IFERROR(IF(INDEX('Undirviðmiðalisti (Lýsigögn)'!K$42:K$58,MATCH($C134,'Undirviðmiðalisti (Lýsigögn)'!$C$42:$C$58,0))="","",INDEX('Undirviðmiðalisti (Lýsigögn)'!K$42:K$58,MATCH($C134,'Undirviðmiðalisti (Lýsigögn)'!$C$42:$C$58,0))),""))))</f>
        <v/>
      </c>
      <c r="P134" s="16" t="str">
        <f aca="false">IF($C134="","",IF($G134="Einstaklingsbundið",IFERROR(IF(INDEX('Undirviðmiðalisti (Lýsigögn)'!L$42:L$58,MATCH($C134,'Undirviðmiðalisti (Lýsigögn)'!$C$42:$C$58,0))="","",INDEX('Undirviðmiðalisti (Lýsigögn)'!L$42:L$58,MATCH($C134,'Undirviðmiðalisti (Lýsigögn)'!$C$42:$C$58,0))),""),IFERROR(IF(INDEX('Undirviðmiðalisti (Lýsigögn)'!L$6:L$41,MATCH($C134,'Undirviðmiðalisti (Lýsigögn)'!$C$6:$C$41,0))="","",INDEX('Undirviðmiðalisti (Lýsigögn)'!L$6:L$41,MATCH($C134,'Undirviðmiðalisti (Lýsigögn)'!$C$6:$C$41,0))),IFERROR(IF(INDEX('Undirviðmiðalisti (Lýsigögn)'!L$42:L$58,MATCH($C134,'Undirviðmiðalisti (Lýsigögn)'!$C$42:$C$58,0))="","",INDEX('Undirviðmiðalisti (Lýsigögn)'!L$42:L$58,MATCH($C134,'Undirviðmiðalisti (Lýsigögn)'!$C$42:$C$58,0))),""))))</f>
        <v/>
      </c>
      <c r="Q134" s="16" t="str">
        <f aca="false">IF($C134="","",IF($G134="Einstaklingsbundið",IFERROR(IF(INDEX('Undirviðmiðalisti (Lýsigögn)'!M$42:M$58,MATCH($C134,'Undirviðmiðalisti (Lýsigögn)'!$C$42:$C$58,0))="","",INDEX('Undirviðmiðalisti (Lýsigögn)'!M$42:M$58,MATCH($C134,'Undirviðmiðalisti (Lýsigögn)'!$C$42:$C$58,0))),""),IFERROR(IF(INDEX('Undirviðmiðalisti (Lýsigögn)'!M$6:M$41,MATCH($C134,'Undirviðmiðalisti (Lýsigögn)'!$C$6:$C$41,0))="","",INDEX('Undirviðmiðalisti (Lýsigögn)'!M$6:M$41,MATCH($C134,'Undirviðmiðalisti (Lýsigögn)'!$C$6:$C$41,0))),IFERROR(IF(INDEX('Undirviðmiðalisti (Lýsigögn)'!M$42:M$58,MATCH($C134,'Undirviðmiðalisti (Lýsigögn)'!$C$42:$C$58,0))="","",INDEX('Undirviðmiðalisti (Lýsigögn)'!M$42:M$58,MATCH($C134,'Undirviðmiðalisti (Lýsigögn)'!$C$42:$C$58,0))),""))))</f>
        <v/>
      </c>
    </row>
    <row r="135" customFormat="false" ht="15" hidden="false" customHeight="true" outlineLevel="0" collapsed="false">
      <c r="A135" s="22" t="str">
        <f aca="false">IF($B135="","",ROW()-5)</f>
        <v/>
      </c>
      <c r="B135" s="15"/>
      <c r="C135" s="15"/>
      <c r="D135" s="16" t="str">
        <f aca="false">IF($C135="","",IF($G135="Einstaklingsbundið",IFERROR(IF(INDEX('Undirviðmiðalisti (Lýsigögn)'!$D$42:$D$58,MATCH($C135,'Undirviðmiðalisti (Lýsigögn)'!$C$42:$C$58,0))="","",INDEX('Undirviðmiðalisti (Lýsigögn)'!$D$42:$D$58,MATCH($C135,'Undirviðmiðalisti (Lýsigögn)'!$C$42:$C$58,0))),""),IFERROR(IF(INDEX('Undirviðmiðalisti (Lýsigögn)'!$D$6:$D$41,MATCH($C135,'Undirviðmiðalisti (Lýsigögn)'!$C$6:$C$41,0))="","",INDEX('Undirviðmiðalisti (Lýsigögn)'!$D$6:$D$41,MATCH($C135,'Undirviðmiðalisti (Lýsigögn)'!$C$6:$C$41,0))),IFERROR(IF(INDEX('Undirviðmiðalisti (Lýsigögn)'!$D$42:$D$58,MATCH($C135,'Undirviðmiðalisti (Lýsigögn)'!$C$42:$C$58,0))="","",INDEX('Undirviðmiðalisti (Lýsigögn)'!$D$42:$D$58,MATCH($C135,'Undirviðmiðalisti (Lýsigögn)'!$C$42:$C$58,0))),""))))</f>
        <v/>
      </c>
      <c r="E135" s="14"/>
      <c r="F135" s="23" t="str">
        <f aca="false">IF($C135="","",IF($G135="Einstaklingsbundið",IFERROR(IF(INDEX('Undirviðmiðalisti (Lýsigögn)'!$E$42:$E$58,MATCH($C135,'Undirviðmiðalisti (Lýsigögn)'!$C$42:$C$58,0))="","",INDEX('Undirviðmiðalisti (Lýsigögn)'!$E$42:$E$58,MATCH($C135,'Undirviðmiðalisti (Lýsigögn)'!$C$42:$C$58,0))),""),IFERROR(IF(INDEX('Undirviðmiðalisti (Lýsigögn)'!$E$6:$E$41,MATCH($C135,'Undirviðmiðalisti (Lýsigögn)'!$C$6:$C$41,0))="","",INDEX('Undirviðmiðalisti (Lýsigögn)'!$E$6:$E$41,MATCH($C135,'Undirviðmiðalisti (Lýsigögn)'!$C$6:$C$41,0))),IFERROR(IF(INDEX('Undirviðmiðalisti (Lýsigögn)'!$E$42:$E$58,MATCH($C135,'Undirviðmiðalisti (Lýsigögn)'!$C$42:$C$58,0))="","",INDEX('Undirviðmiðalisti (Lýsigögn)'!$E$42:$E$58,MATCH($C135,'Undirviðmiðalisti (Lýsigögn)'!$C$42:$C$58,0))),""))))</f>
        <v/>
      </c>
      <c r="G135" s="24" t="str">
        <f aca="false">IFERROR(IF(B135="","",INDEX(Viðmið!$B$6:$B$10,MATCH(B135,Viðmið!$C$6:$C$10,0))),"")</f>
        <v/>
      </c>
      <c r="H135" s="25" t="str">
        <f aca="false">IF(OR(E135="",F135=""),"",E135*KVARDI)</f>
        <v/>
      </c>
      <c r="I135" s="26" t="str">
        <f aca="false">IF(B135="","",IF(ROUND(SUMIF($B$6:$B$205,B135,$E$6:$E$205),4)=ROUND(IFERROR(INDEX(Viðmið!$E$6:$E$10,MATCH(B135,Viðmið!$C$6:$C$10,0)),-1),4),"✓","✗"))</f>
        <v/>
      </c>
      <c r="J135" s="16" t="str">
        <f aca="false">IF($C135="","",IF($G135="Einstaklingsbundið",IFERROR(IF(INDEX('Undirviðmiðalisti (Lýsigögn)'!F$42:F$58,MATCH($C135,'Undirviðmiðalisti (Lýsigögn)'!$C$42:$C$58,0))="","",INDEX('Undirviðmiðalisti (Lýsigögn)'!F$42:F$58,MATCH($C135,'Undirviðmiðalisti (Lýsigögn)'!$C$42:$C$58,0))),""),IFERROR(IF(INDEX('Undirviðmiðalisti (Lýsigögn)'!F$6:F$41,MATCH($C135,'Undirviðmiðalisti (Lýsigögn)'!$C$6:$C$41,0))="","",INDEX('Undirviðmiðalisti (Lýsigögn)'!F$6:F$41,MATCH($C135,'Undirviðmiðalisti (Lýsigögn)'!$C$6:$C$41,0))),IFERROR(IF(INDEX('Undirviðmiðalisti (Lýsigögn)'!F$42:F$58,MATCH($C135,'Undirviðmiðalisti (Lýsigögn)'!$C$42:$C$58,0))="","",INDEX('Undirviðmiðalisti (Lýsigögn)'!F$42:F$58,MATCH($C135,'Undirviðmiðalisti (Lýsigögn)'!$C$42:$C$58,0))),""))))</f>
        <v/>
      </c>
      <c r="K135" s="16" t="str">
        <f aca="false">IF($C135="","",IF($G135="Einstaklingsbundið",IFERROR(IF(INDEX('Undirviðmiðalisti (Lýsigögn)'!G$42:G$58,MATCH($C135,'Undirviðmiðalisti (Lýsigögn)'!$C$42:$C$58,0))="","",INDEX('Undirviðmiðalisti (Lýsigögn)'!G$42:G$58,MATCH($C135,'Undirviðmiðalisti (Lýsigögn)'!$C$42:$C$58,0))),""),IFERROR(IF(INDEX('Undirviðmiðalisti (Lýsigögn)'!G$6:G$41,MATCH($C135,'Undirviðmiðalisti (Lýsigögn)'!$C$6:$C$41,0))="","",INDEX('Undirviðmiðalisti (Lýsigögn)'!G$6:G$41,MATCH($C135,'Undirviðmiðalisti (Lýsigögn)'!$C$6:$C$41,0))),IFERROR(IF(INDEX('Undirviðmiðalisti (Lýsigögn)'!G$42:G$58,MATCH($C135,'Undirviðmiðalisti (Lýsigögn)'!$C$42:$C$58,0))="","",INDEX('Undirviðmiðalisti (Lýsigögn)'!G$42:G$58,MATCH($C135,'Undirviðmiðalisti (Lýsigögn)'!$C$42:$C$58,0))),""))))</f>
        <v/>
      </c>
      <c r="L135" s="16" t="str">
        <f aca="false">IF($C135="","",IF($G135="Einstaklingsbundið",IFERROR(IF(INDEX('Undirviðmiðalisti (Lýsigögn)'!H$42:H$58,MATCH($C135,'Undirviðmiðalisti (Lýsigögn)'!$C$42:$C$58,0))="","",INDEX('Undirviðmiðalisti (Lýsigögn)'!H$42:H$58,MATCH($C135,'Undirviðmiðalisti (Lýsigögn)'!$C$42:$C$58,0))),""),IFERROR(IF(INDEX('Undirviðmiðalisti (Lýsigögn)'!H$6:H$41,MATCH($C135,'Undirviðmiðalisti (Lýsigögn)'!$C$6:$C$41,0))="","",INDEX('Undirviðmiðalisti (Lýsigögn)'!H$6:H$41,MATCH($C135,'Undirviðmiðalisti (Lýsigögn)'!$C$6:$C$41,0))),IFERROR(IF(INDEX('Undirviðmiðalisti (Lýsigögn)'!H$42:H$58,MATCH($C135,'Undirviðmiðalisti (Lýsigögn)'!$C$42:$C$58,0))="","",INDEX('Undirviðmiðalisti (Lýsigögn)'!H$42:H$58,MATCH($C135,'Undirviðmiðalisti (Lýsigögn)'!$C$42:$C$58,0))),""))))</f>
        <v/>
      </c>
      <c r="M135" s="16" t="str">
        <f aca="false">IF($C135="","",IF($G135="Einstaklingsbundið",IFERROR(IF(INDEX('Undirviðmiðalisti (Lýsigögn)'!I$42:I$58,MATCH($C135,'Undirviðmiðalisti (Lýsigögn)'!$C$42:$C$58,0))="","",INDEX('Undirviðmiðalisti (Lýsigögn)'!I$42:I$58,MATCH($C135,'Undirviðmiðalisti (Lýsigögn)'!$C$42:$C$58,0))),""),IFERROR(IF(INDEX('Undirviðmiðalisti (Lýsigögn)'!I$6:I$41,MATCH($C135,'Undirviðmiðalisti (Lýsigögn)'!$C$6:$C$41,0))="","",INDEX('Undirviðmiðalisti (Lýsigögn)'!I$6:I$41,MATCH($C135,'Undirviðmiðalisti (Lýsigögn)'!$C$6:$C$41,0))),IFERROR(IF(INDEX('Undirviðmiðalisti (Lýsigögn)'!I$42:I$58,MATCH($C135,'Undirviðmiðalisti (Lýsigögn)'!$C$42:$C$58,0))="","",INDEX('Undirviðmiðalisti (Lýsigögn)'!I$42:I$58,MATCH($C135,'Undirviðmiðalisti (Lýsigögn)'!$C$42:$C$58,0))),""))))</f>
        <v/>
      </c>
      <c r="N135" s="16" t="str">
        <f aca="false">IF($C135="","",IF($G135="Einstaklingsbundið",IFERROR(IF(INDEX('Undirviðmiðalisti (Lýsigögn)'!J$42:J$58,MATCH($C135,'Undirviðmiðalisti (Lýsigögn)'!$C$42:$C$58,0))="","",INDEX('Undirviðmiðalisti (Lýsigögn)'!J$42:J$58,MATCH($C135,'Undirviðmiðalisti (Lýsigögn)'!$C$42:$C$58,0))),""),IFERROR(IF(INDEX('Undirviðmiðalisti (Lýsigögn)'!J$6:J$41,MATCH($C135,'Undirviðmiðalisti (Lýsigögn)'!$C$6:$C$41,0))="","",INDEX('Undirviðmiðalisti (Lýsigögn)'!J$6:J$41,MATCH($C135,'Undirviðmiðalisti (Lýsigögn)'!$C$6:$C$41,0))),IFERROR(IF(INDEX('Undirviðmiðalisti (Lýsigögn)'!J$42:J$58,MATCH($C135,'Undirviðmiðalisti (Lýsigögn)'!$C$42:$C$58,0))="","",INDEX('Undirviðmiðalisti (Lýsigögn)'!J$42:J$58,MATCH($C135,'Undirviðmiðalisti (Lýsigögn)'!$C$42:$C$58,0))),""))))</f>
        <v/>
      </c>
      <c r="O135" s="16" t="str">
        <f aca="false">IF($C135="","",IF($G135="Einstaklingsbundið",IFERROR(IF(INDEX('Undirviðmiðalisti (Lýsigögn)'!K$42:K$58,MATCH($C135,'Undirviðmiðalisti (Lýsigögn)'!$C$42:$C$58,0))="","",INDEX('Undirviðmiðalisti (Lýsigögn)'!K$42:K$58,MATCH($C135,'Undirviðmiðalisti (Lýsigögn)'!$C$42:$C$58,0))),""),IFERROR(IF(INDEX('Undirviðmiðalisti (Lýsigögn)'!K$6:K$41,MATCH($C135,'Undirviðmiðalisti (Lýsigögn)'!$C$6:$C$41,0))="","",INDEX('Undirviðmiðalisti (Lýsigögn)'!K$6:K$41,MATCH($C135,'Undirviðmiðalisti (Lýsigögn)'!$C$6:$C$41,0))),IFERROR(IF(INDEX('Undirviðmiðalisti (Lýsigögn)'!K$42:K$58,MATCH($C135,'Undirviðmiðalisti (Lýsigögn)'!$C$42:$C$58,0))="","",INDEX('Undirviðmiðalisti (Lýsigögn)'!K$42:K$58,MATCH($C135,'Undirviðmiðalisti (Lýsigögn)'!$C$42:$C$58,0))),""))))</f>
        <v/>
      </c>
      <c r="P135" s="16" t="str">
        <f aca="false">IF($C135="","",IF($G135="Einstaklingsbundið",IFERROR(IF(INDEX('Undirviðmiðalisti (Lýsigögn)'!L$42:L$58,MATCH($C135,'Undirviðmiðalisti (Lýsigögn)'!$C$42:$C$58,0))="","",INDEX('Undirviðmiðalisti (Lýsigögn)'!L$42:L$58,MATCH($C135,'Undirviðmiðalisti (Lýsigögn)'!$C$42:$C$58,0))),""),IFERROR(IF(INDEX('Undirviðmiðalisti (Lýsigögn)'!L$6:L$41,MATCH($C135,'Undirviðmiðalisti (Lýsigögn)'!$C$6:$C$41,0))="","",INDEX('Undirviðmiðalisti (Lýsigögn)'!L$6:L$41,MATCH($C135,'Undirviðmiðalisti (Lýsigögn)'!$C$6:$C$41,0))),IFERROR(IF(INDEX('Undirviðmiðalisti (Lýsigögn)'!L$42:L$58,MATCH($C135,'Undirviðmiðalisti (Lýsigögn)'!$C$42:$C$58,0))="","",INDEX('Undirviðmiðalisti (Lýsigögn)'!L$42:L$58,MATCH($C135,'Undirviðmiðalisti (Lýsigögn)'!$C$42:$C$58,0))),""))))</f>
        <v/>
      </c>
      <c r="Q135" s="16" t="str">
        <f aca="false">IF($C135="","",IF($G135="Einstaklingsbundið",IFERROR(IF(INDEX('Undirviðmiðalisti (Lýsigögn)'!M$42:M$58,MATCH($C135,'Undirviðmiðalisti (Lýsigögn)'!$C$42:$C$58,0))="","",INDEX('Undirviðmiðalisti (Lýsigögn)'!M$42:M$58,MATCH($C135,'Undirviðmiðalisti (Lýsigögn)'!$C$42:$C$58,0))),""),IFERROR(IF(INDEX('Undirviðmiðalisti (Lýsigögn)'!M$6:M$41,MATCH($C135,'Undirviðmiðalisti (Lýsigögn)'!$C$6:$C$41,0))="","",INDEX('Undirviðmiðalisti (Lýsigögn)'!M$6:M$41,MATCH($C135,'Undirviðmiðalisti (Lýsigögn)'!$C$6:$C$41,0))),IFERROR(IF(INDEX('Undirviðmiðalisti (Lýsigögn)'!M$42:M$58,MATCH($C135,'Undirviðmiðalisti (Lýsigögn)'!$C$42:$C$58,0))="","",INDEX('Undirviðmiðalisti (Lýsigögn)'!M$42:M$58,MATCH($C135,'Undirviðmiðalisti (Lýsigögn)'!$C$42:$C$58,0))),""))))</f>
        <v/>
      </c>
    </row>
    <row r="136" customFormat="false" ht="15" hidden="false" customHeight="true" outlineLevel="0" collapsed="false">
      <c r="A136" s="22" t="str">
        <f aca="false">IF($B136="","",ROW()-5)</f>
        <v/>
      </c>
      <c r="B136" s="15"/>
      <c r="C136" s="15"/>
      <c r="D136" s="16" t="str">
        <f aca="false">IF($C136="","",IF($G136="Einstaklingsbundið",IFERROR(IF(INDEX('Undirviðmiðalisti (Lýsigögn)'!$D$42:$D$58,MATCH($C136,'Undirviðmiðalisti (Lýsigögn)'!$C$42:$C$58,0))="","",INDEX('Undirviðmiðalisti (Lýsigögn)'!$D$42:$D$58,MATCH($C136,'Undirviðmiðalisti (Lýsigögn)'!$C$42:$C$58,0))),""),IFERROR(IF(INDEX('Undirviðmiðalisti (Lýsigögn)'!$D$6:$D$41,MATCH($C136,'Undirviðmiðalisti (Lýsigögn)'!$C$6:$C$41,0))="","",INDEX('Undirviðmiðalisti (Lýsigögn)'!$D$6:$D$41,MATCH($C136,'Undirviðmiðalisti (Lýsigögn)'!$C$6:$C$41,0))),IFERROR(IF(INDEX('Undirviðmiðalisti (Lýsigögn)'!$D$42:$D$58,MATCH($C136,'Undirviðmiðalisti (Lýsigögn)'!$C$42:$C$58,0))="","",INDEX('Undirviðmiðalisti (Lýsigögn)'!$D$42:$D$58,MATCH($C136,'Undirviðmiðalisti (Lýsigögn)'!$C$42:$C$58,0))),""))))</f>
        <v/>
      </c>
      <c r="E136" s="14"/>
      <c r="F136" s="23" t="str">
        <f aca="false">IF($C136="","",IF($G136="Einstaklingsbundið",IFERROR(IF(INDEX('Undirviðmiðalisti (Lýsigögn)'!$E$42:$E$58,MATCH($C136,'Undirviðmiðalisti (Lýsigögn)'!$C$42:$C$58,0))="","",INDEX('Undirviðmiðalisti (Lýsigögn)'!$E$42:$E$58,MATCH($C136,'Undirviðmiðalisti (Lýsigögn)'!$C$42:$C$58,0))),""),IFERROR(IF(INDEX('Undirviðmiðalisti (Lýsigögn)'!$E$6:$E$41,MATCH($C136,'Undirviðmiðalisti (Lýsigögn)'!$C$6:$C$41,0))="","",INDEX('Undirviðmiðalisti (Lýsigögn)'!$E$6:$E$41,MATCH($C136,'Undirviðmiðalisti (Lýsigögn)'!$C$6:$C$41,0))),IFERROR(IF(INDEX('Undirviðmiðalisti (Lýsigögn)'!$E$42:$E$58,MATCH($C136,'Undirviðmiðalisti (Lýsigögn)'!$C$42:$C$58,0))="","",INDEX('Undirviðmiðalisti (Lýsigögn)'!$E$42:$E$58,MATCH($C136,'Undirviðmiðalisti (Lýsigögn)'!$C$42:$C$58,0))),""))))</f>
        <v/>
      </c>
      <c r="G136" s="24" t="str">
        <f aca="false">IFERROR(IF(B136="","",INDEX(Viðmið!$B$6:$B$10,MATCH(B136,Viðmið!$C$6:$C$10,0))),"")</f>
        <v/>
      </c>
      <c r="H136" s="25" t="str">
        <f aca="false">IF(OR(E136="",F136=""),"",E136*KVARDI)</f>
        <v/>
      </c>
      <c r="I136" s="26" t="str">
        <f aca="false">IF(B136="","",IF(ROUND(SUMIF($B$6:$B$205,B136,$E$6:$E$205),4)=ROUND(IFERROR(INDEX(Viðmið!$E$6:$E$10,MATCH(B136,Viðmið!$C$6:$C$10,0)),-1),4),"✓","✗"))</f>
        <v/>
      </c>
      <c r="J136" s="16" t="str">
        <f aca="false">IF($C136="","",IF($G136="Einstaklingsbundið",IFERROR(IF(INDEX('Undirviðmiðalisti (Lýsigögn)'!F$42:F$58,MATCH($C136,'Undirviðmiðalisti (Lýsigögn)'!$C$42:$C$58,0))="","",INDEX('Undirviðmiðalisti (Lýsigögn)'!F$42:F$58,MATCH($C136,'Undirviðmiðalisti (Lýsigögn)'!$C$42:$C$58,0))),""),IFERROR(IF(INDEX('Undirviðmiðalisti (Lýsigögn)'!F$6:F$41,MATCH($C136,'Undirviðmiðalisti (Lýsigögn)'!$C$6:$C$41,0))="","",INDEX('Undirviðmiðalisti (Lýsigögn)'!F$6:F$41,MATCH($C136,'Undirviðmiðalisti (Lýsigögn)'!$C$6:$C$41,0))),IFERROR(IF(INDEX('Undirviðmiðalisti (Lýsigögn)'!F$42:F$58,MATCH($C136,'Undirviðmiðalisti (Lýsigögn)'!$C$42:$C$58,0))="","",INDEX('Undirviðmiðalisti (Lýsigögn)'!F$42:F$58,MATCH($C136,'Undirviðmiðalisti (Lýsigögn)'!$C$42:$C$58,0))),""))))</f>
        <v/>
      </c>
      <c r="K136" s="16" t="str">
        <f aca="false">IF($C136="","",IF($G136="Einstaklingsbundið",IFERROR(IF(INDEX('Undirviðmiðalisti (Lýsigögn)'!G$42:G$58,MATCH($C136,'Undirviðmiðalisti (Lýsigögn)'!$C$42:$C$58,0))="","",INDEX('Undirviðmiðalisti (Lýsigögn)'!G$42:G$58,MATCH($C136,'Undirviðmiðalisti (Lýsigögn)'!$C$42:$C$58,0))),""),IFERROR(IF(INDEX('Undirviðmiðalisti (Lýsigögn)'!G$6:G$41,MATCH($C136,'Undirviðmiðalisti (Lýsigögn)'!$C$6:$C$41,0))="","",INDEX('Undirviðmiðalisti (Lýsigögn)'!G$6:G$41,MATCH($C136,'Undirviðmiðalisti (Lýsigögn)'!$C$6:$C$41,0))),IFERROR(IF(INDEX('Undirviðmiðalisti (Lýsigögn)'!G$42:G$58,MATCH($C136,'Undirviðmiðalisti (Lýsigögn)'!$C$42:$C$58,0))="","",INDEX('Undirviðmiðalisti (Lýsigögn)'!G$42:G$58,MATCH($C136,'Undirviðmiðalisti (Lýsigögn)'!$C$42:$C$58,0))),""))))</f>
        <v/>
      </c>
      <c r="L136" s="16" t="str">
        <f aca="false">IF($C136="","",IF($G136="Einstaklingsbundið",IFERROR(IF(INDEX('Undirviðmiðalisti (Lýsigögn)'!H$42:H$58,MATCH($C136,'Undirviðmiðalisti (Lýsigögn)'!$C$42:$C$58,0))="","",INDEX('Undirviðmiðalisti (Lýsigögn)'!H$42:H$58,MATCH($C136,'Undirviðmiðalisti (Lýsigögn)'!$C$42:$C$58,0))),""),IFERROR(IF(INDEX('Undirviðmiðalisti (Lýsigögn)'!H$6:H$41,MATCH($C136,'Undirviðmiðalisti (Lýsigögn)'!$C$6:$C$41,0))="","",INDEX('Undirviðmiðalisti (Lýsigögn)'!H$6:H$41,MATCH($C136,'Undirviðmiðalisti (Lýsigögn)'!$C$6:$C$41,0))),IFERROR(IF(INDEX('Undirviðmiðalisti (Lýsigögn)'!H$42:H$58,MATCH($C136,'Undirviðmiðalisti (Lýsigögn)'!$C$42:$C$58,0))="","",INDEX('Undirviðmiðalisti (Lýsigögn)'!H$42:H$58,MATCH($C136,'Undirviðmiðalisti (Lýsigögn)'!$C$42:$C$58,0))),""))))</f>
        <v/>
      </c>
      <c r="M136" s="16" t="str">
        <f aca="false">IF($C136="","",IF($G136="Einstaklingsbundið",IFERROR(IF(INDEX('Undirviðmiðalisti (Lýsigögn)'!I$42:I$58,MATCH($C136,'Undirviðmiðalisti (Lýsigögn)'!$C$42:$C$58,0))="","",INDEX('Undirviðmiðalisti (Lýsigögn)'!I$42:I$58,MATCH($C136,'Undirviðmiðalisti (Lýsigögn)'!$C$42:$C$58,0))),""),IFERROR(IF(INDEX('Undirviðmiðalisti (Lýsigögn)'!I$6:I$41,MATCH($C136,'Undirviðmiðalisti (Lýsigögn)'!$C$6:$C$41,0))="","",INDEX('Undirviðmiðalisti (Lýsigögn)'!I$6:I$41,MATCH($C136,'Undirviðmiðalisti (Lýsigögn)'!$C$6:$C$41,0))),IFERROR(IF(INDEX('Undirviðmiðalisti (Lýsigögn)'!I$42:I$58,MATCH($C136,'Undirviðmiðalisti (Lýsigögn)'!$C$42:$C$58,0))="","",INDEX('Undirviðmiðalisti (Lýsigögn)'!I$42:I$58,MATCH($C136,'Undirviðmiðalisti (Lýsigögn)'!$C$42:$C$58,0))),""))))</f>
        <v/>
      </c>
      <c r="N136" s="16" t="str">
        <f aca="false">IF($C136="","",IF($G136="Einstaklingsbundið",IFERROR(IF(INDEX('Undirviðmiðalisti (Lýsigögn)'!J$42:J$58,MATCH($C136,'Undirviðmiðalisti (Lýsigögn)'!$C$42:$C$58,0))="","",INDEX('Undirviðmiðalisti (Lýsigögn)'!J$42:J$58,MATCH($C136,'Undirviðmiðalisti (Lýsigögn)'!$C$42:$C$58,0))),""),IFERROR(IF(INDEX('Undirviðmiðalisti (Lýsigögn)'!J$6:J$41,MATCH($C136,'Undirviðmiðalisti (Lýsigögn)'!$C$6:$C$41,0))="","",INDEX('Undirviðmiðalisti (Lýsigögn)'!J$6:J$41,MATCH($C136,'Undirviðmiðalisti (Lýsigögn)'!$C$6:$C$41,0))),IFERROR(IF(INDEX('Undirviðmiðalisti (Lýsigögn)'!J$42:J$58,MATCH($C136,'Undirviðmiðalisti (Lýsigögn)'!$C$42:$C$58,0))="","",INDEX('Undirviðmiðalisti (Lýsigögn)'!J$42:J$58,MATCH($C136,'Undirviðmiðalisti (Lýsigögn)'!$C$42:$C$58,0))),""))))</f>
        <v/>
      </c>
      <c r="O136" s="16" t="str">
        <f aca="false">IF($C136="","",IF($G136="Einstaklingsbundið",IFERROR(IF(INDEX('Undirviðmiðalisti (Lýsigögn)'!K$42:K$58,MATCH($C136,'Undirviðmiðalisti (Lýsigögn)'!$C$42:$C$58,0))="","",INDEX('Undirviðmiðalisti (Lýsigögn)'!K$42:K$58,MATCH($C136,'Undirviðmiðalisti (Lýsigögn)'!$C$42:$C$58,0))),""),IFERROR(IF(INDEX('Undirviðmiðalisti (Lýsigögn)'!K$6:K$41,MATCH($C136,'Undirviðmiðalisti (Lýsigögn)'!$C$6:$C$41,0))="","",INDEX('Undirviðmiðalisti (Lýsigögn)'!K$6:K$41,MATCH($C136,'Undirviðmiðalisti (Lýsigögn)'!$C$6:$C$41,0))),IFERROR(IF(INDEX('Undirviðmiðalisti (Lýsigögn)'!K$42:K$58,MATCH($C136,'Undirviðmiðalisti (Lýsigögn)'!$C$42:$C$58,0))="","",INDEX('Undirviðmiðalisti (Lýsigögn)'!K$42:K$58,MATCH($C136,'Undirviðmiðalisti (Lýsigögn)'!$C$42:$C$58,0))),""))))</f>
        <v/>
      </c>
      <c r="P136" s="16" t="str">
        <f aca="false">IF($C136="","",IF($G136="Einstaklingsbundið",IFERROR(IF(INDEX('Undirviðmiðalisti (Lýsigögn)'!L$42:L$58,MATCH($C136,'Undirviðmiðalisti (Lýsigögn)'!$C$42:$C$58,0))="","",INDEX('Undirviðmiðalisti (Lýsigögn)'!L$42:L$58,MATCH($C136,'Undirviðmiðalisti (Lýsigögn)'!$C$42:$C$58,0))),""),IFERROR(IF(INDEX('Undirviðmiðalisti (Lýsigögn)'!L$6:L$41,MATCH($C136,'Undirviðmiðalisti (Lýsigögn)'!$C$6:$C$41,0))="","",INDEX('Undirviðmiðalisti (Lýsigögn)'!L$6:L$41,MATCH($C136,'Undirviðmiðalisti (Lýsigögn)'!$C$6:$C$41,0))),IFERROR(IF(INDEX('Undirviðmiðalisti (Lýsigögn)'!L$42:L$58,MATCH($C136,'Undirviðmiðalisti (Lýsigögn)'!$C$42:$C$58,0))="","",INDEX('Undirviðmiðalisti (Lýsigögn)'!L$42:L$58,MATCH($C136,'Undirviðmiðalisti (Lýsigögn)'!$C$42:$C$58,0))),""))))</f>
        <v/>
      </c>
      <c r="Q136" s="16" t="str">
        <f aca="false">IF($C136="","",IF($G136="Einstaklingsbundið",IFERROR(IF(INDEX('Undirviðmiðalisti (Lýsigögn)'!M$42:M$58,MATCH($C136,'Undirviðmiðalisti (Lýsigögn)'!$C$42:$C$58,0))="","",INDEX('Undirviðmiðalisti (Lýsigögn)'!M$42:M$58,MATCH($C136,'Undirviðmiðalisti (Lýsigögn)'!$C$42:$C$58,0))),""),IFERROR(IF(INDEX('Undirviðmiðalisti (Lýsigögn)'!M$6:M$41,MATCH($C136,'Undirviðmiðalisti (Lýsigögn)'!$C$6:$C$41,0))="","",INDEX('Undirviðmiðalisti (Lýsigögn)'!M$6:M$41,MATCH($C136,'Undirviðmiðalisti (Lýsigögn)'!$C$6:$C$41,0))),IFERROR(IF(INDEX('Undirviðmiðalisti (Lýsigögn)'!M$42:M$58,MATCH($C136,'Undirviðmiðalisti (Lýsigögn)'!$C$42:$C$58,0))="","",INDEX('Undirviðmiðalisti (Lýsigögn)'!M$42:M$58,MATCH($C136,'Undirviðmiðalisti (Lýsigögn)'!$C$42:$C$58,0))),""))))</f>
        <v/>
      </c>
    </row>
    <row r="137" customFormat="false" ht="15" hidden="false" customHeight="true" outlineLevel="0" collapsed="false">
      <c r="A137" s="22" t="str">
        <f aca="false">IF($B137="","",ROW()-5)</f>
        <v/>
      </c>
      <c r="B137" s="15"/>
      <c r="C137" s="15"/>
      <c r="D137" s="16" t="str">
        <f aca="false">IF($C137="","",IF($G137="Einstaklingsbundið",IFERROR(IF(INDEX('Undirviðmiðalisti (Lýsigögn)'!$D$42:$D$58,MATCH($C137,'Undirviðmiðalisti (Lýsigögn)'!$C$42:$C$58,0))="","",INDEX('Undirviðmiðalisti (Lýsigögn)'!$D$42:$D$58,MATCH($C137,'Undirviðmiðalisti (Lýsigögn)'!$C$42:$C$58,0))),""),IFERROR(IF(INDEX('Undirviðmiðalisti (Lýsigögn)'!$D$6:$D$41,MATCH($C137,'Undirviðmiðalisti (Lýsigögn)'!$C$6:$C$41,0))="","",INDEX('Undirviðmiðalisti (Lýsigögn)'!$D$6:$D$41,MATCH($C137,'Undirviðmiðalisti (Lýsigögn)'!$C$6:$C$41,0))),IFERROR(IF(INDEX('Undirviðmiðalisti (Lýsigögn)'!$D$42:$D$58,MATCH($C137,'Undirviðmiðalisti (Lýsigögn)'!$C$42:$C$58,0))="","",INDEX('Undirviðmiðalisti (Lýsigögn)'!$D$42:$D$58,MATCH($C137,'Undirviðmiðalisti (Lýsigögn)'!$C$42:$C$58,0))),""))))</f>
        <v/>
      </c>
      <c r="E137" s="14"/>
      <c r="F137" s="23" t="str">
        <f aca="false">IF($C137="","",IF($G137="Einstaklingsbundið",IFERROR(IF(INDEX('Undirviðmiðalisti (Lýsigögn)'!$E$42:$E$58,MATCH($C137,'Undirviðmiðalisti (Lýsigögn)'!$C$42:$C$58,0))="","",INDEX('Undirviðmiðalisti (Lýsigögn)'!$E$42:$E$58,MATCH($C137,'Undirviðmiðalisti (Lýsigögn)'!$C$42:$C$58,0))),""),IFERROR(IF(INDEX('Undirviðmiðalisti (Lýsigögn)'!$E$6:$E$41,MATCH($C137,'Undirviðmiðalisti (Lýsigögn)'!$C$6:$C$41,0))="","",INDEX('Undirviðmiðalisti (Lýsigögn)'!$E$6:$E$41,MATCH($C137,'Undirviðmiðalisti (Lýsigögn)'!$C$6:$C$41,0))),IFERROR(IF(INDEX('Undirviðmiðalisti (Lýsigögn)'!$E$42:$E$58,MATCH($C137,'Undirviðmiðalisti (Lýsigögn)'!$C$42:$C$58,0))="","",INDEX('Undirviðmiðalisti (Lýsigögn)'!$E$42:$E$58,MATCH($C137,'Undirviðmiðalisti (Lýsigögn)'!$C$42:$C$58,0))),""))))</f>
        <v/>
      </c>
      <c r="G137" s="24" t="str">
        <f aca="false">IFERROR(IF(B137="","",INDEX(Viðmið!$B$6:$B$10,MATCH(B137,Viðmið!$C$6:$C$10,0))),"")</f>
        <v/>
      </c>
      <c r="H137" s="25" t="str">
        <f aca="false">IF(OR(E137="",F137=""),"",E137*KVARDI)</f>
        <v/>
      </c>
      <c r="I137" s="26" t="str">
        <f aca="false">IF(B137="","",IF(ROUND(SUMIF($B$6:$B$205,B137,$E$6:$E$205),4)=ROUND(IFERROR(INDEX(Viðmið!$E$6:$E$10,MATCH(B137,Viðmið!$C$6:$C$10,0)),-1),4),"✓","✗"))</f>
        <v/>
      </c>
      <c r="J137" s="16" t="str">
        <f aca="false">IF($C137="","",IF($G137="Einstaklingsbundið",IFERROR(IF(INDEX('Undirviðmiðalisti (Lýsigögn)'!F$42:F$58,MATCH($C137,'Undirviðmiðalisti (Lýsigögn)'!$C$42:$C$58,0))="","",INDEX('Undirviðmiðalisti (Lýsigögn)'!F$42:F$58,MATCH($C137,'Undirviðmiðalisti (Lýsigögn)'!$C$42:$C$58,0))),""),IFERROR(IF(INDEX('Undirviðmiðalisti (Lýsigögn)'!F$6:F$41,MATCH($C137,'Undirviðmiðalisti (Lýsigögn)'!$C$6:$C$41,0))="","",INDEX('Undirviðmiðalisti (Lýsigögn)'!F$6:F$41,MATCH($C137,'Undirviðmiðalisti (Lýsigögn)'!$C$6:$C$41,0))),IFERROR(IF(INDEX('Undirviðmiðalisti (Lýsigögn)'!F$42:F$58,MATCH($C137,'Undirviðmiðalisti (Lýsigögn)'!$C$42:$C$58,0))="","",INDEX('Undirviðmiðalisti (Lýsigögn)'!F$42:F$58,MATCH($C137,'Undirviðmiðalisti (Lýsigögn)'!$C$42:$C$58,0))),""))))</f>
        <v/>
      </c>
      <c r="K137" s="16" t="str">
        <f aca="false">IF($C137="","",IF($G137="Einstaklingsbundið",IFERROR(IF(INDEX('Undirviðmiðalisti (Lýsigögn)'!G$42:G$58,MATCH($C137,'Undirviðmiðalisti (Lýsigögn)'!$C$42:$C$58,0))="","",INDEX('Undirviðmiðalisti (Lýsigögn)'!G$42:G$58,MATCH($C137,'Undirviðmiðalisti (Lýsigögn)'!$C$42:$C$58,0))),""),IFERROR(IF(INDEX('Undirviðmiðalisti (Lýsigögn)'!G$6:G$41,MATCH($C137,'Undirviðmiðalisti (Lýsigögn)'!$C$6:$C$41,0))="","",INDEX('Undirviðmiðalisti (Lýsigögn)'!G$6:G$41,MATCH($C137,'Undirviðmiðalisti (Lýsigögn)'!$C$6:$C$41,0))),IFERROR(IF(INDEX('Undirviðmiðalisti (Lýsigögn)'!G$42:G$58,MATCH($C137,'Undirviðmiðalisti (Lýsigögn)'!$C$42:$C$58,0))="","",INDEX('Undirviðmiðalisti (Lýsigögn)'!G$42:G$58,MATCH($C137,'Undirviðmiðalisti (Lýsigögn)'!$C$42:$C$58,0))),""))))</f>
        <v/>
      </c>
      <c r="L137" s="16" t="str">
        <f aca="false">IF($C137="","",IF($G137="Einstaklingsbundið",IFERROR(IF(INDEX('Undirviðmiðalisti (Lýsigögn)'!H$42:H$58,MATCH($C137,'Undirviðmiðalisti (Lýsigögn)'!$C$42:$C$58,0))="","",INDEX('Undirviðmiðalisti (Lýsigögn)'!H$42:H$58,MATCH($C137,'Undirviðmiðalisti (Lýsigögn)'!$C$42:$C$58,0))),""),IFERROR(IF(INDEX('Undirviðmiðalisti (Lýsigögn)'!H$6:H$41,MATCH($C137,'Undirviðmiðalisti (Lýsigögn)'!$C$6:$C$41,0))="","",INDEX('Undirviðmiðalisti (Lýsigögn)'!H$6:H$41,MATCH($C137,'Undirviðmiðalisti (Lýsigögn)'!$C$6:$C$41,0))),IFERROR(IF(INDEX('Undirviðmiðalisti (Lýsigögn)'!H$42:H$58,MATCH($C137,'Undirviðmiðalisti (Lýsigögn)'!$C$42:$C$58,0))="","",INDEX('Undirviðmiðalisti (Lýsigögn)'!H$42:H$58,MATCH($C137,'Undirviðmiðalisti (Lýsigögn)'!$C$42:$C$58,0))),""))))</f>
        <v/>
      </c>
      <c r="M137" s="16" t="str">
        <f aca="false">IF($C137="","",IF($G137="Einstaklingsbundið",IFERROR(IF(INDEX('Undirviðmiðalisti (Lýsigögn)'!I$42:I$58,MATCH($C137,'Undirviðmiðalisti (Lýsigögn)'!$C$42:$C$58,0))="","",INDEX('Undirviðmiðalisti (Lýsigögn)'!I$42:I$58,MATCH($C137,'Undirviðmiðalisti (Lýsigögn)'!$C$42:$C$58,0))),""),IFERROR(IF(INDEX('Undirviðmiðalisti (Lýsigögn)'!I$6:I$41,MATCH($C137,'Undirviðmiðalisti (Lýsigögn)'!$C$6:$C$41,0))="","",INDEX('Undirviðmiðalisti (Lýsigögn)'!I$6:I$41,MATCH($C137,'Undirviðmiðalisti (Lýsigögn)'!$C$6:$C$41,0))),IFERROR(IF(INDEX('Undirviðmiðalisti (Lýsigögn)'!I$42:I$58,MATCH($C137,'Undirviðmiðalisti (Lýsigögn)'!$C$42:$C$58,0))="","",INDEX('Undirviðmiðalisti (Lýsigögn)'!I$42:I$58,MATCH($C137,'Undirviðmiðalisti (Lýsigögn)'!$C$42:$C$58,0))),""))))</f>
        <v/>
      </c>
      <c r="N137" s="16" t="str">
        <f aca="false">IF($C137="","",IF($G137="Einstaklingsbundið",IFERROR(IF(INDEX('Undirviðmiðalisti (Lýsigögn)'!J$42:J$58,MATCH($C137,'Undirviðmiðalisti (Lýsigögn)'!$C$42:$C$58,0))="","",INDEX('Undirviðmiðalisti (Lýsigögn)'!J$42:J$58,MATCH($C137,'Undirviðmiðalisti (Lýsigögn)'!$C$42:$C$58,0))),""),IFERROR(IF(INDEX('Undirviðmiðalisti (Lýsigögn)'!J$6:J$41,MATCH($C137,'Undirviðmiðalisti (Lýsigögn)'!$C$6:$C$41,0))="","",INDEX('Undirviðmiðalisti (Lýsigögn)'!J$6:J$41,MATCH($C137,'Undirviðmiðalisti (Lýsigögn)'!$C$6:$C$41,0))),IFERROR(IF(INDEX('Undirviðmiðalisti (Lýsigögn)'!J$42:J$58,MATCH($C137,'Undirviðmiðalisti (Lýsigögn)'!$C$42:$C$58,0))="","",INDEX('Undirviðmiðalisti (Lýsigögn)'!J$42:J$58,MATCH($C137,'Undirviðmiðalisti (Lýsigögn)'!$C$42:$C$58,0))),""))))</f>
        <v/>
      </c>
      <c r="O137" s="16" t="str">
        <f aca="false">IF($C137="","",IF($G137="Einstaklingsbundið",IFERROR(IF(INDEX('Undirviðmiðalisti (Lýsigögn)'!K$42:K$58,MATCH($C137,'Undirviðmiðalisti (Lýsigögn)'!$C$42:$C$58,0))="","",INDEX('Undirviðmiðalisti (Lýsigögn)'!K$42:K$58,MATCH($C137,'Undirviðmiðalisti (Lýsigögn)'!$C$42:$C$58,0))),""),IFERROR(IF(INDEX('Undirviðmiðalisti (Lýsigögn)'!K$6:K$41,MATCH($C137,'Undirviðmiðalisti (Lýsigögn)'!$C$6:$C$41,0))="","",INDEX('Undirviðmiðalisti (Lýsigögn)'!K$6:K$41,MATCH($C137,'Undirviðmiðalisti (Lýsigögn)'!$C$6:$C$41,0))),IFERROR(IF(INDEX('Undirviðmiðalisti (Lýsigögn)'!K$42:K$58,MATCH($C137,'Undirviðmiðalisti (Lýsigögn)'!$C$42:$C$58,0))="","",INDEX('Undirviðmiðalisti (Lýsigögn)'!K$42:K$58,MATCH($C137,'Undirviðmiðalisti (Lýsigögn)'!$C$42:$C$58,0))),""))))</f>
        <v/>
      </c>
      <c r="P137" s="16" t="str">
        <f aca="false">IF($C137="","",IF($G137="Einstaklingsbundið",IFERROR(IF(INDEX('Undirviðmiðalisti (Lýsigögn)'!L$42:L$58,MATCH($C137,'Undirviðmiðalisti (Lýsigögn)'!$C$42:$C$58,0))="","",INDEX('Undirviðmiðalisti (Lýsigögn)'!L$42:L$58,MATCH($C137,'Undirviðmiðalisti (Lýsigögn)'!$C$42:$C$58,0))),""),IFERROR(IF(INDEX('Undirviðmiðalisti (Lýsigögn)'!L$6:L$41,MATCH($C137,'Undirviðmiðalisti (Lýsigögn)'!$C$6:$C$41,0))="","",INDEX('Undirviðmiðalisti (Lýsigögn)'!L$6:L$41,MATCH($C137,'Undirviðmiðalisti (Lýsigögn)'!$C$6:$C$41,0))),IFERROR(IF(INDEX('Undirviðmiðalisti (Lýsigögn)'!L$42:L$58,MATCH($C137,'Undirviðmiðalisti (Lýsigögn)'!$C$42:$C$58,0))="","",INDEX('Undirviðmiðalisti (Lýsigögn)'!L$42:L$58,MATCH($C137,'Undirviðmiðalisti (Lýsigögn)'!$C$42:$C$58,0))),""))))</f>
        <v/>
      </c>
      <c r="Q137" s="16" t="str">
        <f aca="false">IF($C137="","",IF($G137="Einstaklingsbundið",IFERROR(IF(INDEX('Undirviðmiðalisti (Lýsigögn)'!M$42:M$58,MATCH($C137,'Undirviðmiðalisti (Lýsigögn)'!$C$42:$C$58,0))="","",INDEX('Undirviðmiðalisti (Lýsigögn)'!M$42:M$58,MATCH($C137,'Undirviðmiðalisti (Lýsigögn)'!$C$42:$C$58,0))),""),IFERROR(IF(INDEX('Undirviðmiðalisti (Lýsigögn)'!M$6:M$41,MATCH($C137,'Undirviðmiðalisti (Lýsigögn)'!$C$6:$C$41,0))="","",INDEX('Undirviðmiðalisti (Lýsigögn)'!M$6:M$41,MATCH($C137,'Undirviðmiðalisti (Lýsigögn)'!$C$6:$C$41,0))),IFERROR(IF(INDEX('Undirviðmiðalisti (Lýsigögn)'!M$42:M$58,MATCH($C137,'Undirviðmiðalisti (Lýsigögn)'!$C$42:$C$58,0))="","",INDEX('Undirviðmiðalisti (Lýsigögn)'!M$42:M$58,MATCH($C137,'Undirviðmiðalisti (Lýsigögn)'!$C$42:$C$58,0))),""))))</f>
        <v/>
      </c>
    </row>
    <row r="138" customFormat="false" ht="15" hidden="false" customHeight="true" outlineLevel="0" collapsed="false">
      <c r="A138" s="22" t="str">
        <f aca="false">IF($B138="","",ROW()-5)</f>
        <v/>
      </c>
      <c r="B138" s="15"/>
      <c r="C138" s="15"/>
      <c r="D138" s="16" t="str">
        <f aca="false">IF($C138="","",IF($G138="Einstaklingsbundið",IFERROR(IF(INDEX('Undirviðmiðalisti (Lýsigögn)'!$D$42:$D$58,MATCH($C138,'Undirviðmiðalisti (Lýsigögn)'!$C$42:$C$58,0))="","",INDEX('Undirviðmiðalisti (Lýsigögn)'!$D$42:$D$58,MATCH($C138,'Undirviðmiðalisti (Lýsigögn)'!$C$42:$C$58,0))),""),IFERROR(IF(INDEX('Undirviðmiðalisti (Lýsigögn)'!$D$6:$D$41,MATCH($C138,'Undirviðmiðalisti (Lýsigögn)'!$C$6:$C$41,0))="","",INDEX('Undirviðmiðalisti (Lýsigögn)'!$D$6:$D$41,MATCH($C138,'Undirviðmiðalisti (Lýsigögn)'!$C$6:$C$41,0))),IFERROR(IF(INDEX('Undirviðmiðalisti (Lýsigögn)'!$D$42:$D$58,MATCH($C138,'Undirviðmiðalisti (Lýsigögn)'!$C$42:$C$58,0))="","",INDEX('Undirviðmiðalisti (Lýsigögn)'!$D$42:$D$58,MATCH($C138,'Undirviðmiðalisti (Lýsigögn)'!$C$42:$C$58,0))),""))))</f>
        <v/>
      </c>
      <c r="E138" s="14"/>
      <c r="F138" s="23" t="str">
        <f aca="false">IF($C138="","",IF($G138="Einstaklingsbundið",IFERROR(IF(INDEX('Undirviðmiðalisti (Lýsigögn)'!$E$42:$E$58,MATCH($C138,'Undirviðmiðalisti (Lýsigögn)'!$C$42:$C$58,0))="","",INDEX('Undirviðmiðalisti (Lýsigögn)'!$E$42:$E$58,MATCH($C138,'Undirviðmiðalisti (Lýsigögn)'!$C$42:$C$58,0))),""),IFERROR(IF(INDEX('Undirviðmiðalisti (Lýsigögn)'!$E$6:$E$41,MATCH($C138,'Undirviðmiðalisti (Lýsigögn)'!$C$6:$C$41,0))="","",INDEX('Undirviðmiðalisti (Lýsigögn)'!$E$6:$E$41,MATCH($C138,'Undirviðmiðalisti (Lýsigögn)'!$C$6:$C$41,0))),IFERROR(IF(INDEX('Undirviðmiðalisti (Lýsigögn)'!$E$42:$E$58,MATCH($C138,'Undirviðmiðalisti (Lýsigögn)'!$C$42:$C$58,0))="","",INDEX('Undirviðmiðalisti (Lýsigögn)'!$E$42:$E$58,MATCH($C138,'Undirviðmiðalisti (Lýsigögn)'!$C$42:$C$58,0))),""))))</f>
        <v/>
      </c>
      <c r="G138" s="24" t="str">
        <f aca="false">IFERROR(IF(B138="","",INDEX(Viðmið!$B$6:$B$10,MATCH(B138,Viðmið!$C$6:$C$10,0))),"")</f>
        <v/>
      </c>
      <c r="H138" s="25" t="str">
        <f aca="false">IF(OR(E138="",F138=""),"",E138*KVARDI)</f>
        <v/>
      </c>
      <c r="I138" s="26" t="str">
        <f aca="false">IF(B138="","",IF(ROUND(SUMIF($B$6:$B$205,B138,$E$6:$E$205),4)=ROUND(IFERROR(INDEX(Viðmið!$E$6:$E$10,MATCH(B138,Viðmið!$C$6:$C$10,0)),-1),4),"✓","✗"))</f>
        <v/>
      </c>
      <c r="J138" s="16" t="str">
        <f aca="false">IF($C138="","",IF($G138="Einstaklingsbundið",IFERROR(IF(INDEX('Undirviðmiðalisti (Lýsigögn)'!F$42:F$58,MATCH($C138,'Undirviðmiðalisti (Lýsigögn)'!$C$42:$C$58,0))="","",INDEX('Undirviðmiðalisti (Lýsigögn)'!F$42:F$58,MATCH($C138,'Undirviðmiðalisti (Lýsigögn)'!$C$42:$C$58,0))),""),IFERROR(IF(INDEX('Undirviðmiðalisti (Lýsigögn)'!F$6:F$41,MATCH($C138,'Undirviðmiðalisti (Lýsigögn)'!$C$6:$C$41,0))="","",INDEX('Undirviðmiðalisti (Lýsigögn)'!F$6:F$41,MATCH($C138,'Undirviðmiðalisti (Lýsigögn)'!$C$6:$C$41,0))),IFERROR(IF(INDEX('Undirviðmiðalisti (Lýsigögn)'!F$42:F$58,MATCH($C138,'Undirviðmiðalisti (Lýsigögn)'!$C$42:$C$58,0))="","",INDEX('Undirviðmiðalisti (Lýsigögn)'!F$42:F$58,MATCH($C138,'Undirviðmiðalisti (Lýsigögn)'!$C$42:$C$58,0))),""))))</f>
        <v/>
      </c>
      <c r="K138" s="16" t="str">
        <f aca="false">IF($C138="","",IF($G138="Einstaklingsbundið",IFERROR(IF(INDEX('Undirviðmiðalisti (Lýsigögn)'!G$42:G$58,MATCH($C138,'Undirviðmiðalisti (Lýsigögn)'!$C$42:$C$58,0))="","",INDEX('Undirviðmiðalisti (Lýsigögn)'!G$42:G$58,MATCH($C138,'Undirviðmiðalisti (Lýsigögn)'!$C$42:$C$58,0))),""),IFERROR(IF(INDEX('Undirviðmiðalisti (Lýsigögn)'!G$6:G$41,MATCH($C138,'Undirviðmiðalisti (Lýsigögn)'!$C$6:$C$41,0))="","",INDEX('Undirviðmiðalisti (Lýsigögn)'!G$6:G$41,MATCH($C138,'Undirviðmiðalisti (Lýsigögn)'!$C$6:$C$41,0))),IFERROR(IF(INDEX('Undirviðmiðalisti (Lýsigögn)'!G$42:G$58,MATCH($C138,'Undirviðmiðalisti (Lýsigögn)'!$C$42:$C$58,0))="","",INDEX('Undirviðmiðalisti (Lýsigögn)'!G$42:G$58,MATCH($C138,'Undirviðmiðalisti (Lýsigögn)'!$C$42:$C$58,0))),""))))</f>
        <v/>
      </c>
      <c r="L138" s="16" t="str">
        <f aca="false">IF($C138="","",IF($G138="Einstaklingsbundið",IFERROR(IF(INDEX('Undirviðmiðalisti (Lýsigögn)'!H$42:H$58,MATCH($C138,'Undirviðmiðalisti (Lýsigögn)'!$C$42:$C$58,0))="","",INDEX('Undirviðmiðalisti (Lýsigögn)'!H$42:H$58,MATCH($C138,'Undirviðmiðalisti (Lýsigögn)'!$C$42:$C$58,0))),""),IFERROR(IF(INDEX('Undirviðmiðalisti (Lýsigögn)'!H$6:H$41,MATCH($C138,'Undirviðmiðalisti (Lýsigögn)'!$C$6:$C$41,0))="","",INDEX('Undirviðmiðalisti (Lýsigögn)'!H$6:H$41,MATCH($C138,'Undirviðmiðalisti (Lýsigögn)'!$C$6:$C$41,0))),IFERROR(IF(INDEX('Undirviðmiðalisti (Lýsigögn)'!H$42:H$58,MATCH($C138,'Undirviðmiðalisti (Lýsigögn)'!$C$42:$C$58,0))="","",INDEX('Undirviðmiðalisti (Lýsigögn)'!H$42:H$58,MATCH($C138,'Undirviðmiðalisti (Lýsigögn)'!$C$42:$C$58,0))),""))))</f>
        <v/>
      </c>
      <c r="M138" s="16" t="str">
        <f aca="false">IF($C138="","",IF($G138="Einstaklingsbundið",IFERROR(IF(INDEX('Undirviðmiðalisti (Lýsigögn)'!I$42:I$58,MATCH($C138,'Undirviðmiðalisti (Lýsigögn)'!$C$42:$C$58,0))="","",INDEX('Undirviðmiðalisti (Lýsigögn)'!I$42:I$58,MATCH($C138,'Undirviðmiðalisti (Lýsigögn)'!$C$42:$C$58,0))),""),IFERROR(IF(INDEX('Undirviðmiðalisti (Lýsigögn)'!I$6:I$41,MATCH($C138,'Undirviðmiðalisti (Lýsigögn)'!$C$6:$C$41,0))="","",INDEX('Undirviðmiðalisti (Lýsigögn)'!I$6:I$41,MATCH($C138,'Undirviðmiðalisti (Lýsigögn)'!$C$6:$C$41,0))),IFERROR(IF(INDEX('Undirviðmiðalisti (Lýsigögn)'!I$42:I$58,MATCH($C138,'Undirviðmiðalisti (Lýsigögn)'!$C$42:$C$58,0))="","",INDEX('Undirviðmiðalisti (Lýsigögn)'!I$42:I$58,MATCH($C138,'Undirviðmiðalisti (Lýsigögn)'!$C$42:$C$58,0))),""))))</f>
        <v/>
      </c>
      <c r="N138" s="16" t="str">
        <f aca="false">IF($C138="","",IF($G138="Einstaklingsbundið",IFERROR(IF(INDEX('Undirviðmiðalisti (Lýsigögn)'!J$42:J$58,MATCH($C138,'Undirviðmiðalisti (Lýsigögn)'!$C$42:$C$58,0))="","",INDEX('Undirviðmiðalisti (Lýsigögn)'!J$42:J$58,MATCH($C138,'Undirviðmiðalisti (Lýsigögn)'!$C$42:$C$58,0))),""),IFERROR(IF(INDEX('Undirviðmiðalisti (Lýsigögn)'!J$6:J$41,MATCH($C138,'Undirviðmiðalisti (Lýsigögn)'!$C$6:$C$41,0))="","",INDEX('Undirviðmiðalisti (Lýsigögn)'!J$6:J$41,MATCH($C138,'Undirviðmiðalisti (Lýsigögn)'!$C$6:$C$41,0))),IFERROR(IF(INDEX('Undirviðmiðalisti (Lýsigögn)'!J$42:J$58,MATCH($C138,'Undirviðmiðalisti (Lýsigögn)'!$C$42:$C$58,0))="","",INDEX('Undirviðmiðalisti (Lýsigögn)'!J$42:J$58,MATCH($C138,'Undirviðmiðalisti (Lýsigögn)'!$C$42:$C$58,0))),""))))</f>
        <v/>
      </c>
      <c r="O138" s="16" t="str">
        <f aca="false">IF($C138="","",IF($G138="Einstaklingsbundið",IFERROR(IF(INDEX('Undirviðmiðalisti (Lýsigögn)'!K$42:K$58,MATCH($C138,'Undirviðmiðalisti (Lýsigögn)'!$C$42:$C$58,0))="","",INDEX('Undirviðmiðalisti (Lýsigögn)'!K$42:K$58,MATCH($C138,'Undirviðmiðalisti (Lýsigögn)'!$C$42:$C$58,0))),""),IFERROR(IF(INDEX('Undirviðmiðalisti (Lýsigögn)'!K$6:K$41,MATCH($C138,'Undirviðmiðalisti (Lýsigögn)'!$C$6:$C$41,0))="","",INDEX('Undirviðmiðalisti (Lýsigögn)'!K$6:K$41,MATCH($C138,'Undirviðmiðalisti (Lýsigögn)'!$C$6:$C$41,0))),IFERROR(IF(INDEX('Undirviðmiðalisti (Lýsigögn)'!K$42:K$58,MATCH($C138,'Undirviðmiðalisti (Lýsigögn)'!$C$42:$C$58,0))="","",INDEX('Undirviðmiðalisti (Lýsigögn)'!K$42:K$58,MATCH($C138,'Undirviðmiðalisti (Lýsigögn)'!$C$42:$C$58,0))),""))))</f>
        <v/>
      </c>
      <c r="P138" s="16" t="str">
        <f aca="false">IF($C138="","",IF($G138="Einstaklingsbundið",IFERROR(IF(INDEX('Undirviðmiðalisti (Lýsigögn)'!L$42:L$58,MATCH($C138,'Undirviðmiðalisti (Lýsigögn)'!$C$42:$C$58,0))="","",INDEX('Undirviðmiðalisti (Lýsigögn)'!L$42:L$58,MATCH($C138,'Undirviðmiðalisti (Lýsigögn)'!$C$42:$C$58,0))),""),IFERROR(IF(INDEX('Undirviðmiðalisti (Lýsigögn)'!L$6:L$41,MATCH($C138,'Undirviðmiðalisti (Lýsigögn)'!$C$6:$C$41,0))="","",INDEX('Undirviðmiðalisti (Lýsigögn)'!L$6:L$41,MATCH($C138,'Undirviðmiðalisti (Lýsigögn)'!$C$6:$C$41,0))),IFERROR(IF(INDEX('Undirviðmiðalisti (Lýsigögn)'!L$42:L$58,MATCH($C138,'Undirviðmiðalisti (Lýsigögn)'!$C$42:$C$58,0))="","",INDEX('Undirviðmiðalisti (Lýsigögn)'!L$42:L$58,MATCH($C138,'Undirviðmiðalisti (Lýsigögn)'!$C$42:$C$58,0))),""))))</f>
        <v/>
      </c>
      <c r="Q138" s="16" t="str">
        <f aca="false">IF($C138="","",IF($G138="Einstaklingsbundið",IFERROR(IF(INDEX('Undirviðmiðalisti (Lýsigögn)'!M$42:M$58,MATCH($C138,'Undirviðmiðalisti (Lýsigögn)'!$C$42:$C$58,0))="","",INDEX('Undirviðmiðalisti (Lýsigögn)'!M$42:M$58,MATCH($C138,'Undirviðmiðalisti (Lýsigögn)'!$C$42:$C$58,0))),""),IFERROR(IF(INDEX('Undirviðmiðalisti (Lýsigögn)'!M$6:M$41,MATCH($C138,'Undirviðmiðalisti (Lýsigögn)'!$C$6:$C$41,0))="","",INDEX('Undirviðmiðalisti (Lýsigögn)'!M$6:M$41,MATCH($C138,'Undirviðmiðalisti (Lýsigögn)'!$C$6:$C$41,0))),IFERROR(IF(INDEX('Undirviðmiðalisti (Lýsigögn)'!M$42:M$58,MATCH($C138,'Undirviðmiðalisti (Lýsigögn)'!$C$42:$C$58,0))="","",INDEX('Undirviðmiðalisti (Lýsigögn)'!M$42:M$58,MATCH($C138,'Undirviðmiðalisti (Lýsigögn)'!$C$42:$C$58,0))),""))))</f>
        <v/>
      </c>
    </row>
    <row r="139" customFormat="false" ht="15" hidden="false" customHeight="true" outlineLevel="0" collapsed="false">
      <c r="A139" s="22" t="str">
        <f aca="false">IF($B139="","",ROW()-5)</f>
        <v/>
      </c>
      <c r="B139" s="15"/>
      <c r="C139" s="15"/>
      <c r="D139" s="16" t="str">
        <f aca="false">IF($C139="","",IF($G139="Einstaklingsbundið",IFERROR(IF(INDEX('Undirviðmiðalisti (Lýsigögn)'!$D$42:$D$58,MATCH($C139,'Undirviðmiðalisti (Lýsigögn)'!$C$42:$C$58,0))="","",INDEX('Undirviðmiðalisti (Lýsigögn)'!$D$42:$D$58,MATCH($C139,'Undirviðmiðalisti (Lýsigögn)'!$C$42:$C$58,0))),""),IFERROR(IF(INDEX('Undirviðmiðalisti (Lýsigögn)'!$D$6:$D$41,MATCH($C139,'Undirviðmiðalisti (Lýsigögn)'!$C$6:$C$41,0))="","",INDEX('Undirviðmiðalisti (Lýsigögn)'!$D$6:$D$41,MATCH($C139,'Undirviðmiðalisti (Lýsigögn)'!$C$6:$C$41,0))),IFERROR(IF(INDEX('Undirviðmiðalisti (Lýsigögn)'!$D$42:$D$58,MATCH($C139,'Undirviðmiðalisti (Lýsigögn)'!$C$42:$C$58,0))="","",INDEX('Undirviðmiðalisti (Lýsigögn)'!$D$42:$D$58,MATCH($C139,'Undirviðmiðalisti (Lýsigögn)'!$C$42:$C$58,0))),""))))</f>
        <v/>
      </c>
      <c r="E139" s="14"/>
      <c r="F139" s="23" t="str">
        <f aca="false">IF($C139="","",IF($G139="Einstaklingsbundið",IFERROR(IF(INDEX('Undirviðmiðalisti (Lýsigögn)'!$E$42:$E$58,MATCH($C139,'Undirviðmiðalisti (Lýsigögn)'!$C$42:$C$58,0))="","",INDEX('Undirviðmiðalisti (Lýsigögn)'!$E$42:$E$58,MATCH($C139,'Undirviðmiðalisti (Lýsigögn)'!$C$42:$C$58,0))),""),IFERROR(IF(INDEX('Undirviðmiðalisti (Lýsigögn)'!$E$6:$E$41,MATCH($C139,'Undirviðmiðalisti (Lýsigögn)'!$C$6:$C$41,0))="","",INDEX('Undirviðmiðalisti (Lýsigögn)'!$E$6:$E$41,MATCH($C139,'Undirviðmiðalisti (Lýsigögn)'!$C$6:$C$41,0))),IFERROR(IF(INDEX('Undirviðmiðalisti (Lýsigögn)'!$E$42:$E$58,MATCH($C139,'Undirviðmiðalisti (Lýsigögn)'!$C$42:$C$58,0))="","",INDEX('Undirviðmiðalisti (Lýsigögn)'!$E$42:$E$58,MATCH($C139,'Undirviðmiðalisti (Lýsigögn)'!$C$42:$C$58,0))),""))))</f>
        <v/>
      </c>
      <c r="G139" s="24" t="str">
        <f aca="false">IFERROR(IF(B139="","",INDEX(Viðmið!$B$6:$B$10,MATCH(B139,Viðmið!$C$6:$C$10,0))),"")</f>
        <v/>
      </c>
      <c r="H139" s="25" t="str">
        <f aca="false">IF(OR(E139="",F139=""),"",E139*KVARDI)</f>
        <v/>
      </c>
      <c r="I139" s="26" t="str">
        <f aca="false">IF(B139="","",IF(ROUND(SUMIF($B$6:$B$205,B139,$E$6:$E$205),4)=ROUND(IFERROR(INDEX(Viðmið!$E$6:$E$10,MATCH(B139,Viðmið!$C$6:$C$10,0)),-1),4),"✓","✗"))</f>
        <v/>
      </c>
      <c r="J139" s="16" t="str">
        <f aca="false">IF($C139="","",IF($G139="Einstaklingsbundið",IFERROR(IF(INDEX('Undirviðmiðalisti (Lýsigögn)'!F$42:F$58,MATCH($C139,'Undirviðmiðalisti (Lýsigögn)'!$C$42:$C$58,0))="","",INDEX('Undirviðmiðalisti (Lýsigögn)'!F$42:F$58,MATCH($C139,'Undirviðmiðalisti (Lýsigögn)'!$C$42:$C$58,0))),""),IFERROR(IF(INDEX('Undirviðmiðalisti (Lýsigögn)'!F$6:F$41,MATCH($C139,'Undirviðmiðalisti (Lýsigögn)'!$C$6:$C$41,0))="","",INDEX('Undirviðmiðalisti (Lýsigögn)'!F$6:F$41,MATCH($C139,'Undirviðmiðalisti (Lýsigögn)'!$C$6:$C$41,0))),IFERROR(IF(INDEX('Undirviðmiðalisti (Lýsigögn)'!F$42:F$58,MATCH($C139,'Undirviðmiðalisti (Lýsigögn)'!$C$42:$C$58,0))="","",INDEX('Undirviðmiðalisti (Lýsigögn)'!F$42:F$58,MATCH($C139,'Undirviðmiðalisti (Lýsigögn)'!$C$42:$C$58,0))),""))))</f>
        <v/>
      </c>
      <c r="K139" s="16" t="str">
        <f aca="false">IF($C139="","",IF($G139="Einstaklingsbundið",IFERROR(IF(INDEX('Undirviðmiðalisti (Lýsigögn)'!G$42:G$58,MATCH($C139,'Undirviðmiðalisti (Lýsigögn)'!$C$42:$C$58,0))="","",INDEX('Undirviðmiðalisti (Lýsigögn)'!G$42:G$58,MATCH($C139,'Undirviðmiðalisti (Lýsigögn)'!$C$42:$C$58,0))),""),IFERROR(IF(INDEX('Undirviðmiðalisti (Lýsigögn)'!G$6:G$41,MATCH($C139,'Undirviðmiðalisti (Lýsigögn)'!$C$6:$C$41,0))="","",INDEX('Undirviðmiðalisti (Lýsigögn)'!G$6:G$41,MATCH($C139,'Undirviðmiðalisti (Lýsigögn)'!$C$6:$C$41,0))),IFERROR(IF(INDEX('Undirviðmiðalisti (Lýsigögn)'!G$42:G$58,MATCH($C139,'Undirviðmiðalisti (Lýsigögn)'!$C$42:$C$58,0))="","",INDEX('Undirviðmiðalisti (Lýsigögn)'!G$42:G$58,MATCH($C139,'Undirviðmiðalisti (Lýsigögn)'!$C$42:$C$58,0))),""))))</f>
        <v/>
      </c>
      <c r="L139" s="16" t="str">
        <f aca="false">IF($C139="","",IF($G139="Einstaklingsbundið",IFERROR(IF(INDEX('Undirviðmiðalisti (Lýsigögn)'!H$42:H$58,MATCH($C139,'Undirviðmiðalisti (Lýsigögn)'!$C$42:$C$58,0))="","",INDEX('Undirviðmiðalisti (Lýsigögn)'!H$42:H$58,MATCH($C139,'Undirviðmiðalisti (Lýsigögn)'!$C$42:$C$58,0))),""),IFERROR(IF(INDEX('Undirviðmiðalisti (Lýsigögn)'!H$6:H$41,MATCH($C139,'Undirviðmiðalisti (Lýsigögn)'!$C$6:$C$41,0))="","",INDEX('Undirviðmiðalisti (Lýsigögn)'!H$6:H$41,MATCH($C139,'Undirviðmiðalisti (Lýsigögn)'!$C$6:$C$41,0))),IFERROR(IF(INDEX('Undirviðmiðalisti (Lýsigögn)'!H$42:H$58,MATCH($C139,'Undirviðmiðalisti (Lýsigögn)'!$C$42:$C$58,0))="","",INDEX('Undirviðmiðalisti (Lýsigögn)'!H$42:H$58,MATCH($C139,'Undirviðmiðalisti (Lýsigögn)'!$C$42:$C$58,0))),""))))</f>
        <v/>
      </c>
      <c r="M139" s="16" t="str">
        <f aca="false">IF($C139="","",IF($G139="Einstaklingsbundið",IFERROR(IF(INDEX('Undirviðmiðalisti (Lýsigögn)'!I$42:I$58,MATCH($C139,'Undirviðmiðalisti (Lýsigögn)'!$C$42:$C$58,0))="","",INDEX('Undirviðmiðalisti (Lýsigögn)'!I$42:I$58,MATCH($C139,'Undirviðmiðalisti (Lýsigögn)'!$C$42:$C$58,0))),""),IFERROR(IF(INDEX('Undirviðmiðalisti (Lýsigögn)'!I$6:I$41,MATCH($C139,'Undirviðmiðalisti (Lýsigögn)'!$C$6:$C$41,0))="","",INDEX('Undirviðmiðalisti (Lýsigögn)'!I$6:I$41,MATCH($C139,'Undirviðmiðalisti (Lýsigögn)'!$C$6:$C$41,0))),IFERROR(IF(INDEX('Undirviðmiðalisti (Lýsigögn)'!I$42:I$58,MATCH($C139,'Undirviðmiðalisti (Lýsigögn)'!$C$42:$C$58,0))="","",INDEX('Undirviðmiðalisti (Lýsigögn)'!I$42:I$58,MATCH($C139,'Undirviðmiðalisti (Lýsigögn)'!$C$42:$C$58,0))),""))))</f>
        <v/>
      </c>
      <c r="N139" s="16" t="str">
        <f aca="false">IF($C139="","",IF($G139="Einstaklingsbundið",IFERROR(IF(INDEX('Undirviðmiðalisti (Lýsigögn)'!J$42:J$58,MATCH($C139,'Undirviðmiðalisti (Lýsigögn)'!$C$42:$C$58,0))="","",INDEX('Undirviðmiðalisti (Lýsigögn)'!J$42:J$58,MATCH($C139,'Undirviðmiðalisti (Lýsigögn)'!$C$42:$C$58,0))),""),IFERROR(IF(INDEX('Undirviðmiðalisti (Lýsigögn)'!J$6:J$41,MATCH($C139,'Undirviðmiðalisti (Lýsigögn)'!$C$6:$C$41,0))="","",INDEX('Undirviðmiðalisti (Lýsigögn)'!J$6:J$41,MATCH($C139,'Undirviðmiðalisti (Lýsigögn)'!$C$6:$C$41,0))),IFERROR(IF(INDEX('Undirviðmiðalisti (Lýsigögn)'!J$42:J$58,MATCH($C139,'Undirviðmiðalisti (Lýsigögn)'!$C$42:$C$58,0))="","",INDEX('Undirviðmiðalisti (Lýsigögn)'!J$42:J$58,MATCH($C139,'Undirviðmiðalisti (Lýsigögn)'!$C$42:$C$58,0))),""))))</f>
        <v/>
      </c>
      <c r="O139" s="16" t="str">
        <f aca="false">IF($C139="","",IF($G139="Einstaklingsbundið",IFERROR(IF(INDEX('Undirviðmiðalisti (Lýsigögn)'!K$42:K$58,MATCH($C139,'Undirviðmiðalisti (Lýsigögn)'!$C$42:$C$58,0))="","",INDEX('Undirviðmiðalisti (Lýsigögn)'!K$42:K$58,MATCH($C139,'Undirviðmiðalisti (Lýsigögn)'!$C$42:$C$58,0))),""),IFERROR(IF(INDEX('Undirviðmiðalisti (Lýsigögn)'!K$6:K$41,MATCH($C139,'Undirviðmiðalisti (Lýsigögn)'!$C$6:$C$41,0))="","",INDEX('Undirviðmiðalisti (Lýsigögn)'!K$6:K$41,MATCH($C139,'Undirviðmiðalisti (Lýsigögn)'!$C$6:$C$41,0))),IFERROR(IF(INDEX('Undirviðmiðalisti (Lýsigögn)'!K$42:K$58,MATCH($C139,'Undirviðmiðalisti (Lýsigögn)'!$C$42:$C$58,0))="","",INDEX('Undirviðmiðalisti (Lýsigögn)'!K$42:K$58,MATCH($C139,'Undirviðmiðalisti (Lýsigögn)'!$C$42:$C$58,0))),""))))</f>
        <v/>
      </c>
      <c r="P139" s="16" t="str">
        <f aca="false">IF($C139="","",IF($G139="Einstaklingsbundið",IFERROR(IF(INDEX('Undirviðmiðalisti (Lýsigögn)'!L$42:L$58,MATCH($C139,'Undirviðmiðalisti (Lýsigögn)'!$C$42:$C$58,0))="","",INDEX('Undirviðmiðalisti (Lýsigögn)'!L$42:L$58,MATCH($C139,'Undirviðmiðalisti (Lýsigögn)'!$C$42:$C$58,0))),""),IFERROR(IF(INDEX('Undirviðmiðalisti (Lýsigögn)'!L$6:L$41,MATCH($C139,'Undirviðmiðalisti (Lýsigögn)'!$C$6:$C$41,0))="","",INDEX('Undirviðmiðalisti (Lýsigögn)'!L$6:L$41,MATCH($C139,'Undirviðmiðalisti (Lýsigögn)'!$C$6:$C$41,0))),IFERROR(IF(INDEX('Undirviðmiðalisti (Lýsigögn)'!L$42:L$58,MATCH($C139,'Undirviðmiðalisti (Lýsigögn)'!$C$42:$C$58,0))="","",INDEX('Undirviðmiðalisti (Lýsigögn)'!L$42:L$58,MATCH($C139,'Undirviðmiðalisti (Lýsigögn)'!$C$42:$C$58,0))),""))))</f>
        <v/>
      </c>
      <c r="Q139" s="16" t="str">
        <f aca="false">IF($C139="","",IF($G139="Einstaklingsbundið",IFERROR(IF(INDEX('Undirviðmiðalisti (Lýsigögn)'!M$42:M$58,MATCH($C139,'Undirviðmiðalisti (Lýsigögn)'!$C$42:$C$58,0))="","",INDEX('Undirviðmiðalisti (Lýsigögn)'!M$42:M$58,MATCH($C139,'Undirviðmiðalisti (Lýsigögn)'!$C$42:$C$58,0))),""),IFERROR(IF(INDEX('Undirviðmiðalisti (Lýsigögn)'!M$6:M$41,MATCH($C139,'Undirviðmiðalisti (Lýsigögn)'!$C$6:$C$41,0))="","",INDEX('Undirviðmiðalisti (Lýsigögn)'!M$6:M$41,MATCH($C139,'Undirviðmiðalisti (Lýsigögn)'!$C$6:$C$41,0))),IFERROR(IF(INDEX('Undirviðmiðalisti (Lýsigögn)'!M$42:M$58,MATCH($C139,'Undirviðmiðalisti (Lýsigögn)'!$C$42:$C$58,0))="","",INDEX('Undirviðmiðalisti (Lýsigögn)'!M$42:M$58,MATCH($C139,'Undirviðmiðalisti (Lýsigögn)'!$C$42:$C$58,0))),""))))</f>
        <v/>
      </c>
    </row>
    <row r="140" customFormat="false" ht="15" hidden="false" customHeight="true" outlineLevel="0" collapsed="false">
      <c r="A140" s="22" t="str">
        <f aca="false">IF($B140="","",ROW()-5)</f>
        <v/>
      </c>
      <c r="B140" s="15"/>
      <c r="C140" s="15"/>
      <c r="D140" s="16" t="str">
        <f aca="false">IF($C140="","",IF($G140="Einstaklingsbundið",IFERROR(IF(INDEX('Undirviðmiðalisti (Lýsigögn)'!$D$42:$D$58,MATCH($C140,'Undirviðmiðalisti (Lýsigögn)'!$C$42:$C$58,0))="","",INDEX('Undirviðmiðalisti (Lýsigögn)'!$D$42:$D$58,MATCH($C140,'Undirviðmiðalisti (Lýsigögn)'!$C$42:$C$58,0))),""),IFERROR(IF(INDEX('Undirviðmiðalisti (Lýsigögn)'!$D$6:$D$41,MATCH($C140,'Undirviðmiðalisti (Lýsigögn)'!$C$6:$C$41,0))="","",INDEX('Undirviðmiðalisti (Lýsigögn)'!$D$6:$D$41,MATCH($C140,'Undirviðmiðalisti (Lýsigögn)'!$C$6:$C$41,0))),IFERROR(IF(INDEX('Undirviðmiðalisti (Lýsigögn)'!$D$42:$D$58,MATCH($C140,'Undirviðmiðalisti (Lýsigögn)'!$C$42:$C$58,0))="","",INDEX('Undirviðmiðalisti (Lýsigögn)'!$D$42:$D$58,MATCH($C140,'Undirviðmiðalisti (Lýsigögn)'!$C$42:$C$58,0))),""))))</f>
        <v/>
      </c>
      <c r="E140" s="14"/>
      <c r="F140" s="23" t="str">
        <f aca="false">IF($C140="","",IF($G140="Einstaklingsbundið",IFERROR(IF(INDEX('Undirviðmiðalisti (Lýsigögn)'!$E$42:$E$58,MATCH($C140,'Undirviðmiðalisti (Lýsigögn)'!$C$42:$C$58,0))="","",INDEX('Undirviðmiðalisti (Lýsigögn)'!$E$42:$E$58,MATCH($C140,'Undirviðmiðalisti (Lýsigögn)'!$C$42:$C$58,0))),""),IFERROR(IF(INDEX('Undirviðmiðalisti (Lýsigögn)'!$E$6:$E$41,MATCH($C140,'Undirviðmiðalisti (Lýsigögn)'!$C$6:$C$41,0))="","",INDEX('Undirviðmiðalisti (Lýsigögn)'!$E$6:$E$41,MATCH($C140,'Undirviðmiðalisti (Lýsigögn)'!$C$6:$C$41,0))),IFERROR(IF(INDEX('Undirviðmiðalisti (Lýsigögn)'!$E$42:$E$58,MATCH($C140,'Undirviðmiðalisti (Lýsigögn)'!$C$42:$C$58,0))="","",INDEX('Undirviðmiðalisti (Lýsigögn)'!$E$42:$E$58,MATCH($C140,'Undirviðmiðalisti (Lýsigögn)'!$C$42:$C$58,0))),""))))</f>
        <v/>
      </c>
      <c r="G140" s="24" t="str">
        <f aca="false">IFERROR(IF(B140="","",INDEX(Viðmið!$B$6:$B$10,MATCH(B140,Viðmið!$C$6:$C$10,0))),"")</f>
        <v/>
      </c>
      <c r="H140" s="25" t="str">
        <f aca="false">IF(OR(E140="",F140=""),"",E140*KVARDI)</f>
        <v/>
      </c>
      <c r="I140" s="26" t="str">
        <f aca="false">IF(B140="","",IF(ROUND(SUMIF($B$6:$B$205,B140,$E$6:$E$205),4)=ROUND(IFERROR(INDEX(Viðmið!$E$6:$E$10,MATCH(B140,Viðmið!$C$6:$C$10,0)),-1),4),"✓","✗"))</f>
        <v/>
      </c>
      <c r="J140" s="16" t="str">
        <f aca="false">IF($C140="","",IF($G140="Einstaklingsbundið",IFERROR(IF(INDEX('Undirviðmiðalisti (Lýsigögn)'!F$42:F$58,MATCH($C140,'Undirviðmiðalisti (Lýsigögn)'!$C$42:$C$58,0))="","",INDEX('Undirviðmiðalisti (Lýsigögn)'!F$42:F$58,MATCH($C140,'Undirviðmiðalisti (Lýsigögn)'!$C$42:$C$58,0))),""),IFERROR(IF(INDEX('Undirviðmiðalisti (Lýsigögn)'!F$6:F$41,MATCH($C140,'Undirviðmiðalisti (Lýsigögn)'!$C$6:$C$41,0))="","",INDEX('Undirviðmiðalisti (Lýsigögn)'!F$6:F$41,MATCH($C140,'Undirviðmiðalisti (Lýsigögn)'!$C$6:$C$41,0))),IFERROR(IF(INDEX('Undirviðmiðalisti (Lýsigögn)'!F$42:F$58,MATCH($C140,'Undirviðmiðalisti (Lýsigögn)'!$C$42:$C$58,0))="","",INDEX('Undirviðmiðalisti (Lýsigögn)'!F$42:F$58,MATCH($C140,'Undirviðmiðalisti (Lýsigögn)'!$C$42:$C$58,0))),""))))</f>
        <v/>
      </c>
      <c r="K140" s="16" t="str">
        <f aca="false">IF($C140="","",IF($G140="Einstaklingsbundið",IFERROR(IF(INDEX('Undirviðmiðalisti (Lýsigögn)'!G$42:G$58,MATCH($C140,'Undirviðmiðalisti (Lýsigögn)'!$C$42:$C$58,0))="","",INDEX('Undirviðmiðalisti (Lýsigögn)'!G$42:G$58,MATCH($C140,'Undirviðmiðalisti (Lýsigögn)'!$C$42:$C$58,0))),""),IFERROR(IF(INDEX('Undirviðmiðalisti (Lýsigögn)'!G$6:G$41,MATCH($C140,'Undirviðmiðalisti (Lýsigögn)'!$C$6:$C$41,0))="","",INDEX('Undirviðmiðalisti (Lýsigögn)'!G$6:G$41,MATCH($C140,'Undirviðmiðalisti (Lýsigögn)'!$C$6:$C$41,0))),IFERROR(IF(INDEX('Undirviðmiðalisti (Lýsigögn)'!G$42:G$58,MATCH($C140,'Undirviðmiðalisti (Lýsigögn)'!$C$42:$C$58,0))="","",INDEX('Undirviðmiðalisti (Lýsigögn)'!G$42:G$58,MATCH($C140,'Undirviðmiðalisti (Lýsigögn)'!$C$42:$C$58,0))),""))))</f>
        <v/>
      </c>
      <c r="L140" s="16" t="str">
        <f aca="false">IF($C140="","",IF($G140="Einstaklingsbundið",IFERROR(IF(INDEX('Undirviðmiðalisti (Lýsigögn)'!H$42:H$58,MATCH($C140,'Undirviðmiðalisti (Lýsigögn)'!$C$42:$C$58,0))="","",INDEX('Undirviðmiðalisti (Lýsigögn)'!H$42:H$58,MATCH($C140,'Undirviðmiðalisti (Lýsigögn)'!$C$42:$C$58,0))),""),IFERROR(IF(INDEX('Undirviðmiðalisti (Lýsigögn)'!H$6:H$41,MATCH($C140,'Undirviðmiðalisti (Lýsigögn)'!$C$6:$C$41,0))="","",INDEX('Undirviðmiðalisti (Lýsigögn)'!H$6:H$41,MATCH($C140,'Undirviðmiðalisti (Lýsigögn)'!$C$6:$C$41,0))),IFERROR(IF(INDEX('Undirviðmiðalisti (Lýsigögn)'!H$42:H$58,MATCH($C140,'Undirviðmiðalisti (Lýsigögn)'!$C$42:$C$58,0))="","",INDEX('Undirviðmiðalisti (Lýsigögn)'!H$42:H$58,MATCH($C140,'Undirviðmiðalisti (Lýsigögn)'!$C$42:$C$58,0))),""))))</f>
        <v/>
      </c>
      <c r="M140" s="16" t="str">
        <f aca="false">IF($C140="","",IF($G140="Einstaklingsbundið",IFERROR(IF(INDEX('Undirviðmiðalisti (Lýsigögn)'!I$42:I$58,MATCH($C140,'Undirviðmiðalisti (Lýsigögn)'!$C$42:$C$58,0))="","",INDEX('Undirviðmiðalisti (Lýsigögn)'!I$42:I$58,MATCH($C140,'Undirviðmiðalisti (Lýsigögn)'!$C$42:$C$58,0))),""),IFERROR(IF(INDEX('Undirviðmiðalisti (Lýsigögn)'!I$6:I$41,MATCH($C140,'Undirviðmiðalisti (Lýsigögn)'!$C$6:$C$41,0))="","",INDEX('Undirviðmiðalisti (Lýsigögn)'!I$6:I$41,MATCH($C140,'Undirviðmiðalisti (Lýsigögn)'!$C$6:$C$41,0))),IFERROR(IF(INDEX('Undirviðmiðalisti (Lýsigögn)'!I$42:I$58,MATCH($C140,'Undirviðmiðalisti (Lýsigögn)'!$C$42:$C$58,0))="","",INDEX('Undirviðmiðalisti (Lýsigögn)'!I$42:I$58,MATCH($C140,'Undirviðmiðalisti (Lýsigögn)'!$C$42:$C$58,0))),""))))</f>
        <v/>
      </c>
      <c r="N140" s="16" t="str">
        <f aca="false">IF($C140="","",IF($G140="Einstaklingsbundið",IFERROR(IF(INDEX('Undirviðmiðalisti (Lýsigögn)'!J$42:J$58,MATCH($C140,'Undirviðmiðalisti (Lýsigögn)'!$C$42:$C$58,0))="","",INDEX('Undirviðmiðalisti (Lýsigögn)'!J$42:J$58,MATCH($C140,'Undirviðmiðalisti (Lýsigögn)'!$C$42:$C$58,0))),""),IFERROR(IF(INDEX('Undirviðmiðalisti (Lýsigögn)'!J$6:J$41,MATCH($C140,'Undirviðmiðalisti (Lýsigögn)'!$C$6:$C$41,0))="","",INDEX('Undirviðmiðalisti (Lýsigögn)'!J$6:J$41,MATCH($C140,'Undirviðmiðalisti (Lýsigögn)'!$C$6:$C$41,0))),IFERROR(IF(INDEX('Undirviðmiðalisti (Lýsigögn)'!J$42:J$58,MATCH($C140,'Undirviðmiðalisti (Lýsigögn)'!$C$42:$C$58,0))="","",INDEX('Undirviðmiðalisti (Lýsigögn)'!J$42:J$58,MATCH($C140,'Undirviðmiðalisti (Lýsigögn)'!$C$42:$C$58,0))),""))))</f>
        <v/>
      </c>
      <c r="O140" s="16" t="str">
        <f aca="false">IF($C140="","",IF($G140="Einstaklingsbundið",IFERROR(IF(INDEX('Undirviðmiðalisti (Lýsigögn)'!K$42:K$58,MATCH($C140,'Undirviðmiðalisti (Lýsigögn)'!$C$42:$C$58,0))="","",INDEX('Undirviðmiðalisti (Lýsigögn)'!K$42:K$58,MATCH($C140,'Undirviðmiðalisti (Lýsigögn)'!$C$42:$C$58,0))),""),IFERROR(IF(INDEX('Undirviðmiðalisti (Lýsigögn)'!K$6:K$41,MATCH($C140,'Undirviðmiðalisti (Lýsigögn)'!$C$6:$C$41,0))="","",INDEX('Undirviðmiðalisti (Lýsigögn)'!K$6:K$41,MATCH($C140,'Undirviðmiðalisti (Lýsigögn)'!$C$6:$C$41,0))),IFERROR(IF(INDEX('Undirviðmiðalisti (Lýsigögn)'!K$42:K$58,MATCH($C140,'Undirviðmiðalisti (Lýsigögn)'!$C$42:$C$58,0))="","",INDEX('Undirviðmiðalisti (Lýsigögn)'!K$42:K$58,MATCH($C140,'Undirviðmiðalisti (Lýsigögn)'!$C$42:$C$58,0))),""))))</f>
        <v/>
      </c>
      <c r="P140" s="16" t="str">
        <f aca="false">IF($C140="","",IF($G140="Einstaklingsbundið",IFERROR(IF(INDEX('Undirviðmiðalisti (Lýsigögn)'!L$42:L$58,MATCH($C140,'Undirviðmiðalisti (Lýsigögn)'!$C$42:$C$58,0))="","",INDEX('Undirviðmiðalisti (Lýsigögn)'!L$42:L$58,MATCH($C140,'Undirviðmiðalisti (Lýsigögn)'!$C$42:$C$58,0))),""),IFERROR(IF(INDEX('Undirviðmiðalisti (Lýsigögn)'!L$6:L$41,MATCH($C140,'Undirviðmiðalisti (Lýsigögn)'!$C$6:$C$41,0))="","",INDEX('Undirviðmiðalisti (Lýsigögn)'!L$6:L$41,MATCH($C140,'Undirviðmiðalisti (Lýsigögn)'!$C$6:$C$41,0))),IFERROR(IF(INDEX('Undirviðmiðalisti (Lýsigögn)'!L$42:L$58,MATCH($C140,'Undirviðmiðalisti (Lýsigögn)'!$C$42:$C$58,0))="","",INDEX('Undirviðmiðalisti (Lýsigögn)'!L$42:L$58,MATCH($C140,'Undirviðmiðalisti (Lýsigögn)'!$C$42:$C$58,0))),""))))</f>
        <v/>
      </c>
      <c r="Q140" s="16" t="str">
        <f aca="false">IF($C140="","",IF($G140="Einstaklingsbundið",IFERROR(IF(INDEX('Undirviðmiðalisti (Lýsigögn)'!M$42:M$58,MATCH($C140,'Undirviðmiðalisti (Lýsigögn)'!$C$42:$C$58,0))="","",INDEX('Undirviðmiðalisti (Lýsigögn)'!M$42:M$58,MATCH($C140,'Undirviðmiðalisti (Lýsigögn)'!$C$42:$C$58,0))),""),IFERROR(IF(INDEX('Undirviðmiðalisti (Lýsigögn)'!M$6:M$41,MATCH($C140,'Undirviðmiðalisti (Lýsigögn)'!$C$6:$C$41,0))="","",INDEX('Undirviðmiðalisti (Lýsigögn)'!M$6:M$41,MATCH($C140,'Undirviðmiðalisti (Lýsigögn)'!$C$6:$C$41,0))),IFERROR(IF(INDEX('Undirviðmiðalisti (Lýsigögn)'!M$42:M$58,MATCH($C140,'Undirviðmiðalisti (Lýsigögn)'!$C$42:$C$58,0))="","",INDEX('Undirviðmiðalisti (Lýsigögn)'!M$42:M$58,MATCH($C140,'Undirviðmiðalisti (Lýsigögn)'!$C$42:$C$58,0))),""))))</f>
        <v/>
      </c>
    </row>
    <row r="141" customFormat="false" ht="15" hidden="false" customHeight="true" outlineLevel="0" collapsed="false">
      <c r="A141" s="22" t="str">
        <f aca="false">IF($B141="","",ROW()-5)</f>
        <v/>
      </c>
      <c r="B141" s="15"/>
      <c r="C141" s="15"/>
      <c r="D141" s="16" t="str">
        <f aca="false">IF($C141="","",IF($G141="Einstaklingsbundið",IFERROR(IF(INDEX('Undirviðmiðalisti (Lýsigögn)'!$D$42:$D$58,MATCH($C141,'Undirviðmiðalisti (Lýsigögn)'!$C$42:$C$58,0))="","",INDEX('Undirviðmiðalisti (Lýsigögn)'!$D$42:$D$58,MATCH($C141,'Undirviðmiðalisti (Lýsigögn)'!$C$42:$C$58,0))),""),IFERROR(IF(INDEX('Undirviðmiðalisti (Lýsigögn)'!$D$6:$D$41,MATCH($C141,'Undirviðmiðalisti (Lýsigögn)'!$C$6:$C$41,0))="","",INDEX('Undirviðmiðalisti (Lýsigögn)'!$D$6:$D$41,MATCH($C141,'Undirviðmiðalisti (Lýsigögn)'!$C$6:$C$41,0))),IFERROR(IF(INDEX('Undirviðmiðalisti (Lýsigögn)'!$D$42:$D$58,MATCH($C141,'Undirviðmiðalisti (Lýsigögn)'!$C$42:$C$58,0))="","",INDEX('Undirviðmiðalisti (Lýsigögn)'!$D$42:$D$58,MATCH($C141,'Undirviðmiðalisti (Lýsigögn)'!$C$42:$C$58,0))),""))))</f>
        <v/>
      </c>
      <c r="E141" s="14"/>
      <c r="F141" s="23" t="str">
        <f aca="false">IF($C141="","",IF($G141="Einstaklingsbundið",IFERROR(IF(INDEX('Undirviðmiðalisti (Lýsigögn)'!$E$42:$E$58,MATCH($C141,'Undirviðmiðalisti (Lýsigögn)'!$C$42:$C$58,0))="","",INDEX('Undirviðmiðalisti (Lýsigögn)'!$E$42:$E$58,MATCH($C141,'Undirviðmiðalisti (Lýsigögn)'!$C$42:$C$58,0))),""),IFERROR(IF(INDEX('Undirviðmiðalisti (Lýsigögn)'!$E$6:$E$41,MATCH($C141,'Undirviðmiðalisti (Lýsigögn)'!$C$6:$C$41,0))="","",INDEX('Undirviðmiðalisti (Lýsigögn)'!$E$6:$E$41,MATCH($C141,'Undirviðmiðalisti (Lýsigögn)'!$C$6:$C$41,0))),IFERROR(IF(INDEX('Undirviðmiðalisti (Lýsigögn)'!$E$42:$E$58,MATCH($C141,'Undirviðmiðalisti (Lýsigögn)'!$C$42:$C$58,0))="","",INDEX('Undirviðmiðalisti (Lýsigögn)'!$E$42:$E$58,MATCH($C141,'Undirviðmiðalisti (Lýsigögn)'!$C$42:$C$58,0))),""))))</f>
        <v/>
      </c>
      <c r="G141" s="24" t="str">
        <f aca="false">IFERROR(IF(B141="","",INDEX(Viðmið!$B$6:$B$10,MATCH(B141,Viðmið!$C$6:$C$10,0))),"")</f>
        <v/>
      </c>
      <c r="H141" s="25" t="str">
        <f aca="false">IF(OR(E141="",F141=""),"",E141*KVARDI)</f>
        <v/>
      </c>
      <c r="I141" s="26" t="str">
        <f aca="false">IF(B141="","",IF(ROUND(SUMIF($B$6:$B$205,B141,$E$6:$E$205),4)=ROUND(IFERROR(INDEX(Viðmið!$E$6:$E$10,MATCH(B141,Viðmið!$C$6:$C$10,0)),-1),4),"✓","✗"))</f>
        <v/>
      </c>
      <c r="J141" s="16" t="str">
        <f aca="false">IF($C141="","",IF($G141="Einstaklingsbundið",IFERROR(IF(INDEX('Undirviðmiðalisti (Lýsigögn)'!F$42:F$58,MATCH($C141,'Undirviðmiðalisti (Lýsigögn)'!$C$42:$C$58,0))="","",INDEX('Undirviðmiðalisti (Lýsigögn)'!F$42:F$58,MATCH($C141,'Undirviðmiðalisti (Lýsigögn)'!$C$42:$C$58,0))),""),IFERROR(IF(INDEX('Undirviðmiðalisti (Lýsigögn)'!F$6:F$41,MATCH($C141,'Undirviðmiðalisti (Lýsigögn)'!$C$6:$C$41,0))="","",INDEX('Undirviðmiðalisti (Lýsigögn)'!F$6:F$41,MATCH($C141,'Undirviðmiðalisti (Lýsigögn)'!$C$6:$C$41,0))),IFERROR(IF(INDEX('Undirviðmiðalisti (Lýsigögn)'!F$42:F$58,MATCH($C141,'Undirviðmiðalisti (Lýsigögn)'!$C$42:$C$58,0))="","",INDEX('Undirviðmiðalisti (Lýsigögn)'!F$42:F$58,MATCH($C141,'Undirviðmiðalisti (Lýsigögn)'!$C$42:$C$58,0))),""))))</f>
        <v/>
      </c>
      <c r="K141" s="16" t="str">
        <f aca="false">IF($C141="","",IF($G141="Einstaklingsbundið",IFERROR(IF(INDEX('Undirviðmiðalisti (Lýsigögn)'!G$42:G$58,MATCH($C141,'Undirviðmiðalisti (Lýsigögn)'!$C$42:$C$58,0))="","",INDEX('Undirviðmiðalisti (Lýsigögn)'!G$42:G$58,MATCH($C141,'Undirviðmiðalisti (Lýsigögn)'!$C$42:$C$58,0))),""),IFERROR(IF(INDEX('Undirviðmiðalisti (Lýsigögn)'!G$6:G$41,MATCH($C141,'Undirviðmiðalisti (Lýsigögn)'!$C$6:$C$41,0))="","",INDEX('Undirviðmiðalisti (Lýsigögn)'!G$6:G$41,MATCH($C141,'Undirviðmiðalisti (Lýsigögn)'!$C$6:$C$41,0))),IFERROR(IF(INDEX('Undirviðmiðalisti (Lýsigögn)'!G$42:G$58,MATCH($C141,'Undirviðmiðalisti (Lýsigögn)'!$C$42:$C$58,0))="","",INDEX('Undirviðmiðalisti (Lýsigögn)'!G$42:G$58,MATCH($C141,'Undirviðmiðalisti (Lýsigögn)'!$C$42:$C$58,0))),""))))</f>
        <v/>
      </c>
      <c r="L141" s="16" t="str">
        <f aca="false">IF($C141="","",IF($G141="Einstaklingsbundið",IFERROR(IF(INDEX('Undirviðmiðalisti (Lýsigögn)'!H$42:H$58,MATCH($C141,'Undirviðmiðalisti (Lýsigögn)'!$C$42:$C$58,0))="","",INDEX('Undirviðmiðalisti (Lýsigögn)'!H$42:H$58,MATCH($C141,'Undirviðmiðalisti (Lýsigögn)'!$C$42:$C$58,0))),""),IFERROR(IF(INDEX('Undirviðmiðalisti (Lýsigögn)'!H$6:H$41,MATCH($C141,'Undirviðmiðalisti (Lýsigögn)'!$C$6:$C$41,0))="","",INDEX('Undirviðmiðalisti (Lýsigögn)'!H$6:H$41,MATCH($C141,'Undirviðmiðalisti (Lýsigögn)'!$C$6:$C$41,0))),IFERROR(IF(INDEX('Undirviðmiðalisti (Lýsigögn)'!H$42:H$58,MATCH($C141,'Undirviðmiðalisti (Lýsigögn)'!$C$42:$C$58,0))="","",INDEX('Undirviðmiðalisti (Lýsigögn)'!H$42:H$58,MATCH($C141,'Undirviðmiðalisti (Lýsigögn)'!$C$42:$C$58,0))),""))))</f>
        <v/>
      </c>
      <c r="M141" s="16" t="str">
        <f aca="false">IF($C141="","",IF($G141="Einstaklingsbundið",IFERROR(IF(INDEX('Undirviðmiðalisti (Lýsigögn)'!I$42:I$58,MATCH($C141,'Undirviðmiðalisti (Lýsigögn)'!$C$42:$C$58,0))="","",INDEX('Undirviðmiðalisti (Lýsigögn)'!I$42:I$58,MATCH($C141,'Undirviðmiðalisti (Lýsigögn)'!$C$42:$C$58,0))),""),IFERROR(IF(INDEX('Undirviðmiðalisti (Lýsigögn)'!I$6:I$41,MATCH($C141,'Undirviðmiðalisti (Lýsigögn)'!$C$6:$C$41,0))="","",INDEX('Undirviðmiðalisti (Lýsigögn)'!I$6:I$41,MATCH($C141,'Undirviðmiðalisti (Lýsigögn)'!$C$6:$C$41,0))),IFERROR(IF(INDEX('Undirviðmiðalisti (Lýsigögn)'!I$42:I$58,MATCH($C141,'Undirviðmiðalisti (Lýsigögn)'!$C$42:$C$58,0))="","",INDEX('Undirviðmiðalisti (Lýsigögn)'!I$42:I$58,MATCH($C141,'Undirviðmiðalisti (Lýsigögn)'!$C$42:$C$58,0))),""))))</f>
        <v/>
      </c>
      <c r="N141" s="16" t="str">
        <f aca="false">IF($C141="","",IF($G141="Einstaklingsbundið",IFERROR(IF(INDEX('Undirviðmiðalisti (Lýsigögn)'!J$42:J$58,MATCH($C141,'Undirviðmiðalisti (Lýsigögn)'!$C$42:$C$58,0))="","",INDEX('Undirviðmiðalisti (Lýsigögn)'!J$42:J$58,MATCH($C141,'Undirviðmiðalisti (Lýsigögn)'!$C$42:$C$58,0))),""),IFERROR(IF(INDEX('Undirviðmiðalisti (Lýsigögn)'!J$6:J$41,MATCH($C141,'Undirviðmiðalisti (Lýsigögn)'!$C$6:$C$41,0))="","",INDEX('Undirviðmiðalisti (Lýsigögn)'!J$6:J$41,MATCH($C141,'Undirviðmiðalisti (Lýsigögn)'!$C$6:$C$41,0))),IFERROR(IF(INDEX('Undirviðmiðalisti (Lýsigögn)'!J$42:J$58,MATCH($C141,'Undirviðmiðalisti (Lýsigögn)'!$C$42:$C$58,0))="","",INDEX('Undirviðmiðalisti (Lýsigögn)'!J$42:J$58,MATCH($C141,'Undirviðmiðalisti (Lýsigögn)'!$C$42:$C$58,0))),""))))</f>
        <v/>
      </c>
      <c r="O141" s="16" t="str">
        <f aca="false">IF($C141="","",IF($G141="Einstaklingsbundið",IFERROR(IF(INDEX('Undirviðmiðalisti (Lýsigögn)'!K$42:K$58,MATCH($C141,'Undirviðmiðalisti (Lýsigögn)'!$C$42:$C$58,0))="","",INDEX('Undirviðmiðalisti (Lýsigögn)'!K$42:K$58,MATCH($C141,'Undirviðmiðalisti (Lýsigögn)'!$C$42:$C$58,0))),""),IFERROR(IF(INDEX('Undirviðmiðalisti (Lýsigögn)'!K$6:K$41,MATCH($C141,'Undirviðmiðalisti (Lýsigögn)'!$C$6:$C$41,0))="","",INDEX('Undirviðmiðalisti (Lýsigögn)'!K$6:K$41,MATCH($C141,'Undirviðmiðalisti (Lýsigögn)'!$C$6:$C$41,0))),IFERROR(IF(INDEX('Undirviðmiðalisti (Lýsigögn)'!K$42:K$58,MATCH($C141,'Undirviðmiðalisti (Lýsigögn)'!$C$42:$C$58,0))="","",INDEX('Undirviðmiðalisti (Lýsigögn)'!K$42:K$58,MATCH($C141,'Undirviðmiðalisti (Lýsigögn)'!$C$42:$C$58,0))),""))))</f>
        <v/>
      </c>
      <c r="P141" s="16" t="str">
        <f aca="false">IF($C141="","",IF($G141="Einstaklingsbundið",IFERROR(IF(INDEX('Undirviðmiðalisti (Lýsigögn)'!L$42:L$58,MATCH($C141,'Undirviðmiðalisti (Lýsigögn)'!$C$42:$C$58,0))="","",INDEX('Undirviðmiðalisti (Lýsigögn)'!L$42:L$58,MATCH($C141,'Undirviðmiðalisti (Lýsigögn)'!$C$42:$C$58,0))),""),IFERROR(IF(INDEX('Undirviðmiðalisti (Lýsigögn)'!L$6:L$41,MATCH($C141,'Undirviðmiðalisti (Lýsigögn)'!$C$6:$C$41,0))="","",INDEX('Undirviðmiðalisti (Lýsigögn)'!L$6:L$41,MATCH($C141,'Undirviðmiðalisti (Lýsigögn)'!$C$6:$C$41,0))),IFERROR(IF(INDEX('Undirviðmiðalisti (Lýsigögn)'!L$42:L$58,MATCH($C141,'Undirviðmiðalisti (Lýsigögn)'!$C$42:$C$58,0))="","",INDEX('Undirviðmiðalisti (Lýsigögn)'!L$42:L$58,MATCH($C141,'Undirviðmiðalisti (Lýsigögn)'!$C$42:$C$58,0))),""))))</f>
        <v/>
      </c>
      <c r="Q141" s="16" t="str">
        <f aca="false">IF($C141="","",IF($G141="Einstaklingsbundið",IFERROR(IF(INDEX('Undirviðmiðalisti (Lýsigögn)'!M$42:M$58,MATCH($C141,'Undirviðmiðalisti (Lýsigögn)'!$C$42:$C$58,0))="","",INDEX('Undirviðmiðalisti (Lýsigögn)'!M$42:M$58,MATCH($C141,'Undirviðmiðalisti (Lýsigögn)'!$C$42:$C$58,0))),""),IFERROR(IF(INDEX('Undirviðmiðalisti (Lýsigögn)'!M$6:M$41,MATCH($C141,'Undirviðmiðalisti (Lýsigögn)'!$C$6:$C$41,0))="","",INDEX('Undirviðmiðalisti (Lýsigögn)'!M$6:M$41,MATCH($C141,'Undirviðmiðalisti (Lýsigögn)'!$C$6:$C$41,0))),IFERROR(IF(INDEX('Undirviðmiðalisti (Lýsigögn)'!M$42:M$58,MATCH($C141,'Undirviðmiðalisti (Lýsigögn)'!$C$42:$C$58,0))="","",INDEX('Undirviðmiðalisti (Lýsigögn)'!M$42:M$58,MATCH($C141,'Undirviðmiðalisti (Lýsigögn)'!$C$42:$C$58,0))),""))))</f>
        <v/>
      </c>
    </row>
    <row r="142" customFormat="false" ht="15" hidden="false" customHeight="true" outlineLevel="0" collapsed="false">
      <c r="A142" s="22" t="str">
        <f aca="false">IF($B142="","",ROW()-5)</f>
        <v/>
      </c>
      <c r="B142" s="15"/>
      <c r="C142" s="15"/>
      <c r="D142" s="16" t="str">
        <f aca="false">IF($C142="","",IF($G142="Einstaklingsbundið",IFERROR(IF(INDEX('Undirviðmiðalisti (Lýsigögn)'!$D$42:$D$58,MATCH($C142,'Undirviðmiðalisti (Lýsigögn)'!$C$42:$C$58,0))="","",INDEX('Undirviðmiðalisti (Lýsigögn)'!$D$42:$D$58,MATCH($C142,'Undirviðmiðalisti (Lýsigögn)'!$C$42:$C$58,0))),""),IFERROR(IF(INDEX('Undirviðmiðalisti (Lýsigögn)'!$D$6:$D$41,MATCH($C142,'Undirviðmiðalisti (Lýsigögn)'!$C$6:$C$41,0))="","",INDEX('Undirviðmiðalisti (Lýsigögn)'!$D$6:$D$41,MATCH($C142,'Undirviðmiðalisti (Lýsigögn)'!$C$6:$C$41,0))),IFERROR(IF(INDEX('Undirviðmiðalisti (Lýsigögn)'!$D$42:$D$58,MATCH($C142,'Undirviðmiðalisti (Lýsigögn)'!$C$42:$C$58,0))="","",INDEX('Undirviðmiðalisti (Lýsigögn)'!$D$42:$D$58,MATCH($C142,'Undirviðmiðalisti (Lýsigögn)'!$C$42:$C$58,0))),""))))</f>
        <v/>
      </c>
      <c r="E142" s="14"/>
      <c r="F142" s="23" t="str">
        <f aca="false">IF($C142="","",IF($G142="Einstaklingsbundið",IFERROR(IF(INDEX('Undirviðmiðalisti (Lýsigögn)'!$E$42:$E$58,MATCH($C142,'Undirviðmiðalisti (Lýsigögn)'!$C$42:$C$58,0))="","",INDEX('Undirviðmiðalisti (Lýsigögn)'!$E$42:$E$58,MATCH($C142,'Undirviðmiðalisti (Lýsigögn)'!$C$42:$C$58,0))),""),IFERROR(IF(INDEX('Undirviðmiðalisti (Lýsigögn)'!$E$6:$E$41,MATCH($C142,'Undirviðmiðalisti (Lýsigögn)'!$C$6:$C$41,0))="","",INDEX('Undirviðmiðalisti (Lýsigögn)'!$E$6:$E$41,MATCH($C142,'Undirviðmiðalisti (Lýsigögn)'!$C$6:$C$41,0))),IFERROR(IF(INDEX('Undirviðmiðalisti (Lýsigögn)'!$E$42:$E$58,MATCH($C142,'Undirviðmiðalisti (Lýsigögn)'!$C$42:$C$58,0))="","",INDEX('Undirviðmiðalisti (Lýsigögn)'!$E$42:$E$58,MATCH($C142,'Undirviðmiðalisti (Lýsigögn)'!$C$42:$C$58,0))),""))))</f>
        <v/>
      </c>
      <c r="G142" s="24" t="str">
        <f aca="false">IFERROR(IF(B142="","",INDEX(Viðmið!$B$6:$B$10,MATCH(B142,Viðmið!$C$6:$C$10,0))),"")</f>
        <v/>
      </c>
      <c r="H142" s="25" t="str">
        <f aca="false">IF(OR(E142="",F142=""),"",E142*KVARDI)</f>
        <v/>
      </c>
      <c r="I142" s="26" t="str">
        <f aca="false">IF(B142="","",IF(ROUND(SUMIF($B$6:$B$205,B142,$E$6:$E$205),4)=ROUND(IFERROR(INDEX(Viðmið!$E$6:$E$10,MATCH(B142,Viðmið!$C$6:$C$10,0)),-1),4),"✓","✗"))</f>
        <v/>
      </c>
      <c r="J142" s="16" t="str">
        <f aca="false">IF($C142="","",IF($G142="Einstaklingsbundið",IFERROR(IF(INDEX('Undirviðmiðalisti (Lýsigögn)'!F$42:F$58,MATCH($C142,'Undirviðmiðalisti (Lýsigögn)'!$C$42:$C$58,0))="","",INDEX('Undirviðmiðalisti (Lýsigögn)'!F$42:F$58,MATCH($C142,'Undirviðmiðalisti (Lýsigögn)'!$C$42:$C$58,0))),""),IFERROR(IF(INDEX('Undirviðmiðalisti (Lýsigögn)'!F$6:F$41,MATCH($C142,'Undirviðmiðalisti (Lýsigögn)'!$C$6:$C$41,0))="","",INDEX('Undirviðmiðalisti (Lýsigögn)'!F$6:F$41,MATCH($C142,'Undirviðmiðalisti (Lýsigögn)'!$C$6:$C$41,0))),IFERROR(IF(INDEX('Undirviðmiðalisti (Lýsigögn)'!F$42:F$58,MATCH($C142,'Undirviðmiðalisti (Lýsigögn)'!$C$42:$C$58,0))="","",INDEX('Undirviðmiðalisti (Lýsigögn)'!F$42:F$58,MATCH($C142,'Undirviðmiðalisti (Lýsigögn)'!$C$42:$C$58,0))),""))))</f>
        <v/>
      </c>
      <c r="K142" s="16" t="str">
        <f aca="false">IF($C142="","",IF($G142="Einstaklingsbundið",IFERROR(IF(INDEX('Undirviðmiðalisti (Lýsigögn)'!G$42:G$58,MATCH($C142,'Undirviðmiðalisti (Lýsigögn)'!$C$42:$C$58,0))="","",INDEX('Undirviðmiðalisti (Lýsigögn)'!G$42:G$58,MATCH($C142,'Undirviðmiðalisti (Lýsigögn)'!$C$42:$C$58,0))),""),IFERROR(IF(INDEX('Undirviðmiðalisti (Lýsigögn)'!G$6:G$41,MATCH($C142,'Undirviðmiðalisti (Lýsigögn)'!$C$6:$C$41,0))="","",INDEX('Undirviðmiðalisti (Lýsigögn)'!G$6:G$41,MATCH($C142,'Undirviðmiðalisti (Lýsigögn)'!$C$6:$C$41,0))),IFERROR(IF(INDEX('Undirviðmiðalisti (Lýsigögn)'!G$42:G$58,MATCH($C142,'Undirviðmiðalisti (Lýsigögn)'!$C$42:$C$58,0))="","",INDEX('Undirviðmiðalisti (Lýsigögn)'!G$42:G$58,MATCH($C142,'Undirviðmiðalisti (Lýsigögn)'!$C$42:$C$58,0))),""))))</f>
        <v/>
      </c>
      <c r="L142" s="16" t="str">
        <f aca="false">IF($C142="","",IF($G142="Einstaklingsbundið",IFERROR(IF(INDEX('Undirviðmiðalisti (Lýsigögn)'!H$42:H$58,MATCH($C142,'Undirviðmiðalisti (Lýsigögn)'!$C$42:$C$58,0))="","",INDEX('Undirviðmiðalisti (Lýsigögn)'!H$42:H$58,MATCH($C142,'Undirviðmiðalisti (Lýsigögn)'!$C$42:$C$58,0))),""),IFERROR(IF(INDEX('Undirviðmiðalisti (Lýsigögn)'!H$6:H$41,MATCH($C142,'Undirviðmiðalisti (Lýsigögn)'!$C$6:$C$41,0))="","",INDEX('Undirviðmiðalisti (Lýsigögn)'!H$6:H$41,MATCH($C142,'Undirviðmiðalisti (Lýsigögn)'!$C$6:$C$41,0))),IFERROR(IF(INDEX('Undirviðmiðalisti (Lýsigögn)'!H$42:H$58,MATCH($C142,'Undirviðmiðalisti (Lýsigögn)'!$C$42:$C$58,0))="","",INDEX('Undirviðmiðalisti (Lýsigögn)'!H$42:H$58,MATCH($C142,'Undirviðmiðalisti (Lýsigögn)'!$C$42:$C$58,0))),""))))</f>
        <v/>
      </c>
      <c r="M142" s="16" t="str">
        <f aca="false">IF($C142="","",IF($G142="Einstaklingsbundið",IFERROR(IF(INDEX('Undirviðmiðalisti (Lýsigögn)'!I$42:I$58,MATCH($C142,'Undirviðmiðalisti (Lýsigögn)'!$C$42:$C$58,0))="","",INDEX('Undirviðmiðalisti (Lýsigögn)'!I$42:I$58,MATCH($C142,'Undirviðmiðalisti (Lýsigögn)'!$C$42:$C$58,0))),""),IFERROR(IF(INDEX('Undirviðmiðalisti (Lýsigögn)'!I$6:I$41,MATCH($C142,'Undirviðmiðalisti (Lýsigögn)'!$C$6:$C$41,0))="","",INDEX('Undirviðmiðalisti (Lýsigögn)'!I$6:I$41,MATCH($C142,'Undirviðmiðalisti (Lýsigögn)'!$C$6:$C$41,0))),IFERROR(IF(INDEX('Undirviðmiðalisti (Lýsigögn)'!I$42:I$58,MATCH($C142,'Undirviðmiðalisti (Lýsigögn)'!$C$42:$C$58,0))="","",INDEX('Undirviðmiðalisti (Lýsigögn)'!I$42:I$58,MATCH($C142,'Undirviðmiðalisti (Lýsigögn)'!$C$42:$C$58,0))),""))))</f>
        <v/>
      </c>
      <c r="N142" s="16" t="str">
        <f aca="false">IF($C142="","",IF($G142="Einstaklingsbundið",IFERROR(IF(INDEX('Undirviðmiðalisti (Lýsigögn)'!J$42:J$58,MATCH($C142,'Undirviðmiðalisti (Lýsigögn)'!$C$42:$C$58,0))="","",INDEX('Undirviðmiðalisti (Lýsigögn)'!J$42:J$58,MATCH($C142,'Undirviðmiðalisti (Lýsigögn)'!$C$42:$C$58,0))),""),IFERROR(IF(INDEX('Undirviðmiðalisti (Lýsigögn)'!J$6:J$41,MATCH($C142,'Undirviðmiðalisti (Lýsigögn)'!$C$6:$C$41,0))="","",INDEX('Undirviðmiðalisti (Lýsigögn)'!J$6:J$41,MATCH($C142,'Undirviðmiðalisti (Lýsigögn)'!$C$6:$C$41,0))),IFERROR(IF(INDEX('Undirviðmiðalisti (Lýsigögn)'!J$42:J$58,MATCH($C142,'Undirviðmiðalisti (Lýsigögn)'!$C$42:$C$58,0))="","",INDEX('Undirviðmiðalisti (Lýsigögn)'!J$42:J$58,MATCH($C142,'Undirviðmiðalisti (Lýsigögn)'!$C$42:$C$58,0))),""))))</f>
        <v/>
      </c>
      <c r="O142" s="16" t="str">
        <f aca="false">IF($C142="","",IF($G142="Einstaklingsbundið",IFERROR(IF(INDEX('Undirviðmiðalisti (Lýsigögn)'!K$42:K$58,MATCH($C142,'Undirviðmiðalisti (Lýsigögn)'!$C$42:$C$58,0))="","",INDEX('Undirviðmiðalisti (Lýsigögn)'!K$42:K$58,MATCH($C142,'Undirviðmiðalisti (Lýsigögn)'!$C$42:$C$58,0))),""),IFERROR(IF(INDEX('Undirviðmiðalisti (Lýsigögn)'!K$6:K$41,MATCH($C142,'Undirviðmiðalisti (Lýsigögn)'!$C$6:$C$41,0))="","",INDEX('Undirviðmiðalisti (Lýsigögn)'!K$6:K$41,MATCH($C142,'Undirviðmiðalisti (Lýsigögn)'!$C$6:$C$41,0))),IFERROR(IF(INDEX('Undirviðmiðalisti (Lýsigögn)'!K$42:K$58,MATCH($C142,'Undirviðmiðalisti (Lýsigögn)'!$C$42:$C$58,0))="","",INDEX('Undirviðmiðalisti (Lýsigögn)'!K$42:K$58,MATCH($C142,'Undirviðmiðalisti (Lýsigögn)'!$C$42:$C$58,0))),""))))</f>
        <v/>
      </c>
      <c r="P142" s="16" t="str">
        <f aca="false">IF($C142="","",IF($G142="Einstaklingsbundið",IFERROR(IF(INDEX('Undirviðmiðalisti (Lýsigögn)'!L$42:L$58,MATCH($C142,'Undirviðmiðalisti (Lýsigögn)'!$C$42:$C$58,0))="","",INDEX('Undirviðmiðalisti (Lýsigögn)'!L$42:L$58,MATCH($C142,'Undirviðmiðalisti (Lýsigögn)'!$C$42:$C$58,0))),""),IFERROR(IF(INDEX('Undirviðmiðalisti (Lýsigögn)'!L$6:L$41,MATCH($C142,'Undirviðmiðalisti (Lýsigögn)'!$C$6:$C$41,0))="","",INDEX('Undirviðmiðalisti (Lýsigögn)'!L$6:L$41,MATCH($C142,'Undirviðmiðalisti (Lýsigögn)'!$C$6:$C$41,0))),IFERROR(IF(INDEX('Undirviðmiðalisti (Lýsigögn)'!L$42:L$58,MATCH($C142,'Undirviðmiðalisti (Lýsigögn)'!$C$42:$C$58,0))="","",INDEX('Undirviðmiðalisti (Lýsigögn)'!L$42:L$58,MATCH($C142,'Undirviðmiðalisti (Lýsigögn)'!$C$42:$C$58,0))),""))))</f>
        <v/>
      </c>
      <c r="Q142" s="16" t="str">
        <f aca="false">IF($C142="","",IF($G142="Einstaklingsbundið",IFERROR(IF(INDEX('Undirviðmiðalisti (Lýsigögn)'!M$42:M$58,MATCH($C142,'Undirviðmiðalisti (Lýsigögn)'!$C$42:$C$58,0))="","",INDEX('Undirviðmiðalisti (Lýsigögn)'!M$42:M$58,MATCH($C142,'Undirviðmiðalisti (Lýsigögn)'!$C$42:$C$58,0))),""),IFERROR(IF(INDEX('Undirviðmiðalisti (Lýsigögn)'!M$6:M$41,MATCH($C142,'Undirviðmiðalisti (Lýsigögn)'!$C$6:$C$41,0))="","",INDEX('Undirviðmiðalisti (Lýsigögn)'!M$6:M$41,MATCH($C142,'Undirviðmiðalisti (Lýsigögn)'!$C$6:$C$41,0))),IFERROR(IF(INDEX('Undirviðmiðalisti (Lýsigögn)'!M$42:M$58,MATCH($C142,'Undirviðmiðalisti (Lýsigögn)'!$C$42:$C$58,0))="","",INDEX('Undirviðmiðalisti (Lýsigögn)'!M$42:M$58,MATCH($C142,'Undirviðmiðalisti (Lýsigögn)'!$C$42:$C$58,0))),""))))</f>
        <v/>
      </c>
    </row>
    <row r="143" customFormat="false" ht="15" hidden="false" customHeight="true" outlineLevel="0" collapsed="false">
      <c r="A143" s="22" t="str">
        <f aca="false">IF($B143="","",ROW()-5)</f>
        <v/>
      </c>
      <c r="B143" s="15"/>
      <c r="C143" s="15"/>
      <c r="D143" s="16" t="str">
        <f aca="false">IF($C143="","",IF($G143="Einstaklingsbundið",IFERROR(IF(INDEX('Undirviðmiðalisti (Lýsigögn)'!$D$42:$D$58,MATCH($C143,'Undirviðmiðalisti (Lýsigögn)'!$C$42:$C$58,0))="","",INDEX('Undirviðmiðalisti (Lýsigögn)'!$D$42:$D$58,MATCH($C143,'Undirviðmiðalisti (Lýsigögn)'!$C$42:$C$58,0))),""),IFERROR(IF(INDEX('Undirviðmiðalisti (Lýsigögn)'!$D$6:$D$41,MATCH($C143,'Undirviðmiðalisti (Lýsigögn)'!$C$6:$C$41,0))="","",INDEX('Undirviðmiðalisti (Lýsigögn)'!$D$6:$D$41,MATCH($C143,'Undirviðmiðalisti (Lýsigögn)'!$C$6:$C$41,0))),IFERROR(IF(INDEX('Undirviðmiðalisti (Lýsigögn)'!$D$42:$D$58,MATCH($C143,'Undirviðmiðalisti (Lýsigögn)'!$C$42:$C$58,0))="","",INDEX('Undirviðmiðalisti (Lýsigögn)'!$D$42:$D$58,MATCH($C143,'Undirviðmiðalisti (Lýsigögn)'!$C$42:$C$58,0))),""))))</f>
        <v/>
      </c>
      <c r="E143" s="14"/>
      <c r="F143" s="23" t="str">
        <f aca="false">IF($C143="","",IF($G143="Einstaklingsbundið",IFERROR(IF(INDEX('Undirviðmiðalisti (Lýsigögn)'!$E$42:$E$58,MATCH($C143,'Undirviðmiðalisti (Lýsigögn)'!$C$42:$C$58,0))="","",INDEX('Undirviðmiðalisti (Lýsigögn)'!$E$42:$E$58,MATCH($C143,'Undirviðmiðalisti (Lýsigögn)'!$C$42:$C$58,0))),""),IFERROR(IF(INDEX('Undirviðmiðalisti (Lýsigögn)'!$E$6:$E$41,MATCH($C143,'Undirviðmiðalisti (Lýsigögn)'!$C$6:$C$41,0))="","",INDEX('Undirviðmiðalisti (Lýsigögn)'!$E$6:$E$41,MATCH($C143,'Undirviðmiðalisti (Lýsigögn)'!$C$6:$C$41,0))),IFERROR(IF(INDEX('Undirviðmiðalisti (Lýsigögn)'!$E$42:$E$58,MATCH($C143,'Undirviðmiðalisti (Lýsigögn)'!$C$42:$C$58,0))="","",INDEX('Undirviðmiðalisti (Lýsigögn)'!$E$42:$E$58,MATCH($C143,'Undirviðmiðalisti (Lýsigögn)'!$C$42:$C$58,0))),""))))</f>
        <v/>
      </c>
      <c r="G143" s="24" t="str">
        <f aca="false">IFERROR(IF(B143="","",INDEX(Viðmið!$B$6:$B$10,MATCH(B143,Viðmið!$C$6:$C$10,0))),"")</f>
        <v/>
      </c>
      <c r="H143" s="25" t="str">
        <f aca="false">IF(OR(E143="",F143=""),"",E143*KVARDI)</f>
        <v/>
      </c>
      <c r="I143" s="26" t="str">
        <f aca="false">IF(B143="","",IF(ROUND(SUMIF($B$6:$B$205,B143,$E$6:$E$205),4)=ROUND(IFERROR(INDEX(Viðmið!$E$6:$E$10,MATCH(B143,Viðmið!$C$6:$C$10,0)),-1),4),"✓","✗"))</f>
        <v/>
      </c>
      <c r="J143" s="16" t="str">
        <f aca="false">IF($C143="","",IF($G143="Einstaklingsbundið",IFERROR(IF(INDEX('Undirviðmiðalisti (Lýsigögn)'!F$42:F$58,MATCH($C143,'Undirviðmiðalisti (Lýsigögn)'!$C$42:$C$58,0))="","",INDEX('Undirviðmiðalisti (Lýsigögn)'!F$42:F$58,MATCH($C143,'Undirviðmiðalisti (Lýsigögn)'!$C$42:$C$58,0))),""),IFERROR(IF(INDEX('Undirviðmiðalisti (Lýsigögn)'!F$6:F$41,MATCH($C143,'Undirviðmiðalisti (Lýsigögn)'!$C$6:$C$41,0))="","",INDEX('Undirviðmiðalisti (Lýsigögn)'!F$6:F$41,MATCH($C143,'Undirviðmiðalisti (Lýsigögn)'!$C$6:$C$41,0))),IFERROR(IF(INDEX('Undirviðmiðalisti (Lýsigögn)'!F$42:F$58,MATCH($C143,'Undirviðmiðalisti (Lýsigögn)'!$C$42:$C$58,0))="","",INDEX('Undirviðmiðalisti (Lýsigögn)'!F$42:F$58,MATCH($C143,'Undirviðmiðalisti (Lýsigögn)'!$C$42:$C$58,0))),""))))</f>
        <v/>
      </c>
      <c r="K143" s="16" t="str">
        <f aca="false">IF($C143="","",IF($G143="Einstaklingsbundið",IFERROR(IF(INDEX('Undirviðmiðalisti (Lýsigögn)'!G$42:G$58,MATCH($C143,'Undirviðmiðalisti (Lýsigögn)'!$C$42:$C$58,0))="","",INDEX('Undirviðmiðalisti (Lýsigögn)'!G$42:G$58,MATCH($C143,'Undirviðmiðalisti (Lýsigögn)'!$C$42:$C$58,0))),""),IFERROR(IF(INDEX('Undirviðmiðalisti (Lýsigögn)'!G$6:G$41,MATCH($C143,'Undirviðmiðalisti (Lýsigögn)'!$C$6:$C$41,0))="","",INDEX('Undirviðmiðalisti (Lýsigögn)'!G$6:G$41,MATCH($C143,'Undirviðmiðalisti (Lýsigögn)'!$C$6:$C$41,0))),IFERROR(IF(INDEX('Undirviðmiðalisti (Lýsigögn)'!G$42:G$58,MATCH($C143,'Undirviðmiðalisti (Lýsigögn)'!$C$42:$C$58,0))="","",INDEX('Undirviðmiðalisti (Lýsigögn)'!G$42:G$58,MATCH($C143,'Undirviðmiðalisti (Lýsigögn)'!$C$42:$C$58,0))),""))))</f>
        <v/>
      </c>
      <c r="L143" s="16" t="str">
        <f aca="false">IF($C143="","",IF($G143="Einstaklingsbundið",IFERROR(IF(INDEX('Undirviðmiðalisti (Lýsigögn)'!H$42:H$58,MATCH($C143,'Undirviðmiðalisti (Lýsigögn)'!$C$42:$C$58,0))="","",INDEX('Undirviðmiðalisti (Lýsigögn)'!H$42:H$58,MATCH($C143,'Undirviðmiðalisti (Lýsigögn)'!$C$42:$C$58,0))),""),IFERROR(IF(INDEX('Undirviðmiðalisti (Lýsigögn)'!H$6:H$41,MATCH($C143,'Undirviðmiðalisti (Lýsigögn)'!$C$6:$C$41,0))="","",INDEX('Undirviðmiðalisti (Lýsigögn)'!H$6:H$41,MATCH($C143,'Undirviðmiðalisti (Lýsigögn)'!$C$6:$C$41,0))),IFERROR(IF(INDEX('Undirviðmiðalisti (Lýsigögn)'!H$42:H$58,MATCH($C143,'Undirviðmiðalisti (Lýsigögn)'!$C$42:$C$58,0))="","",INDEX('Undirviðmiðalisti (Lýsigögn)'!H$42:H$58,MATCH($C143,'Undirviðmiðalisti (Lýsigögn)'!$C$42:$C$58,0))),""))))</f>
        <v/>
      </c>
      <c r="M143" s="16" t="str">
        <f aca="false">IF($C143="","",IF($G143="Einstaklingsbundið",IFERROR(IF(INDEX('Undirviðmiðalisti (Lýsigögn)'!I$42:I$58,MATCH($C143,'Undirviðmiðalisti (Lýsigögn)'!$C$42:$C$58,0))="","",INDEX('Undirviðmiðalisti (Lýsigögn)'!I$42:I$58,MATCH($C143,'Undirviðmiðalisti (Lýsigögn)'!$C$42:$C$58,0))),""),IFERROR(IF(INDEX('Undirviðmiðalisti (Lýsigögn)'!I$6:I$41,MATCH($C143,'Undirviðmiðalisti (Lýsigögn)'!$C$6:$C$41,0))="","",INDEX('Undirviðmiðalisti (Lýsigögn)'!I$6:I$41,MATCH($C143,'Undirviðmiðalisti (Lýsigögn)'!$C$6:$C$41,0))),IFERROR(IF(INDEX('Undirviðmiðalisti (Lýsigögn)'!I$42:I$58,MATCH($C143,'Undirviðmiðalisti (Lýsigögn)'!$C$42:$C$58,0))="","",INDEX('Undirviðmiðalisti (Lýsigögn)'!I$42:I$58,MATCH($C143,'Undirviðmiðalisti (Lýsigögn)'!$C$42:$C$58,0))),""))))</f>
        <v/>
      </c>
      <c r="N143" s="16" t="str">
        <f aca="false">IF($C143="","",IF($G143="Einstaklingsbundið",IFERROR(IF(INDEX('Undirviðmiðalisti (Lýsigögn)'!J$42:J$58,MATCH($C143,'Undirviðmiðalisti (Lýsigögn)'!$C$42:$C$58,0))="","",INDEX('Undirviðmiðalisti (Lýsigögn)'!J$42:J$58,MATCH($C143,'Undirviðmiðalisti (Lýsigögn)'!$C$42:$C$58,0))),""),IFERROR(IF(INDEX('Undirviðmiðalisti (Lýsigögn)'!J$6:J$41,MATCH($C143,'Undirviðmiðalisti (Lýsigögn)'!$C$6:$C$41,0))="","",INDEX('Undirviðmiðalisti (Lýsigögn)'!J$6:J$41,MATCH($C143,'Undirviðmiðalisti (Lýsigögn)'!$C$6:$C$41,0))),IFERROR(IF(INDEX('Undirviðmiðalisti (Lýsigögn)'!J$42:J$58,MATCH($C143,'Undirviðmiðalisti (Lýsigögn)'!$C$42:$C$58,0))="","",INDEX('Undirviðmiðalisti (Lýsigögn)'!J$42:J$58,MATCH($C143,'Undirviðmiðalisti (Lýsigögn)'!$C$42:$C$58,0))),""))))</f>
        <v/>
      </c>
      <c r="O143" s="16" t="str">
        <f aca="false">IF($C143="","",IF($G143="Einstaklingsbundið",IFERROR(IF(INDEX('Undirviðmiðalisti (Lýsigögn)'!K$42:K$58,MATCH($C143,'Undirviðmiðalisti (Lýsigögn)'!$C$42:$C$58,0))="","",INDEX('Undirviðmiðalisti (Lýsigögn)'!K$42:K$58,MATCH($C143,'Undirviðmiðalisti (Lýsigögn)'!$C$42:$C$58,0))),""),IFERROR(IF(INDEX('Undirviðmiðalisti (Lýsigögn)'!K$6:K$41,MATCH($C143,'Undirviðmiðalisti (Lýsigögn)'!$C$6:$C$41,0))="","",INDEX('Undirviðmiðalisti (Lýsigögn)'!K$6:K$41,MATCH($C143,'Undirviðmiðalisti (Lýsigögn)'!$C$6:$C$41,0))),IFERROR(IF(INDEX('Undirviðmiðalisti (Lýsigögn)'!K$42:K$58,MATCH($C143,'Undirviðmiðalisti (Lýsigögn)'!$C$42:$C$58,0))="","",INDEX('Undirviðmiðalisti (Lýsigögn)'!K$42:K$58,MATCH($C143,'Undirviðmiðalisti (Lýsigögn)'!$C$42:$C$58,0))),""))))</f>
        <v/>
      </c>
      <c r="P143" s="16" t="str">
        <f aca="false">IF($C143="","",IF($G143="Einstaklingsbundið",IFERROR(IF(INDEX('Undirviðmiðalisti (Lýsigögn)'!L$42:L$58,MATCH($C143,'Undirviðmiðalisti (Lýsigögn)'!$C$42:$C$58,0))="","",INDEX('Undirviðmiðalisti (Lýsigögn)'!L$42:L$58,MATCH($C143,'Undirviðmiðalisti (Lýsigögn)'!$C$42:$C$58,0))),""),IFERROR(IF(INDEX('Undirviðmiðalisti (Lýsigögn)'!L$6:L$41,MATCH($C143,'Undirviðmiðalisti (Lýsigögn)'!$C$6:$C$41,0))="","",INDEX('Undirviðmiðalisti (Lýsigögn)'!L$6:L$41,MATCH($C143,'Undirviðmiðalisti (Lýsigögn)'!$C$6:$C$41,0))),IFERROR(IF(INDEX('Undirviðmiðalisti (Lýsigögn)'!L$42:L$58,MATCH($C143,'Undirviðmiðalisti (Lýsigögn)'!$C$42:$C$58,0))="","",INDEX('Undirviðmiðalisti (Lýsigögn)'!L$42:L$58,MATCH($C143,'Undirviðmiðalisti (Lýsigögn)'!$C$42:$C$58,0))),""))))</f>
        <v/>
      </c>
      <c r="Q143" s="16" t="str">
        <f aca="false">IF($C143="","",IF($G143="Einstaklingsbundið",IFERROR(IF(INDEX('Undirviðmiðalisti (Lýsigögn)'!M$42:M$58,MATCH($C143,'Undirviðmiðalisti (Lýsigögn)'!$C$42:$C$58,0))="","",INDEX('Undirviðmiðalisti (Lýsigögn)'!M$42:M$58,MATCH($C143,'Undirviðmiðalisti (Lýsigögn)'!$C$42:$C$58,0))),""),IFERROR(IF(INDEX('Undirviðmiðalisti (Lýsigögn)'!M$6:M$41,MATCH($C143,'Undirviðmiðalisti (Lýsigögn)'!$C$6:$C$41,0))="","",INDEX('Undirviðmiðalisti (Lýsigögn)'!M$6:M$41,MATCH($C143,'Undirviðmiðalisti (Lýsigögn)'!$C$6:$C$41,0))),IFERROR(IF(INDEX('Undirviðmiðalisti (Lýsigögn)'!M$42:M$58,MATCH($C143,'Undirviðmiðalisti (Lýsigögn)'!$C$42:$C$58,0))="","",INDEX('Undirviðmiðalisti (Lýsigögn)'!M$42:M$58,MATCH($C143,'Undirviðmiðalisti (Lýsigögn)'!$C$42:$C$58,0))),""))))</f>
        <v/>
      </c>
    </row>
    <row r="144" customFormat="false" ht="15" hidden="false" customHeight="true" outlineLevel="0" collapsed="false">
      <c r="A144" s="22" t="str">
        <f aca="false">IF($B144="","",ROW()-5)</f>
        <v/>
      </c>
      <c r="B144" s="15"/>
      <c r="C144" s="15"/>
      <c r="D144" s="16" t="str">
        <f aca="false">IF($C144="","",IF($G144="Einstaklingsbundið",IFERROR(IF(INDEX('Undirviðmiðalisti (Lýsigögn)'!$D$42:$D$58,MATCH($C144,'Undirviðmiðalisti (Lýsigögn)'!$C$42:$C$58,0))="","",INDEX('Undirviðmiðalisti (Lýsigögn)'!$D$42:$D$58,MATCH($C144,'Undirviðmiðalisti (Lýsigögn)'!$C$42:$C$58,0))),""),IFERROR(IF(INDEX('Undirviðmiðalisti (Lýsigögn)'!$D$6:$D$41,MATCH($C144,'Undirviðmiðalisti (Lýsigögn)'!$C$6:$C$41,0))="","",INDEX('Undirviðmiðalisti (Lýsigögn)'!$D$6:$D$41,MATCH($C144,'Undirviðmiðalisti (Lýsigögn)'!$C$6:$C$41,0))),IFERROR(IF(INDEX('Undirviðmiðalisti (Lýsigögn)'!$D$42:$D$58,MATCH($C144,'Undirviðmiðalisti (Lýsigögn)'!$C$42:$C$58,0))="","",INDEX('Undirviðmiðalisti (Lýsigögn)'!$D$42:$D$58,MATCH($C144,'Undirviðmiðalisti (Lýsigögn)'!$C$42:$C$58,0))),""))))</f>
        <v/>
      </c>
      <c r="E144" s="14"/>
      <c r="F144" s="23" t="str">
        <f aca="false">IF($C144="","",IF($G144="Einstaklingsbundið",IFERROR(IF(INDEX('Undirviðmiðalisti (Lýsigögn)'!$E$42:$E$58,MATCH($C144,'Undirviðmiðalisti (Lýsigögn)'!$C$42:$C$58,0))="","",INDEX('Undirviðmiðalisti (Lýsigögn)'!$E$42:$E$58,MATCH($C144,'Undirviðmiðalisti (Lýsigögn)'!$C$42:$C$58,0))),""),IFERROR(IF(INDEX('Undirviðmiðalisti (Lýsigögn)'!$E$6:$E$41,MATCH($C144,'Undirviðmiðalisti (Lýsigögn)'!$C$6:$C$41,0))="","",INDEX('Undirviðmiðalisti (Lýsigögn)'!$E$6:$E$41,MATCH($C144,'Undirviðmiðalisti (Lýsigögn)'!$C$6:$C$41,0))),IFERROR(IF(INDEX('Undirviðmiðalisti (Lýsigögn)'!$E$42:$E$58,MATCH($C144,'Undirviðmiðalisti (Lýsigögn)'!$C$42:$C$58,0))="","",INDEX('Undirviðmiðalisti (Lýsigögn)'!$E$42:$E$58,MATCH($C144,'Undirviðmiðalisti (Lýsigögn)'!$C$42:$C$58,0))),""))))</f>
        <v/>
      </c>
      <c r="G144" s="24" t="str">
        <f aca="false">IFERROR(IF(B144="","",INDEX(Viðmið!$B$6:$B$10,MATCH(B144,Viðmið!$C$6:$C$10,0))),"")</f>
        <v/>
      </c>
      <c r="H144" s="25" t="str">
        <f aca="false">IF(OR(E144="",F144=""),"",E144*KVARDI)</f>
        <v/>
      </c>
      <c r="I144" s="26" t="str">
        <f aca="false">IF(B144="","",IF(ROUND(SUMIF($B$6:$B$205,B144,$E$6:$E$205),4)=ROUND(IFERROR(INDEX(Viðmið!$E$6:$E$10,MATCH(B144,Viðmið!$C$6:$C$10,0)),-1),4),"✓","✗"))</f>
        <v/>
      </c>
      <c r="J144" s="16" t="str">
        <f aca="false">IF($C144="","",IF($G144="Einstaklingsbundið",IFERROR(IF(INDEX('Undirviðmiðalisti (Lýsigögn)'!F$42:F$58,MATCH($C144,'Undirviðmiðalisti (Lýsigögn)'!$C$42:$C$58,0))="","",INDEX('Undirviðmiðalisti (Lýsigögn)'!F$42:F$58,MATCH($C144,'Undirviðmiðalisti (Lýsigögn)'!$C$42:$C$58,0))),""),IFERROR(IF(INDEX('Undirviðmiðalisti (Lýsigögn)'!F$6:F$41,MATCH($C144,'Undirviðmiðalisti (Lýsigögn)'!$C$6:$C$41,0))="","",INDEX('Undirviðmiðalisti (Lýsigögn)'!F$6:F$41,MATCH($C144,'Undirviðmiðalisti (Lýsigögn)'!$C$6:$C$41,0))),IFERROR(IF(INDEX('Undirviðmiðalisti (Lýsigögn)'!F$42:F$58,MATCH($C144,'Undirviðmiðalisti (Lýsigögn)'!$C$42:$C$58,0))="","",INDEX('Undirviðmiðalisti (Lýsigögn)'!F$42:F$58,MATCH($C144,'Undirviðmiðalisti (Lýsigögn)'!$C$42:$C$58,0))),""))))</f>
        <v/>
      </c>
      <c r="K144" s="16" t="str">
        <f aca="false">IF($C144="","",IF($G144="Einstaklingsbundið",IFERROR(IF(INDEX('Undirviðmiðalisti (Lýsigögn)'!G$42:G$58,MATCH($C144,'Undirviðmiðalisti (Lýsigögn)'!$C$42:$C$58,0))="","",INDEX('Undirviðmiðalisti (Lýsigögn)'!G$42:G$58,MATCH($C144,'Undirviðmiðalisti (Lýsigögn)'!$C$42:$C$58,0))),""),IFERROR(IF(INDEX('Undirviðmiðalisti (Lýsigögn)'!G$6:G$41,MATCH($C144,'Undirviðmiðalisti (Lýsigögn)'!$C$6:$C$41,0))="","",INDEX('Undirviðmiðalisti (Lýsigögn)'!G$6:G$41,MATCH($C144,'Undirviðmiðalisti (Lýsigögn)'!$C$6:$C$41,0))),IFERROR(IF(INDEX('Undirviðmiðalisti (Lýsigögn)'!G$42:G$58,MATCH($C144,'Undirviðmiðalisti (Lýsigögn)'!$C$42:$C$58,0))="","",INDEX('Undirviðmiðalisti (Lýsigögn)'!G$42:G$58,MATCH($C144,'Undirviðmiðalisti (Lýsigögn)'!$C$42:$C$58,0))),""))))</f>
        <v/>
      </c>
      <c r="L144" s="16" t="str">
        <f aca="false">IF($C144="","",IF($G144="Einstaklingsbundið",IFERROR(IF(INDEX('Undirviðmiðalisti (Lýsigögn)'!H$42:H$58,MATCH($C144,'Undirviðmiðalisti (Lýsigögn)'!$C$42:$C$58,0))="","",INDEX('Undirviðmiðalisti (Lýsigögn)'!H$42:H$58,MATCH($C144,'Undirviðmiðalisti (Lýsigögn)'!$C$42:$C$58,0))),""),IFERROR(IF(INDEX('Undirviðmiðalisti (Lýsigögn)'!H$6:H$41,MATCH($C144,'Undirviðmiðalisti (Lýsigögn)'!$C$6:$C$41,0))="","",INDEX('Undirviðmiðalisti (Lýsigögn)'!H$6:H$41,MATCH($C144,'Undirviðmiðalisti (Lýsigögn)'!$C$6:$C$41,0))),IFERROR(IF(INDEX('Undirviðmiðalisti (Lýsigögn)'!H$42:H$58,MATCH($C144,'Undirviðmiðalisti (Lýsigögn)'!$C$42:$C$58,0))="","",INDEX('Undirviðmiðalisti (Lýsigögn)'!H$42:H$58,MATCH($C144,'Undirviðmiðalisti (Lýsigögn)'!$C$42:$C$58,0))),""))))</f>
        <v/>
      </c>
      <c r="M144" s="16" t="str">
        <f aca="false">IF($C144="","",IF($G144="Einstaklingsbundið",IFERROR(IF(INDEX('Undirviðmiðalisti (Lýsigögn)'!I$42:I$58,MATCH($C144,'Undirviðmiðalisti (Lýsigögn)'!$C$42:$C$58,0))="","",INDEX('Undirviðmiðalisti (Lýsigögn)'!I$42:I$58,MATCH($C144,'Undirviðmiðalisti (Lýsigögn)'!$C$42:$C$58,0))),""),IFERROR(IF(INDEX('Undirviðmiðalisti (Lýsigögn)'!I$6:I$41,MATCH($C144,'Undirviðmiðalisti (Lýsigögn)'!$C$6:$C$41,0))="","",INDEX('Undirviðmiðalisti (Lýsigögn)'!I$6:I$41,MATCH($C144,'Undirviðmiðalisti (Lýsigögn)'!$C$6:$C$41,0))),IFERROR(IF(INDEX('Undirviðmiðalisti (Lýsigögn)'!I$42:I$58,MATCH($C144,'Undirviðmiðalisti (Lýsigögn)'!$C$42:$C$58,0))="","",INDEX('Undirviðmiðalisti (Lýsigögn)'!I$42:I$58,MATCH($C144,'Undirviðmiðalisti (Lýsigögn)'!$C$42:$C$58,0))),""))))</f>
        <v/>
      </c>
      <c r="N144" s="16" t="str">
        <f aca="false">IF($C144="","",IF($G144="Einstaklingsbundið",IFERROR(IF(INDEX('Undirviðmiðalisti (Lýsigögn)'!J$42:J$58,MATCH($C144,'Undirviðmiðalisti (Lýsigögn)'!$C$42:$C$58,0))="","",INDEX('Undirviðmiðalisti (Lýsigögn)'!J$42:J$58,MATCH($C144,'Undirviðmiðalisti (Lýsigögn)'!$C$42:$C$58,0))),""),IFERROR(IF(INDEX('Undirviðmiðalisti (Lýsigögn)'!J$6:J$41,MATCH($C144,'Undirviðmiðalisti (Lýsigögn)'!$C$6:$C$41,0))="","",INDEX('Undirviðmiðalisti (Lýsigögn)'!J$6:J$41,MATCH($C144,'Undirviðmiðalisti (Lýsigögn)'!$C$6:$C$41,0))),IFERROR(IF(INDEX('Undirviðmiðalisti (Lýsigögn)'!J$42:J$58,MATCH($C144,'Undirviðmiðalisti (Lýsigögn)'!$C$42:$C$58,0))="","",INDEX('Undirviðmiðalisti (Lýsigögn)'!J$42:J$58,MATCH($C144,'Undirviðmiðalisti (Lýsigögn)'!$C$42:$C$58,0))),""))))</f>
        <v/>
      </c>
      <c r="O144" s="16" t="str">
        <f aca="false">IF($C144="","",IF($G144="Einstaklingsbundið",IFERROR(IF(INDEX('Undirviðmiðalisti (Lýsigögn)'!K$42:K$58,MATCH($C144,'Undirviðmiðalisti (Lýsigögn)'!$C$42:$C$58,0))="","",INDEX('Undirviðmiðalisti (Lýsigögn)'!K$42:K$58,MATCH($C144,'Undirviðmiðalisti (Lýsigögn)'!$C$42:$C$58,0))),""),IFERROR(IF(INDEX('Undirviðmiðalisti (Lýsigögn)'!K$6:K$41,MATCH($C144,'Undirviðmiðalisti (Lýsigögn)'!$C$6:$C$41,0))="","",INDEX('Undirviðmiðalisti (Lýsigögn)'!K$6:K$41,MATCH($C144,'Undirviðmiðalisti (Lýsigögn)'!$C$6:$C$41,0))),IFERROR(IF(INDEX('Undirviðmiðalisti (Lýsigögn)'!K$42:K$58,MATCH($C144,'Undirviðmiðalisti (Lýsigögn)'!$C$42:$C$58,0))="","",INDEX('Undirviðmiðalisti (Lýsigögn)'!K$42:K$58,MATCH($C144,'Undirviðmiðalisti (Lýsigögn)'!$C$42:$C$58,0))),""))))</f>
        <v/>
      </c>
      <c r="P144" s="16" t="str">
        <f aca="false">IF($C144="","",IF($G144="Einstaklingsbundið",IFERROR(IF(INDEX('Undirviðmiðalisti (Lýsigögn)'!L$42:L$58,MATCH($C144,'Undirviðmiðalisti (Lýsigögn)'!$C$42:$C$58,0))="","",INDEX('Undirviðmiðalisti (Lýsigögn)'!L$42:L$58,MATCH($C144,'Undirviðmiðalisti (Lýsigögn)'!$C$42:$C$58,0))),""),IFERROR(IF(INDEX('Undirviðmiðalisti (Lýsigögn)'!L$6:L$41,MATCH($C144,'Undirviðmiðalisti (Lýsigögn)'!$C$6:$C$41,0))="","",INDEX('Undirviðmiðalisti (Lýsigögn)'!L$6:L$41,MATCH($C144,'Undirviðmiðalisti (Lýsigögn)'!$C$6:$C$41,0))),IFERROR(IF(INDEX('Undirviðmiðalisti (Lýsigögn)'!L$42:L$58,MATCH($C144,'Undirviðmiðalisti (Lýsigögn)'!$C$42:$C$58,0))="","",INDEX('Undirviðmiðalisti (Lýsigögn)'!L$42:L$58,MATCH($C144,'Undirviðmiðalisti (Lýsigögn)'!$C$42:$C$58,0))),""))))</f>
        <v/>
      </c>
      <c r="Q144" s="16" t="str">
        <f aca="false">IF($C144="","",IF($G144="Einstaklingsbundið",IFERROR(IF(INDEX('Undirviðmiðalisti (Lýsigögn)'!M$42:M$58,MATCH($C144,'Undirviðmiðalisti (Lýsigögn)'!$C$42:$C$58,0))="","",INDEX('Undirviðmiðalisti (Lýsigögn)'!M$42:M$58,MATCH($C144,'Undirviðmiðalisti (Lýsigögn)'!$C$42:$C$58,0))),""),IFERROR(IF(INDEX('Undirviðmiðalisti (Lýsigögn)'!M$6:M$41,MATCH($C144,'Undirviðmiðalisti (Lýsigögn)'!$C$6:$C$41,0))="","",INDEX('Undirviðmiðalisti (Lýsigögn)'!M$6:M$41,MATCH($C144,'Undirviðmiðalisti (Lýsigögn)'!$C$6:$C$41,0))),IFERROR(IF(INDEX('Undirviðmiðalisti (Lýsigögn)'!M$42:M$58,MATCH($C144,'Undirviðmiðalisti (Lýsigögn)'!$C$42:$C$58,0))="","",INDEX('Undirviðmiðalisti (Lýsigögn)'!M$42:M$58,MATCH($C144,'Undirviðmiðalisti (Lýsigögn)'!$C$42:$C$58,0))),""))))</f>
        <v/>
      </c>
    </row>
    <row r="145" customFormat="false" ht="15" hidden="false" customHeight="true" outlineLevel="0" collapsed="false">
      <c r="A145" s="22" t="str">
        <f aca="false">IF($B145="","",ROW()-5)</f>
        <v/>
      </c>
      <c r="B145" s="15"/>
      <c r="C145" s="15"/>
      <c r="D145" s="16" t="str">
        <f aca="false">IF($C145="","",IF($G145="Einstaklingsbundið",IFERROR(IF(INDEX('Undirviðmiðalisti (Lýsigögn)'!$D$42:$D$58,MATCH($C145,'Undirviðmiðalisti (Lýsigögn)'!$C$42:$C$58,0))="","",INDEX('Undirviðmiðalisti (Lýsigögn)'!$D$42:$D$58,MATCH($C145,'Undirviðmiðalisti (Lýsigögn)'!$C$42:$C$58,0))),""),IFERROR(IF(INDEX('Undirviðmiðalisti (Lýsigögn)'!$D$6:$D$41,MATCH($C145,'Undirviðmiðalisti (Lýsigögn)'!$C$6:$C$41,0))="","",INDEX('Undirviðmiðalisti (Lýsigögn)'!$D$6:$D$41,MATCH($C145,'Undirviðmiðalisti (Lýsigögn)'!$C$6:$C$41,0))),IFERROR(IF(INDEX('Undirviðmiðalisti (Lýsigögn)'!$D$42:$D$58,MATCH($C145,'Undirviðmiðalisti (Lýsigögn)'!$C$42:$C$58,0))="","",INDEX('Undirviðmiðalisti (Lýsigögn)'!$D$42:$D$58,MATCH($C145,'Undirviðmiðalisti (Lýsigögn)'!$C$42:$C$58,0))),""))))</f>
        <v/>
      </c>
      <c r="E145" s="14"/>
      <c r="F145" s="23" t="str">
        <f aca="false">IF($C145="","",IF($G145="Einstaklingsbundið",IFERROR(IF(INDEX('Undirviðmiðalisti (Lýsigögn)'!$E$42:$E$58,MATCH($C145,'Undirviðmiðalisti (Lýsigögn)'!$C$42:$C$58,0))="","",INDEX('Undirviðmiðalisti (Lýsigögn)'!$E$42:$E$58,MATCH($C145,'Undirviðmiðalisti (Lýsigögn)'!$C$42:$C$58,0))),""),IFERROR(IF(INDEX('Undirviðmiðalisti (Lýsigögn)'!$E$6:$E$41,MATCH($C145,'Undirviðmiðalisti (Lýsigögn)'!$C$6:$C$41,0))="","",INDEX('Undirviðmiðalisti (Lýsigögn)'!$E$6:$E$41,MATCH($C145,'Undirviðmiðalisti (Lýsigögn)'!$C$6:$C$41,0))),IFERROR(IF(INDEX('Undirviðmiðalisti (Lýsigögn)'!$E$42:$E$58,MATCH($C145,'Undirviðmiðalisti (Lýsigögn)'!$C$42:$C$58,0))="","",INDEX('Undirviðmiðalisti (Lýsigögn)'!$E$42:$E$58,MATCH($C145,'Undirviðmiðalisti (Lýsigögn)'!$C$42:$C$58,0))),""))))</f>
        <v/>
      </c>
      <c r="G145" s="24" t="str">
        <f aca="false">IFERROR(IF(B145="","",INDEX(Viðmið!$B$6:$B$10,MATCH(B145,Viðmið!$C$6:$C$10,0))),"")</f>
        <v/>
      </c>
      <c r="H145" s="25" t="str">
        <f aca="false">IF(OR(E145="",F145=""),"",E145*KVARDI)</f>
        <v/>
      </c>
      <c r="I145" s="26" t="str">
        <f aca="false">IF(B145="","",IF(ROUND(SUMIF($B$6:$B$205,B145,$E$6:$E$205),4)=ROUND(IFERROR(INDEX(Viðmið!$E$6:$E$10,MATCH(B145,Viðmið!$C$6:$C$10,0)),-1),4),"✓","✗"))</f>
        <v/>
      </c>
      <c r="J145" s="16" t="str">
        <f aca="false">IF($C145="","",IF($G145="Einstaklingsbundið",IFERROR(IF(INDEX('Undirviðmiðalisti (Lýsigögn)'!F$42:F$58,MATCH($C145,'Undirviðmiðalisti (Lýsigögn)'!$C$42:$C$58,0))="","",INDEX('Undirviðmiðalisti (Lýsigögn)'!F$42:F$58,MATCH($C145,'Undirviðmiðalisti (Lýsigögn)'!$C$42:$C$58,0))),""),IFERROR(IF(INDEX('Undirviðmiðalisti (Lýsigögn)'!F$6:F$41,MATCH($C145,'Undirviðmiðalisti (Lýsigögn)'!$C$6:$C$41,0))="","",INDEX('Undirviðmiðalisti (Lýsigögn)'!F$6:F$41,MATCH($C145,'Undirviðmiðalisti (Lýsigögn)'!$C$6:$C$41,0))),IFERROR(IF(INDEX('Undirviðmiðalisti (Lýsigögn)'!F$42:F$58,MATCH($C145,'Undirviðmiðalisti (Lýsigögn)'!$C$42:$C$58,0))="","",INDEX('Undirviðmiðalisti (Lýsigögn)'!F$42:F$58,MATCH($C145,'Undirviðmiðalisti (Lýsigögn)'!$C$42:$C$58,0))),""))))</f>
        <v/>
      </c>
      <c r="K145" s="16" t="str">
        <f aca="false">IF($C145="","",IF($G145="Einstaklingsbundið",IFERROR(IF(INDEX('Undirviðmiðalisti (Lýsigögn)'!G$42:G$58,MATCH($C145,'Undirviðmiðalisti (Lýsigögn)'!$C$42:$C$58,0))="","",INDEX('Undirviðmiðalisti (Lýsigögn)'!G$42:G$58,MATCH($C145,'Undirviðmiðalisti (Lýsigögn)'!$C$42:$C$58,0))),""),IFERROR(IF(INDEX('Undirviðmiðalisti (Lýsigögn)'!G$6:G$41,MATCH($C145,'Undirviðmiðalisti (Lýsigögn)'!$C$6:$C$41,0))="","",INDEX('Undirviðmiðalisti (Lýsigögn)'!G$6:G$41,MATCH($C145,'Undirviðmiðalisti (Lýsigögn)'!$C$6:$C$41,0))),IFERROR(IF(INDEX('Undirviðmiðalisti (Lýsigögn)'!G$42:G$58,MATCH($C145,'Undirviðmiðalisti (Lýsigögn)'!$C$42:$C$58,0))="","",INDEX('Undirviðmiðalisti (Lýsigögn)'!G$42:G$58,MATCH($C145,'Undirviðmiðalisti (Lýsigögn)'!$C$42:$C$58,0))),""))))</f>
        <v/>
      </c>
      <c r="L145" s="16" t="str">
        <f aca="false">IF($C145="","",IF($G145="Einstaklingsbundið",IFERROR(IF(INDEX('Undirviðmiðalisti (Lýsigögn)'!H$42:H$58,MATCH($C145,'Undirviðmiðalisti (Lýsigögn)'!$C$42:$C$58,0))="","",INDEX('Undirviðmiðalisti (Lýsigögn)'!H$42:H$58,MATCH($C145,'Undirviðmiðalisti (Lýsigögn)'!$C$42:$C$58,0))),""),IFERROR(IF(INDEX('Undirviðmiðalisti (Lýsigögn)'!H$6:H$41,MATCH($C145,'Undirviðmiðalisti (Lýsigögn)'!$C$6:$C$41,0))="","",INDEX('Undirviðmiðalisti (Lýsigögn)'!H$6:H$41,MATCH($C145,'Undirviðmiðalisti (Lýsigögn)'!$C$6:$C$41,0))),IFERROR(IF(INDEX('Undirviðmiðalisti (Lýsigögn)'!H$42:H$58,MATCH($C145,'Undirviðmiðalisti (Lýsigögn)'!$C$42:$C$58,0))="","",INDEX('Undirviðmiðalisti (Lýsigögn)'!H$42:H$58,MATCH($C145,'Undirviðmiðalisti (Lýsigögn)'!$C$42:$C$58,0))),""))))</f>
        <v/>
      </c>
      <c r="M145" s="16" t="str">
        <f aca="false">IF($C145="","",IF($G145="Einstaklingsbundið",IFERROR(IF(INDEX('Undirviðmiðalisti (Lýsigögn)'!I$42:I$58,MATCH($C145,'Undirviðmiðalisti (Lýsigögn)'!$C$42:$C$58,0))="","",INDEX('Undirviðmiðalisti (Lýsigögn)'!I$42:I$58,MATCH($C145,'Undirviðmiðalisti (Lýsigögn)'!$C$42:$C$58,0))),""),IFERROR(IF(INDEX('Undirviðmiðalisti (Lýsigögn)'!I$6:I$41,MATCH($C145,'Undirviðmiðalisti (Lýsigögn)'!$C$6:$C$41,0))="","",INDEX('Undirviðmiðalisti (Lýsigögn)'!I$6:I$41,MATCH($C145,'Undirviðmiðalisti (Lýsigögn)'!$C$6:$C$41,0))),IFERROR(IF(INDEX('Undirviðmiðalisti (Lýsigögn)'!I$42:I$58,MATCH($C145,'Undirviðmiðalisti (Lýsigögn)'!$C$42:$C$58,0))="","",INDEX('Undirviðmiðalisti (Lýsigögn)'!I$42:I$58,MATCH($C145,'Undirviðmiðalisti (Lýsigögn)'!$C$42:$C$58,0))),""))))</f>
        <v/>
      </c>
      <c r="N145" s="16" t="str">
        <f aca="false">IF($C145="","",IF($G145="Einstaklingsbundið",IFERROR(IF(INDEX('Undirviðmiðalisti (Lýsigögn)'!J$42:J$58,MATCH($C145,'Undirviðmiðalisti (Lýsigögn)'!$C$42:$C$58,0))="","",INDEX('Undirviðmiðalisti (Lýsigögn)'!J$42:J$58,MATCH($C145,'Undirviðmiðalisti (Lýsigögn)'!$C$42:$C$58,0))),""),IFERROR(IF(INDEX('Undirviðmiðalisti (Lýsigögn)'!J$6:J$41,MATCH($C145,'Undirviðmiðalisti (Lýsigögn)'!$C$6:$C$41,0))="","",INDEX('Undirviðmiðalisti (Lýsigögn)'!J$6:J$41,MATCH($C145,'Undirviðmiðalisti (Lýsigögn)'!$C$6:$C$41,0))),IFERROR(IF(INDEX('Undirviðmiðalisti (Lýsigögn)'!J$42:J$58,MATCH($C145,'Undirviðmiðalisti (Lýsigögn)'!$C$42:$C$58,0))="","",INDEX('Undirviðmiðalisti (Lýsigögn)'!J$42:J$58,MATCH($C145,'Undirviðmiðalisti (Lýsigögn)'!$C$42:$C$58,0))),""))))</f>
        <v/>
      </c>
      <c r="O145" s="16" t="str">
        <f aca="false">IF($C145="","",IF($G145="Einstaklingsbundið",IFERROR(IF(INDEX('Undirviðmiðalisti (Lýsigögn)'!K$42:K$58,MATCH($C145,'Undirviðmiðalisti (Lýsigögn)'!$C$42:$C$58,0))="","",INDEX('Undirviðmiðalisti (Lýsigögn)'!K$42:K$58,MATCH($C145,'Undirviðmiðalisti (Lýsigögn)'!$C$42:$C$58,0))),""),IFERROR(IF(INDEX('Undirviðmiðalisti (Lýsigögn)'!K$6:K$41,MATCH($C145,'Undirviðmiðalisti (Lýsigögn)'!$C$6:$C$41,0))="","",INDEX('Undirviðmiðalisti (Lýsigögn)'!K$6:K$41,MATCH($C145,'Undirviðmiðalisti (Lýsigögn)'!$C$6:$C$41,0))),IFERROR(IF(INDEX('Undirviðmiðalisti (Lýsigögn)'!K$42:K$58,MATCH($C145,'Undirviðmiðalisti (Lýsigögn)'!$C$42:$C$58,0))="","",INDEX('Undirviðmiðalisti (Lýsigögn)'!K$42:K$58,MATCH($C145,'Undirviðmiðalisti (Lýsigögn)'!$C$42:$C$58,0))),""))))</f>
        <v/>
      </c>
      <c r="P145" s="16" t="str">
        <f aca="false">IF($C145="","",IF($G145="Einstaklingsbundið",IFERROR(IF(INDEX('Undirviðmiðalisti (Lýsigögn)'!L$42:L$58,MATCH($C145,'Undirviðmiðalisti (Lýsigögn)'!$C$42:$C$58,0))="","",INDEX('Undirviðmiðalisti (Lýsigögn)'!L$42:L$58,MATCH($C145,'Undirviðmiðalisti (Lýsigögn)'!$C$42:$C$58,0))),""),IFERROR(IF(INDEX('Undirviðmiðalisti (Lýsigögn)'!L$6:L$41,MATCH($C145,'Undirviðmiðalisti (Lýsigögn)'!$C$6:$C$41,0))="","",INDEX('Undirviðmiðalisti (Lýsigögn)'!L$6:L$41,MATCH($C145,'Undirviðmiðalisti (Lýsigögn)'!$C$6:$C$41,0))),IFERROR(IF(INDEX('Undirviðmiðalisti (Lýsigögn)'!L$42:L$58,MATCH($C145,'Undirviðmiðalisti (Lýsigögn)'!$C$42:$C$58,0))="","",INDEX('Undirviðmiðalisti (Lýsigögn)'!L$42:L$58,MATCH($C145,'Undirviðmiðalisti (Lýsigögn)'!$C$42:$C$58,0))),""))))</f>
        <v/>
      </c>
      <c r="Q145" s="16" t="str">
        <f aca="false">IF($C145="","",IF($G145="Einstaklingsbundið",IFERROR(IF(INDEX('Undirviðmiðalisti (Lýsigögn)'!M$42:M$58,MATCH($C145,'Undirviðmiðalisti (Lýsigögn)'!$C$42:$C$58,0))="","",INDEX('Undirviðmiðalisti (Lýsigögn)'!M$42:M$58,MATCH($C145,'Undirviðmiðalisti (Lýsigögn)'!$C$42:$C$58,0))),""),IFERROR(IF(INDEX('Undirviðmiðalisti (Lýsigögn)'!M$6:M$41,MATCH($C145,'Undirviðmiðalisti (Lýsigögn)'!$C$6:$C$41,0))="","",INDEX('Undirviðmiðalisti (Lýsigögn)'!M$6:M$41,MATCH($C145,'Undirviðmiðalisti (Lýsigögn)'!$C$6:$C$41,0))),IFERROR(IF(INDEX('Undirviðmiðalisti (Lýsigögn)'!M$42:M$58,MATCH($C145,'Undirviðmiðalisti (Lýsigögn)'!$C$42:$C$58,0))="","",INDEX('Undirviðmiðalisti (Lýsigögn)'!M$42:M$58,MATCH($C145,'Undirviðmiðalisti (Lýsigögn)'!$C$42:$C$58,0))),""))))</f>
        <v/>
      </c>
    </row>
    <row r="146" customFormat="false" ht="15" hidden="false" customHeight="true" outlineLevel="0" collapsed="false">
      <c r="A146" s="22" t="str">
        <f aca="false">IF($B146="","",ROW()-5)</f>
        <v/>
      </c>
      <c r="B146" s="15"/>
      <c r="C146" s="15"/>
      <c r="D146" s="16" t="str">
        <f aca="false">IF($C146="","",IF($G146="Einstaklingsbundið",IFERROR(IF(INDEX('Undirviðmiðalisti (Lýsigögn)'!$D$42:$D$58,MATCH($C146,'Undirviðmiðalisti (Lýsigögn)'!$C$42:$C$58,0))="","",INDEX('Undirviðmiðalisti (Lýsigögn)'!$D$42:$D$58,MATCH($C146,'Undirviðmiðalisti (Lýsigögn)'!$C$42:$C$58,0))),""),IFERROR(IF(INDEX('Undirviðmiðalisti (Lýsigögn)'!$D$6:$D$41,MATCH($C146,'Undirviðmiðalisti (Lýsigögn)'!$C$6:$C$41,0))="","",INDEX('Undirviðmiðalisti (Lýsigögn)'!$D$6:$D$41,MATCH($C146,'Undirviðmiðalisti (Lýsigögn)'!$C$6:$C$41,0))),IFERROR(IF(INDEX('Undirviðmiðalisti (Lýsigögn)'!$D$42:$D$58,MATCH($C146,'Undirviðmiðalisti (Lýsigögn)'!$C$42:$C$58,0))="","",INDEX('Undirviðmiðalisti (Lýsigögn)'!$D$42:$D$58,MATCH($C146,'Undirviðmiðalisti (Lýsigögn)'!$C$42:$C$58,0))),""))))</f>
        <v/>
      </c>
      <c r="E146" s="14"/>
      <c r="F146" s="23" t="str">
        <f aca="false">IF($C146="","",IF($G146="Einstaklingsbundið",IFERROR(IF(INDEX('Undirviðmiðalisti (Lýsigögn)'!$E$42:$E$58,MATCH($C146,'Undirviðmiðalisti (Lýsigögn)'!$C$42:$C$58,0))="","",INDEX('Undirviðmiðalisti (Lýsigögn)'!$E$42:$E$58,MATCH($C146,'Undirviðmiðalisti (Lýsigögn)'!$C$42:$C$58,0))),""),IFERROR(IF(INDEX('Undirviðmiðalisti (Lýsigögn)'!$E$6:$E$41,MATCH($C146,'Undirviðmiðalisti (Lýsigögn)'!$C$6:$C$41,0))="","",INDEX('Undirviðmiðalisti (Lýsigögn)'!$E$6:$E$41,MATCH($C146,'Undirviðmiðalisti (Lýsigögn)'!$C$6:$C$41,0))),IFERROR(IF(INDEX('Undirviðmiðalisti (Lýsigögn)'!$E$42:$E$58,MATCH($C146,'Undirviðmiðalisti (Lýsigögn)'!$C$42:$C$58,0))="","",INDEX('Undirviðmiðalisti (Lýsigögn)'!$E$42:$E$58,MATCH($C146,'Undirviðmiðalisti (Lýsigögn)'!$C$42:$C$58,0))),""))))</f>
        <v/>
      </c>
      <c r="G146" s="24" t="str">
        <f aca="false">IFERROR(IF(B146="","",INDEX(Viðmið!$B$6:$B$10,MATCH(B146,Viðmið!$C$6:$C$10,0))),"")</f>
        <v/>
      </c>
      <c r="H146" s="25" t="str">
        <f aca="false">IF(OR(E146="",F146=""),"",E146*KVARDI)</f>
        <v/>
      </c>
      <c r="I146" s="26" t="str">
        <f aca="false">IF(B146="","",IF(ROUND(SUMIF($B$6:$B$205,B146,$E$6:$E$205),4)=ROUND(IFERROR(INDEX(Viðmið!$E$6:$E$10,MATCH(B146,Viðmið!$C$6:$C$10,0)),-1),4),"✓","✗"))</f>
        <v/>
      </c>
      <c r="J146" s="16" t="str">
        <f aca="false">IF($C146="","",IF($G146="Einstaklingsbundið",IFERROR(IF(INDEX('Undirviðmiðalisti (Lýsigögn)'!F$42:F$58,MATCH($C146,'Undirviðmiðalisti (Lýsigögn)'!$C$42:$C$58,0))="","",INDEX('Undirviðmiðalisti (Lýsigögn)'!F$42:F$58,MATCH($C146,'Undirviðmiðalisti (Lýsigögn)'!$C$42:$C$58,0))),""),IFERROR(IF(INDEX('Undirviðmiðalisti (Lýsigögn)'!F$6:F$41,MATCH($C146,'Undirviðmiðalisti (Lýsigögn)'!$C$6:$C$41,0))="","",INDEX('Undirviðmiðalisti (Lýsigögn)'!F$6:F$41,MATCH($C146,'Undirviðmiðalisti (Lýsigögn)'!$C$6:$C$41,0))),IFERROR(IF(INDEX('Undirviðmiðalisti (Lýsigögn)'!F$42:F$58,MATCH($C146,'Undirviðmiðalisti (Lýsigögn)'!$C$42:$C$58,0))="","",INDEX('Undirviðmiðalisti (Lýsigögn)'!F$42:F$58,MATCH($C146,'Undirviðmiðalisti (Lýsigögn)'!$C$42:$C$58,0))),""))))</f>
        <v/>
      </c>
      <c r="K146" s="16" t="str">
        <f aca="false">IF($C146="","",IF($G146="Einstaklingsbundið",IFERROR(IF(INDEX('Undirviðmiðalisti (Lýsigögn)'!G$42:G$58,MATCH($C146,'Undirviðmiðalisti (Lýsigögn)'!$C$42:$C$58,0))="","",INDEX('Undirviðmiðalisti (Lýsigögn)'!G$42:G$58,MATCH($C146,'Undirviðmiðalisti (Lýsigögn)'!$C$42:$C$58,0))),""),IFERROR(IF(INDEX('Undirviðmiðalisti (Lýsigögn)'!G$6:G$41,MATCH($C146,'Undirviðmiðalisti (Lýsigögn)'!$C$6:$C$41,0))="","",INDEX('Undirviðmiðalisti (Lýsigögn)'!G$6:G$41,MATCH($C146,'Undirviðmiðalisti (Lýsigögn)'!$C$6:$C$41,0))),IFERROR(IF(INDEX('Undirviðmiðalisti (Lýsigögn)'!G$42:G$58,MATCH($C146,'Undirviðmiðalisti (Lýsigögn)'!$C$42:$C$58,0))="","",INDEX('Undirviðmiðalisti (Lýsigögn)'!G$42:G$58,MATCH($C146,'Undirviðmiðalisti (Lýsigögn)'!$C$42:$C$58,0))),""))))</f>
        <v/>
      </c>
      <c r="L146" s="16" t="str">
        <f aca="false">IF($C146="","",IF($G146="Einstaklingsbundið",IFERROR(IF(INDEX('Undirviðmiðalisti (Lýsigögn)'!H$42:H$58,MATCH($C146,'Undirviðmiðalisti (Lýsigögn)'!$C$42:$C$58,0))="","",INDEX('Undirviðmiðalisti (Lýsigögn)'!H$42:H$58,MATCH($C146,'Undirviðmiðalisti (Lýsigögn)'!$C$42:$C$58,0))),""),IFERROR(IF(INDEX('Undirviðmiðalisti (Lýsigögn)'!H$6:H$41,MATCH($C146,'Undirviðmiðalisti (Lýsigögn)'!$C$6:$C$41,0))="","",INDEX('Undirviðmiðalisti (Lýsigögn)'!H$6:H$41,MATCH($C146,'Undirviðmiðalisti (Lýsigögn)'!$C$6:$C$41,0))),IFERROR(IF(INDEX('Undirviðmiðalisti (Lýsigögn)'!H$42:H$58,MATCH($C146,'Undirviðmiðalisti (Lýsigögn)'!$C$42:$C$58,0))="","",INDEX('Undirviðmiðalisti (Lýsigögn)'!H$42:H$58,MATCH($C146,'Undirviðmiðalisti (Lýsigögn)'!$C$42:$C$58,0))),""))))</f>
        <v/>
      </c>
      <c r="M146" s="16" t="str">
        <f aca="false">IF($C146="","",IF($G146="Einstaklingsbundið",IFERROR(IF(INDEX('Undirviðmiðalisti (Lýsigögn)'!I$42:I$58,MATCH($C146,'Undirviðmiðalisti (Lýsigögn)'!$C$42:$C$58,0))="","",INDEX('Undirviðmiðalisti (Lýsigögn)'!I$42:I$58,MATCH($C146,'Undirviðmiðalisti (Lýsigögn)'!$C$42:$C$58,0))),""),IFERROR(IF(INDEX('Undirviðmiðalisti (Lýsigögn)'!I$6:I$41,MATCH($C146,'Undirviðmiðalisti (Lýsigögn)'!$C$6:$C$41,0))="","",INDEX('Undirviðmiðalisti (Lýsigögn)'!I$6:I$41,MATCH($C146,'Undirviðmiðalisti (Lýsigögn)'!$C$6:$C$41,0))),IFERROR(IF(INDEX('Undirviðmiðalisti (Lýsigögn)'!I$42:I$58,MATCH($C146,'Undirviðmiðalisti (Lýsigögn)'!$C$42:$C$58,0))="","",INDEX('Undirviðmiðalisti (Lýsigögn)'!I$42:I$58,MATCH($C146,'Undirviðmiðalisti (Lýsigögn)'!$C$42:$C$58,0))),""))))</f>
        <v/>
      </c>
      <c r="N146" s="16" t="str">
        <f aca="false">IF($C146="","",IF($G146="Einstaklingsbundið",IFERROR(IF(INDEX('Undirviðmiðalisti (Lýsigögn)'!J$42:J$58,MATCH($C146,'Undirviðmiðalisti (Lýsigögn)'!$C$42:$C$58,0))="","",INDEX('Undirviðmiðalisti (Lýsigögn)'!J$42:J$58,MATCH($C146,'Undirviðmiðalisti (Lýsigögn)'!$C$42:$C$58,0))),""),IFERROR(IF(INDEX('Undirviðmiðalisti (Lýsigögn)'!J$6:J$41,MATCH($C146,'Undirviðmiðalisti (Lýsigögn)'!$C$6:$C$41,0))="","",INDEX('Undirviðmiðalisti (Lýsigögn)'!J$6:J$41,MATCH($C146,'Undirviðmiðalisti (Lýsigögn)'!$C$6:$C$41,0))),IFERROR(IF(INDEX('Undirviðmiðalisti (Lýsigögn)'!J$42:J$58,MATCH($C146,'Undirviðmiðalisti (Lýsigögn)'!$C$42:$C$58,0))="","",INDEX('Undirviðmiðalisti (Lýsigögn)'!J$42:J$58,MATCH($C146,'Undirviðmiðalisti (Lýsigögn)'!$C$42:$C$58,0))),""))))</f>
        <v/>
      </c>
      <c r="O146" s="16" t="str">
        <f aca="false">IF($C146="","",IF($G146="Einstaklingsbundið",IFERROR(IF(INDEX('Undirviðmiðalisti (Lýsigögn)'!K$42:K$58,MATCH($C146,'Undirviðmiðalisti (Lýsigögn)'!$C$42:$C$58,0))="","",INDEX('Undirviðmiðalisti (Lýsigögn)'!K$42:K$58,MATCH($C146,'Undirviðmiðalisti (Lýsigögn)'!$C$42:$C$58,0))),""),IFERROR(IF(INDEX('Undirviðmiðalisti (Lýsigögn)'!K$6:K$41,MATCH($C146,'Undirviðmiðalisti (Lýsigögn)'!$C$6:$C$41,0))="","",INDEX('Undirviðmiðalisti (Lýsigögn)'!K$6:K$41,MATCH($C146,'Undirviðmiðalisti (Lýsigögn)'!$C$6:$C$41,0))),IFERROR(IF(INDEX('Undirviðmiðalisti (Lýsigögn)'!K$42:K$58,MATCH($C146,'Undirviðmiðalisti (Lýsigögn)'!$C$42:$C$58,0))="","",INDEX('Undirviðmiðalisti (Lýsigögn)'!K$42:K$58,MATCH($C146,'Undirviðmiðalisti (Lýsigögn)'!$C$42:$C$58,0))),""))))</f>
        <v/>
      </c>
      <c r="P146" s="16" t="str">
        <f aca="false">IF($C146="","",IF($G146="Einstaklingsbundið",IFERROR(IF(INDEX('Undirviðmiðalisti (Lýsigögn)'!L$42:L$58,MATCH($C146,'Undirviðmiðalisti (Lýsigögn)'!$C$42:$C$58,0))="","",INDEX('Undirviðmiðalisti (Lýsigögn)'!L$42:L$58,MATCH($C146,'Undirviðmiðalisti (Lýsigögn)'!$C$42:$C$58,0))),""),IFERROR(IF(INDEX('Undirviðmiðalisti (Lýsigögn)'!L$6:L$41,MATCH($C146,'Undirviðmiðalisti (Lýsigögn)'!$C$6:$C$41,0))="","",INDEX('Undirviðmiðalisti (Lýsigögn)'!L$6:L$41,MATCH($C146,'Undirviðmiðalisti (Lýsigögn)'!$C$6:$C$41,0))),IFERROR(IF(INDEX('Undirviðmiðalisti (Lýsigögn)'!L$42:L$58,MATCH($C146,'Undirviðmiðalisti (Lýsigögn)'!$C$42:$C$58,0))="","",INDEX('Undirviðmiðalisti (Lýsigögn)'!L$42:L$58,MATCH($C146,'Undirviðmiðalisti (Lýsigögn)'!$C$42:$C$58,0))),""))))</f>
        <v/>
      </c>
      <c r="Q146" s="16" t="str">
        <f aca="false">IF($C146="","",IF($G146="Einstaklingsbundið",IFERROR(IF(INDEX('Undirviðmiðalisti (Lýsigögn)'!M$42:M$58,MATCH($C146,'Undirviðmiðalisti (Lýsigögn)'!$C$42:$C$58,0))="","",INDEX('Undirviðmiðalisti (Lýsigögn)'!M$42:M$58,MATCH($C146,'Undirviðmiðalisti (Lýsigögn)'!$C$42:$C$58,0))),""),IFERROR(IF(INDEX('Undirviðmiðalisti (Lýsigögn)'!M$6:M$41,MATCH($C146,'Undirviðmiðalisti (Lýsigögn)'!$C$6:$C$41,0))="","",INDEX('Undirviðmiðalisti (Lýsigögn)'!M$6:M$41,MATCH($C146,'Undirviðmiðalisti (Lýsigögn)'!$C$6:$C$41,0))),IFERROR(IF(INDEX('Undirviðmiðalisti (Lýsigögn)'!M$42:M$58,MATCH($C146,'Undirviðmiðalisti (Lýsigögn)'!$C$42:$C$58,0))="","",INDEX('Undirviðmiðalisti (Lýsigögn)'!M$42:M$58,MATCH($C146,'Undirviðmiðalisti (Lýsigögn)'!$C$42:$C$58,0))),""))))</f>
        <v/>
      </c>
    </row>
    <row r="147" customFormat="false" ht="15" hidden="false" customHeight="true" outlineLevel="0" collapsed="false">
      <c r="A147" s="22" t="str">
        <f aca="false">IF($B147="","",ROW()-5)</f>
        <v/>
      </c>
      <c r="B147" s="15"/>
      <c r="C147" s="15"/>
      <c r="D147" s="16" t="str">
        <f aca="false">IF($C147="","",IF($G147="Einstaklingsbundið",IFERROR(IF(INDEX('Undirviðmiðalisti (Lýsigögn)'!$D$42:$D$58,MATCH($C147,'Undirviðmiðalisti (Lýsigögn)'!$C$42:$C$58,0))="","",INDEX('Undirviðmiðalisti (Lýsigögn)'!$D$42:$D$58,MATCH($C147,'Undirviðmiðalisti (Lýsigögn)'!$C$42:$C$58,0))),""),IFERROR(IF(INDEX('Undirviðmiðalisti (Lýsigögn)'!$D$6:$D$41,MATCH($C147,'Undirviðmiðalisti (Lýsigögn)'!$C$6:$C$41,0))="","",INDEX('Undirviðmiðalisti (Lýsigögn)'!$D$6:$D$41,MATCH($C147,'Undirviðmiðalisti (Lýsigögn)'!$C$6:$C$41,0))),IFERROR(IF(INDEX('Undirviðmiðalisti (Lýsigögn)'!$D$42:$D$58,MATCH($C147,'Undirviðmiðalisti (Lýsigögn)'!$C$42:$C$58,0))="","",INDEX('Undirviðmiðalisti (Lýsigögn)'!$D$42:$D$58,MATCH($C147,'Undirviðmiðalisti (Lýsigögn)'!$C$42:$C$58,0))),""))))</f>
        <v/>
      </c>
      <c r="E147" s="14"/>
      <c r="F147" s="23" t="str">
        <f aca="false">IF($C147="","",IF($G147="Einstaklingsbundið",IFERROR(IF(INDEX('Undirviðmiðalisti (Lýsigögn)'!$E$42:$E$58,MATCH($C147,'Undirviðmiðalisti (Lýsigögn)'!$C$42:$C$58,0))="","",INDEX('Undirviðmiðalisti (Lýsigögn)'!$E$42:$E$58,MATCH($C147,'Undirviðmiðalisti (Lýsigögn)'!$C$42:$C$58,0))),""),IFERROR(IF(INDEX('Undirviðmiðalisti (Lýsigögn)'!$E$6:$E$41,MATCH($C147,'Undirviðmiðalisti (Lýsigögn)'!$C$6:$C$41,0))="","",INDEX('Undirviðmiðalisti (Lýsigögn)'!$E$6:$E$41,MATCH($C147,'Undirviðmiðalisti (Lýsigögn)'!$C$6:$C$41,0))),IFERROR(IF(INDEX('Undirviðmiðalisti (Lýsigögn)'!$E$42:$E$58,MATCH($C147,'Undirviðmiðalisti (Lýsigögn)'!$C$42:$C$58,0))="","",INDEX('Undirviðmiðalisti (Lýsigögn)'!$E$42:$E$58,MATCH($C147,'Undirviðmiðalisti (Lýsigögn)'!$C$42:$C$58,0))),""))))</f>
        <v/>
      </c>
      <c r="G147" s="24" t="str">
        <f aca="false">IFERROR(IF(B147="","",INDEX(Viðmið!$B$6:$B$10,MATCH(B147,Viðmið!$C$6:$C$10,0))),"")</f>
        <v/>
      </c>
      <c r="H147" s="25" t="str">
        <f aca="false">IF(OR(E147="",F147=""),"",E147*KVARDI)</f>
        <v/>
      </c>
      <c r="I147" s="26" t="str">
        <f aca="false">IF(B147="","",IF(ROUND(SUMIF($B$6:$B$205,B147,$E$6:$E$205),4)=ROUND(IFERROR(INDEX(Viðmið!$E$6:$E$10,MATCH(B147,Viðmið!$C$6:$C$10,0)),-1),4),"✓","✗"))</f>
        <v/>
      </c>
      <c r="J147" s="16" t="str">
        <f aca="false">IF($C147="","",IF($G147="Einstaklingsbundið",IFERROR(IF(INDEX('Undirviðmiðalisti (Lýsigögn)'!F$42:F$58,MATCH($C147,'Undirviðmiðalisti (Lýsigögn)'!$C$42:$C$58,0))="","",INDEX('Undirviðmiðalisti (Lýsigögn)'!F$42:F$58,MATCH($C147,'Undirviðmiðalisti (Lýsigögn)'!$C$42:$C$58,0))),""),IFERROR(IF(INDEX('Undirviðmiðalisti (Lýsigögn)'!F$6:F$41,MATCH($C147,'Undirviðmiðalisti (Lýsigögn)'!$C$6:$C$41,0))="","",INDEX('Undirviðmiðalisti (Lýsigögn)'!F$6:F$41,MATCH($C147,'Undirviðmiðalisti (Lýsigögn)'!$C$6:$C$41,0))),IFERROR(IF(INDEX('Undirviðmiðalisti (Lýsigögn)'!F$42:F$58,MATCH($C147,'Undirviðmiðalisti (Lýsigögn)'!$C$42:$C$58,0))="","",INDEX('Undirviðmiðalisti (Lýsigögn)'!F$42:F$58,MATCH($C147,'Undirviðmiðalisti (Lýsigögn)'!$C$42:$C$58,0))),""))))</f>
        <v/>
      </c>
      <c r="K147" s="16" t="str">
        <f aca="false">IF($C147="","",IF($G147="Einstaklingsbundið",IFERROR(IF(INDEX('Undirviðmiðalisti (Lýsigögn)'!G$42:G$58,MATCH($C147,'Undirviðmiðalisti (Lýsigögn)'!$C$42:$C$58,0))="","",INDEX('Undirviðmiðalisti (Lýsigögn)'!G$42:G$58,MATCH($C147,'Undirviðmiðalisti (Lýsigögn)'!$C$42:$C$58,0))),""),IFERROR(IF(INDEX('Undirviðmiðalisti (Lýsigögn)'!G$6:G$41,MATCH($C147,'Undirviðmiðalisti (Lýsigögn)'!$C$6:$C$41,0))="","",INDEX('Undirviðmiðalisti (Lýsigögn)'!G$6:G$41,MATCH($C147,'Undirviðmiðalisti (Lýsigögn)'!$C$6:$C$41,0))),IFERROR(IF(INDEX('Undirviðmiðalisti (Lýsigögn)'!G$42:G$58,MATCH($C147,'Undirviðmiðalisti (Lýsigögn)'!$C$42:$C$58,0))="","",INDEX('Undirviðmiðalisti (Lýsigögn)'!G$42:G$58,MATCH($C147,'Undirviðmiðalisti (Lýsigögn)'!$C$42:$C$58,0))),""))))</f>
        <v/>
      </c>
      <c r="L147" s="16" t="str">
        <f aca="false">IF($C147="","",IF($G147="Einstaklingsbundið",IFERROR(IF(INDEX('Undirviðmiðalisti (Lýsigögn)'!H$42:H$58,MATCH($C147,'Undirviðmiðalisti (Lýsigögn)'!$C$42:$C$58,0))="","",INDEX('Undirviðmiðalisti (Lýsigögn)'!H$42:H$58,MATCH($C147,'Undirviðmiðalisti (Lýsigögn)'!$C$42:$C$58,0))),""),IFERROR(IF(INDEX('Undirviðmiðalisti (Lýsigögn)'!H$6:H$41,MATCH($C147,'Undirviðmiðalisti (Lýsigögn)'!$C$6:$C$41,0))="","",INDEX('Undirviðmiðalisti (Lýsigögn)'!H$6:H$41,MATCH($C147,'Undirviðmiðalisti (Lýsigögn)'!$C$6:$C$41,0))),IFERROR(IF(INDEX('Undirviðmiðalisti (Lýsigögn)'!H$42:H$58,MATCH($C147,'Undirviðmiðalisti (Lýsigögn)'!$C$42:$C$58,0))="","",INDEX('Undirviðmiðalisti (Lýsigögn)'!H$42:H$58,MATCH($C147,'Undirviðmiðalisti (Lýsigögn)'!$C$42:$C$58,0))),""))))</f>
        <v/>
      </c>
      <c r="M147" s="16" t="str">
        <f aca="false">IF($C147="","",IF($G147="Einstaklingsbundið",IFERROR(IF(INDEX('Undirviðmiðalisti (Lýsigögn)'!I$42:I$58,MATCH($C147,'Undirviðmiðalisti (Lýsigögn)'!$C$42:$C$58,0))="","",INDEX('Undirviðmiðalisti (Lýsigögn)'!I$42:I$58,MATCH($C147,'Undirviðmiðalisti (Lýsigögn)'!$C$42:$C$58,0))),""),IFERROR(IF(INDEX('Undirviðmiðalisti (Lýsigögn)'!I$6:I$41,MATCH($C147,'Undirviðmiðalisti (Lýsigögn)'!$C$6:$C$41,0))="","",INDEX('Undirviðmiðalisti (Lýsigögn)'!I$6:I$41,MATCH($C147,'Undirviðmiðalisti (Lýsigögn)'!$C$6:$C$41,0))),IFERROR(IF(INDEX('Undirviðmiðalisti (Lýsigögn)'!I$42:I$58,MATCH($C147,'Undirviðmiðalisti (Lýsigögn)'!$C$42:$C$58,0))="","",INDEX('Undirviðmiðalisti (Lýsigögn)'!I$42:I$58,MATCH($C147,'Undirviðmiðalisti (Lýsigögn)'!$C$42:$C$58,0))),""))))</f>
        <v/>
      </c>
      <c r="N147" s="16" t="str">
        <f aca="false">IF($C147="","",IF($G147="Einstaklingsbundið",IFERROR(IF(INDEX('Undirviðmiðalisti (Lýsigögn)'!J$42:J$58,MATCH($C147,'Undirviðmiðalisti (Lýsigögn)'!$C$42:$C$58,0))="","",INDEX('Undirviðmiðalisti (Lýsigögn)'!J$42:J$58,MATCH($C147,'Undirviðmiðalisti (Lýsigögn)'!$C$42:$C$58,0))),""),IFERROR(IF(INDEX('Undirviðmiðalisti (Lýsigögn)'!J$6:J$41,MATCH($C147,'Undirviðmiðalisti (Lýsigögn)'!$C$6:$C$41,0))="","",INDEX('Undirviðmiðalisti (Lýsigögn)'!J$6:J$41,MATCH($C147,'Undirviðmiðalisti (Lýsigögn)'!$C$6:$C$41,0))),IFERROR(IF(INDEX('Undirviðmiðalisti (Lýsigögn)'!J$42:J$58,MATCH($C147,'Undirviðmiðalisti (Lýsigögn)'!$C$42:$C$58,0))="","",INDEX('Undirviðmiðalisti (Lýsigögn)'!J$42:J$58,MATCH($C147,'Undirviðmiðalisti (Lýsigögn)'!$C$42:$C$58,0))),""))))</f>
        <v/>
      </c>
      <c r="O147" s="16" t="str">
        <f aca="false">IF($C147="","",IF($G147="Einstaklingsbundið",IFERROR(IF(INDEX('Undirviðmiðalisti (Lýsigögn)'!K$42:K$58,MATCH($C147,'Undirviðmiðalisti (Lýsigögn)'!$C$42:$C$58,0))="","",INDEX('Undirviðmiðalisti (Lýsigögn)'!K$42:K$58,MATCH($C147,'Undirviðmiðalisti (Lýsigögn)'!$C$42:$C$58,0))),""),IFERROR(IF(INDEX('Undirviðmiðalisti (Lýsigögn)'!K$6:K$41,MATCH($C147,'Undirviðmiðalisti (Lýsigögn)'!$C$6:$C$41,0))="","",INDEX('Undirviðmiðalisti (Lýsigögn)'!K$6:K$41,MATCH($C147,'Undirviðmiðalisti (Lýsigögn)'!$C$6:$C$41,0))),IFERROR(IF(INDEX('Undirviðmiðalisti (Lýsigögn)'!K$42:K$58,MATCH($C147,'Undirviðmiðalisti (Lýsigögn)'!$C$42:$C$58,0))="","",INDEX('Undirviðmiðalisti (Lýsigögn)'!K$42:K$58,MATCH($C147,'Undirviðmiðalisti (Lýsigögn)'!$C$42:$C$58,0))),""))))</f>
        <v/>
      </c>
      <c r="P147" s="16" t="str">
        <f aca="false">IF($C147="","",IF($G147="Einstaklingsbundið",IFERROR(IF(INDEX('Undirviðmiðalisti (Lýsigögn)'!L$42:L$58,MATCH($C147,'Undirviðmiðalisti (Lýsigögn)'!$C$42:$C$58,0))="","",INDEX('Undirviðmiðalisti (Lýsigögn)'!L$42:L$58,MATCH($C147,'Undirviðmiðalisti (Lýsigögn)'!$C$42:$C$58,0))),""),IFERROR(IF(INDEX('Undirviðmiðalisti (Lýsigögn)'!L$6:L$41,MATCH($C147,'Undirviðmiðalisti (Lýsigögn)'!$C$6:$C$41,0))="","",INDEX('Undirviðmiðalisti (Lýsigögn)'!L$6:L$41,MATCH($C147,'Undirviðmiðalisti (Lýsigögn)'!$C$6:$C$41,0))),IFERROR(IF(INDEX('Undirviðmiðalisti (Lýsigögn)'!L$42:L$58,MATCH($C147,'Undirviðmiðalisti (Lýsigögn)'!$C$42:$C$58,0))="","",INDEX('Undirviðmiðalisti (Lýsigögn)'!L$42:L$58,MATCH($C147,'Undirviðmiðalisti (Lýsigögn)'!$C$42:$C$58,0))),""))))</f>
        <v/>
      </c>
      <c r="Q147" s="16" t="str">
        <f aca="false">IF($C147="","",IF($G147="Einstaklingsbundið",IFERROR(IF(INDEX('Undirviðmiðalisti (Lýsigögn)'!M$42:M$58,MATCH($C147,'Undirviðmiðalisti (Lýsigögn)'!$C$42:$C$58,0))="","",INDEX('Undirviðmiðalisti (Lýsigögn)'!M$42:M$58,MATCH($C147,'Undirviðmiðalisti (Lýsigögn)'!$C$42:$C$58,0))),""),IFERROR(IF(INDEX('Undirviðmiðalisti (Lýsigögn)'!M$6:M$41,MATCH($C147,'Undirviðmiðalisti (Lýsigögn)'!$C$6:$C$41,0))="","",INDEX('Undirviðmiðalisti (Lýsigögn)'!M$6:M$41,MATCH($C147,'Undirviðmiðalisti (Lýsigögn)'!$C$6:$C$41,0))),IFERROR(IF(INDEX('Undirviðmiðalisti (Lýsigögn)'!M$42:M$58,MATCH($C147,'Undirviðmiðalisti (Lýsigögn)'!$C$42:$C$58,0))="","",INDEX('Undirviðmiðalisti (Lýsigögn)'!M$42:M$58,MATCH($C147,'Undirviðmiðalisti (Lýsigögn)'!$C$42:$C$58,0))),""))))</f>
        <v/>
      </c>
    </row>
    <row r="148" customFormat="false" ht="15" hidden="false" customHeight="true" outlineLevel="0" collapsed="false">
      <c r="A148" s="22" t="str">
        <f aca="false">IF($B148="","",ROW()-5)</f>
        <v/>
      </c>
      <c r="B148" s="15"/>
      <c r="C148" s="15"/>
      <c r="D148" s="16" t="str">
        <f aca="false">IF($C148="","",IF($G148="Einstaklingsbundið",IFERROR(IF(INDEX('Undirviðmiðalisti (Lýsigögn)'!$D$42:$D$58,MATCH($C148,'Undirviðmiðalisti (Lýsigögn)'!$C$42:$C$58,0))="","",INDEX('Undirviðmiðalisti (Lýsigögn)'!$D$42:$D$58,MATCH($C148,'Undirviðmiðalisti (Lýsigögn)'!$C$42:$C$58,0))),""),IFERROR(IF(INDEX('Undirviðmiðalisti (Lýsigögn)'!$D$6:$D$41,MATCH($C148,'Undirviðmiðalisti (Lýsigögn)'!$C$6:$C$41,0))="","",INDEX('Undirviðmiðalisti (Lýsigögn)'!$D$6:$D$41,MATCH($C148,'Undirviðmiðalisti (Lýsigögn)'!$C$6:$C$41,0))),IFERROR(IF(INDEX('Undirviðmiðalisti (Lýsigögn)'!$D$42:$D$58,MATCH($C148,'Undirviðmiðalisti (Lýsigögn)'!$C$42:$C$58,0))="","",INDEX('Undirviðmiðalisti (Lýsigögn)'!$D$42:$D$58,MATCH($C148,'Undirviðmiðalisti (Lýsigögn)'!$C$42:$C$58,0))),""))))</f>
        <v/>
      </c>
      <c r="E148" s="14"/>
      <c r="F148" s="23" t="str">
        <f aca="false">IF($C148="","",IF($G148="Einstaklingsbundið",IFERROR(IF(INDEX('Undirviðmiðalisti (Lýsigögn)'!$E$42:$E$58,MATCH($C148,'Undirviðmiðalisti (Lýsigögn)'!$C$42:$C$58,0))="","",INDEX('Undirviðmiðalisti (Lýsigögn)'!$E$42:$E$58,MATCH($C148,'Undirviðmiðalisti (Lýsigögn)'!$C$42:$C$58,0))),""),IFERROR(IF(INDEX('Undirviðmiðalisti (Lýsigögn)'!$E$6:$E$41,MATCH($C148,'Undirviðmiðalisti (Lýsigögn)'!$C$6:$C$41,0))="","",INDEX('Undirviðmiðalisti (Lýsigögn)'!$E$6:$E$41,MATCH($C148,'Undirviðmiðalisti (Lýsigögn)'!$C$6:$C$41,0))),IFERROR(IF(INDEX('Undirviðmiðalisti (Lýsigögn)'!$E$42:$E$58,MATCH($C148,'Undirviðmiðalisti (Lýsigögn)'!$C$42:$C$58,0))="","",INDEX('Undirviðmiðalisti (Lýsigögn)'!$E$42:$E$58,MATCH($C148,'Undirviðmiðalisti (Lýsigögn)'!$C$42:$C$58,0))),""))))</f>
        <v/>
      </c>
      <c r="G148" s="24" t="str">
        <f aca="false">IFERROR(IF(B148="","",INDEX(Viðmið!$B$6:$B$10,MATCH(B148,Viðmið!$C$6:$C$10,0))),"")</f>
        <v/>
      </c>
      <c r="H148" s="25" t="str">
        <f aca="false">IF(OR(E148="",F148=""),"",E148*KVARDI)</f>
        <v/>
      </c>
      <c r="I148" s="26" t="str">
        <f aca="false">IF(B148="","",IF(ROUND(SUMIF($B$6:$B$205,B148,$E$6:$E$205),4)=ROUND(IFERROR(INDEX(Viðmið!$E$6:$E$10,MATCH(B148,Viðmið!$C$6:$C$10,0)),-1),4),"✓","✗"))</f>
        <v/>
      </c>
      <c r="J148" s="16" t="str">
        <f aca="false">IF($C148="","",IF($G148="Einstaklingsbundið",IFERROR(IF(INDEX('Undirviðmiðalisti (Lýsigögn)'!F$42:F$58,MATCH($C148,'Undirviðmiðalisti (Lýsigögn)'!$C$42:$C$58,0))="","",INDEX('Undirviðmiðalisti (Lýsigögn)'!F$42:F$58,MATCH($C148,'Undirviðmiðalisti (Lýsigögn)'!$C$42:$C$58,0))),""),IFERROR(IF(INDEX('Undirviðmiðalisti (Lýsigögn)'!F$6:F$41,MATCH($C148,'Undirviðmiðalisti (Lýsigögn)'!$C$6:$C$41,0))="","",INDEX('Undirviðmiðalisti (Lýsigögn)'!F$6:F$41,MATCH($C148,'Undirviðmiðalisti (Lýsigögn)'!$C$6:$C$41,0))),IFERROR(IF(INDEX('Undirviðmiðalisti (Lýsigögn)'!F$42:F$58,MATCH($C148,'Undirviðmiðalisti (Lýsigögn)'!$C$42:$C$58,0))="","",INDEX('Undirviðmiðalisti (Lýsigögn)'!F$42:F$58,MATCH($C148,'Undirviðmiðalisti (Lýsigögn)'!$C$42:$C$58,0))),""))))</f>
        <v/>
      </c>
      <c r="K148" s="16" t="str">
        <f aca="false">IF($C148="","",IF($G148="Einstaklingsbundið",IFERROR(IF(INDEX('Undirviðmiðalisti (Lýsigögn)'!G$42:G$58,MATCH($C148,'Undirviðmiðalisti (Lýsigögn)'!$C$42:$C$58,0))="","",INDEX('Undirviðmiðalisti (Lýsigögn)'!G$42:G$58,MATCH($C148,'Undirviðmiðalisti (Lýsigögn)'!$C$42:$C$58,0))),""),IFERROR(IF(INDEX('Undirviðmiðalisti (Lýsigögn)'!G$6:G$41,MATCH($C148,'Undirviðmiðalisti (Lýsigögn)'!$C$6:$C$41,0))="","",INDEX('Undirviðmiðalisti (Lýsigögn)'!G$6:G$41,MATCH($C148,'Undirviðmiðalisti (Lýsigögn)'!$C$6:$C$41,0))),IFERROR(IF(INDEX('Undirviðmiðalisti (Lýsigögn)'!G$42:G$58,MATCH($C148,'Undirviðmiðalisti (Lýsigögn)'!$C$42:$C$58,0))="","",INDEX('Undirviðmiðalisti (Lýsigögn)'!G$42:G$58,MATCH($C148,'Undirviðmiðalisti (Lýsigögn)'!$C$42:$C$58,0))),""))))</f>
        <v/>
      </c>
      <c r="L148" s="16" t="str">
        <f aca="false">IF($C148="","",IF($G148="Einstaklingsbundið",IFERROR(IF(INDEX('Undirviðmiðalisti (Lýsigögn)'!H$42:H$58,MATCH($C148,'Undirviðmiðalisti (Lýsigögn)'!$C$42:$C$58,0))="","",INDEX('Undirviðmiðalisti (Lýsigögn)'!H$42:H$58,MATCH($C148,'Undirviðmiðalisti (Lýsigögn)'!$C$42:$C$58,0))),""),IFERROR(IF(INDEX('Undirviðmiðalisti (Lýsigögn)'!H$6:H$41,MATCH($C148,'Undirviðmiðalisti (Lýsigögn)'!$C$6:$C$41,0))="","",INDEX('Undirviðmiðalisti (Lýsigögn)'!H$6:H$41,MATCH($C148,'Undirviðmiðalisti (Lýsigögn)'!$C$6:$C$41,0))),IFERROR(IF(INDEX('Undirviðmiðalisti (Lýsigögn)'!H$42:H$58,MATCH($C148,'Undirviðmiðalisti (Lýsigögn)'!$C$42:$C$58,0))="","",INDEX('Undirviðmiðalisti (Lýsigögn)'!H$42:H$58,MATCH($C148,'Undirviðmiðalisti (Lýsigögn)'!$C$42:$C$58,0))),""))))</f>
        <v/>
      </c>
      <c r="M148" s="16" t="str">
        <f aca="false">IF($C148="","",IF($G148="Einstaklingsbundið",IFERROR(IF(INDEX('Undirviðmiðalisti (Lýsigögn)'!I$42:I$58,MATCH($C148,'Undirviðmiðalisti (Lýsigögn)'!$C$42:$C$58,0))="","",INDEX('Undirviðmiðalisti (Lýsigögn)'!I$42:I$58,MATCH($C148,'Undirviðmiðalisti (Lýsigögn)'!$C$42:$C$58,0))),""),IFERROR(IF(INDEX('Undirviðmiðalisti (Lýsigögn)'!I$6:I$41,MATCH($C148,'Undirviðmiðalisti (Lýsigögn)'!$C$6:$C$41,0))="","",INDEX('Undirviðmiðalisti (Lýsigögn)'!I$6:I$41,MATCH($C148,'Undirviðmiðalisti (Lýsigögn)'!$C$6:$C$41,0))),IFERROR(IF(INDEX('Undirviðmiðalisti (Lýsigögn)'!I$42:I$58,MATCH($C148,'Undirviðmiðalisti (Lýsigögn)'!$C$42:$C$58,0))="","",INDEX('Undirviðmiðalisti (Lýsigögn)'!I$42:I$58,MATCH($C148,'Undirviðmiðalisti (Lýsigögn)'!$C$42:$C$58,0))),""))))</f>
        <v/>
      </c>
      <c r="N148" s="16" t="str">
        <f aca="false">IF($C148="","",IF($G148="Einstaklingsbundið",IFERROR(IF(INDEX('Undirviðmiðalisti (Lýsigögn)'!J$42:J$58,MATCH($C148,'Undirviðmiðalisti (Lýsigögn)'!$C$42:$C$58,0))="","",INDEX('Undirviðmiðalisti (Lýsigögn)'!J$42:J$58,MATCH($C148,'Undirviðmiðalisti (Lýsigögn)'!$C$42:$C$58,0))),""),IFERROR(IF(INDEX('Undirviðmiðalisti (Lýsigögn)'!J$6:J$41,MATCH($C148,'Undirviðmiðalisti (Lýsigögn)'!$C$6:$C$41,0))="","",INDEX('Undirviðmiðalisti (Lýsigögn)'!J$6:J$41,MATCH($C148,'Undirviðmiðalisti (Lýsigögn)'!$C$6:$C$41,0))),IFERROR(IF(INDEX('Undirviðmiðalisti (Lýsigögn)'!J$42:J$58,MATCH($C148,'Undirviðmiðalisti (Lýsigögn)'!$C$42:$C$58,0))="","",INDEX('Undirviðmiðalisti (Lýsigögn)'!J$42:J$58,MATCH($C148,'Undirviðmiðalisti (Lýsigögn)'!$C$42:$C$58,0))),""))))</f>
        <v/>
      </c>
      <c r="O148" s="16" t="str">
        <f aca="false">IF($C148="","",IF($G148="Einstaklingsbundið",IFERROR(IF(INDEX('Undirviðmiðalisti (Lýsigögn)'!K$42:K$58,MATCH($C148,'Undirviðmiðalisti (Lýsigögn)'!$C$42:$C$58,0))="","",INDEX('Undirviðmiðalisti (Lýsigögn)'!K$42:K$58,MATCH($C148,'Undirviðmiðalisti (Lýsigögn)'!$C$42:$C$58,0))),""),IFERROR(IF(INDEX('Undirviðmiðalisti (Lýsigögn)'!K$6:K$41,MATCH($C148,'Undirviðmiðalisti (Lýsigögn)'!$C$6:$C$41,0))="","",INDEX('Undirviðmiðalisti (Lýsigögn)'!K$6:K$41,MATCH($C148,'Undirviðmiðalisti (Lýsigögn)'!$C$6:$C$41,0))),IFERROR(IF(INDEX('Undirviðmiðalisti (Lýsigögn)'!K$42:K$58,MATCH($C148,'Undirviðmiðalisti (Lýsigögn)'!$C$42:$C$58,0))="","",INDEX('Undirviðmiðalisti (Lýsigögn)'!K$42:K$58,MATCH($C148,'Undirviðmiðalisti (Lýsigögn)'!$C$42:$C$58,0))),""))))</f>
        <v/>
      </c>
      <c r="P148" s="16" t="str">
        <f aca="false">IF($C148="","",IF($G148="Einstaklingsbundið",IFERROR(IF(INDEX('Undirviðmiðalisti (Lýsigögn)'!L$42:L$58,MATCH($C148,'Undirviðmiðalisti (Lýsigögn)'!$C$42:$C$58,0))="","",INDEX('Undirviðmiðalisti (Lýsigögn)'!L$42:L$58,MATCH($C148,'Undirviðmiðalisti (Lýsigögn)'!$C$42:$C$58,0))),""),IFERROR(IF(INDEX('Undirviðmiðalisti (Lýsigögn)'!L$6:L$41,MATCH($C148,'Undirviðmiðalisti (Lýsigögn)'!$C$6:$C$41,0))="","",INDEX('Undirviðmiðalisti (Lýsigögn)'!L$6:L$41,MATCH($C148,'Undirviðmiðalisti (Lýsigögn)'!$C$6:$C$41,0))),IFERROR(IF(INDEX('Undirviðmiðalisti (Lýsigögn)'!L$42:L$58,MATCH($C148,'Undirviðmiðalisti (Lýsigögn)'!$C$42:$C$58,0))="","",INDEX('Undirviðmiðalisti (Lýsigögn)'!L$42:L$58,MATCH($C148,'Undirviðmiðalisti (Lýsigögn)'!$C$42:$C$58,0))),""))))</f>
        <v/>
      </c>
      <c r="Q148" s="16" t="str">
        <f aca="false">IF($C148="","",IF($G148="Einstaklingsbundið",IFERROR(IF(INDEX('Undirviðmiðalisti (Lýsigögn)'!M$42:M$58,MATCH($C148,'Undirviðmiðalisti (Lýsigögn)'!$C$42:$C$58,0))="","",INDEX('Undirviðmiðalisti (Lýsigögn)'!M$42:M$58,MATCH($C148,'Undirviðmiðalisti (Lýsigögn)'!$C$42:$C$58,0))),""),IFERROR(IF(INDEX('Undirviðmiðalisti (Lýsigögn)'!M$6:M$41,MATCH($C148,'Undirviðmiðalisti (Lýsigögn)'!$C$6:$C$41,0))="","",INDEX('Undirviðmiðalisti (Lýsigögn)'!M$6:M$41,MATCH($C148,'Undirviðmiðalisti (Lýsigögn)'!$C$6:$C$41,0))),IFERROR(IF(INDEX('Undirviðmiðalisti (Lýsigögn)'!M$42:M$58,MATCH($C148,'Undirviðmiðalisti (Lýsigögn)'!$C$42:$C$58,0))="","",INDEX('Undirviðmiðalisti (Lýsigögn)'!M$42:M$58,MATCH($C148,'Undirviðmiðalisti (Lýsigögn)'!$C$42:$C$58,0))),""))))</f>
        <v/>
      </c>
    </row>
    <row r="149" customFormat="false" ht="15" hidden="false" customHeight="true" outlineLevel="0" collapsed="false">
      <c r="A149" s="22" t="str">
        <f aca="false">IF($B149="","",ROW()-5)</f>
        <v/>
      </c>
      <c r="B149" s="15"/>
      <c r="C149" s="15"/>
      <c r="D149" s="16" t="str">
        <f aca="false">IF($C149="","",IF($G149="Einstaklingsbundið",IFERROR(IF(INDEX('Undirviðmiðalisti (Lýsigögn)'!$D$42:$D$58,MATCH($C149,'Undirviðmiðalisti (Lýsigögn)'!$C$42:$C$58,0))="","",INDEX('Undirviðmiðalisti (Lýsigögn)'!$D$42:$D$58,MATCH($C149,'Undirviðmiðalisti (Lýsigögn)'!$C$42:$C$58,0))),""),IFERROR(IF(INDEX('Undirviðmiðalisti (Lýsigögn)'!$D$6:$D$41,MATCH($C149,'Undirviðmiðalisti (Lýsigögn)'!$C$6:$C$41,0))="","",INDEX('Undirviðmiðalisti (Lýsigögn)'!$D$6:$D$41,MATCH($C149,'Undirviðmiðalisti (Lýsigögn)'!$C$6:$C$41,0))),IFERROR(IF(INDEX('Undirviðmiðalisti (Lýsigögn)'!$D$42:$D$58,MATCH($C149,'Undirviðmiðalisti (Lýsigögn)'!$C$42:$C$58,0))="","",INDEX('Undirviðmiðalisti (Lýsigögn)'!$D$42:$D$58,MATCH($C149,'Undirviðmiðalisti (Lýsigögn)'!$C$42:$C$58,0))),""))))</f>
        <v/>
      </c>
      <c r="E149" s="14"/>
      <c r="F149" s="23" t="str">
        <f aca="false">IF($C149="","",IF($G149="Einstaklingsbundið",IFERROR(IF(INDEX('Undirviðmiðalisti (Lýsigögn)'!$E$42:$E$58,MATCH($C149,'Undirviðmiðalisti (Lýsigögn)'!$C$42:$C$58,0))="","",INDEX('Undirviðmiðalisti (Lýsigögn)'!$E$42:$E$58,MATCH($C149,'Undirviðmiðalisti (Lýsigögn)'!$C$42:$C$58,0))),""),IFERROR(IF(INDEX('Undirviðmiðalisti (Lýsigögn)'!$E$6:$E$41,MATCH($C149,'Undirviðmiðalisti (Lýsigögn)'!$C$6:$C$41,0))="","",INDEX('Undirviðmiðalisti (Lýsigögn)'!$E$6:$E$41,MATCH($C149,'Undirviðmiðalisti (Lýsigögn)'!$C$6:$C$41,0))),IFERROR(IF(INDEX('Undirviðmiðalisti (Lýsigögn)'!$E$42:$E$58,MATCH($C149,'Undirviðmiðalisti (Lýsigögn)'!$C$42:$C$58,0))="","",INDEX('Undirviðmiðalisti (Lýsigögn)'!$E$42:$E$58,MATCH($C149,'Undirviðmiðalisti (Lýsigögn)'!$C$42:$C$58,0))),""))))</f>
        <v/>
      </c>
      <c r="G149" s="24" t="str">
        <f aca="false">IFERROR(IF(B149="","",INDEX(Viðmið!$B$6:$B$10,MATCH(B149,Viðmið!$C$6:$C$10,0))),"")</f>
        <v/>
      </c>
      <c r="H149" s="25" t="str">
        <f aca="false">IF(OR(E149="",F149=""),"",E149*KVARDI)</f>
        <v/>
      </c>
      <c r="I149" s="26" t="str">
        <f aca="false">IF(B149="","",IF(ROUND(SUMIF($B$6:$B$205,B149,$E$6:$E$205),4)=ROUND(IFERROR(INDEX(Viðmið!$E$6:$E$10,MATCH(B149,Viðmið!$C$6:$C$10,0)),-1),4),"✓","✗"))</f>
        <v/>
      </c>
      <c r="J149" s="16" t="str">
        <f aca="false">IF($C149="","",IF($G149="Einstaklingsbundið",IFERROR(IF(INDEX('Undirviðmiðalisti (Lýsigögn)'!F$42:F$58,MATCH($C149,'Undirviðmiðalisti (Lýsigögn)'!$C$42:$C$58,0))="","",INDEX('Undirviðmiðalisti (Lýsigögn)'!F$42:F$58,MATCH($C149,'Undirviðmiðalisti (Lýsigögn)'!$C$42:$C$58,0))),""),IFERROR(IF(INDEX('Undirviðmiðalisti (Lýsigögn)'!F$6:F$41,MATCH($C149,'Undirviðmiðalisti (Lýsigögn)'!$C$6:$C$41,0))="","",INDEX('Undirviðmiðalisti (Lýsigögn)'!F$6:F$41,MATCH($C149,'Undirviðmiðalisti (Lýsigögn)'!$C$6:$C$41,0))),IFERROR(IF(INDEX('Undirviðmiðalisti (Lýsigögn)'!F$42:F$58,MATCH($C149,'Undirviðmiðalisti (Lýsigögn)'!$C$42:$C$58,0))="","",INDEX('Undirviðmiðalisti (Lýsigögn)'!F$42:F$58,MATCH($C149,'Undirviðmiðalisti (Lýsigögn)'!$C$42:$C$58,0))),""))))</f>
        <v/>
      </c>
      <c r="K149" s="16" t="str">
        <f aca="false">IF($C149="","",IF($G149="Einstaklingsbundið",IFERROR(IF(INDEX('Undirviðmiðalisti (Lýsigögn)'!G$42:G$58,MATCH($C149,'Undirviðmiðalisti (Lýsigögn)'!$C$42:$C$58,0))="","",INDEX('Undirviðmiðalisti (Lýsigögn)'!G$42:G$58,MATCH($C149,'Undirviðmiðalisti (Lýsigögn)'!$C$42:$C$58,0))),""),IFERROR(IF(INDEX('Undirviðmiðalisti (Lýsigögn)'!G$6:G$41,MATCH($C149,'Undirviðmiðalisti (Lýsigögn)'!$C$6:$C$41,0))="","",INDEX('Undirviðmiðalisti (Lýsigögn)'!G$6:G$41,MATCH($C149,'Undirviðmiðalisti (Lýsigögn)'!$C$6:$C$41,0))),IFERROR(IF(INDEX('Undirviðmiðalisti (Lýsigögn)'!G$42:G$58,MATCH($C149,'Undirviðmiðalisti (Lýsigögn)'!$C$42:$C$58,0))="","",INDEX('Undirviðmiðalisti (Lýsigögn)'!G$42:G$58,MATCH($C149,'Undirviðmiðalisti (Lýsigögn)'!$C$42:$C$58,0))),""))))</f>
        <v/>
      </c>
      <c r="L149" s="16" t="str">
        <f aca="false">IF($C149="","",IF($G149="Einstaklingsbundið",IFERROR(IF(INDEX('Undirviðmiðalisti (Lýsigögn)'!H$42:H$58,MATCH($C149,'Undirviðmiðalisti (Lýsigögn)'!$C$42:$C$58,0))="","",INDEX('Undirviðmiðalisti (Lýsigögn)'!H$42:H$58,MATCH($C149,'Undirviðmiðalisti (Lýsigögn)'!$C$42:$C$58,0))),""),IFERROR(IF(INDEX('Undirviðmiðalisti (Lýsigögn)'!H$6:H$41,MATCH($C149,'Undirviðmiðalisti (Lýsigögn)'!$C$6:$C$41,0))="","",INDEX('Undirviðmiðalisti (Lýsigögn)'!H$6:H$41,MATCH($C149,'Undirviðmiðalisti (Lýsigögn)'!$C$6:$C$41,0))),IFERROR(IF(INDEX('Undirviðmiðalisti (Lýsigögn)'!H$42:H$58,MATCH($C149,'Undirviðmiðalisti (Lýsigögn)'!$C$42:$C$58,0))="","",INDEX('Undirviðmiðalisti (Lýsigögn)'!H$42:H$58,MATCH($C149,'Undirviðmiðalisti (Lýsigögn)'!$C$42:$C$58,0))),""))))</f>
        <v/>
      </c>
      <c r="M149" s="16" t="str">
        <f aca="false">IF($C149="","",IF($G149="Einstaklingsbundið",IFERROR(IF(INDEX('Undirviðmiðalisti (Lýsigögn)'!I$42:I$58,MATCH($C149,'Undirviðmiðalisti (Lýsigögn)'!$C$42:$C$58,0))="","",INDEX('Undirviðmiðalisti (Lýsigögn)'!I$42:I$58,MATCH($C149,'Undirviðmiðalisti (Lýsigögn)'!$C$42:$C$58,0))),""),IFERROR(IF(INDEX('Undirviðmiðalisti (Lýsigögn)'!I$6:I$41,MATCH($C149,'Undirviðmiðalisti (Lýsigögn)'!$C$6:$C$41,0))="","",INDEX('Undirviðmiðalisti (Lýsigögn)'!I$6:I$41,MATCH($C149,'Undirviðmiðalisti (Lýsigögn)'!$C$6:$C$41,0))),IFERROR(IF(INDEX('Undirviðmiðalisti (Lýsigögn)'!I$42:I$58,MATCH($C149,'Undirviðmiðalisti (Lýsigögn)'!$C$42:$C$58,0))="","",INDEX('Undirviðmiðalisti (Lýsigögn)'!I$42:I$58,MATCH($C149,'Undirviðmiðalisti (Lýsigögn)'!$C$42:$C$58,0))),""))))</f>
        <v/>
      </c>
      <c r="N149" s="16" t="str">
        <f aca="false">IF($C149="","",IF($G149="Einstaklingsbundið",IFERROR(IF(INDEX('Undirviðmiðalisti (Lýsigögn)'!J$42:J$58,MATCH($C149,'Undirviðmiðalisti (Lýsigögn)'!$C$42:$C$58,0))="","",INDEX('Undirviðmiðalisti (Lýsigögn)'!J$42:J$58,MATCH($C149,'Undirviðmiðalisti (Lýsigögn)'!$C$42:$C$58,0))),""),IFERROR(IF(INDEX('Undirviðmiðalisti (Lýsigögn)'!J$6:J$41,MATCH($C149,'Undirviðmiðalisti (Lýsigögn)'!$C$6:$C$41,0))="","",INDEX('Undirviðmiðalisti (Lýsigögn)'!J$6:J$41,MATCH($C149,'Undirviðmiðalisti (Lýsigögn)'!$C$6:$C$41,0))),IFERROR(IF(INDEX('Undirviðmiðalisti (Lýsigögn)'!J$42:J$58,MATCH($C149,'Undirviðmiðalisti (Lýsigögn)'!$C$42:$C$58,0))="","",INDEX('Undirviðmiðalisti (Lýsigögn)'!J$42:J$58,MATCH($C149,'Undirviðmiðalisti (Lýsigögn)'!$C$42:$C$58,0))),""))))</f>
        <v/>
      </c>
      <c r="O149" s="16" t="str">
        <f aca="false">IF($C149="","",IF($G149="Einstaklingsbundið",IFERROR(IF(INDEX('Undirviðmiðalisti (Lýsigögn)'!K$42:K$58,MATCH($C149,'Undirviðmiðalisti (Lýsigögn)'!$C$42:$C$58,0))="","",INDEX('Undirviðmiðalisti (Lýsigögn)'!K$42:K$58,MATCH($C149,'Undirviðmiðalisti (Lýsigögn)'!$C$42:$C$58,0))),""),IFERROR(IF(INDEX('Undirviðmiðalisti (Lýsigögn)'!K$6:K$41,MATCH($C149,'Undirviðmiðalisti (Lýsigögn)'!$C$6:$C$41,0))="","",INDEX('Undirviðmiðalisti (Lýsigögn)'!K$6:K$41,MATCH($C149,'Undirviðmiðalisti (Lýsigögn)'!$C$6:$C$41,0))),IFERROR(IF(INDEX('Undirviðmiðalisti (Lýsigögn)'!K$42:K$58,MATCH($C149,'Undirviðmiðalisti (Lýsigögn)'!$C$42:$C$58,0))="","",INDEX('Undirviðmiðalisti (Lýsigögn)'!K$42:K$58,MATCH($C149,'Undirviðmiðalisti (Lýsigögn)'!$C$42:$C$58,0))),""))))</f>
        <v/>
      </c>
      <c r="P149" s="16" t="str">
        <f aca="false">IF($C149="","",IF($G149="Einstaklingsbundið",IFERROR(IF(INDEX('Undirviðmiðalisti (Lýsigögn)'!L$42:L$58,MATCH($C149,'Undirviðmiðalisti (Lýsigögn)'!$C$42:$C$58,0))="","",INDEX('Undirviðmiðalisti (Lýsigögn)'!L$42:L$58,MATCH($C149,'Undirviðmiðalisti (Lýsigögn)'!$C$42:$C$58,0))),""),IFERROR(IF(INDEX('Undirviðmiðalisti (Lýsigögn)'!L$6:L$41,MATCH($C149,'Undirviðmiðalisti (Lýsigögn)'!$C$6:$C$41,0))="","",INDEX('Undirviðmiðalisti (Lýsigögn)'!L$6:L$41,MATCH($C149,'Undirviðmiðalisti (Lýsigögn)'!$C$6:$C$41,0))),IFERROR(IF(INDEX('Undirviðmiðalisti (Lýsigögn)'!L$42:L$58,MATCH($C149,'Undirviðmiðalisti (Lýsigögn)'!$C$42:$C$58,0))="","",INDEX('Undirviðmiðalisti (Lýsigögn)'!L$42:L$58,MATCH($C149,'Undirviðmiðalisti (Lýsigögn)'!$C$42:$C$58,0))),""))))</f>
        <v/>
      </c>
      <c r="Q149" s="16" t="str">
        <f aca="false">IF($C149="","",IF($G149="Einstaklingsbundið",IFERROR(IF(INDEX('Undirviðmiðalisti (Lýsigögn)'!M$42:M$58,MATCH($C149,'Undirviðmiðalisti (Lýsigögn)'!$C$42:$C$58,0))="","",INDEX('Undirviðmiðalisti (Lýsigögn)'!M$42:M$58,MATCH($C149,'Undirviðmiðalisti (Lýsigögn)'!$C$42:$C$58,0))),""),IFERROR(IF(INDEX('Undirviðmiðalisti (Lýsigögn)'!M$6:M$41,MATCH($C149,'Undirviðmiðalisti (Lýsigögn)'!$C$6:$C$41,0))="","",INDEX('Undirviðmiðalisti (Lýsigögn)'!M$6:M$41,MATCH($C149,'Undirviðmiðalisti (Lýsigögn)'!$C$6:$C$41,0))),IFERROR(IF(INDEX('Undirviðmiðalisti (Lýsigögn)'!M$42:M$58,MATCH($C149,'Undirviðmiðalisti (Lýsigögn)'!$C$42:$C$58,0))="","",INDEX('Undirviðmiðalisti (Lýsigögn)'!M$42:M$58,MATCH($C149,'Undirviðmiðalisti (Lýsigögn)'!$C$42:$C$58,0))),""))))</f>
        <v/>
      </c>
    </row>
    <row r="150" customFormat="false" ht="15" hidden="false" customHeight="true" outlineLevel="0" collapsed="false">
      <c r="A150" s="22" t="str">
        <f aca="false">IF($B150="","",ROW()-5)</f>
        <v/>
      </c>
      <c r="B150" s="15"/>
      <c r="C150" s="15"/>
      <c r="D150" s="16" t="str">
        <f aca="false">IF($C150="","",IF($G150="Einstaklingsbundið",IFERROR(IF(INDEX('Undirviðmiðalisti (Lýsigögn)'!$D$42:$D$58,MATCH($C150,'Undirviðmiðalisti (Lýsigögn)'!$C$42:$C$58,0))="","",INDEX('Undirviðmiðalisti (Lýsigögn)'!$D$42:$D$58,MATCH($C150,'Undirviðmiðalisti (Lýsigögn)'!$C$42:$C$58,0))),""),IFERROR(IF(INDEX('Undirviðmiðalisti (Lýsigögn)'!$D$6:$D$41,MATCH($C150,'Undirviðmiðalisti (Lýsigögn)'!$C$6:$C$41,0))="","",INDEX('Undirviðmiðalisti (Lýsigögn)'!$D$6:$D$41,MATCH($C150,'Undirviðmiðalisti (Lýsigögn)'!$C$6:$C$41,0))),IFERROR(IF(INDEX('Undirviðmiðalisti (Lýsigögn)'!$D$42:$D$58,MATCH($C150,'Undirviðmiðalisti (Lýsigögn)'!$C$42:$C$58,0))="","",INDEX('Undirviðmiðalisti (Lýsigögn)'!$D$42:$D$58,MATCH($C150,'Undirviðmiðalisti (Lýsigögn)'!$C$42:$C$58,0))),""))))</f>
        <v/>
      </c>
      <c r="E150" s="14"/>
      <c r="F150" s="23" t="str">
        <f aca="false">IF($C150="","",IF($G150="Einstaklingsbundið",IFERROR(IF(INDEX('Undirviðmiðalisti (Lýsigögn)'!$E$42:$E$58,MATCH($C150,'Undirviðmiðalisti (Lýsigögn)'!$C$42:$C$58,0))="","",INDEX('Undirviðmiðalisti (Lýsigögn)'!$E$42:$E$58,MATCH($C150,'Undirviðmiðalisti (Lýsigögn)'!$C$42:$C$58,0))),""),IFERROR(IF(INDEX('Undirviðmiðalisti (Lýsigögn)'!$E$6:$E$41,MATCH($C150,'Undirviðmiðalisti (Lýsigögn)'!$C$6:$C$41,0))="","",INDEX('Undirviðmiðalisti (Lýsigögn)'!$E$6:$E$41,MATCH($C150,'Undirviðmiðalisti (Lýsigögn)'!$C$6:$C$41,0))),IFERROR(IF(INDEX('Undirviðmiðalisti (Lýsigögn)'!$E$42:$E$58,MATCH($C150,'Undirviðmiðalisti (Lýsigögn)'!$C$42:$C$58,0))="","",INDEX('Undirviðmiðalisti (Lýsigögn)'!$E$42:$E$58,MATCH($C150,'Undirviðmiðalisti (Lýsigögn)'!$C$42:$C$58,0))),""))))</f>
        <v/>
      </c>
      <c r="G150" s="24" t="str">
        <f aca="false">IFERROR(IF(B150="","",INDEX(Viðmið!$B$6:$B$10,MATCH(B150,Viðmið!$C$6:$C$10,0))),"")</f>
        <v/>
      </c>
      <c r="H150" s="25" t="str">
        <f aca="false">IF(OR(E150="",F150=""),"",E150*KVARDI)</f>
        <v/>
      </c>
      <c r="I150" s="26" t="str">
        <f aca="false">IF(B150="","",IF(ROUND(SUMIF($B$6:$B$205,B150,$E$6:$E$205),4)=ROUND(IFERROR(INDEX(Viðmið!$E$6:$E$10,MATCH(B150,Viðmið!$C$6:$C$10,0)),-1),4),"✓","✗"))</f>
        <v/>
      </c>
      <c r="J150" s="16" t="str">
        <f aca="false">IF($C150="","",IF($G150="Einstaklingsbundið",IFERROR(IF(INDEX('Undirviðmiðalisti (Lýsigögn)'!F$42:F$58,MATCH($C150,'Undirviðmiðalisti (Lýsigögn)'!$C$42:$C$58,0))="","",INDEX('Undirviðmiðalisti (Lýsigögn)'!F$42:F$58,MATCH($C150,'Undirviðmiðalisti (Lýsigögn)'!$C$42:$C$58,0))),""),IFERROR(IF(INDEX('Undirviðmiðalisti (Lýsigögn)'!F$6:F$41,MATCH($C150,'Undirviðmiðalisti (Lýsigögn)'!$C$6:$C$41,0))="","",INDEX('Undirviðmiðalisti (Lýsigögn)'!F$6:F$41,MATCH($C150,'Undirviðmiðalisti (Lýsigögn)'!$C$6:$C$41,0))),IFERROR(IF(INDEX('Undirviðmiðalisti (Lýsigögn)'!F$42:F$58,MATCH($C150,'Undirviðmiðalisti (Lýsigögn)'!$C$42:$C$58,0))="","",INDEX('Undirviðmiðalisti (Lýsigögn)'!F$42:F$58,MATCH($C150,'Undirviðmiðalisti (Lýsigögn)'!$C$42:$C$58,0))),""))))</f>
        <v/>
      </c>
      <c r="K150" s="16" t="str">
        <f aca="false">IF($C150="","",IF($G150="Einstaklingsbundið",IFERROR(IF(INDEX('Undirviðmiðalisti (Lýsigögn)'!G$42:G$58,MATCH($C150,'Undirviðmiðalisti (Lýsigögn)'!$C$42:$C$58,0))="","",INDEX('Undirviðmiðalisti (Lýsigögn)'!G$42:G$58,MATCH($C150,'Undirviðmiðalisti (Lýsigögn)'!$C$42:$C$58,0))),""),IFERROR(IF(INDEX('Undirviðmiðalisti (Lýsigögn)'!G$6:G$41,MATCH($C150,'Undirviðmiðalisti (Lýsigögn)'!$C$6:$C$41,0))="","",INDEX('Undirviðmiðalisti (Lýsigögn)'!G$6:G$41,MATCH($C150,'Undirviðmiðalisti (Lýsigögn)'!$C$6:$C$41,0))),IFERROR(IF(INDEX('Undirviðmiðalisti (Lýsigögn)'!G$42:G$58,MATCH($C150,'Undirviðmiðalisti (Lýsigögn)'!$C$42:$C$58,0))="","",INDEX('Undirviðmiðalisti (Lýsigögn)'!G$42:G$58,MATCH($C150,'Undirviðmiðalisti (Lýsigögn)'!$C$42:$C$58,0))),""))))</f>
        <v/>
      </c>
      <c r="L150" s="16" t="str">
        <f aca="false">IF($C150="","",IF($G150="Einstaklingsbundið",IFERROR(IF(INDEX('Undirviðmiðalisti (Lýsigögn)'!H$42:H$58,MATCH($C150,'Undirviðmiðalisti (Lýsigögn)'!$C$42:$C$58,0))="","",INDEX('Undirviðmiðalisti (Lýsigögn)'!H$42:H$58,MATCH($C150,'Undirviðmiðalisti (Lýsigögn)'!$C$42:$C$58,0))),""),IFERROR(IF(INDEX('Undirviðmiðalisti (Lýsigögn)'!H$6:H$41,MATCH($C150,'Undirviðmiðalisti (Lýsigögn)'!$C$6:$C$41,0))="","",INDEX('Undirviðmiðalisti (Lýsigögn)'!H$6:H$41,MATCH($C150,'Undirviðmiðalisti (Lýsigögn)'!$C$6:$C$41,0))),IFERROR(IF(INDEX('Undirviðmiðalisti (Lýsigögn)'!H$42:H$58,MATCH($C150,'Undirviðmiðalisti (Lýsigögn)'!$C$42:$C$58,0))="","",INDEX('Undirviðmiðalisti (Lýsigögn)'!H$42:H$58,MATCH($C150,'Undirviðmiðalisti (Lýsigögn)'!$C$42:$C$58,0))),""))))</f>
        <v/>
      </c>
      <c r="M150" s="16" t="str">
        <f aca="false">IF($C150="","",IF($G150="Einstaklingsbundið",IFERROR(IF(INDEX('Undirviðmiðalisti (Lýsigögn)'!I$42:I$58,MATCH($C150,'Undirviðmiðalisti (Lýsigögn)'!$C$42:$C$58,0))="","",INDEX('Undirviðmiðalisti (Lýsigögn)'!I$42:I$58,MATCH($C150,'Undirviðmiðalisti (Lýsigögn)'!$C$42:$C$58,0))),""),IFERROR(IF(INDEX('Undirviðmiðalisti (Lýsigögn)'!I$6:I$41,MATCH($C150,'Undirviðmiðalisti (Lýsigögn)'!$C$6:$C$41,0))="","",INDEX('Undirviðmiðalisti (Lýsigögn)'!I$6:I$41,MATCH($C150,'Undirviðmiðalisti (Lýsigögn)'!$C$6:$C$41,0))),IFERROR(IF(INDEX('Undirviðmiðalisti (Lýsigögn)'!I$42:I$58,MATCH($C150,'Undirviðmiðalisti (Lýsigögn)'!$C$42:$C$58,0))="","",INDEX('Undirviðmiðalisti (Lýsigögn)'!I$42:I$58,MATCH($C150,'Undirviðmiðalisti (Lýsigögn)'!$C$42:$C$58,0))),""))))</f>
        <v/>
      </c>
      <c r="N150" s="16" t="str">
        <f aca="false">IF($C150="","",IF($G150="Einstaklingsbundið",IFERROR(IF(INDEX('Undirviðmiðalisti (Lýsigögn)'!J$42:J$58,MATCH($C150,'Undirviðmiðalisti (Lýsigögn)'!$C$42:$C$58,0))="","",INDEX('Undirviðmiðalisti (Lýsigögn)'!J$42:J$58,MATCH($C150,'Undirviðmiðalisti (Lýsigögn)'!$C$42:$C$58,0))),""),IFERROR(IF(INDEX('Undirviðmiðalisti (Lýsigögn)'!J$6:J$41,MATCH($C150,'Undirviðmiðalisti (Lýsigögn)'!$C$6:$C$41,0))="","",INDEX('Undirviðmiðalisti (Lýsigögn)'!J$6:J$41,MATCH($C150,'Undirviðmiðalisti (Lýsigögn)'!$C$6:$C$41,0))),IFERROR(IF(INDEX('Undirviðmiðalisti (Lýsigögn)'!J$42:J$58,MATCH($C150,'Undirviðmiðalisti (Lýsigögn)'!$C$42:$C$58,0))="","",INDEX('Undirviðmiðalisti (Lýsigögn)'!J$42:J$58,MATCH($C150,'Undirviðmiðalisti (Lýsigögn)'!$C$42:$C$58,0))),""))))</f>
        <v/>
      </c>
      <c r="O150" s="16" t="str">
        <f aca="false">IF($C150="","",IF($G150="Einstaklingsbundið",IFERROR(IF(INDEX('Undirviðmiðalisti (Lýsigögn)'!K$42:K$58,MATCH($C150,'Undirviðmiðalisti (Lýsigögn)'!$C$42:$C$58,0))="","",INDEX('Undirviðmiðalisti (Lýsigögn)'!K$42:K$58,MATCH($C150,'Undirviðmiðalisti (Lýsigögn)'!$C$42:$C$58,0))),""),IFERROR(IF(INDEX('Undirviðmiðalisti (Lýsigögn)'!K$6:K$41,MATCH($C150,'Undirviðmiðalisti (Lýsigögn)'!$C$6:$C$41,0))="","",INDEX('Undirviðmiðalisti (Lýsigögn)'!K$6:K$41,MATCH($C150,'Undirviðmiðalisti (Lýsigögn)'!$C$6:$C$41,0))),IFERROR(IF(INDEX('Undirviðmiðalisti (Lýsigögn)'!K$42:K$58,MATCH($C150,'Undirviðmiðalisti (Lýsigögn)'!$C$42:$C$58,0))="","",INDEX('Undirviðmiðalisti (Lýsigögn)'!K$42:K$58,MATCH($C150,'Undirviðmiðalisti (Lýsigögn)'!$C$42:$C$58,0))),""))))</f>
        <v/>
      </c>
      <c r="P150" s="16" t="str">
        <f aca="false">IF($C150="","",IF($G150="Einstaklingsbundið",IFERROR(IF(INDEX('Undirviðmiðalisti (Lýsigögn)'!L$42:L$58,MATCH($C150,'Undirviðmiðalisti (Lýsigögn)'!$C$42:$C$58,0))="","",INDEX('Undirviðmiðalisti (Lýsigögn)'!L$42:L$58,MATCH($C150,'Undirviðmiðalisti (Lýsigögn)'!$C$42:$C$58,0))),""),IFERROR(IF(INDEX('Undirviðmiðalisti (Lýsigögn)'!L$6:L$41,MATCH($C150,'Undirviðmiðalisti (Lýsigögn)'!$C$6:$C$41,0))="","",INDEX('Undirviðmiðalisti (Lýsigögn)'!L$6:L$41,MATCH($C150,'Undirviðmiðalisti (Lýsigögn)'!$C$6:$C$41,0))),IFERROR(IF(INDEX('Undirviðmiðalisti (Lýsigögn)'!L$42:L$58,MATCH($C150,'Undirviðmiðalisti (Lýsigögn)'!$C$42:$C$58,0))="","",INDEX('Undirviðmiðalisti (Lýsigögn)'!L$42:L$58,MATCH($C150,'Undirviðmiðalisti (Lýsigögn)'!$C$42:$C$58,0))),""))))</f>
        <v/>
      </c>
      <c r="Q150" s="16" t="str">
        <f aca="false">IF($C150="","",IF($G150="Einstaklingsbundið",IFERROR(IF(INDEX('Undirviðmiðalisti (Lýsigögn)'!M$42:M$58,MATCH($C150,'Undirviðmiðalisti (Lýsigögn)'!$C$42:$C$58,0))="","",INDEX('Undirviðmiðalisti (Lýsigögn)'!M$42:M$58,MATCH($C150,'Undirviðmiðalisti (Lýsigögn)'!$C$42:$C$58,0))),""),IFERROR(IF(INDEX('Undirviðmiðalisti (Lýsigögn)'!M$6:M$41,MATCH($C150,'Undirviðmiðalisti (Lýsigögn)'!$C$6:$C$41,0))="","",INDEX('Undirviðmiðalisti (Lýsigögn)'!M$6:M$41,MATCH($C150,'Undirviðmiðalisti (Lýsigögn)'!$C$6:$C$41,0))),IFERROR(IF(INDEX('Undirviðmiðalisti (Lýsigögn)'!M$42:M$58,MATCH($C150,'Undirviðmiðalisti (Lýsigögn)'!$C$42:$C$58,0))="","",INDEX('Undirviðmiðalisti (Lýsigögn)'!M$42:M$58,MATCH($C150,'Undirviðmiðalisti (Lýsigögn)'!$C$42:$C$58,0))),""))))</f>
        <v/>
      </c>
    </row>
    <row r="151" customFormat="false" ht="15" hidden="false" customHeight="true" outlineLevel="0" collapsed="false">
      <c r="A151" s="22" t="str">
        <f aca="false">IF($B151="","",ROW()-5)</f>
        <v/>
      </c>
      <c r="B151" s="15"/>
      <c r="C151" s="15"/>
      <c r="D151" s="16" t="str">
        <f aca="false">IF($C151="","",IF($G151="Einstaklingsbundið",IFERROR(IF(INDEX('Undirviðmiðalisti (Lýsigögn)'!$D$42:$D$58,MATCH($C151,'Undirviðmiðalisti (Lýsigögn)'!$C$42:$C$58,0))="","",INDEX('Undirviðmiðalisti (Lýsigögn)'!$D$42:$D$58,MATCH($C151,'Undirviðmiðalisti (Lýsigögn)'!$C$42:$C$58,0))),""),IFERROR(IF(INDEX('Undirviðmiðalisti (Lýsigögn)'!$D$6:$D$41,MATCH($C151,'Undirviðmiðalisti (Lýsigögn)'!$C$6:$C$41,0))="","",INDEX('Undirviðmiðalisti (Lýsigögn)'!$D$6:$D$41,MATCH($C151,'Undirviðmiðalisti (Lýsigögn)'!$C$6:$C$41,0))),IFERROR(IF(INDEX('Undirviðmiðalisti (Lýsigögn)'!$D$42:$D$58,MATCH($C151,'Undirviðmiðalisti (Lýsigögn)'!$C$42:$C$58,0))="","",INDEX('Undirviðmiðalisti (Lýsigögn)'!$D$42:$D$58,MATCH($C151,'Undirviðmiðalisti (Lýsigögn)'!$C$42:$C$58,0))),""))))</f>
        <v/>
      </c>
      <c r="E151" s="14"/>
      <c r="F151" s="23" t="str">
        <f aca="false">IF($C151="","",IF($G151="Einstaklingsbundið",IFERROR(IF(INDEX('Undirviðmiðalisti (Lýsigögn)'!$E$42:$E$58,MATCH($C151,'Undirviðmiðalisti (Lýsigögn)'!$C$42:$C$58,0))="","",INDEX('Undirviðmiðalisti (Lýsigögn)'!$E$42:$E$58,MATCH($C151,'Undirviðmiðalisti (Lýsigögn)'!$C$42:$C$58,0))),""),IFERROR(IF(INDEX('Undirviðmiðalisti (Lýsigögn)'!$E$6:$E$41,MATCH($C151,'Undirviðmiðalisti (Lýsigögn)'!$C$6:$C$41,0))="","",INDEX('Undirviðmiðalisti (Lýsigögn)'!$E$6:$E$41,MATCH($C151,'Undirviðmiðalisti (Lýsigögn)'!$C$6:$C$41,0))),IFERROR(IF(INDEX('Undirviðmiðalisti (Lýsigögn)'!$E$42:$E$58,MATCH($C151,'Undirviðmiðalisti (Lýsigögn)'!$C$42:$C$58,0))="","",INDEX('Undirviðmiðalisti (Lýsigögn)'!$E$42:$E$58,MATCH($C151,'Undirviðmiðalisti (Lýsigögn)'!$C$42:$C$58,0))),""))))</f>
        <v/>
      </c>
      <c r="G151" s="24" t="str">
        <f aca="false">IFERROR(IF(B151="","",INDEX(Viðmið!$B$6:$B$10,MATCH(B151,Viðmið!$C$6:$C$10,0))),"")</f>
        <v/>
      </c>
      <c r="H151" s="25" t="str">
        <f aca="false">IF(OR(E151="",F151=""),"",E151*KVARDI)</f>
        <v/>
      </c>
      <c r="I151" s="26" t="str">
        <f aca="false">IF(B151="","",IF(ROUND(SUMIF($B$6:$B$205,B151,$E$6:$E$205),4)=ROUND(IFERROR(INDEX(Viðmið!$E$6:$E$10,MATCH(B151,Viðmið!$C$6:$C$10,0)),-1),4),"✓","✗"))</f>
        <v/>
      </c>
      <c r="J151" s="16" t="str">
        <f aca="false">IF($C151="","",IF($G151="Einstaklingsbundið",IFERROR(IF(INDEX('Undirviðmiðalisti (Lýsigögn)'!F$42:F$58,MATCH($C151,'Undirviðmiðalisti (Lýsigögn)'!$C$42:$C$58,0))="","",INDEX('Undirviðmiðalisti (Lýsigögn)'!F$42:F$58,MATCH($C151,'Undirviðmiðalisti (Lýsigögn)'!$C$42:$C$58,0))),""),IFERROR(IF(INDEX('Undirviðmiðalisti (Lýsigögn)'!F$6:F$41,MATCH($C151,'Undirviðmiðalisti (Lýsigögn)'!$C$6:$C$41,0))="","",INDEX('Undirviðmiðalisti (Lýsigögn)'!F$6:F$41,MATCH($C151,'Undirviðmiðalisti (Lýsigögn)'!$C$6:$C$41,0))),IFERROR(IF(INDEX('Undirviðmiðalisti (Lýsigögn)'!F$42:F$58,MATCH($C151,'Undirviðmiðalisti (Lýsigögn)'!$C$42:$C$58,0))="","",INDEX('Undirviðmiðalisti (Lýsigögn)'!F$42:F$58,MATCH($C151,'Undirviðmiðalisti (Lýsigögn)'!$C$42:$C$58,0))),""))))</f>
        <v/>
      </c>
      <c r="K151" s="16" t="str">
        <f aca="false">IF($C151="","",IF($G151="Einstaklingsbundið",IFERROR(IF(INDEX('Undirviðmiðalisti (Lýsigögn)'!G$42:G$58,MATCH($C151,'Undirviðmiðalisti (Lýsigögn)'!$C$42:$C$58,0))="","",INDEX('Undirviðmiðalisti (Lýsigögn)'!G$42:G$58,MATCH($C151,'Undirviðmiðalisti (Lýsigögn)'!$C$42:$C$58,0))),""),IFERROR(IF(INDEX('Undirviðmiðalisti (Lýsigögn)'!G$6:G$41,MATCH($C151,'Undirviðmiðalisti (Lýsigögn)'!$C$6:$C$41,0))="","",INDEX('Undirviðmiðalisti (Lýsigögn)'!G$6:G$41,MATCH($C151,'Undirviðmiðalisti (Lýsigögn)'!$C$6:$C$41,0))),IFERROR(IF(INDEX('Undirviðmiðalisti (Lýsigögn)'!G$42:G$58,MATCH($C151,'Undirviðmiðalisti (Lýsigögn)'!$C$42:$C$58,0))="","",INDEX('Undirviðmiðalisti (Lýsigögn)'!G$42:G$58,MATCH($C151,'Undirviðmiðalisti (Lýsigögn)'!$C$42:$C$58,0))),""))))</f>
        <v/>
      </c>
      <c r="L151" s="16" t="str">
        <f aca="false">IF($C151="","",IF($G151="Einstaklingsbundið",IFERROR(IF(INDEX('Undirviðmiðalisti (Lýsigögn)'!H$42:H$58,MATCH($C151,'Undirviðmiðalisti (Lýsigögn)'!$C$42:$C$58,0))="","",INDEX('Undirviðmiðalisti (Lýsigögn)'!H$42:H$58,MATCH($C151,'Undirviðmiðalisti (Lýsigögn)'!$C$42:$C$58,0))),""),IFERROR(IF(INDEX('Undirviðmiðalisti (Lýsigögn)'!H$6:H$41,MATCH($C151,'Undirviðmiðalisti (Lýsigögn)'!$C$6:$C$41,0))="","",INDEX('Undirviðmiðalisti (Lýsigögn)'!H$6:H$41,MATCH($C151,'Undirviðmiðalisti (Lýsigögn)'!$C$6:$C$41,0))),IFERROR(IF(INDEX('Undirviðmiðalisti (Lýsigögn)'!H$42:H$58,MATCH($C151,'Undirviðmiðalisti (Lýsigögn)'!$C$42:$C$58,0))="","",INDEX('Undirviðmiðalisti (Lýsigögn)'!H$42:H$58,MATCH($C151,'Undirviðmiðalisti (Lýsigögn)'!$C$42:$C$58,0))),""))))</f>
        <v/>
      </c>
      <c r="M151" s="16" t="str">
        <f aca="false">IF($C151="","",IF($G151="Einstaklingsbundið",IFERROR(IF(INDEX('Undirviðmiðalisti (Lýsigögn)'!I$42:I$58,MATCH($C151,'Undirviðmiðalisti (Lýsigögn)'!$C$42:$C$58,0))="","",INDEX('Undirviðmiðalisti (Lýsigögn)'!I$42:I$58,MATCH($C151,'Undirviðmiðalisti (Lýsigögn)'!$C$42:$C$58,0))),""),IFERROR(IF(INDEX('Undirviðmiðalisti (Lýsigögn)'!I$6:I$41,MATCH($C151,'Undirviðmiðalisti (Lýsigögn)'!$C$6:$C$41,0))="","",INDEX('Undirviðmiðalisti (Lýsigögn)'!I$6:I$41,MATCH($C151,'Undirviðmiðalisti (Lýsigögn)'!$C$6:$C$41,0))),IFERROR(IF(INDEX('Undirviðmiðalisti (Lýsigögn)'!I$42:I$58,MATCH($C151,'Undirviðmiðalisti (Lýsigögn)'!$C$42:$C$58,0))="","",INDEX('Undirviðmiðalisti (Lýsigögn)'!I$42:I$58,MATCH($C151,'Undirviðmiðalisti (Lýsigögn)'!$C$42:$C$58,0))),""))))</f>
        <v/>
      </c>
      <c r="N151" s="16" t="str">
        <f aca="false">IF($C151="","",IF($G151="Einstaklingsbundið",IFERROR(IF(INDEX('Undirviðmiðalisti (Lýsigögn)'!J$42:J$58,MATCH($C151,'Undirviðmiðalisti (Lýsigögn)'!$C$42:$C$58,0))="","",INDEX('Undirviðmiðalisti (Lýsigögn)'!J$42:J$58,MATCH($C151,'Undirviðmiðalisti (Lýsigögn)'!$C$42:$C$58,0))),""),IFERROR(IF(INDEX('Undirviðmiðalisti (Lýsigögn)'!J$6:J$41,MATCH($C151,'Undirviðmiðalisti (Lýsigögn)'!$C$6:$C$41,0))="","",INDEX('Undirviðmiðalisti (Lýsigögn)'!J$6:J$41,MATCH($C151,'Undirviðmiðalisti (Lýsigögn)'!$C$6:$C$41,0))),IFERROR(IF(INDEX('Undirviðmiðalisti (Lýsigögn)'!J$42:J$58,MATCH($C151,'Undirviðmiðalisti (Lýsigögn)'!$C$42:$C$58,0))="","",INDEX('Undirviðmiðalisti (Lýsigögn)'!J$42:J$58,MATCH($C151,'Undirviðmiðalisti (Lýsigögn)'!$C$42:$C$58,0))),""))))</f>
        <v/>
      </c>
      <c r="O151" s="16" t="str">
        <f aca="false">IF($C151="","",IF($G151="Einstaklingsbundið",IFERROR(IF(INDEX('Undirviðmiðalisti (Lýsigögn)'!K$42:K$58,MATCH($C151,'Undirviðmiðalisti (Lýsigögn)'!$C$42:$C$58,0))="","",INDEX('Undirviðmiðalisti (Lýsigögn)'!K$42:K$58,MATCH($C151,'Undirviðmiðalisti (Lýsigögn)'!$C$42:$C$58,0))),""),IFERROR(IF(INDEX('Undirviðmiðalisti (Lýsigögn)'!K$6:K$41,MATCH($C151,'Undirviðmiðalisti (Lýsigögn)'!$C$6:$C$41,0))="","",INDEX('Undirviðmiðalisti (Lýsigögn)'!K$6:K$41,MATCH($C151,'Undirviðmiðalisti (Lýsigögn)'!$C$6:$C$41,0))),IFERROR(IF(INDEX('Undirviðmiðalisti (Lýsigögn)'!K$42:K$58,MATCH($C151,'Undirviðmiðalisti (Lýsigögn)'!$C$42:$C$58,0))="","",INDEX('Undirviðmiðalisti (Lýsigögn)'!K$42:K$58,MATCH($C151,'Undirviðmiðalisti (Lýsigögn)'!$C$42:$C$58,0))),""))))</f>
        <v/>
      </c>
      <c r="P151" s="16" t="str">
        <f aca="false">IF($C151="","",IF($G151="Einstaklingsbundið",IFERROR(IF(INDEX('Undirviðmiðalisti (Lýsigögn)'!L$42:L$58,MATCH($C151,'Undirviðmiðalisti (Lýsigögn)'!$C$42:$C$58,0))="","",INDEX('Undirviðmiðalisti (Lýsigögn)'!L$42:L$58,MATCH($C151,'Undirviðmiðalisti (Lýsigögn)'!$C$42:$C$58,0))),""),IFERROR(IF(INDEX('Undirviðmiðalisti (Lýsigögn)'!L$6:L$41,MATCH($C151,'Undirviðmiðalisti (Lýsigögn)'!$C$6:$C$41,0))="","",INDEX('Undirviðmiðalisti (Lýsigögn)'!L$6:L$41,MATCH($C151,'Undirviðmiðalisti (Lýsigögn)'!$C$6:$C$41,0))),IFERROR(IF(INDEX('Undirviðmiðalisti (Lýsigögn)'!L$42:L$58,MATCH($C151,'Undirviðmiðalisti (Lýsigögn)'!$C$42:$C$58,0))="","",INDEX('Undirviðmiðalisti (Lýsigögn)'!L$42:L$58,MATCH($C151,'Undirviðmiðalisti (Lýsigögn)'!$C$42:$C$58,0))),""))))</f>
        <v/>
      </c>
      <c r="Q151" s="16" t="str">
        <f aca="false">IF($C151="","",IF($G151="Einstaklingsbundið",IFERROR(IF(INDEX('Undirviðmiðalisti (Lýsigögn)'!M$42:M$58,MATCH($C151,'Undirviðmiðalisti (Lýsigögn)'!$C$42:$C$58,0))="","",INDEX('Undirviðmiðalisti (Lýsigögn)'!M$42:M$58,MATCH($C151,'Undirviðmiðalisti (Lýsigögn)'!$C$42:$C$58,0))),""),IFERROR(IF(INDEX('Undirviðmiðalisti (Lýsigögn)'!M$6:M$41,MATCH($C151,'Undirviðmiðalisti (Lýsigögn)'!$C$6:$C$41,0))="","",INDEX('Undirviðmiðalisti (Lýsigögn)'!M$6:M$41,MATCH($C151,'Undirviðmiðalisti (Lýsigögn)'!$C$6:$C$41,0))),IFERROR(IF(INDEX('Undirviðmiðalisti (Lýsigögn)'!M$42:M$58,MATCH($C151,'Undirviðmiðalisti (Lýsigögn)'!$C$42:$C$58,0))="","",INDEX('Undirviðmiðalisti (Lýsigögn)'!M$42:M$58,MATCH($C151,'Undirviðmiðalisti (Lýsigögn)'!$C$42:$C$58,0))),""))))</f>
        <v/>
      </c>
    </row>
    <row r="152" customFormat="false" ht="15" hidden="false" customHeight="true" outlineLevel="0" collapsed="false">
      <c r="A152" s="22" t="str">
        <f aca="false">IF($B152="","",ROW()-5)</f>
        <v/>
      </c>
      <c r="B152" s="15"/>
      <c r="C152" s="15"/>
      <c r="D152" s="16" t="str">
        <f aca="false">IF($C152="","",IF($G152="Einstaklingsbundið",IFERROR(IF(INDEX('Undirviðmiðalisti (Lýsigögn)'!$D$42:$D$58,MATCH($C152,'Undirviðmiðalisti (Lýsigögn)'!$C$42:$C$58,0))="","",INDEX('Undirviðmiðalisti (Lýsigögn)'!$D$42:$D$58,MATCH($C152,'Undirviðmiðalisti (Lýsigögn)'!$C$42:$C$58,0))),""),IFERROR(IF(INDEX('Undirviðmiðalisti (Lýsigögn)'!$D$6:$D$41,MATCH($C152,'Undirviðmiðalisti (Lýsigögn)'!$C$6:$C$41,0))="","",INDEX('Undirviðmiðalisti (Lýsigögn)'!$D$6:$D$41,MATCH($C152,'Undirviðmiðalisti (Lýsigögn)'!$C$6:$C$41,0))),IFERROR(IF(INDEX('Undirviðmiðalisti (Lýsigögn)'!$D$42:$D$58,MATCH($C152,'Undirviðmiðalisti (Lýsigögn)'!$C$42:$C$58,0))="","",INDEX('Undirviðmiðalisti (Lýsigögn)'!$D$42:$D$58,MATCH($C152,'Undirviðmiðalisti (Lýsigögn)'!$C$42:$C$58,0))),""))))</f>
        <v/>
      </c>
      <c r="E152" s="14"/>
      <c r="F152" s="23" t="str">
        <f aca="false">IF($C152="","",IF($G152="Einstaklingsbundið",IFERROR(IF(INDEX('Undirviðmiðalisti (Lýsigögn)'!$E$42:$E$58,MATCH($C152,'Undirviðmiðalisti (Lýsigögn)'!$C$42:$C$58,0))="","",INDEX('Undirviðmiðalisti (Lýsigögn)'!$E$42:$E$58,MATCH($C152,'Undirviðmiðalisti (Lýsigögn)'!$C$42:$C$58,0))),""),IFERROR(IF(INDEX('Undirviðmiðalisti (Lýsigögn)'!$E$6:$E$41,MATCH($C152,'Undirviðmiðalisti (Lýsigögn)'!$C$6:$C$41,0))="","",INDEX('Undirviðmiðalisti (Lýsigögn)'!$E$6:$E$41,MATCH($C152,'Undirviðmiðalisti (Lýsigögn)'!$C$6:$C$41,0))),IFERROR(IF(INDEX('Undirviðmiðalisti (Lýsigögn)'!$E$42:$E$58,MATCH($C152,'Undirviðmiðalisti (Lýsigögn)'!$C$42:$C$58,0))="","",INDEX('Undirviðmiðalisti (Lýsigögn)'!$E$42:$E$58,MATCH($C152,'Undirviðmiðalisti (Lýsigögn)'!$C$42:$C$58,0))),""))))</f>
        <v/>
      </c>
      <c r="G152" s="24" t="str">
        <f aca="false">IFERROR(IF(B152="","",INDEX(Viðmið!$B$6:$B$10,MATCH(B152,Viðmið!$C$6:$C$10,0))),"")</f>
        <v/>
      </c>
      <c r="H152" s="25" t="str">
        <f aca="false">IF(OR(E152="",F152=""),"",E152*KVARDI)</f>
        <v/>
      </c>
      <c r="I152" s="26" t="str">
        <f aca="false">IF(B152="","",IF(ROUND(SUMIF($B$6:$B$205,B152,$E$6:$E$205),4)=ROUND(IFERROR(INDEX(Viðmið!$E$6:$E$10,MATCH(B152,Viðmið!$C$6:$C$10,0)),-1),4),"✓","✗"))</f>
        <v/>
      </c>
      <c r="J152" s="16" t="str">
        <f aca="false">IF($C152="","",IF($G152="Einstaklingsbundið",IFERROR(IF(INDEX('Undirviðmiðalisti (Lýsigögn)'!F$42:F$58,MATCH($C152,'Undirviðmiðalisti (Lýsigögn)'!$C$42:$C$58,0))="","",INDEX('Undirviðmiðalisti (Lýsigögn)'!F$42:F$58,MATCH($C152,'Undirviðmiðalisti (Lýsigögn)'!$C$42:$C$58,0))),""),IFERROR(IF(INDEX('Undirviðmiðalisti (Lýsigögn)'!F$6:F$41,MATCH($C152,'Undirviðmiðalisti (Lýsigögn)'!$C$6:$C$41,0))="","",INDEX('Undirviðmiðalisti (Lýsigögn)'!F$6:F$41,MATCH($C152,'Undirviðmiðalisti (Lýsigögn)'!$C$6:$C$41,0))),IFERROR(IF(INDEX('Undirviðmiðalisti (Lýsigögn)'!F$42:F$58,MATCH($C152,'Undirviðmiðalisti (Lýsigögn)'!$C$42:$C$58,0))="","",INDEX('Undirviðmiðalisti (Lýsigögn)'!F$42:F$58,MATCH($C152,'Undirviðmiðalisti (Lýsigögn)'!$C$42:$C$58,0))),""))))</f>
        <v/>
      </c>
      <c r="K152" s="16" t="str">
        <f aca="false">IF($C152="","",IF($G152="Einstaklingsbundið",IFERROR(IF(INDEX('Undirviðmiðalisti (Lýsigögn)'!G$42:G$58,MATCH($C152,'Undirviðmiðalisti (Lýsigögn)'!$C$42:$C$58,0))="","",INDEX('Undirviðmiðalisti (Lýsigögn)'!G$42:G$58,MATCH($C152,'Undirviðmiðalisti (Lýsigögn)'!$C$42:$C$58,0))),""),IFERROR(IF(INDEX('Undirviðmiðalisti (Lýsigögn)'!G$6:G$41,MATCH($C152,'Undirviðmiðalisti (Lýsigögn)'!$C$6:$C$41,0))="","",INDEX('Undirviðmiðalisti (Lýsigögn)'!G$6:G$41,MATCH($C152,'Undirviðmiðalisti (Lýsigögn)'!$C$6:$C$41,0))),IFERROR(IF(INDEX('Undirviðmiðalisti (Lýsigögn)'!G$42:G$58,MATCH($C152,'Undirviðmiðalisti (Lýsigögn)'!$C$42:$C$58,0))="","",INDEX('Undirviðmiðalisti (Lýsigögn)'!G$42:G$58,MATCH($C152,'Undirviðmiðalisti (Lýsigögn)'!$C$42:$C$58,0))),""))))</f>
        <v/>
      </c>
      <c r="L152" s="16" t="str">
        <f aca="false">IF($C152="","",IF($G152="Einstaklingsbundið",IFERROR(IF(INDEX('Undirviðmiðalisti (Lýsigögn)'!H$42:H$58,MATCH($C152,'Undirviðmiðalisti (Lýsigögn)'!$C$42:$C$58,0))="","",INDEX('Undirviðmiðalisti (Lýsigögn)'!H$42:H$58,MATCH($C152,'Undirviðmiðalisti (Lýsigögn)'!$C$42:$C$58,0))),""),IFERROR(IF(INDEX('Undirviðmiðalisti (Lýsigögn)'!H$6:H$41,MATCH($C152,'Undirviðmiðalisti (Lýsigögn)'!$C$6:$C$41,0))="","",INDEX('Undirviðmiðalisti (Lýsigögn)'!H$6:H$41,MATCH($C152,'Undirviðmiðalisti (Lýsigögn)'!$C$6:$C$41,0))),IFERROR(IF(INDEX('Undirviðmiðalisti (Lýsigögn)'!H$42:H$58,MATCH($C152,'Undirviðmiðalisti (Lýsigögn)'!$C$42:$C$58,0))="","",INDEX('Undirviðmiðalisti (Lýsigögn)'!H$42:H$58,MATCH($C152,'Undirviðmiðalisti (Lýsigögn)'!$C$42:$C$58,0))),""))))</f>
        <v/>
      </c>
      <c r="M152" s="16" t="str">
        <f aca="false">IF($C152="","",IF($G152="Einstaklingsbundið",IFERROR(IF(INDEX('Undirviðmiðalisti (Lýsigögn)'!I$42:I$58,MATCH($C152,'Undirviðmiðalisti (Lýsigögn)'!$C$42:$C$58,0))="","",INDEX('Undirviðmiðalisti (Lýsigögn)'!I$42:I$58,MATCH($C152,'Undirviðmiðalisti (Lýsigögn)'!$C$42:$C$58,0))),""),IFERROR(IF(INDEX('Undirviðmiðalisti (Lýsigögn)'!I$6:I$41,MATCH($C152,'Undirviðmiðalisti (Lýsigögn)'!$C$6:$C$41,0))="","",INDEX('Undirviðmiðalisti (Lýsigögn)'!I$6:I$41,MATCH($C152,'Undirviðmiðalisti (Lýsigögn)'!$C$6:$C$41,0))),IFERROR(IF(INDEX('Undirviðmiðalisti (Lýsigögn)'!I$42:I$58,MATCH($C152,'Undirviðmiðalisti (Lýsigögn)'!$C$42:$C$58,0))="","",INDEX('Undirviðmiðalisti (Lýsigögn)'!I$42:I$58,MATCH($C152,'Undirviðmiðalisti (Lýsigögn)'!$C$42:$C$58,0))),""))))</f>
        <v/>
      </c>
      <c r="N152" s="16" t="str">
        <f aca="false">IF($C152="","",IF($G152="Einstaklingsbundið",IFERROR(IF(INDEX('Undirviðmiðalisti (Lýsigögn)'!J$42:J$58,MATCH($C152,'Undirviðmiðalisti (Lýsigögn)'!$C$42:$C$58,0))="","",INDEX('Undirviðmiðalisti (Lýsigögn)'!J$42:J$58,MATCH($C152,'Undirviðmiðalisti (Lýsigögn)'!$C$42:$C$58,0))),""),IFERROR(IF(INDEX('Undirviðmiðalisti (Lýsigögn)'!J$6:J$41,MATCH($C152,'Undirviðmiðalisti (Lýsigögn)'!$C$6:$C$41,0))="","",INDEX('Undirviðmiðalisti (Lýsigögn)'!J$6:J$41,MATCH($C152,'Undirviðmiðalisti (Lýsigögn)'!$C$6:$C$41,0))),IFERROR(IF(INDEX('Undirviðmiðalisti (Lýsigögn)'!J$42:J$58,MATCH($C152,'Undirviðmiðalisti (Lýsigögn)'!$C$42:$C$58,0))="","",INDEX('Undirviðmiðalisti (Lýsigögn)'!J$42:J$58,MATCH($C152,'Undirviðmiðalisti (Lýsigögn)'!$C$42:$C$58,0))),""))))</f>
        <v/>
      </c>
      <c r="O152" s="16" t="str">
        <f aca="false">IF($C152="","",IF($G152="Einstaklingsbundið",IFERROR(IF(INDEX('Undirviðmiðalisti (Lýsigögn)'!K$42:K$58,MATCH($C152,'Undirviðmiðalisti (Lýsigögn)'!$C$42:$C$58,0))="","",INDEX('Undirviðmiðalisti (Lýsigögn)'!K$42:K$58,MATCH($C152,'Undirviðmiðalisti (Lýsigögn)'!$C$42:$C$58,0))),""),IFERROR(IF(INDEX('Undirviðmiðalisti (Lýsigögn)'!K$6:K$41,MATCH($C152,'Undirviðmiðalisti (Lýsigögn)'!$C$6:$C$41,0))="","",INDEX('Undirviðmiðalisti (Lýsigögn)'!K$6:K$41,MATCH($C152,'Undirviðmiðalisti (Lýsigögn)'!$C$6:$C$41,0))),IFERROR(IF(INDEX('Undirviðmiðalisti (Lýsigögn)'!K$42:K$58,MATCH($C152,'Undirviðmiðalisti (Lýsigögn)'!$C$42:$C$58,0))="","",INDEX('Undirviðmiðalisti (Lýsigögn)'!K$42:K$58,MATCH($C152,'Undirviðmiðalisti (Lýsigögn)'!$C$42:$C$58,0))),""))))</f>
        <v/>
      </c>
      <c r="P152" s="16" t="str">
        <f aca="false">IF($C152="","",IF($G152="Einstaklingsbundið",IFERROR(IF(INDEX('Undirviðmiðalisti (Lýsigögn)'!L$42:L$58,MATCH($C152,'Undirviðmiðalisti (Lýsigögn)'!$C$42:$C$58,0))="","",INDEX('Undirviðmiðalisti (Lýsigögn)'!L$42:L$58,MATCH($C152,'Undirviðmiðalisti (Lýsigögn)'!$C$42:$C$58,0))),""),IFERROR(IF(INDEX('Undirviðmiðalisti (Lýsigögn)'!L$6:L$41,MATCH($C152,'Undirviðmiðalisti (Lýsigögn)'!$C$6:$C$41,0))="","",INDEX('Undirviðmiðalisti (Lýsigögn)'!L$6:L$41,MATCH($C152,'Undirviðmiðalisti (Lýsigögn)'!$C$6:$C$41,0))),IFERROR(IF(INDEX('Undirviðmiðalisti (Lýsigögn)'!L$42:L$58,MATCH($C152,'Undirviðmiðalisti (Lýsigögn)'!$C$42:$C$58,0))="","",INDEX('Undirviðmiðalisti (Lýsigögn)'!L$42:L$58,MATCH($C152,'Undirviðmiðalisti (Lýsigögn)'!$C$42:$C$58,0))),""))))</f>
        <v/>
      </c>
      <c r="Q152" s="16" t="str">
        <f aca="false">IF($C152="","",IF($G152="Einstaklingsbundið",IFERROR(IF(INDEX('Undirviðmiðalisti (Lýsigögn)'!M$42:M$58,MATCH($C152,'Undirviðmiðalisti (Lýsigögn)'!$C$42:$C$58,0))="","",INDEX('Undirviðmiðalisti (Lýsigögn)'!M$42:M$58,MATCH($C152,'Undirviðmiðalisti (Lýsigögn)'!$C$42:$C$58,0))),""),IFERROR(IF(INDEX('Undirviðmiðalisti (Lýsigögn)'!M$6:M$41,MATCH($C152,'Undirviðmiðalisti (Lýsigögn)'!$C$6:$C$41,0))="","",INDEX('Undirviðmiðalisti (Lýsigögn)'!M$6:M$41,MATCH($C152,'Undirviðmiðalisti (Lýsigögn)'!$C$6:$C$41,0))),IFERROR(IF(INDEX('Undirviðmiðalisti (Lýsigögn)'!M$42:M$58,MATCH($C152,'Undirviðmiðalisti (Lýsigögn)'!$C$42:$C$58,0))="","",INDEX('Undirviðmiðalisti (Lýsigögn)'!M$42:M$58,MATCH($C152,'Undirviðmiðalisti (Lýsigögn)'!$C$42:$C$58,0))),""))))</f>
        <v/>
      </c>
    </row>
    <row r="153" customFormat="false" ht="15" hidden="false" customHeight="true" outlineLevel="0" collapsed="false">
      <c r="A153" s="22" t="str">
        <f aca="false">IF($B153="","",ROW()-5)</f>
        <v/>
      </c>
      <c r="B153" s="15"/>
      <c r="C153" s="15"/>
      <c r="D153" s="16" t="str">
        <f aca="false">IF($C153="","",IF($G153="Einstaklingsbundið",IFERROR(IF(INDEX('Undirviðmiðalisti (Lýsigögn)'!$D$42:$D$58,MATCH($C153,'Undirviðmiðalisti (Lýsigögn)'!$C$42:$C$58,0))="","",INDEX('Undirviðmiðalisti (Lýsigögn)'!$D$42:$D$58,MATCH($C153,'Undirviðmiðalisti (Lýsigögn)'!$C$42:$C$58,0))),""),IFERROR(IF(INDEX('Undirviðmiðalisti (Lýsigögn)'!$D$6:$D$41,MATCH($C153,'Undirviðmiðalisti (Lýsigögn)'!$C$6:$C$41,0))="","",INDEX('Undirviðmiðalisti (Lýsigögn)'!$D$6:$D$41,MATCH($C153,'Undirviðmiðalisti (Lýsigögn)'!$C$6:$C$41,0))),IFERROR(IF(INDEX('Undirviðmiðalisti (Lýsigögn)'!$D$42:$D$58,MATCH($C153,'Undirviðmiðalisti (Lýsigögn)'!$C$42:$C$58,0))="","",INDEX('Undirviðmiðalisti (Lýsigögn)'!$D$42:$D$58,MATCH($C153,'Undirviðmiðalisti (Lýsigögn)'!$C$42:$C$58,0))),""))))</f>
        <v/>
      </c>
      <c r="E153" s="14"/>
      <c r="F153" s="23" t="str">
        <f aca="false">IF($C153="","",IF($G153="Einstaklingsbundið",IFERROR(IF(INDEX('Undirviðmiðalisti (Lýsigögn)'!$E$42:$E$58,MATCH($C153,'Undirviðmiðalisti (Lýsigögn)'!$C$42:$C$58,0))="","",INDEX('Undirviðmiðalisti (Lýsigögn)'!$E$42:$E$58,MATCH($C153,'Undirviðmiðalisti (Lýsigögn)'!$C$42:$C$58,0))),""),IFERROR(IF(INDEX('Undirviðmiðalisti (Lýsigögn)'!$E$6:$E$41,MATCH($C153,'Undirviðmiðalisti (Lýsigögn)'!$C$6:$C$41,0))="","",INDEX('Undirviðmiðalisti (Lýsigögn)'!$E$6:$E$41,MATCH($C153,'Undirviðmiðalisti (Lýsigögn)'!$C$6:$C$41,0))),IFERROR(IF(INDEX('Undirviðmiðalisti (Lýsigögn)'!$E$42:$E$58,MATCH($C153,'Undirviðmiðalisti (Lýsigögn)'!$C$42:$C$58,0))="","",INDEX('Undirviðmiðalisti (Lýsigögn)'!$E$42:$E$58,MATCH($C153,'Undirviðmiðalisti (Lýsigögn)'!$C$42:$C$58,0))),""))))</f>
        <v/>
      </c>
      <c r="G153" s="24" t="str">
        <f aca="false">IFERROR(IF(B153="","",INDEX(Viðmið!$B$6:$B$10,MATCH(B153,Viðmið!$C$6:$C$10,0))),"")</f>
        <v/>
      </c>
      <c r="H153" s="25" t="str">
        <f aca="false">IF(OR(E153="",F153=""),"",E153*KVARDI)</f>
        <v/>
      </c>
      <c r="I153" s="26" t="str">
        <f aca="false">IF(B153="","",IF(ROUND(SUMIF($B$6:$B$205,B153,$E$6:$E$205),4)=ROUND(IFERROR(INDEX(Viðmið!$E$6:$E$10,MATCH(B153,Viðmið!$C$6:$C$10,0)),-1),4),"✓","✗"))</f>
        <v/>
      </c>
      <c r="J153" s="16" t="str">
        <f aca="false">IF($C153="","",IF($G153="Einstaklingsbundið",IFERROR(IF(INDEX('Undirviðmiðalisti (Lýsigögn)'!F$42:F$58,MATCH($C153,'Undirviðmiðalisti (Lýsigögn)'!$C$42:$C$58,0))="","",INDEX('Undirviðmiðalisti (Lýsigögn)'!F$42:F$58,MATCH($C153,'Undirviðmiðalisti (Lýsigögn)'!$C$42:$C$58,0))),""),IFERROR(IF(INDEX('Undirviðmiðalisti (Lýsigögn)'!F$6:F$41,MATCH($C153,'Undirviðmiðalisti (Lýsigögn)'!$C$6:$C$41,0))="","",INDEX('Undirviðmiðalisti (Lýsigögn)'!F$6:F$41,MATCH($C153,'Undirviðmiðalisti (Lýsigögn)'!$C$6:$C$41,0))),IFERROR(IF(INDEX('Undirviðmiðalisti (Lýsigögn)'!F$42:F$58,MATCH($C153,'Undirviðmiðalisti (Lýsigögn)'!$C$42:$C$58,0))="","",INDEX('Undirviðmiðalisti (Lýsigögn)'!F$42:F$58,MATCH($C153,'Undirviðmiðalisti (Lýsigögn)'!$C$42:$C$58,0))),""))))</f>
        <v/>
      </c>
      <c r="K153" s="16" t="str">
        <f aca="false">IF($C153="","",IF($G153="Einstaklingsbundið",IFERROR(IF(INDEX('Undirviðmiðalisti (Lýsigögn)'!G$42:G$58,MATCH($C153,'Undirviðmiðalisti (Lýsigögn)'!$C$42:$C$58,0))="","",INDEX('Undirviðmiðalisti (Lýsigögn)'!G$42:G$58,MATCH($C153,'Undirviðmiðalisti (Lýsigögn)'!$C$42:$C$58,0))),""),IFERROR(IF(INDEX('Undirviðmiðalisti (Lýsigögn)'!G$6:G$41,MATCH($C153,'Undirviðmiðalisti (Lýsigögn)'!$C$6:$C$41,0))="","",INDEX('Undirviðmiðalisti (Lýsigögn)'!G$6:G$41,MATCH($C153,'Undirviðmiðalisti (Lýsigögn)'!$C$6:$C$41,0))),IFERROR(IF(INDEX('Undirviðmiðalisti (Lýsigögn)'!G$42:G$58,MATCH($C153,'Undirviðmiðalisti (Lýsigögn)'!$C$42:$C$58,0))="","",INDEX('Undirviðmiðalisti (Lýsigögn)'!G$42:G$58,MATCH($C153,'Undirviðmiðalisti (Lýsigögn)'!$C$42:$C$58,0))),""))))</f>
        <v/>
      </c>
      <c r="L153" s="16" t="str">
        <f aca="false">IF($C153="","",IF($G153="Einstaklingsbundið",IFERROR(IF(INDEX('Undirviðmiðalisti (Lýsigögn)'!H$42:H$58,MATCH($C153,'Undirviðmiðalisti (Lýsigögn)'!$C$42:$C$58,0))="","",INDEX('Undirviðmiðalisti (Lýsigögn)'!H$42:H$58,MATCH($C153,'Undirviðmiðalisti (Lýsigögn)'!$C$42:$C$58,0))),""),IFERROR(IF(INDEX('Undirviðmiðalisti (Lýsigögn)'!H$6:H$41,MATCH($C153,'Undirviðmiðalisti (Lýsigögn)'!$C$6:$C$41,0))="","",INDEX('Undirviðmiðalisti (Lýsigögn)'!H$6:H$41,MATCH($C153,'Undirviðmiðalisti (Lýsigögn)'!$C$6:$C$41,0))),IFERROR(IF(INDEX('Undirviðmiðalisti (Lýsigögn)'!H$42:H$58,MATCH($C153,'Undirviðmiðalisti (Lýsigögn)'!$C$42:$C$58,0))="","",INDEX('Undirviðmiðalisti (Lýsigögn)'!H$42:H$58,MATCH($C153,'Undirviðmiðalisti (Lýsigögn)'!$C$42:$C$58,0))),""))))</f>
        <v/>
      </c>
      <c r="M153" s="16" t="str">
        <f aca="false">IF($C153="","",IF($G153="Einstaklingsbundið",IFERROR(IF(INDEX('Undirviðmiðalisti (Lýsigögn)'!I$42:I$58,MATCH($C153,'Undirviðmiðalisti (Lýsigögn)'!$C$42:$C$58,0))="","",INDEX('Undirviðmiðalisti (Lýsigögn)'!I$42:I$58,MATCH($C153,'Undirviðmiðalisti (Lýsigögn)'!$C$42:$C$58,0))),""),IFERROR(IF(INDEX('Undirviðmiðalisti (Lýsigögn)'!I$6:I$41,MATCH($C153,'Undirviðmiðalisti (Lýsigögn)'!$C$6:$C$41,0))="","",INDEX('Undirviðmiðalisti (Lýsigögn)'!I$6:I$41,MATCH($C153,'Undirviðmiðalisti (Lýsigögn)'!$C$6:$C$41,0))),IFERROR(IF(INDEX('Undirviðmiðalisti (Lýsigögn)'!I$42:I$58,MATCH($C153,'Undirviðmiðalisti (Lýsigögn)'!$C$42:$C$58,0))="","",INDEX('Undirviðmiðalisti (Lýsigögn)'!I$42:I$58,MATCH($C153,'Undirviðmiðalisti (Lýsigögn)'!$C$42:$C$58,0))),""))))</f>
        <v/>
      </c>
      <c r="N153" s="16" t="str">
        <f aca="false">IF($C153="","",IF($G153="Einstaklingsbundið",IFERROR(IF(INDEX('Undirviðmiðalisti (Lýsigögn)'!J$42:J$58,MATCH($C153,'Undirviðmiðalisti (Lýsigögn)'!$C$42:$C$58,0))="","",INDEX('Undirviðmiðalisti (Lýsigögn)'!J$42:J$58,MATCH($C153,'Undirviðmiðalisti (Lýsigögn)'!$C$42:$C$58,0))),""),IFERROR(IF(INDEX('Undirviðmiðalisti (Lýsigögn)'!J$6:J$41,MATCH($C153,'Undirviðmiðalisti (Lýsigögn)'!$C$6:$C$41,0))="","",INDEX('Undirviðmiðalisti (Lýsigögn)'!J$6:J$41,MATCH($C153,'Undirviðmiðalisti (Lýsigögn)'!$C$6:$C$41,0))),IFERROR(IF(INDEX('Undirviðmiðalisti (Lýsigögn)'!J$42:J$58,MATCH($C153,'Undirviðmiðalisti (Lýsigögn)'!$C$42:$C$58,0))="","",INDEX('Undirviðmiðalisti (Lýsigögn)'!J$42:J$58,MATCH($C153,'Undirviðmiðalisti (Lýsigögn)'!$C$42:$C$58,0))),""))))</f>
        <v/>
      </c>
      <c r="O153" s="16" t="str">
        <f aca="false">IF($C153="","",IF($G153="Einstaklingsbundið",IFERROR(IF(INDEX('Undirviðmiðalisti (Lýsigögn)'!K$42:K$58,MATCH($C153,'Undirviðmiðalisti (Lýsigögn)'!$C$42:$C$58,0))="","",INDEX('Undirviðmiðalisti (Lýsigögn)'!K$42:K$58,MATCH($C153,'Undirviðmiðalisti (Lýsigögn)'!$C$42:$C$58,0))),""),IFERROR(IF(INDEX('Undirviðmiðalisti (Lýsigögn)'!K$6:K$41,MATCH($C153,'Undirviðmiðalisti (Lýsigögn)'!$C$6:$C$41,0))="","",INDEX('Undirviðmiðalisti (Lýsigögn)'!K$6:K$41,MATCH($C153,'Undirviðmiðalisti (Lýsigögn)'!$C$6:$C$41,0))),IFERROR(IF(INDEX('Undirviðmiðalisti (Lýsigögn)'!K$42:K$58,MATCH($C153,'Undirviðmiðalisti (Lýsigögn)'!$C$42:$C$58,0))="","",INDEX('Undirviðmiðalisti (Lýsigögn)'!K$42:K$58,MATCH($C153,'Undirviðmiðalisti (Lýsigögn)'!$C$42:$C$58,0))),""))))</f>
        <v/>
      </c>
      <c r="P153" s="16" t="str">
        <f aca="false">IF($C153="","",IF($G153="Einstaklingsbundið",IFERROR(IF(INDEX('Undirviðmiðalisti (Lýsigögn)'!L$42:L$58,MATCH($C153,'Undirviðmiðalisti (Lýsigögn)'!$C$42:$C$58,0))="","",INDEX('Undirviðmiðalisti (Lýsigögn)'!L$42:L$58,MATCH($C153,'Undirviðmiðalisti (Lýsigögn)'!$C$42:$C$58,0))),""),IFERROR(IF(INDEX('Undirviðmiðalisti (Lýsigögn)'!L$6:L$41,MATCH($C153,'Undirviðmiðalisti (Lýsigögn)'!$C$6:$C$41,0))="","",INDEX('Undirviðmiðalisti (Lýsigögn)'!L$6:L$41,MATCH($C153,'Undirviðmiðalisti (Lýsigögn)'!$C$6:$C$41,0))),IFERROR(IF(INDEX('Undirviðmiðalisti (Lýsigögn)'!L$42:L$58,MATCH($C153,'Undirviðmiðalisti (Lýsigögn)'!$C$42:$C$58,0))="","",INDEX('Undirviðmiðalisti (Lýsigögn)'!L$42:L$58,MATCH($C153,'Undirviðmiðalisti (Lýsigögn)'!$C$42:$C$58,0))),""))))</f>
        <v/>
      </c>
      <c r="Q153" s="16" t="str">
        <f aca="false">IF($C153="","",IF($G153="Einstaklingsbundið",IFERROR(IF(INDEX('Undirviðmiðalisti (Lýsigögn)'!M$42:M$58,MATCH($C153,'Undirviðmiðalisti (Lýsigögn)'!$C$42:$C$58,0))="","",INDEX('Undirviðmiðalisti (Lýsigögn)'!M$42:M$58,MATCH($C153,'Undirviðmiðalisti (Lýsigögn)'!$C$42:$C$58,0))),""),IFERROR(IF(INDEX('Undirviðmiðalisti (Lýsigögn)'!M$6:M$41,MATCH($C153,'Undirviðmiðalisti (Lýsigögn)'!$C$6:$C$41,0))="","",INDEX('Undirviðmiðalisti (Lýsigögn)'!M$6:M$41,MATCH($C153,'Undirviðmiðalisti (Lýsigögn)'!$C$6:$C$41,0))),IFERROR(IF(INDEX('Undirviðmiðalisti (Lýsigögn)'!M$42:M$58,MATCH($C153,'Undirviðmiðalisti (Lýsigögn)'!$C$42:$C$58,0))="","",INDEX('Undirviðmiðalisti (Lýsigögn)'!M$42:M$58,MATCH($C153,'Undirviðmiðalisti (Lýsigögn)'!$C$42:$C$58,0))),""))))</f>
        <v/>
      </c>
    </row>
    <row r="154" customFormat="false" ht="15" hidden="false" customHeight="true" outlineLevel="0" collapsed="false">
      <c r="A154" s="22" t="str">
        <f aca="false">IF($B154="","",ROW()-5)</f>
        <v/>
      </c>
      <c r="B154" s="15"/>
      <c r="C154" s="15"/>
      <c r="D154" s="16" t="str">
        <f aca="false">IF($C154="","",IF($G154="Einstaklingsbundið",IFERROR(IF(INDEX('Undirviðmiðalisti (Lýsigögn)'!$D$42:$D$58,MATCH($C154,'Undirviðmiðalisti (Lýsigögn)'!$C$42:$C$58,0))="","",INDEX('Undirviðmiðalisti (Lýsigögn)'!$D$42:$D$58,MATCH($C154,'Undirviðmiðalisti (Lýsigögn)'!$C$42:$C$58,0))),""),IFERROR(IF(INDEX('Undirviðmiðalisti (Lýsigögn)'!$D$6:$D$41,MATCH($C154,'Undirviðmiðalisti (Lýsigögn)'!$C$6:$C$41,0))="","",INDEX('Undirviðmiðalisti (Lýsigögn)'!$D$6:$D$41,MATCH($C154,'Undirviðmiðalisti (Lýsigögn)'!$C$6:$C$41,0))),IFERROR(IF(INDEX('Undirviðmiðalisti (Lýsigögn)'!$D$42:$D$58,MATCH($C154,'Undirviðmiðalisti (Lýsigögn)'!$C$42:$C$58,0))="","",INDEX('Undirviðmiðalisti (Lýsigögn)'!$D$42:$D$58,MATCH($C154,'Undirviðmiðalisti (Lýsigögn)'!$C$42:$C$58,0))),""))))</f>
        <v/>
      </c>
      <c r="E154" s="14"/>
      <c r="F154" s="23" t="str">
        <f aca="false">IF($C154="","",IF($G154="Einstaklingsbundið",IFERROR(IF(INDEX('Undirviðmiðalisti (Lýsigögn)'!$E$42:$E$58,MATCH($C154,'Undirviðmiðalisti (Lýsigögn)'!$C$42:$C$58,0))="","",INDEX('Undirviðmiðalisti (Lýsigögn)'!$E$42:$E$58,MATCH($C154,'Undirviðmiðalisti (Lýsigögn)'!$C$42:$C$58,0))),""),IFERROR(IF(INDEX('Undirviðmiðalisti (Lýsigögn)'!$E$6:$E$41,MATCH($C154,'Undirviðmiðalisti (Lýsigögn)'!$C$6:$C$41,0))="","",INDEX('Undirviðmiðalisti (Lýsigögn)'!$E$6:$E$41,MATCH($C154,'Undirviðmiðalisti (Lýsigögn)'!$C$6:$C$41,0))),IFERROR(IF(INDEX('Undirviðmiðalisti (Lýsigögn)'!$E$42:$E$58,MATCH($C154,'Undirviðmiðalisti (Lýsigögn)'!$C$42:$C$58,0))="","",INDEX('Undirviðmiðalisti (Lýsigögn)'!$E$42:$E$58,MATCH($C154,'Undirviðmiðalisti (Lýsigögn)'!$C$42:$C$58,0))),""))))</f>
        <v/>
      </c>
      <c r="G154" s="24" t="str">
        <f aca="false">IFERROR(IF(B154="","",INDEX(Viðmið!$B$6:$B$10,MATCH(B154,Viðmið!$C$6:$C$10,0))),"")</f>
        <v/>
      </c>
      <c r="H154" s="25" t="str">
        <f aca="false">IF(OR(E154="",F154=""),"",E154*KVARDI)</f>
        <v/>
      </c>
      <c r="I154" s="26" t="str">
        <f aca="false">IF(B154="","",IF(ROUND(SUMIF($B$6:$B$205,B154,$E$6:$E$205),4)=ROUND(IFERROR(INDEX(Viðmið!$E$6:$E$10,MATCH(B154,Viðmið!$C$6:$C$10,0)),-1),4),"✓","✗"))</f>
        <v/>
      </c>
      <c r="J154" s="16" t="str">
        <f aca="false">IF($C154="","",IF($G154="Einstaklingsbundið",IFERROR(IF(INDEX('Undirviðmiðalisti (Lýsigögn)'!F$42:F$58,MATCH($C154,'Undirviðmiðalisti (Lýsigögn)'!$C$42:$C$58,0))="","",INDEX('Undirviðmiðalisti (Lýsigögn)'!F$42:F$58,MATCH($C154,'Undirviðmiðalisti (Lýsigögn)'!$C$42:$C$58,0))),""),IFERROR(IF(INDEX('Undirviðmiðalisti (Lýsigögn)'!F$6:F$41,MATCH($C154,'Undirviðmiðalisti (Lýsigögn)'!$C$6:$C$41,0))="","",INDEX('Undirviðmiðalisti (Lýsigögn)'!F$6:F$41,MATCH($C154,'Undirviðmiðalisti (Lýsigögn)'!$C$6:$C$41,0))),IFERROR(IF(INDEX('Undirviðmiðalisti (Lýsigögn)'!F$42:F$58,MATCH($C154,'Undirviðmiðalisti (Lýsigögn)'!$C$42:$C$58,0))="","",INDEX('Undirviðmiðalisti (Lýsigögn)'!F$42:F$58,MATCH($C154,'Undirviðmiðalisti (Lýsigögn)'!$C$42:$C$58,0))),""))))</f>
        <v/>
      </c>
      <c r="K154" s="16" t="str">
        <f aca="false">IF($C154="","",IF($G154="Einstaklingsbundið",IFERROR(IF(INDEX('Undirviðmiðalisti (Lýsigögn)'!G$42:G$58,MATCH($C154,'Undirviðmiðalisti (Lýsigögn)'!$C$42:$C$58,0))="","",INDEX('Undirviðmiðalisti (Lýsigögn)'!G$42:G$58,MATCH($C154,'Undirviðmiðalisti (Lýsigögn)'!$C$42:$C$58,0))),""),IFERROR(IF(INDEX('Undirviðmiðalisti (Lýsigögn)'!G$6:G$41,MATCH($C154,'Undirviðmiðalisti (Lýsigögn)'!$C$6:$C$41,0))="","",INDEX('Undirviðmiðalisti (Lýsigögn)'!G$6:G$41,MATCH($C154,'Undirviðmiðalisti (Lýsigögn)'!$C$6:$C$41,0))),IFERROR(IF(INDEX('Undirviðmiðalisti (Lýsigögn)'!G$42:G$58,MATCH($C154,'Undirviðmiðalisti (Lýsigögn)'!$C$42:$C$58,0))="","",INDEX('Undirviðmiðalisti (Lýsigögn)'!G$42:G$58,MATCH($C154,'Undirviðmiðalisti (Lýsigögn)'!$C$42:$C$58,0))),""))))</f>
        <v/>
      </c>
      <c r="L154" s="16" t="str">
        <f aca="false">IF($C154="","",IF($G154="Einstaklingsbundið",IFERROR(IF(INDEX('Undirviðmiðalisti (Lýsigögn)'!H$42:H$58,MATCH($C154,'Undirviðmiðalisti (Lýsigögn)'!$C$42:$C$58,0))="","",INDEX('Undirviðmiðalisti (Lýsigögn)'!H$42:H$58,MATCH($C154,'Undirviðmiðalisti (Lýsigögn)'!$C$42:$C$58,0))),""),IFERROR(IF(INDEX('Undirviðmiðalisti (Lýsigögn)'!H$6:H$41,MATCH($C154,'Undirviðmiðalisti (Lýsigögn)'!$C$6:$C$41,0))="","",INDEX('Undirviðmiðalisti (Lýsigögn)'!H$6:H$41,MATCH($C154,'Undirviðmiðalisti (Lýsigögn)'!$C$6:$C$41,0))),IFERROR(IF(INDEX('Undirviðmiðalisti (Lýsigögn)'!H$42:H$58,MATCH($C154,'Undirviðmiðalisti (Lýsigögn)'!$C$42:$C$58,0))="","",INDEX('Undirviðmiðalisti (Lýsigögn)'!H$42:H$58,MATCH($C154,'Undirviðmiðalisti (Lýsigögn)'!$C$42:$C$58,0))),""))))</f>
        <v/>
      </c>
      <c r="M154" s="16" t="str">
        <f aca="false">IF($C154="","",IF($G154="Einstaklingsbundið",IFERROR(IF(INDEX('Undirviðmiðalisti (Lýsigögn)'!I$42:I$58,MATCH($C154,'Undirviðmiðalisti (Lýsigögn)'!$C$42:$C$58,0))="","",INDEX('Undirviðmiðalisti (Lýsigögn)'!I$42:I$58,MATCH($C154,'Undirviðmiðalisti (Lýsigögn)'!$C$42:$C$58,0))),""),IFERROR(IF(INDEX('Undirviðmiðalisti (Lýsigögn)'!I$6:I$41,MATCH($C154,'Undirviðmiðalisti (Lýsigögn)'!$C$6:$C$41,0))="","",INDEX('Undirviðmiðalisti (Lýsigögn)'!I$6:I$41,MATCH($C154,'Undirviðmiðalisti (Lýsigögn)'!$C$6:$C$41,0))),IFERROR(IF(INDEX('Undirviðmiðalisti (Lýsigögn)'!I$42:I$58,MATCH($C154,'Undirviðmiðalisti (Lýsigögn)'!$C$42:$C$58,0))="","",INDEX('Undirviðmiðalisti (Lýsigögn)'!I$42:I$58,MATCH($C154,'Undirviðmiðalisti (Lýsigögn)'!$C$42:$C$58,0))),""))))</f>
        <v/>
      </c>
      <c r="N154" s="16" t="str">
        <f aca="false">IF($C154="","",IF($G154="Einstaklingsbundið",IFERROR(IF(INDEX('Undirviðmiðalisti (Lýsigögn)'!J$42:J$58,MATCH($C154,'Undirviðmiðalisti (Lýsigögn)'!$C$42:$C$58,0))="","",INDEX('Undirviðmiðalisti (Lýsigögn)'!J$42:J$58,MATCH($C154,'Undirviðmiðalisti (Lýsigögn)'!$C$42:$C$58,0))),""),IFERROR(IF(INDEX('Undirviðmiðalisti (Lýsigögn)'!J$6:J$41,MATCH($C154,'Undirviðmiðalisti (Lýsigögn)'!$C$6:$C$41,0))="","",INDEX('Undirviðmiðalisti (Lýsigögn)'!J$6:J$41,MATCH($C154,'Undirviðmiðalisti (Lýsigögn)'!$C$6:$C$41,0))),IFERROR(IF(INDEX('Undirviðmiðalisti (Lýsigögn)'!J$42:J$58,MATCH($C154,'Undirviðmiðalisti (Lýsigögn)'!$C$42:$C$58,0))="","",INDEX('Undirviðmiðalisti (Lýsigögn)'!J$42:J$58,MATCH($C154,'Undirviðmiðalisti (Lýsigögn)'!$C$42:$C$58,0))),""))))</f>
        <v/>
      </c>
      <c r="O154" s="16" t="str">
        <f aca="false">IF($C154="","",IF($G154="Einstaklingsbundið",IFERROR(IF(INDEX('Undirviðmiðalisti (Lýsigögn)'!K$42:K$58,MATCH($C154,'Undirviðmiðalisti (Lýsigögn)'!$C$42:$C$58,0))="","",INDEX('Undirviðmiðalisti (Lýsigögn)'!K$42:K$58,MATCH($C154,'Undirviðmiðalisti (Lýsigögn)'!$C$42:$C$58,0))),""),IFERROR(IF(INDEX('Undirviðmiðalisti (Lýsigögn)'!K$6:K$41,MATCH($C154,'Undirviðmiðalisti (Lýsigögn)'!$C$6:$C$41,0))="","",INDEX('Undirviðmiðalisti (Lýsigögn)'!K$6:K$41,MATCH($C154,'Undirviðmiðalisti (Lýsigögn)'!$C$6:$C$41,0))),IFERROR(IF(INDEX('Undirviðmiðalisti (Lýsigögn)'!K$42:K$58,MATCH($C154,'Undirviðmiðalisti (Lýsigögn)'!$C$42:$C$58,0))="","",INDEX('Undirviðmiðalisti (Lýsigögn)'!K$42:K$58,MATCH($C154,'Undirviðmiðalisti (Lýsigögn)'!$C$42:$C$58,0))),""))))</f>
        <v/>
      </c>
      <c r="P154" s="16" t="str">
        <f aca="false">IF($C154="","",IF($G154="Einstaklingsbundið",IFERROR(IF(INDEX('Undirviðmiðalisti (Lýsigögn)'!L$42:L$58,MATCH($C154,'Undirviðmiðalisti (Lýsigögn)'!$C$42:$C$58,0))="","",INDEX('Undirviðmiðalisti (Lýsigögn)'!L$42:L$58,MATCH($C154,'Undirviðmiðalisti (Lýsigögn)'!$C$42:$C$58,0))),""),IFERROR(IF(INDEX('Undirviðmiðalisti (Lýsigögn)'!L$6:L$41,MATCH($C154,'Undirviðmiðalisti (Lýsigögn)'!$C$6:$C$41,0))="","",INDEX('Undirviðmiðalisti (Lýsigögn)'!L$6:L$41,MATCH($C154,'Undirviðmiðalisti (Lýsigögn)'!$C$6:$C$41,0))),IFERROR(IF(INDEX('Undirviðmiðalisti (Lýsigögn)'!L$42:L$58,MATCH($C154,'Undirviðmiðalisti (Lýsigögn)'!$C$42:$C$58,0))="","",INDEX('Undirviðmiðalisti (Lýsigögn)'!L$42:L$58,MATCH($C154,'Undirviðmiðalisti (Lýsigögn)'!$C$42:$C$58,0))),""))))</f>
        <v/>
      </c>
      <c r="Q154" s="16" t="str">
        <f aca="false">IF($C154="","",IF($G154="Einstaklingsbundið",IFERROR(IF(INDEX('Undirviðmiðalisti (Lýsigögn)'!M$42:M$58,MATCH($C154,'Undirviðmiðalisti (Lýsigögn)'!$C$42:$C$58,0))="","",INDEX('Undirviðmiðalisti (Lýsigögn)'!M$42:M$58,MATCH($C154,'Undirviðmiðalisti (Lýsigögn)'!$C$42:$C$58,0))),""),IFERROR(IF(INDEX('Undirviðmiðalisti (Lýsigögn)'!M$6:M$41,MATCH($C154,'Undirviðmiðalisti (Lýsigögn)'!$C$6:$C$41,0))="","",INDEX('Undirviðmiðalisti (Lýsigögn)'!M$6:M$41,MATCH($C154,'Undirviðmiðalisti (Lýsigögn)'!$C$6:$C$41,0))),IFERROR(IF(INDEX('Undirviðmiðalisti (Lýsigögn)'!M$42:M$58,MATCH($C154,'Undirviðmiðalisti (Lýsigögn)'!$C$42:$C$58,0))="","",INDEX('Undirviðmiðalisti (Lýsigögn)'!M$42:M$58,MATCH($C154,'Undirviðmiðalisti (Lýsigögn)'!$C$42:$C$58,0))),""))))</f>
        <v/>
      </c>
    </row>
    <row r="155" customFormat="false" ht="15" hidden="false" customHeight="true" outlineLevel="0" collapsed="false">
      <c r="A155" s="22" t="str">
        <f aca="false">IF($B155="","",ROW()-5)</f>
        <v/>
      </c>
      <c r="B155" s="15"/>
      <c r="C155" s="15"/>
      <c r="D155" s="16" t="str">
        <f aca="false">IF($C155="","",IF($G155="Einstaklingsbundið",IFERROR(IF(INDEX('Undirviðmiðalisti (Lýsigögn)'!$D$42:$D$58,MATCH($C155,'Undirviðmiðalisti (Lýsigögn)'!$C$42:$C$58,0))="","",INDEX('Undirviðmiðalisti (Lýsigögn)'!$D$42:$D$58,MATCH($C155,'Undirviðmiðalisti (Lýsigögn)'!$C$42:$C$58,0))),""),IFERROR(IF(INDEX('Undirviðmiðalisti (Lýsigögn)'!$D$6:$D$41,MATCH($C155,'Undirviðmiðalisti (Lýsigögn)'!$C$6:$C$41,0))="","",INDEX('Undirviðmiðalisti (Lýsigögn)'!$D$6:$D$41,MATCH($C155,'Undirviðmiðalisti (Lýsigögn)'!$C$6:$C$41,0))),IFERROR(IF(INDEX('Undirviðmiðalisti (Lýsigögn)'!$D$42:$D$58,MATCH($C155,'Undirviðmiðalisti (Lýsigögn)'!$C$42:$C$58,0))="","",INDEX('Undirviðmiðalisti (Lýsigögn)'!$D$42:$D$58,MATCH($C155,'Undirviðmiðalisti (Lýsigögn)'!$C$42:$C$58,0))),""))))</f>
        <v/>
      </c>
      <c r="E155" s="14"/>
      <c r="F155" s="23" t="str">
        <f aca="false">IF($C155="","",IF($G155="Einstaklingsbundið",IFERROR(IF(INDEX('Undirviðmiðalisti (Lýsigögn)'!$E$42:$E$58,MATCH($C155,'Undirviðmiðalisti (Lýsigögn)'!$C$42:$C$58,0))="","",INDEX('Undirviðmiðalisti (Lýsigögn)'!$E$42:$E$58,MATCH($C155,'Undirviðmiðalisti (Lýsigögn)'!$C$42:$C$58,0))),""),IFERROR(IF(INDEX('Undirviðmiðalisti (Lýsigögn)'!$E$6:$E$41,MATCH($C155,'Undirviðmiðalisti (Lýsigögn)'!$C$6:$C$41,0))="","",INDEX('Undirviðmiðalisti (Lýsigögn)'!$E$6:$E$41,MATCH($C155,'Undirviðmiðalisti (Lýsigögn)'!$C$6:$C$41,0))),IFERROR(IF(INDEX('Undirviðmiðalisti (Lýsigögn)'!$E$42:$E$58,MATCH($C155,'Undirviðmiðalisti (Lýsigögn)'!$C$42:$C$58,0))="","",INDEX('Undirviðmiðalisti (Lýsigögn)'!$E$42:$E$58,MATCH($C155,'Undirviðmiðalisti (Lýsigögn)'!$C$42:$C$58,0))),""))))</f>
        <v/>
      </c>
      <c r="G155" s="24" t="str">
        <f aca="false">IFERROR(IF(B155="","",INDEX(Viðmið!$B$6:$B$10,MATCH(B155,Viðmið!$C$6:$C$10,0))),"")</f>
        <v/>
      </c>
      <c r="H155" s="25" t="str">
        <f aca="false">IF(OR(E155="",F155=""),"",E155*KVARDI)</f>
        <v/>
      </c>
      <c r="I155" s="26" t="str">
        <f aca="false">IF(B155="","",IF(ROUND(SUMIF($B$6:$B$205,B155,$E$6:$E$205),4)=ROUND(IFERROR(INDEX(Viðmið!$E$6:$E$10,MATCH(B155,Viðmið!$C$6:$C$10,0)),-1),4),"✓","✗"))</f>
        <v/>
      </c>
      <c r="J155" s="16" t="str">
        <f aca="false">IF($C155="","",IF($G155="Einstaklingsbundið",IFERROR(IF(INDEX('Undirviðmiðalisti (Lýsigögn)'!F$42:F$58,MATCH($C155,'Undirviðmiðalisti (Lýsigögn)'!$C$42:$C$58,0))="","",INDEX('Undirviðmiðalisti (Lýsigögn)'!F$42:F$58,MATCH($C155,'Undirviðmiðalisti (Lýsigögn)'!$C$42:$C$58,0))),""),IFERROR(IF(INDEX('Undirviðmiðalisti (Lýsigögn)'!F$6:F$41,MATCH($C155,'Undirviðmiðalisti (Lýsigögn)'!$C$6:$C$41,0))="","",INDEX('Undirviðmiðalisti (Lýsigögn)'!F$6:F$41,MATCH($C155,'Undirviðmiðalisti (Lýsigögn)'!$C$6:$C$41,0))),IFERROR(IF(INDEX('Undirviðmiðalisti (Lýsigögn)'!F$42:F$58,MATCH($C155,'Undirviðmiðalisti (Lýsigögn)'!$C$42:$C$58,0))="","",INDEX('Undirviðmiðalisti (Lýsigögn)'!F$42:F$58,MATCH($C155,'Undirviðmiðalisti (Lýsigögn)'!$C$42:$C$58,0))),""))))</f>
        <v/>
      </c>
      <c r="K155" s="16" t="str">
        <f aca="false">IF($C155="","",IF($G155="Einstaklingsbundið",IFERROR(IF(INDEX('Undirviðmiðalisti (Lýsigögn)'!G$42:G$58,MATCH($C155,'Undirviðmiðalisti (Lýsigögn)'!$C$42:$C$58,0))="","",INDEX('Undirviðmiðalisti (Lýsigögn)'!G$42:G$58,MATCH($C155,'Undirviðmiðalisti (Lýsigögn)'!$C$42:$C$58,0))),""),IFERROR(IF(INDEX('Undirviðmiðalisti (Lýsigögn)'!G$6:G$41,MATCH($C155,'Undirviðmiðalisti (Lýsigögn)'!$C$6:$C$41,0))="","",INDEX('Undirviðmiðalisti (Lýsigögn)'!G$6:G$41,MATCH($C155,'Undirviðmiðalisti (Lýsigögn)'!$C$6:$C$41,0))),IFERROR(IF(INDEX('Undirviðmiðalisti (Lýsigögn)'!G$42:G$58,MATCH($C155,'Undirviðmiðalisti (Lýsigögn)'!$C$42:$C$58,0))="","",INDEX('Undirviðmiðalisti (Lýsigögn)'!G$42:G$58,MATCH($C155,'Undirviðmiðalisti (Lýsigögn)'!$C$42:$C$58,0))),""))))</f>
        <v/>
      </c>
      <c r="L155" s="16" t="str">
        <f aca="false">IF($C155="","",IF($G155="Einstaklingsbundið",IFERROR(IF(INDEX('Undirviðmiðalisti (Lýsigögn)'!H$42:H$58,MATCH($C155,'Undirviðmiðalisti (Lýsigögn)'!$C$42:$C$58,0))="","",INDEX('Undirviðmiðalisti (Lýsigögn)'!H$42:H$58,MATCH($C155,'Undirviðmiðalisti (Lýsigögn)'!$C$42:$C$58,0))),""),IFERROR(IF(INDEX('Undirviðmiðalisti (Lýsigögn)'!H$6:H$41,MATCH($C155,'Undirviðmiðalisti (Lýsigögn)'!$C$6:$C$41,0))="","",INDEX('Undirviðmiðalisti (Lýsigögn)'!H$6:H$41,MATCH($C155,'Undirviðmiðalisti (Lýsigögn)'!$C$6:$C$41,0))),IFERROR(IF(INDEX('Undirviðmiðalisti (Lýsigögn)'!H$42:H$58,MATCH($C155,'Undirviðmiðalisti (Lýsigögn)'!$C$42:$C$58,0))="","",INDEX('Undirviðmiðalisti (Lýsigögn)'!H$42:H$58,MATCH($C155,'Undirviðmiðalisti (Lýsigögn)'!$C$42:$C$58,0))),""))))</f>
        <v/>
      </c>
      <c r="M155" s="16" t="str">
        <f aca="false">IF($C155="","",IF($G155="Einstaklingsbundið",IFERROR(IF(INDEX('Undirviðmiðalisti (Lýsigögn)'!I$42:I$58,MATCH($C155,'Undirviðmiðalisti (Lýsigögn)'!$C$42:$C$58,0))="","",INDEX('Undirviðmiðalisti (Lýsigögn)'!I$42:I$58,MATCH($C155,'Undirviðmiðalisti (Lýsigögn)'!$C$42:$C$58,0))),""),IFERROR(IF(INDEX('Undirviðmiðalisti (Lýsigögn)'!I$6:I$41,MATCH($C155,'Undirviðmiðalisti (Lýsigögn)'!$C$6:$C$41,0))="","",INDEX('Undirviðmiðalisti (Lýsigögn)'!I$6:I$41,MATCH($C155,'Undirviðmiðalisti (Lýsigögn)'!$C$6:$C$41,0))),IFERROR(IF(INDEX('Undirviðmiðalisti (Lýsigögn)'!I$42:I$58,MATCH($C155,'Undirviðmiðalisti (Lýsigögn)'!$C$42:$C$58,0))="","",INDEX('Undirviðmiðalisti (Lýsigögn)'!I$42:I$58,MATCH($C155,'Undirviðmiðalisti (Lýsigögn)'!$C$42:$C$58,0))),""))))</f>
        <v/>
      </c>
      <c r="N155" s="16" t="str">
        <f aca="false">IF($C155="","",IF($G155="Einstaklingsbundið",IFERROR(IF(INDEX('Undirviðmiðalisti (Lýsigögn)'!J$42:J$58,MATCH($C155,'Undirviðmiðalisti (Lýsigögn)'!$C$42:$C$58,0))="","",INDEX('Undirviðmiðalisti (Lýsigögn)'!J$42:J$58,MATCH($C155,'Undirviðmiðalisti (Lýsigögn)'!$C$42:$C$58,0))),""),IFERROR(IF(INDEX('Undirviðmiðalisti (Lýsigögn)'!J$6:J$41,MATCH($C155,'Undirviðmiðalisti (Lýsigögn)'!$C$6:$C$41,0))="","",INDEX('Undirviðmiðalisti (Lýsigögn)'!J$6:J$41,MATCH($C155,'Undirviðmiðalisti (Lýsigögn)'!$C$6:$C$41,0))),IFERROR(IF(INDEX('Undirviðmiðalisti (Lýsigögn)'!J$42:J$58,MATCH($C155,'Undirviðmiðalisti (Lýsigögn)'!$C$42:$C$58,0))="","",INDEX('Undirviðmiðalisti (Lýsigögn)'!J$42:J$58,MATCH($C155,'Undirviðmiðalisti (Lýsigögn)'!$C$42:$C$58,0))),""))))</f>
        <v/>
      </c>
      <c r="O155" s="16" t="str">
        <f aca="false">IF($C155="","",IF($G155="Einstaklingsbundið",IFERROR(IF(INDEX('Undirviðmiðalisti (Lýsigögn)'!K$42:K$58,MATCH($C155,'Undirviðmiðalisti (Lýsigögn)'!$C$42:$C$58,0))="","",INDEX('Undirviðmiðalisti (Lýsigögn)'!K$42:K$58,MATCH($C155,'Undirviðmiðalisti (Lýsigögn)'!$C$42:$C$58,0))),""),IFERROR(IF(INDEX('Undirviðmiðalisti (Lýsigögn)'!K$6:K$41,MATCH($C155,'Undirviðmiðalisti (Lýsigögn)'!$C$6:$C$41,0))="","",INDEX('Undirviðmiðalisti (Lýsigögn)'!K$6:K$41,MATCH($C155,'Undirviðmiðalisti (Lýsigögn)'!$C$6:$C$41,0))),IFERROR(IF(INDEX('Undirviðmiðalisti (Lýsigögn)'!K$42:K$58,MATCH($C155,'Undirviðmiðalisti (Lýsigögn)'!$C$42:$C$58,0))="","",INDEX('Undirviðmiðalisti (Lýsigögn)'!K$42:K$58,MATCH($C155,'Undirviðmiðalisti (Lýsigögn)'!$C$42:$C$58,0))),""))))</f>
        <v/>
      </c>
      <c r="P155" s="16" t="str">
        <f aca="false">IF($C155="","",IF($G155="Einstaklingsbundið",IFERROR(IF(INDEX('Undirviðmiðalisti (Lýsigögn)'!L$42:L$58,MATCH($C155,'Undirviðmiðalisti (Lýsigögn)'!$C$42:$C$58,0))="","",INDEX('Undirviðmiðalisti (Lýsigögn)'!L$42:L$58,MATCH($C155,'Undirviðmiðalisti (Lýsigögn)'!$C$42:$C$58,0))),""),IFERROR(IF(INDEX('Undirviðmiðalisti (Lýsigögn)'!L$6:L$41,MATCH($C155,'Undirviðmiðalisti (Lýsigögn)'!$C$6:$C$41,0))="","",INDEX('Undirviðmiðalisti (Lýsigögn)'!L$6:L$41,MATCH($C155,'Undirviðmiðalisti (Lýsigögn)'!$C$6:$C$41,0))),IFERROR(IF(INDEX('Undirviðmiðalisti (Lýsigögn)'!L$42:L$58,MATCH($C155,'Undirviðmiðalisti (Lýsigögn)'!$C$42:$C$58,0))="","",INDEX('Undirviðmiðalisti (Lýsigögn)'!L$42:L$58,MATCH($C155,'Undirviðmiðalisti (Lýsigögn)'!$C$42:$C$58,0))),""))))</f>
        <v/>
      </c>
      <c r="Q155" s="16" t="str">
        <f aca="false">IF($C155="","",IF($G155="Einstaklingsbundið",IFERROR(IF(INDEX('Undirviðmiðalisti (Lýsigögn)'!M$42:M$58,MATCH($C155,'Undirviðmiðalisti (Lýsigögn)'!$C$42:$C$58,0))="","",INDEX('Undirviðmiðalisti (Lýsigögn)'!M$42:M$58,MATCH($C155,'Undirviðmiðalisti (Lýsigögn)'!$C$42:$C$58,0))),""),IFERROR(IF(INDEX('Undirviðmiðalisti (Lýsigögn)'!M$6:M$41,MATCH($C155,'Undirviðmiðalisti (Lýsigögn)'!$C$6:$C$41,0))="","",INDEX('Undirviðmiðalisti (Lýsigögn)'!M$6:M$41,MATCH($C155,'Undirviðmiðalisti (Lýsigögn)'!$C$6:$C$41,0))),IFERROR(IF(INDEX('Undirviðmiðalisti (Lýsigögn)'!M$42:M$58,MATCH($C155,'Undirviðmiðalisti (Lýsigögn)'!$C$42:$C$58,0))="","",INDEX('Undirviðmiðalisti (Lýsigögn)'!M$42:M$58,MATCH($C155,'Undirviðmiðalisti (Lýsigögn)'!$C$42:$C$58,0))),""))))</f>
        <v/>
      </c>
    </row>
    <row r="156" customFormat="false" ht="15" hidden="false" customHeight="true" outlineLevel="0" collapsed="false">
      <c r="A156" s="22" t="str">
        <f aca="false">IF($B156="","",ROW()-5)</f>
        <v/>
      </c>
      <c r="B156" s="15"/>
      <c r="C156" s="15"/>
      <c r="D156" s="16" t="str">
        <f aca="false">IF($C156="","",IF($G156="Einstaklingsbundið",IFERROR(IF(INDEX('Undirviðmiðalisti (Lýsigögn)'!$D$42:$D$58,MATCH($C156,'Undirviðmiðalisti (Lýsigögn)'!$C$42:$C$58,0))="","",INDEX('Undirviðmiðalisti (Lýsigögn)'!$D$42:$D$58,MATCH($C156,'Undirviðmiðalisti (Lýsigögn)'!$C$42:$C$58,0))),""),IFERROR(IF(INDEX('Undirviðmiðalisti (Lýsigögn)'!$D$6:$D$41,MATCH($C156,'Undirviðmiðalisti (Lýsigögn)'!$C$6:$C$41,0))="","",INDEX('Undirviðmiðalisti (Lýsigögn)'!$D$6:$D$41,MATCH($C156,'Undirviðmiðalisti (Lýsigögn)'!$C$6:$C$41,0))),IFERROR(IF(INDEX('Undirviðmiðalisti (Lýsigögn)'!$D$42:$D$58,MATCH($C156,'Undirviðmiðalisti (Lýsigögn)'!$C$42:$C$58,0))="","",INDEX('Undirviðmiðalisti (Lýsigögn)'!$D$42:$D$58,MATCH($C156,'Undirviðmiðalisti (Lýsigögn)'!$C$42:$C$58,0))),""))))</f>
        <v/>
      </c>
      <c r="E156" s="14"/>
      <c r="F156" s="23" t="str">
        <f aca="false">IF($C156="","",IF($G156="Einstaklingsbundið",IFERROR(IF(INDEX('Undirviðmiðalisti (Lýsigögn)'!$E$42:$E$58,MATCH($C156,'Undirviðmiðalisti (Lýsigögn)'!$C$42:$C$58,0))="","",INDEX('Undirviðmiðalisti (Lýsigögn)'!$E$42:$E$58,MATCH($C156,'Undirviðmiðalisti (Lýsigögn)'!$C$42:$C$58,0))),""),IFERROR(IF(INDEX('Undirviðmiðalisti (Lýsigögn)'!$E$6:$E$41,MATCH($C156,'Undirviðmiðalisti (Lýsigögn)'!$C$6:$C$41,0))="","",INDEX('Undirviðmiðalisti (Lýsigögn)'!$E$6:$E$41,MATCH($C156,'Undirviðmiðalisti (Lýsigögn)'!$C$6:$C$41,0))),IFERROR(IF(INDEX('Undirviðmiðalisti (Lýsigögn)'!$E$42:$E$58,MATCH($C156,'Undirviðmiðalisti (Lýsigögn)'!$C$42:$C$58,0))="","",INDEX('Undirviðmiðalisti (Lýsigögn)'!$E$42:$E$58,MATCH($C156,'Undirviðmiðalisti (Lýsigögn)'!$C$42:$C$58,0))),""))))</f>
        <v/>
      </c>
      <c r="G156" s="24" t="str">
        <f aca="false">IFERROR(IF(B156="","",INDEX(Viðmið!$B$6:$B$10,MATCH(B156,Viðmið!$C$6:$C$10,0))),"")</f>
        <v/>
      </c>
      <c r="H156" s="25" t="str">
        <f aca="false">IF(OR(E156="",F156=""),"",E156*KVARDI)</f>
        <v/>
      </c>
      <c r="I156" s="26" t="str">
        <f aca="false">IF(B156="","",IF(ROUND(SUMIF($B$6:$B$205,B156,$E$6:$E$205),4)=ROUND(IFERROR(INDEX(Viðmið!$E$6:$E$10,MATCH(B156,Viðmið!$C$6:$C$10,0)),-1),4),"✓","✗"))</f>
        <v/>
      </c>
      <c r="J156" s="16" t="str">
        <f aca="false">IF($C156="","",IF($G156="Einstaklingsbundið",IFERROR(IF(INDEX('Undirviðmiðalisti (Lýsigögn)'!F$42:F$58,MATCH($C156,'Undirviðmiðalisti (Lýsigögn)'!$C$42:$C$58,0))="","",INDEX('Undirviðmiðalisti (Lýsigögn)'!F$42:F$58,MATCH($C156,'Undirviðmiðalisti (Lýsigögn)'!$C$42:$C$58,0))),""),IFERROR(IF(INDEX('Undirviðmiðalisti (Lýsigögn)'!F$6:F$41,MATCH($C156,'Undirviðmiðalisti (Lýsigögn)'!$C$6:$C$41,0))="","",INDEX('Undirviðmiðalisti (Lýsigögn)'!F$6:F$41,MATCH($C156,'Undirviðmiðalisti (Lýsigögn)'!$C$6:$C$41,0))),IFERROR(IF(INDEX('Undirviðmiðalisti (Lýsigögn)'!F$42:F$58,MATCH($C156,'Undirviðmiðalisti (Lýsigögn)'!$C$42:$C$58,0))="","",INDEX('Undirviðmiðalisti (Lýsigögn)'!F$42:F$58,MATCH($C156,'Undirviðmiðalisti (Lýsigögn)'!$C$42:$C$58,0))),""))))</f>
        <v/>
      </c>
      <c r="K156" s="16" t="str">
        <f aca="false">IF($C156="","",IF($G156="Einstaklingsbundið",IFERROR(IF(INDEX('Undirviðmiðalisti (Lýsigögn)'!G$42:G$58,MATCH($C156,'Undirviðmiðalisti (Lýsigögn)'!$C$42:$C$58,0))="","",INDEX('Undirviðmiðalisti (Lýsigögn)'!G$42:G$58,MATCH($C156,'Undirviðmiðalisti (Lýsigögn)'!$C$42:$C$58,0))),""),IFERROR(IF(INDEX('Undirviðmiðalisti (Lýsigögn)'!G$6:G$41,MATCH($C156,'Undirviðmiðalisti (Lýsigögn)'!$C$6:$C$41,0))="","",INDEX('Undirviðmiðalisti (Lýsigögn)'!G$6:G$41,MATCH($C156,'Undirviðmiðalisti (Lýsigögn)'!$C$6:$C$41,0))),IFERROR(IF(INDEX('Undirviðmiðalisti (Lýsigögn)'!G$42:G$58,MATCH($C156,'Undirviðmiðalisti (Lýsigögn)'!$C$42:$C$58,0))="","",INDEX('Undirviðmiðalisti (Lýsigögn)'!G$42:G$58,MATCH($C156,'Undirviðmiðalisti (Lýsigögn)'!$C$42:$C$58,0))),""))))</f>
        <v/>
      </c>
      <c r="L156" s="16" t="str">
        <f aca="false">IF($C156="","",IF($G156="Einstaklingsbundið",IFERROR(IF(INDEX('Undirviðmiðalisti (Lýsigögn)'!H$42:H$58,MATCH($C156,'Undirviðmiðalisti (Lýsigögn)'!$C$42:$C$58,0))="","",INDEX('Undirviðmiðalisti (Lýsigögn)'!H$42:H$58,MATCH($C156,'Undirviðmiðalisti (Lýsigögn)'!$C$42:$C$58,0))),""),IFERROR(IF(INDEX('Undirviðmiðalisti (Lýsigögn)'!H$6:H$41,MATCH($C156,'Undirviðmiðalisti (Lýsigögn)'!$C$6:$C$41,0))="","",INDEX('Undirviðmiðalisti (Lýsigögn)'!H$6:H$41,MATCH($C156,'Undirviðmiðalisti (Lýsigögn)'!$C$6:$C$41,0))),IFERROR(IF(INDEX('Undirviðmiðalisti (Lýsigögn)'!H$42:H$58,MATCH($C156,'Undirviðmiðalisti (Lýsigögn)'!$C$42:$C$58,0))="","",INDEX('Undirviðmiðalisti (Lýsigögn)'!H$42:H$58,MATCH($C156,'Undirviðmiðalisti (Lýsigögn)'!$C$42:$C$58,0))),""))))</f>
        <v/>
      </c>
      <c r="M156" s="16" t="str">
        <f aca="false">IF($C156="","",IF($G156="Einstaklingsbundið",IFERROR(IF(INDEX('Undirviðmiðalisti (Lýsigögn)'!I$42:I$58,MATCH($C156,'Undirviðmiðalisti (Lýsigögn)'!$C$42:$C$58,0))="","",INDEX('Undirviðmiðalisti (Lýsigögn)'!I$42:I$58,MATCH($C156,'Undirviðmiðalisti (Lýsigögn)'!$C$42:$C$58,0))),""),IFERROR(IF(INDEX('Undirviðmiðalisti (Lýsigögn)'!I$6:I$41,MATCH($C156,'Undirviðmiðalisti (Lýsigögn)'!$C$6:$C$41,0))="","",INDEX('Undirviðmiðalisti (Lýsigögn)'!I$6:I$41,MATCH($C156,'Undirviðmiðalisti (Lýsigögn)'!$C$6:$C$41,0))),IFERROR(IF(INDEX('Undirviðmiðalisti (Lýsigögn)'!I$42:I$58,MATCH($C156,'Undirviðmiðalisti (Lýsigögn)'!$C$42:$C$58,0))="","",INDEX('Undirviðmiðalisti (Lýsigögn)'!I$42:I$58,MATCH($C156,'Undirviðmiðalisti (Lýsigögn)'!$C$42:$C$58,0))),""))))</f>
        <v/>
      </c>
      <c r="N156" s="16" t="str">
        <f aca="false">IF($C156="","",IF($G156="Einstaklingsbundið",IFERROR(IF(INDEX('Undirviðmiðalisti (Lýsigögn)'!J$42:J$58,MATCH($C156,'Undirviðmiðalisti (Lýsigögn)'!$C$42:$C$58,0))="","",INDEX('Undirviðmiðalisti (Lýsigögn)'!J$42:J$58,MATCH($C156,'Undirviðmiðalisti (Lýsigögn)'!$C$42:$C$58,0))),""),IFERROR(IF(INDEX('Undirviðmiðalisti (Lýsigögn)'!J$6:J$41,MATCH($C156,'Undirviðmiðalisti (Lýsigögn)'!$C$6:$C$41,0))="","",INDEX('Undirviðmiðalisti (Lýsigögn)'!J$6:J$41,MATCH($C156,'Undirviðmiðalisti (Lýsigögn)'!$C$6:$C$41,0))),IFERROR(IF(INDEX('Undirviðmiðalisti (Lýsigögn)'!J$42:J$58,MATCH($C156,'Undirviðmiðalisti (Lýsigögn)'!$C$42:$C$58,0))="","",INDEX('Undirviðmiðalisti (Lýsigögn)'!J$42:J$58,MATCH($C156,'Undirviðmiðalisti (Lýsigögn)'!$C$42:$C$58,0))),""))))</f>
        <v/>
      </c>
      <c r="O156" s="16" t="str">
        <f aca="false">IF($C156="","",IF($G156="Einstaklingsbundið",IFERROR(IF(INDEX('Undirviðmiðalisti (Lýsigögn)'!K$42:K$58,MATCH($C156,'Undirviðmiðalisti (Lýsigögn)'!$C$42:$C$58,0))="","",INDEX('Undirviðmiðalisti (Lýsigögn)'!K$42:K$58,MATCH($C156,'Undirviðmiðalisti (Lýsigögn)'!$C$42:$C$58,0))),""),IFERROR(IF(INDEX('Undirviðmiðalisti (Lýsigögn)'!K$6:K$41,MATCH($C156,'Undirviðmiðalisti (Lýsigögn)'!$C$6:$C$41,0))="","",INDEX('Undirviðmiðalisti (Lýsigögn)'!K$6:K$41,MATCH($C156,'Undirviðmiðalisti (Lýsigögn)'!$C$6:$C$41,0))),IFERROR(IF(INDEX('Undirviðmiðalisti (Lýsigögn)'!K$42:K$58,MATCH($C156,'Undirviðmiðalisti (Lýsigögn)'!$C$42:$C$58,0))="","",INDEX('Undirviðmiðalisti (Lýsigögn)'!K$42:K$58,MATCH($C156,'Undirviðmiðalisti (Lýsigögn)'!$C$42:$C$58,0))),""))))</f>
        <v/>
      </c>
      <c r="P156" s="16" t="str">
        <f aca="false">IF($C156="","",IF($G156="Einstaklingsbundið",IFERROR(IF(INDEX('Undirviðmiðalisti (Lýsigögn)'!L$42:L$58,MATCH($C156,'Undirviðmiðalisti (Lýsigögn)'!$C$42:$C$58,0))="","",INDEX('Undirviðmiðalisti (Lýsigögn)'!L$42:L$58,MATCH($C156,'Undirviðmiðalisti (Lýsigögn)'!$C$42:$C$58,0))),""),IFERROR(IF(INDEX('Undirviðmiðalisti (Lýsigögn)'!L$6:L$41,MATCH($C156,'Undirviðmiðalisti (Lýsigögn)'!$C$6:$C$41,0))="","",INDEX('Undirviðmiðalisti (Lýsigögn)'!L$6:L$41,MATCH($C156,'Undirviðmiðalisti (Lýsigögn)'!$C$6:$C$41,0))),IFERROR(IF(INDEX('Undirviðmiðalisti (Lýsigögn)'!L$42:L$58,MATCH($C156,'Undirviðmiðalisti (Lýsigögn)'!$C$42:$C$58,0))="","",INDEX('Undirviðmiðalisti (Lýsigögn)'!L$42:L$58,MATCH($C156,'Undirviðmiðalisti (Lýsigögn)'!$C$42:$C$58,0))),""))))</f>
        <v/>
      </c>
      <c r="Q156" s="16" t="str">
        <f aca="false">IF($C156="","",IF($G156="Einstaklingsbundið",IFERROR(IF(INDEX('Undirviðmiðalisti (Lýsigögn)'!M$42:M$58,MATCH($C156,'Undirviðmiðalisti (Lýsigögn)'!$C$42:$C$58,0))="","",INDEX('Undirviðmiðalisti (Lýsigögn)'!M$42:M$58,MATCH($C156,'Undirviðmiðalisti (Lýsigögn)'!$C$42:$C$58,0))),""),IFERROR(IF(INDEX('Undirviðmiðalisti (Lýsigögn)'!M$6:M$41,MATCH($C156,'Undirviðmiðalisti (Lýsigögn)'!$C$6:$C$41,0))="","",INDEX('Undirviðmiðalisti (Lýsigögn)'!M$6:M$41,MATCH($C156,'Undirviðmiðalisti (Lýsigögn)'!$C$6:$C$41,0))),IFERROR(IF(INDEX('Undirviðmiðalisti (Lýsigögn)'!M$42:M$58,MATCH($C156,'Undirviðmiðalisti (Lýsigögn)'!$C$42:$C$58,0))="","",INDEX('Undirviðmiðalisti (Lýsigögn)'!M$42:M$58,MATCH($C156,'Undirviðmiðalisti (Lýsigögn)'!$C$42:$C$58,0))),""))))</f>
        <v/>
      </c>
    </row>
    <row r="157" customFormat="false" ht="15" hidden="false" customHeight="true" outlineLevel="0" collapsed="false">
      <c r="A157" s="22" t="str">
        <f aca="false">IF($B157="","",ROW()-5)</f>
        <v/>
      </c>
      <c r="B157" s="15"/>
      <c r="C157" s="15"/>
      <c r="D157" s="16" t="str">
        <f aca="false">IF($C157="","",IF($G157="Einstaklingsbundið",IFERROR(IF(INDEX('Undirviðmiðalisti (Lýsigögn)'!$D$42:$D$58,MATCH($C157,'Undirviðmiðalisti (Lýsigögn)'!$C$42:$C$58,0))="","",INDEX('Undirviðmiðalisti (Lýsigögn)'!$D$42:$D$58,MATCH($C157,'Undirviðmiðalisti (Lýsigögn)'!$C$42:$C$58,0))),""),IFERROR(IF(INDEX('Undirviðmiðalisti (Lýsigögn)'!$D$6:$D$41,MATCH($C157,'Undirviðmiðalisti (Lýsigögn)'!$C$6:$C$41,0))="","",INDEX('Undirviðmiðalisti (Lýsigögn)'!$D$6:$D$41,MATCH($C157,'Undirviðmiðalisti (Lýsigögn)'!$C$6:$C$41,0))),IFERROR(IF(INDEX('Undirviðmiðalisti (Lýsigögn)'!$D$42:$D$58,MATCH($C157,'Undirviðmiðalisti (Lýsigögn)'!$C$42:$C$58,0))="","",INDEX('Undirviðmiðalisti (Lýsigögn)'!$D$42:$D$58,MATCH($C157,'Undirviðmiðalisti (Lýsigögn)'!$C$42:$C$58,0))),""))))</f>
        <v/>
      </c>
      <c r="E157" s="14"/>
      <c r="F157" s="23" t="str">
        <f aca="false">IF($C157="","",IF($G157="Einstaklingsbundið",IFERROR(IF(INDEX('Undirviðmiðalisti (Lýsigögn)'!$E$42:$E$58,MATCH($C157,'Undirviðmiðalisti (Lýsigögn)'!$C$42:$C$58,0))="","",INDEX('Undirviðmiðalisti (Lýsigögn)'!$E$42:$E$58,MATCH($C157,'Undirviðmiðalisti (Lýsigögn)'!$C$42:$C$58,0))),""),IFERROR(IF(INDEX('Undirviðmiðalisti (Lýsigögn)'!$E$6:$E$41,MATCH($C157,'Undirviðmiðalisti (Lýsigögn)'!$C$6:$C$41,0))="","",INDEX('Undirviðmiðalisti (Lýsigögn)'!$E$6:$E$41,MATCH($C157,'Undirviðmiðalisti (Lýsigögn)'!$C$6:$C$41,0))),IFERROR(IF(INDEX('Undirviðmiðalisti (Lýsigögn)'!$E$42:$E$58,MATCH($C157,'Undirviðmiðalisti (Lýsigögn)'!$C$42:$C$58,0))="","",INDEX('Undirviðmiðalisti (Lýsigögn)'!$E$42:$E$58,MATCH($C157,'Undirviðmiðalisti (Lýsigögn)'!$C$42:$C$58,0))),""))))</f>
        <v/>
      </c>
      <c r="G157" s="24" t="str">
        <f aca="false">IFERROR(IF(B157="","",INDEX(Viðmið!$B$6:$B$10,MATCH(B157,Viðmið!$C$6:$C$10,0))),"")</f>
        <v/>
      </c>
      <c r="H157" s="25" t="str">
        <f aca="false">IF(OR(E157="",F157=""),"",E157*KVARDI)</f>
        <v/>
      </c>
      <c r="I157" s="26" t="str">
        <f aca="false">IF(B157="","",IF(ROUND(SUMIF($B$6:$B$205,B157,$E$6:$E$205),4)=ROUND(IFERROR(INDEX(Viðmið!$E$6:$E$10,MATCH(B157,Viðmið!$C$6:$C$10,0)),-1),4),"✓","✗"))</f>
        <v/>
      </c>
      <c r="J157" s="16" t="str">
        <f aca="false">IF($C157="","",IF($G157="Einstaklingsbundið",IFERROR(IF(INDEX('Undirviðmiðalisti (Lýsigögn)'!F$42:F$58,MATCH($C157,'Undirviðmiðalisti (Lýsigögn)'!$C$42:$C$58,0))="","",INDEX('Undirviðmiðalisti (Lýsigögn)'!F$42:F$58,MATCH($C157,'Undirviðmiðalisti (Lýsigögn)'!$C$42:$C$58,0))),""),IFERROR(IF(INDEX('Undirviðmiðalisti (Lýsigögn)'!F$6:F$41,MATCH($C157,'Undirviðmiðalisti (Lýsigögn)'!$C$6:$C$41,0))="","",INDEX('Undirviðmiðalisti (Lýsigögn)'!F$6:F$41,MATCH($C157,'Undirviðmiðalisti (Lýsigögn)'!$C$6:$C$41,0))),IFERROR(IF(INDEX('Undirviðmiðalisti (Lýsigögn)'!F$42:F$58,MATCH($C157,'Undirviðmiðalisti (Lýsigögn)'!$C$42:$C$58,0))="","",INDEX('Undirviðmiðalisti (Lýsigögn)'!F$42:F$58,MATCH($C157,'Undirviðmiðalisti (Lýsigögn)'!$C$42:$C$58,0))),""))))</f>
        <v/>
      </c>
      <c r="K157" s="16" t="str">
        <f aca="false">IF($C157="","",IF($G157="Einstaklingsbundið",IFERROR(IF(INDEX('Undirviðmiðalisti (Lýsigögn)'!G$42:G$58,MATCH($C157,'Undirviðmiðalisti (Lýsigögn)'!$C$42:$C$58,0))="","",INDEX('Undirviðmiðalisti (Lýsigögn)'!G$42:G$58,MATCH($C157,'Undirviðmiðalisti (Lýsigögn)'!$C$42:$C$58,0))),""),IFERROR(IF(INDEX('Undirviðmiðalisti (Lýsigögn)'!G$6:G$41,MATCH($C157,'Undirviðmiðalisti (Lýsigögn)'!$C$6:$C$41,0))="","",INDEX('Undirviðmiðalisti (Lýsigögn)'!G$6:G$41,MATCH($C157,'Undirviðmiðalisti (Lýsigögn)'!$C$6:$C$41,0))),IFERROR(IF(INDEX('Undirviðmiðalisti (Lýsigögn)'!G$42:G$58,MATCH($C157,'Undirviðmiðalisti (Lýsigögn)'!$C$42:$C$58,0))="","",INDEX('Undirviðmiðalisti (Lýsigögn)'!G$42:G$58,MATCH($C157,'Undirviðmiðalisti (Lýsigögn)'!$C$42:$C$58,0))),""))))</f>
        <v/>
      </c>
      <c r="L157" s="16" t="str">
        <f aca="false">IF($C157="","",IF($G157="Einstaklingsbundið",IFERROR(IF(INDEX('Undirviðmiðalisti (Lýsigögn)'!H$42:H$58,MATCH($C157,'Undirviðmiðalisti (Lýsigögn)'!$C$42:$C$58,0))="","",INDEX('Undirviðmiðalisti (Lýsigögn)'!H$42:H$58,MATCH($C157,'Undirviðmiðalisti (Lýsigögn)'!$C$42:$C$58,0))),""),IFERROR(IF(INDEX('Undirviðmiðalisti (Lýsigögn)'!H$6:H$41,MATCH($C157,'Undirviðmiðalisti (Lýsigögn)'!$C$6:$C$41,0))="","",INDEX('Undirviðmiðalisti (Lýsigögn)'!H$6:H$41,MATCH($C157,'Undirviðmiðalisti (Lýsigögn)'!$C$6:$C$41,0))),IFERROR(IF(INDEX('Undirviðmiðalisti (Lýsigögn)'!H$42:H$58,MATCH($C157,'Undirviðmiðalisti (Lýsigögn)'!$C$42:$C$58,0))="","",INDEX('Undirviðmiðalisti (Lýsigögn)'!H$42:H$58,MATCH($C157,'Undirviðmiðalisti (Lýsigögn)'!$C$42:$C$58,0))),""))))</f>
        <v/>
      </c>
      <c r="M157" s="16" t="str">
        <f aca="false">IF($C157="","",IF($G157="Einstaklingsbundið",IFERROR(IF(INDEX('Undirviðmiðalisti (Lýsigögn)'!I$42:I$58,MATCH($C157,'Undirviðmiðalisti (Lýsigögn)'!$C$42:$C$58,0))="","",INDEX('Undirviðmiðalisti (Lýsigögn)'!I$42:I$58,MATCH($C157,'Undirviðmiðalisti (Lýsigögn)'!$C$42:$C$58,0))),""),IFERROR(IF(INDEX('Undirviðmiðalisti (Lýsigögn)'!I$6:I$41,MATCH($C157,'Undirviðmiðalisti (Lýsigögn)'!$C$6:$C$41,0))="","",INDEX('Undirviðmiðalisti (Lýsigögn)'!I$6:I$41,MATCH($C157,'Undirviðmiðalisti (Lýsigögn)'!$C$6:$C$41,0))),IFERROR(IF(INDEX('Undirviðmiðalisti (Lýsigögn)'!I$42:I$58,MATCH($C157,'Undirviðmiðalisti (Lýsigögn)'!$C$42:$C$58,0))="","",INDEX('Undirviðmiðalisti (Lýsigögn)'!I$42:I$58,MATCH($C157,'Undirviðmiðalisti (Lýsigögn)'!$C$42:$C$58,0))),""))))</f>
        <v/>
      </c>
      <c r="N157" s="16" t="str">
        <f aca="false">IF($C157="","",IF($G157="Einstaklingsbundið",IFERROR(IF(INDEX('Undirviðmiðalisti (Lýsigögn)'!J$42:J$58,MATCH($C157,'Undirviðmiðalisti (Lýsigögn)'!$C$42:$C$58,0))="","",INDEX('Undirviðmiðalisti (Lýsigögn)'!J$42:J$58,MATCH($C157,'Undirviðmiðalisti (Lýsigögn)'!$C$42:$C$58,0))),""),IFERROR(IF(INDEX('Undirviðmiðalisti (Lýsigögn)'!J$6:J$41,MATCH($C157,'Undirviðmiðalisti (Lýsigögn)'!$C$6:$C$41,0))="","",INDEX('Undirviðmiðalisti (Lýsigögn)'!J$6:J$41,MATCH($C157,'Undirviðmiðalisti (Lýsigögn)'!$C$6:$C$41,0))),IFERROR(IF(INDEX('Undirviðmiðalisti (Lýsigögn)'!J$42:J$58,MATCH($C157,'Undirviðmiðalisti (Lýsigögn)'!$C$42:$C$58,0))="","",INDEX('Undirviðmiðalisti (Lýsigögn)'!J$42:J$58,MATCH($C157,'Undirviðmiðalisti (Lýsigögn)'!$C$42:$C$58,0))),""))))</f>
        <v/>
      </c>
      <c r="O157" s="16" t="str">
        <f aca="false">IF($C157="","",IF($G157="Einstaklingsbundið",IFERROR(IF(INDEX('Undirviðmiðalisti (Lýsigögn)'!K$42:K$58,MATCH($C157,'Undirviðmiðalisti (Lýsigögn)'!$C$42:$C$58,0))="","",INDEX('Undirviðmiðalisti (Lýsigögn)'!K$42:K$58,MATCH($C157,'Undirviðmiðalisti (Lýsigögn)'!$C$42:$C$58,0))),""),IFERROR(IF(INDEX('Undirviðmiðalisti (Lýsigögn)'!K$6:K$41,MATCH($C157,'Undirviðmiðalisti (Lýsigögn)'!$C$6:$C$41,0))="","",INDEX('Undirviðmiðalisti (Lýsigögn)'!K$6:K$41,MATCH($C157,'Undirviðmiðalisti (Lýsigögn)'!$C$6:$C$41,0))),IFERROR(IF(INDEX('Undirviðmiðalisti (Lýsigögn)'!K$42:K$58,MATCH($C157,'Undirviðmiðalisti (Lýsigögn)'!$C$42:$C$58,0))="","",INDEX('Undirviðmiðalisti (Lýsigögn)'!K$42:K$58,MATCH($C157,'Undirviðmiðalisti (Lýsigögn)'!$C$42:$C$58,0))),""))))</f>
        <v/>
      </c>
      <c r="P157" s="16" t="str">
        <f aca="false">IF($C157="","",IF($G157="Einstaklingsbundið",IFERROR(IF(INDEX('Undirviðmiðalisti (Lýsigögn)'!L$42:L$58,MATCH($C157,'Undirviðmiðalisti (Lýsigögn)'!$C$42:$C$58,0))="","",INDEX('Undirviðmiðalisti (Lýsigögn)'!L$42:L$58,MATCH($C157,'Undirviðmiðalisti (Lýsigögn)'!$C$42:$C$58,0))),""),IFERROR(IF(INDEX('Undirviðmiðalisti (Lýsigögn)'!L$6:L$41,MATCH($C157,'Undirviðmiðalisti (Lýsigögn)'!$C$6:$C$41,0))="","",INDEX('Undirviðmiðalisti (Lýsigögn)'!L$6:L$41,MATCH($C157,'Undirviðmiðalisti (Lýsigögn)'!$C$6:$C$41,0))),IFERROR(IF(INDEX('Undirviðmiðalisti (Lýsigögn)'!L$42:L$58,MATCH($C157,'Undirviðmiðalisti (Lýsigögn)'!$C$42:$C$58,0))="","",INDEX('Undirviðmiðalisti (Lýsigögn)'!L$42:L$58,MATCH($C157,'Undirviðmiðalisti (Lýsigögn)'!$C$42:$C$58,0))),""))))</f>
        <v/>
      </c>
      <c r="Q157" s="16" t="str">
        <f aca="false">IF($C157="","",IF($G157="Einstaklingsbundið",IFERROR(IF(INDEX('Undirviðmiðalisti (Lýsigögn)'!M$42:M$58,MATCH($C157,'Undirviðmiðalisti (Lýsigögn)'!$C$42:$C$58,0))="","",INDEX('Undirviðmiðalisti (Lýsigögn)'!M$42:M$58,MATCH($C157,'Undirviðmiðalisti (Lýsigögn)'!$C$42:$C$58,0))),""),IFERROR(IF(INDEX('Undirviðmiðalisti (Lýsigögn)'!M$6:M$41,MATCH($C157,'Undirviðmiðalisti (Lýsigögn)'!$C$6:$C$41,0))="","",INDEX('Undirviðmiðalisti (Lýsigögn)'!M$6:M$41,MATCH($C157,'Undirviðmiðalisti (Lýsigögn)'!$C$6:$C$41,0))),IFERROR(IF(INDEX('Undirviðmiðalisti (Lýsigögn)'!M$42:M$58,MATCH($C157,'Undirviðmiðalisti (Lýsigögn)'!$C$42:$C$58,0))="","",INDEX('Undirviðmiðalisti (Lýsigögn)'!M$42:M$58,MATCH($C157,'Undirviðmiðalisti (Lýsigögn)'!$C$42:$C$58,0))),""))))</f>
        <v/>
      </c>
    </row>
    <row r="158" customFormat="false" ht="15" hidden="false" customHeight="true" outlineLevel="0" collapsed="false">
      <c r="A158" s="22" t="str">
        <f aca="false">IF($B158="","",ROW()-5)</f>
        <v/>
      </c>
      <c r="B158" s="15"/>
      <c r="C158" s="15"/>
      <c r="D158" s="16" t="str">
        <f aca="false">IF($C158="","",IF($G158="Einstaklingsbundið",IFERROR(IF(INDEX('Undirviðmiðalisti (Lýsigögn)'!$D$42:$D$58,MATCH($C158,'Undirviðmiðalisti (Lýsigögn)'!$C$42:$C$58,0))="","",INDEX('Undirviðmiðalisti (Lýsigögn)'!$D$42:$D$58,MATCH($C158,'Undirviðmiðalisti (Lýsigögn)'!$C$42:$C$58,0))),""),IFERROR(IF(INDEX('Undirviðmiðalisti (Lýsigögn)'!$D$6:$D$41,MATCH($C158,'Undirviðmiðalisti (Lýsigögn)'!$C$6:$C$41,0))="","",INDEX('Undirviðmiðalisti (Lýsigögn)'!$D$6:$D$41,MATCH($C158,'Undirviðmiðalisti (Lýsigögn)'!$C$6:$C$41,0))),IFERROR(IF(INDEX('Undirviðmiðalisti (Lýsigögn)'!$D$42:$D$58,MATCH($C158,'Undirviðmiðalisti (Lýsigögn)'!$C$42:$C$58,0))="","",INDEX('Undirviðmiðalisti (Lýsigögn)'!$D$42:$D$58,MATCH($C158,'Undirviðmiðalisti (Lýsigögn)'!$C$42:$C$58,0))),""))))</f>
        <v/>
      </c>
      <c r="E158" s="14"/>
      <c r="F158" s="23" t="str">
        <f aca="false">IF($C158="","",IF($G158="Einstaklingsbundið",IFERROR(IF(INDEX('Undirviðmiðalisti (Lýsigögn)'!$E$42:$E$58,MATCH($C158,'Undirviðmiðalisti (Lýsigögn)'!$C$42:$C$58,0))="","",INDEX('Undirviðmiðalisti (Lýsigögn)'!$E$42:$E$58,MATCH($C158,'Undirviðmiðalisti (Lýsigögn)'!$C$42:$C$58,0))),""),IFERROR(IF(INDEX('Undirviðmiðalisti (Lýsigögn)'!$E$6:$E$41,MATCH($C158,'Undirviðmiðalisti (Lýsigögn)'!$C$6:$C$41,0))="","",INDEX('Undirviðmiðalisti (Lýsigögn)'!$E$6:$E$41,MATCH($C158,'Undirviðmiðalisti (Lýsigögn)'!$C$6:$C$41,0))),IFERROR(IF(INDEX('Undirviðmiðalisti (Lýsigögn)'!$E$42:$E$58,MATCH($C158,'Undirviðmiðalisti (Lýsigögn)'!$C$42:$C$58,0))="","",INDEX('Undirviðmiðalisti (Lýsigögn)'!$E$42:$E$58,MATCH($C158,'Undirviðmiðalisti (Lýsigögn)'!$C$42:$C$58,0))),""))))</f>
        <v/>
      </c>
      <c r="G158" s="24" t="str">
        <f aca="false">IFERROR(IF(B158="","",INDEX(Viðmið!$B$6:$B$10,MATCH(B158,Viðmið!$C$6:$C$10,0))),"")</f>
        <v/>
      </c>
      <c r="H158" s="25" t="str">
        <f aca="false">IF(OR(E158="",F158=""),"",E158*KVARDI)</f>
        <v/>
      </c>
      <c r="I158" s="26" t="str">
        <f aca="false">IF(B158="","",IF(ROUND(SUMIF($B$6:$B$205,B158,$E$6:$E$205),4)=ROUND(IFERROR(INDEX(Viðmið!$E$6:$E$10,MATCH(B158,Viðmið!$C$6:$C$10,0)),-1),4),"✓","✗"))</f>
        <v/>
      </c>
      <c r="J158" s="16" t="str">
        <f aca="false">IF($C158="","",IF($G158="Einstaklingsbundið",IFERROR(IF(INDEX('Undirviðmiðalisti (Lýsigögn)'!F$42:F$58,MATCH($C158,'Undirviðmiðalisti (Lýsigögn)'!$C$42:$C$58,0))="","",INDEX('Undirviðmiðalisti (Lýsigögn)'!F$42:F$58,MATCH($C158,'Undirviðmiðalisti (Lýsigögn)'!$C$42:$C$58,0))),""),IFERROR(IF(INDEX('Undirviðmiðalisti (Lýsigögn)'!F$6:F$41,MATCH($C158,'Undirviðmiðalisti (Lýsigögn)'!$C$6:$C$41,0))="","",INDEX('Undirviðmiðalisti (Lýsigögn)'!F$6:F$41,MATCH($C158,'Undirviðmiðalisti (Lýsigögn)'!$C$6:$C$41,0))),IFERROR(IF(INDEX('Undirviðmiðalisti (Lýsigögn)'!F$42:F$58,MATCH($C158,'Undirviðmiðalisti (Lýsigögn)'!$C$42:$C$58,0))="","",INDEX('Undirviðmiðalisti (Lýsigögn)'!F$42:F$58,MATCH($C158,'Undirviðmiðalisti (Lýsigögn)'!$C$42:$C$58,0))),""))))</f>
        <v/>
      </c>
      <c r="K158" s="16" t="str">
        <f aca="false">IF($C158="","",IF($G158="Einstaklingsbundið",IFERROR(IF(INDEX('Undirviðmiðalisti (Lýsigögn)'!G$42:G$58,MATCH($C158,'Undirviðmiðalisti (Lýsigögn)'!$C$42:$C$58,0))="","",INDEX('Undirviðmiðalisti (Lýsigögn)'!G$42:G$58,MATCH($C158,'Undirviðmiðalisti (Lýsigögn)'!$C$42:$C$58,0))),""),IFERROR(IF(INDEX('Undirviðmiðalisti (Lýsigögn)'!G$6:G$41,MATCH($C158,'Undirviðmiðalisti (Lýsigögn)'!$C$6:$C$41,0))="","",INDEX('Undirviðmiðalisti (Lýsigögn)'!G$6:G$41,MATCH($C158,'Undirviðmiðalisti (Lýsigögn)'!$C$6:$C$41,0))),IFERROR(IF(INDEX('Undirviðmiðalisti (Lýsigögn)'!G$42:G$58,MATCH($C158,'Undirviðmiðalisti (Lýsigögn)'!$C$42:$C$58,0))="","",INDEX('Undirviðmiðalisti (Lýsigögn)'!G$42:G$58,MATCH($C158,'Undirviðmiðalisti (Lýsigögn)'!$C$42:$C$58,0))),""))))</f>
        <v/>
      </c>
      <c r="L158" s="16" t="str">
        <f aca="false">IF($C158="","",IF($G158="Einstaklingsbundið",IFERROR(IF(INDEX('Undirviðmiðalisti (Lýsigögn)'!H$42:H$58,MATCH($C158,'Undirviðmiðalisti (Lýsigögn)'!$C$42:$C$58,0))="","",INDEX('Undirviðmiðalisti (Lýsigögn)'!H$42:H$58,MATCH($C158,'Undirviðmiðalisti (Lýsigögn)'!$C$42:$C$58,0))),""),IFERROR(IF(INDEX('Undirviðmiðalisti (Lýsigögn)'!H$6:H$41,MATCH($C158,'Undirviðmiðalisti (Lýsigögn)'!$C$6:$C$41,0))="","",INDEX('Undirviðmiðalisti (Lýsigögn)'!H$6:H$41,MATCH($C158,'Undirviðmiðalisti (Lýsigögn)'!$C$6:$C$41,0))),IFERROR(IF(INDEX('Undirviðmiðalisti (Lýsigögn)'!H$42:H$58,MATCH($C158,'Undirviðmiðalisti (Lýsigögn)'!$C$42:$C$58,0))="","",INDEX('Undirviðmiðalisti (Lýsigögn)'!H$42:H$58,MATCH($C158,'Undirviðmiðalisti (Lýsigögn)'!$C$42:$C$58,0))),""))))</f>
        <v/>
      </c>
      <c r="M158" s="16" t="str">
        <f aca="false">IF($C158="","",IF($G158="Einstaklingsbundið",IFERROR(IF(INDEX('Undirviðmiðalisti (Lýsigögn)'!I$42:I$58,MATCH($C158,'Undirviðmiðalisti (Lýsigögn)'!$C$42:$C$58,0))="","",INDEX('Undirviðmiðalisti (Lýsigögn)'!I$42:I$58,MATCH($C158,'Undirviðmiðalisti (Lýsigögn)'!$C$42:$C$58,0))),""),IFERROR(IF(INDEX('Undirviðmiðalisti (Lýsigögn)'!I$6:I$41,MATCH($C158,'Undirviðmiðalisti (Lýsigögn)'!$C$6:$C$41,0))="","",INDEX('Undirviðmiðalisti (Lýsigögn)'!I$6:I$41,MATCH($C158,'Undirviðmiðalisti (Lýsigögn)'!$C$6:$C$41,0))),IFERROR(IF(INDEX('Undirviðmiðalisti (Lýsigögn)'!I$42:I$58,MATCH($C158,'Undirviðmiðalisti (Lýsigögn)'!$C$42:$C$58,0))="","",INDEX('Undirviðmiðalisti (Lýsigögn)'!I$42:I$58,MATCH($C158,'Undirviðmiðalisti (Lýsigögn)'!$C$42:$C$58,0))),""))))</f>
        <v/>
      </c>
      <c r="N158" s="16" t="str">
        <f aca="false">IF($C158="","",IF($G158="Einstaklingsbundið",IFERROR(IF(INDEX('Undirviðmiðalisti (Lýsigögn)'!J$42:J$58,MATCH($C158,'Undirviðmiðalisti (Lýsigögn)'!$C$42:$C$58,0))="","",INDEX('Undirviðmiðalisti (Lýsigögn)'!J$42:J$58,MATCH($C158,'Undirviðmiðalisti (Lýsigögn)'!$C$42:$C$58,0))),""),IFERROR(IF(INDEX('Undirviðmiðalisti (Lýsigögn)'!J$6:J$41,MATCH($C158,'Undirviðmiðalisti (Lýsigögn)'!$C$6:$C$41,0))="","",INDEX('Undirviðmiðalisti (Lýsigögn)'!J$6:J$41,MATCH($C158,'Undirviðmiðalisti (Lýsigögn)'!$C$6:$C$41,0))),IFERROR(IF(INDEX('Undirviðmiðalisti (Lýsigögn)'!J$42:J$58,MATCH($C158,'Undirviðmiðalisti (Lýsigögn)'!$C$42:$C$58,0))="","",INDEX('Undirviðmiðalisti (Lýsigögn)'!J$42:J$58,MATCH($C158,'Undirviðmiðalisti (Lýsigögn)'!$C$42:$C$58,0))),""))))</f>
        <v/>
      </c>
      <c r="O158" s="16" t="str">
        <f aca="false">IF($C158="","",IF($G158="Einstaklingsbundið",IFERROR(IF(INDEX('Undirviðmiðalisti (Lýsigögn)'!K$42:K$58,MATCH($C158,'Undirviðmiðalisti (Lýsigögn)'!$C$42:$C$58,0))="","",INDEX('Undirviðmiðalisti (Lýsigögn)'!K$42:K$58,MATCH($C158,'Undirviðmiðalisti (Lýsigögn)'!$C$42:$C$58,0))),""),IFERROR(IF(INDEX('Undirviðmiðalisti (Lýsigögn)'!K$6:K$41,MATCH($C158,'Undirviðmiðalisti (Lýsigögn)'!$C$6:$C$41,0))="","",INDEX('Undirviðmiðalisti (Lýsigögn)'!K$6:K$41,MATCH($C158,'Undirviðmiðalisti (Lýsigögn)'!$C$6:$C$41,0))),IFERROR(IF(INDEX('Undirviðmiðalisti (Lýsigögn)'!K$42:K$58,MATCH($C158,'Undirviðmiðalisti (Lýsigögn)'!$C$42:$C$58,0))="","",INDEX('Undirviðmiðalisti (Lýsigögn)'!K$42:K$58,MATCH($C158,'Undirviðmiðalisti (Lýsigögn)'!$C$42:$C$58,0))),""))))</f>
        <v/>
      </c>
      <c r="P158" s="16" t="str">
        <f aca="false">IF($C158="","",IF($G158="Einstaklingsbundið",IFERROR(IF(INDEX('Undirviðmiðalisti (Lýsigögn)'!L$42:L$58,MATCH($C158,'Undirviðmiðalisti (Lýsigögn)'!$C$42:$C$58,0))="","",INDEX('Undirviðmiðalisti (Lýsigögn)'!L$42:L$58,MATCH($C158,'Undirviðmiðalisti (Lýsigögn)'!$C$42:$C$58,0))),""),IFERROR(IF(INDEX('Undirviðmiðalisti (Lýsigögn)'!L$6:L$41,MATCH($C158,'Undirviðmiðalisti (Lýsigögn)'!$C$6:$C$41,0))="","",INDEX('Undirviðmiðalisti (Lýsigögn)'!L$6:L$41,MATCH($C158,'Undirviðmiðalisti (Lýsigögn)'!$C$6:$C$41,0))),IFERROR(IF(INDEX('Undirviðmiðalisti (Lýsigögn)'!L$42:L$58,MATCH($C158,'Undirviðmiðalisti (Lýsigögn)'!$C$42:$C$58,0))="","",INDEX('Undirviðmiðalisti (Lýsigögn)'!L$42:L$58,MATCH($C158,'Undirviðmiðalisti (Lýsigögn)'!$C$42:$C$58,0))),""))))</f>
        <v/>
      </c>
      <c r="Q158" s="16" t="str">
        <f aca="false">IF($C158="","",IF($G158="Einstaklingsbundið",IFERROR(IF(INDEX('Undirviðmiðalisti (Lýsigögn)'!M$42:M$58,MATCH($C158,'Undirviðmiðalisti (Lýsigögn)'!$C$42:$C$58,0))="","",INDEX('Undirviðmiðalisti (Lýsigögn)'!M$42:M$58,MATCH($C158,'Undirviðmiðalisti (Lýsigögn)'!$C$42:$C$58,0))),""),IFERROR(IF(INDEX('Undirviðmiðalisti (Lýsigögn)'!M$6:M$41,MATCH($C158,'Undirviðmiðalisti (Lýsigögn)'!$C$6:$C$41,0))="","",INDEX('Undirviðmiðalisti (Lýsigögn)'!M$6:M$41,MATCH($C158,'Undirviðmiðalisti (Lýsigögn)'!$C$6:$C$41,0))),IFERROR(IF(INDEX('Undirviðmiðalisti (Lýsigögn)'!M$42:M$58,MATCH($C158,'Undirviðmiðalisti (Lýsigögn)'!$C$42:$C$58,0))="","",INDEX('Undirviðmiðalisti (Lýsigögn)'!M$42:M$58,MATCH($C158,'Undirviðmiðalisti (Lýsigögn)'!$C$42:$C$58,0))),""))))</f>
        <v/>
      </c>
    </row>
    <row r="159" customFormat="false" ht="15" hidden="false" customHeight="true" outlineLevel="0" collapsed="false">
      <c r="A159" s="22" t="str">
        <f aca="false">IF($B159="","",ROW()-5)</f>
        <v/>
      </c>
      <c r="B159" s="15"/>
      <c r="C159" s="15"/>
      <c r="D159" s="16" t="str">
        <f aca="false">IF($C159="","",IF($G159="Einstaklingsbundið",IFERROR(IF(INDEX('Undirviðmiðalisti (Lýsigögn)'!$D$42:$D$58,MATCH($C159,'Undirviðmiðalisti (Lýsigögn)'!$C$42:$C$58,0))="","",INDEX('Undirviðmiðalisti (Lýsigögn)'!$D$42:$D$58,MATCH($C159,'Undirviðmiðalisti (Lýsigögn)'!$C$42:$C$58,0))),""),IFERROR(IF(INDEX('Undirviðmiðalisti (Lýsigögn)'!$D$6:$D$41,MATCH($C159,'Undirviðmiðalisti (Lýsigögn)'!$C$6:$C$41,0))="","",INDEX('Undirviðmiðalisti (Lýsigögn)'!$D$6:$D$41,MATCH($C159,'Undirviðmiðalisti (Lýsigögn)'!$C$6:$C$41,0))),IFERROR(IF(INDEX('Undirviðmiðalisti (Lýsigögn)'!$D$42:$D$58,MATCH($C159,'Undirviðmiðalisti (Lýsigögn)'!$C$42:$C$58,0))="","",INDEX('Undirviðmiðalisti (Lýsigögn)'!$D$42:$D$58,MATCH($C159,'Undirviðmiðalisti (Lýsigögn)'!$C$42:$C$58,0))),""))))</f>
        <v/>
      </c>
      <c r="E159" s="14"/>
      <c r="F159" s="23" t="str">
        <f aca="false">IF($C159="","",IF($G159="Einstaklingsbundið",IFERROR(IF(INDEX('Undirviðmiðalisti (Lýsigögn)'!$E$42:$E$58,MATCH($C159,'Undirviðmiðalisti (Lýsigögn)'!$C$42:$C$58,0))="","",INDEX('Undirviðmiðalisti (Lýsigögn)'!$E$42:$E$58,MATCH($C159,'Undirviðmiðalisti (Lýsigögn)'!$C$42:$C$58,0))),""),IFERROR(IF(INDEX('Undirviðmiðalisti (Lýsigögn)'!$E$6:$E$41,MATCH($C159,'Undirviðmiðalisti (Lýsigögn)'!$C$6:$C$41,0))="","",INDEX('Undirviðmiðalisti (Lýsigögn)'!$E$6:$E$41,MATCH($C159,'Undirviðmiðalisti (Lýsigögn)'!$C$6:$C$41,0))),IFERROR(IF(INDEX('Undirviðmiðalisti (Lýsigögn)'!$E$42:$E$58,MATCH($C159,'Undirviðmiðalisti (Lýsigögn)'!$C$42:$C$58,0))="","",INDEX('Undirviðmiðalisti (Lýsigögn)'!$E$42:$E$58,MATCH($C159,'Undirviðmiðalisti (Lýsigögn)'!$C$42:$C$58,0))),""))))</f>
        <v/>
      </c>
      <c r="G159" s="24" t="str">
        <f aca="false">IFERROR(IF(B159="","",INDEX(Viðmið!$B$6:$B$10,MATCH(B159,Viðmið!$C$6:$C$10,0))),"")</f>
        <v/>
      </c>
      <c r="H159" s="25" t="str">
        <f aca="false">IF(OR(E159="",F159=""),"",E159*KVARDI)</f>
        <v/>
      </c>
      <c r="I159" s="26" t="str">
        <f aca="false">IF(B159="","",IF(ROUND(SUMIF($B$6:$B$205,B159,$E$6:$E$205),4)=ROUND(IFERROR(INDEX(Viðmið!$E$6:$E$10,MATCH(B159,Viðmið!$C$6:$C$10,0)),-1),4),"✓","✗"))</f>
        <v/>
      </c>
      <c r="J159" s="16" t="str">
        <f aca="false">IF($C159="","",IF($G159="Einstaklingsbundið",IFERROR(IF(INDEX('Undirviðmiðalisti (Lýsigögn)'!F$42:F$58,MATCH($C159,'Undirviðmiðalisti (Lýsigögn)'!$C$42:$C$58,0))="","",INDEX('Undirviðmiðalisti (Lýsigögn)'!F$42:F$58,MATCH($C159,'Undirviðmiðalisti (Lýsigögn)'!$C$42:$C$58,0))),""),IFERROR(IF(INDEX('Undirviðmiðalisti (Lýsigögn)'!F$6:F$41,MATCH($C159,'Undirviðmiðalisti (Lýsigögn)'!$C$6:$C$41,0))="","",INDEX('Undirviðmiðalisti (Lýsigögn)'!F$6:F$41,MATCH($C159,'Undirviðmiðalisti (Lýsigögn)'!$C$6:$C$41,0))),IFERROR(IF(INDEX('Undirviðmiðalisti (Lýsigögn)'!F$42:F$58,MATCH($C159,'Undirviðmiðalisti (Lýsigögn)'!$C$42:$C$58,0))="","",INDEX('Undirviðmiðalisti (Lýsigögn)'!F$42:F$58,MATCH($C159,'Undirviðmiðalisti (Lýsigögn)'!$C$42:$C$58,0))),""))))</f>
        <v/>
      </c>
      <c r="K159" s="16" t="str">
        <f aca="false">IF($C159="","",IF($G159="Einstaklingsbundið",IFERROR(IF(INDEX('Undirviðmiðalisti (Lýsigögn)'!G$42:G$58,MATCH($C159,'Undirviðmiðalisti (Lýsigögn)'!$C$42:$C$58,0))="","",INDEX('Undirviðmiðalisti (Lýsigögn)'!G$42:G$58,MATCH($C159,'Undirviðmiðalisti (Lýsigögn)'!$C$42:$C$58,0))),""),IFERROR(IF(INDEX('Undirviðmiðalisti (Lýsigögn)'!G$6:G$41,MATCH($C159,'Undirviðmiðalisti (Lýsigögn)'!$C$6:$C$41,0))="","",INDEX('Undirviðmiðalisti (Lýsigögn)'!G$6:G$41,MATCH($C159,'Undirviðmiðalisti (Lýsigögn)'!$C$6:$C$41,0))),IFERROR(IF(INDEX('Undirviðmiðalisti (Lýsigögn)'!G$42:G$58,MATCH($C159,'Undirviðmiðalisti (Lýsigögn)'!$C$42:$C$58,0))="","",INDEX('Undirviðmiðalisti (Lýsigögn)'!G$42:G$58,MATCH($C159,'Undirviðmiðalisti (Lýsigögn)'!$C$42:$C$58,0))),""))))</f>
        <v/>
      </c>
      <c r="L159" s="16" t="str">
        <f aca="false">IF($C159="","",IF($G159="Einstaklingsbundið",IFERROR(IF(INDEX('Undirviðmiðalisti (Lýsigögn)'!H$42:H$58,MATCH($C159,'Undirviðmiðalisti (Lýsigögn)'!$C$42:$C$58,0))="","",INDEX('Undirviðmiðalisti (Lýsigögn)'!H$42:H$58,MATCH($C159,'Undirviðmiðalisti (Lýsigögn)'!$C$42:$C$58,0))),""),IFERROR(IF(INDEX('Undirviðmiðalisti (Lýsigögn)'!H$6:H$41,MATCH($C159,'Undirviðmiðalisti (Lýsigögn)'!$C$6:$C$41,0))="","",INDEX('Undirviðmiðalisti (Lýsigögn)'!H$6:H$41,MATCH($C159,'Undirviðmiðalisti (Lýsigögn)'!$C$6:$C$41,0))),IFERROR(IF(INDEX('Undirviðmiðalisti (Lýsigögn)'!H$42:H$58,MATCH($C159,'Undirviðmiðalisti (Lýsigögn)'!$C$42:$C$58,0))="","",INDEX('Undirviðmiðalisti (Lýsigögn)'!H$42:H$58,MATCH($C159,'Undirviðmiðalisti (Lýsigögn)'!$C$42:$C$58,0))),""))))</f>
        <v/>
      </c>
      <c r="M159" s="16" t="str">
        <f aca="false">IF($C159="","",IF($G159="Einstaklingsbundið",IFERROR(IF(INDEX('Undirviðmiðalisti (Lýsigögn)'!I$42:I$58,MATCH($C159,'Undirviðmiðalisti (Lýsigögn)'!$C$42:$C$58,0))="","",INDEX('Undirviðmiðalisti (Lýsigögn)'!I$42:I$58,MATCH($C159,'Undirviðmiðalisti (Lýsigögn)'!$C$42:$C$58,0))),""),IFERROR(IF(INDEX('Undirviðmiðalisti (Lýsigögn)'!I$6:I$41,MATCH($C159,'Undirviðmiðalisti (Lýsigögn)'!$C$6:$C$41,0))="","",INDEX('Undirviðmiðalisti (Lýsigögn)'!I$6:I$41,MATCH($C159,'Undirviðmiðalisti (Lýsigögn)'!$C$6:$C$41,0))),IFERROR(IF(INDEX('Undirviðmiðalisti (Lýsigögn)'!I$42:I$58,MATCH($C159,'Undirviðmiðalisti (Lýsigögn)'!$C$42:$C$58,0))="","",INDEX('Undirviðmiðalisti (Lýsigögn)'!I$42:I$58,MATCH($C159,'Undirviðmiðalisti (Lýsigögn)'!$C$42:$C$58,0))),""))))</f>
        <v/>
      </c>
      <c r="N159" s="16" t="str">
        <f aca="false">IF($C159="","",IF($G159="Einstaklingsbundið",IFERROR(IF(INDEX('Undirviðmiðalisti (Lýsigögn)'!J$42:J$58,MATCH($C159,'Undirviðmiðalisti (Lýsigögn)'!$C$42:$C$58,0))="","",INDEX('Undirviðmiðalisti (Lýsigögn)'!J$42:J$58,MATCH($C159,'Undirviðmiðalisti (Lýsigögn)'!$C$42:$C$58,0))),""),IFERROR(IF(INDEX('Undirviðmiðalisti (Lýsigögn)'!J$6:J$41,MATCH($C159,'Undirviðmiðalisti (Lýsigögn)'!$C$6:$C$41,0))="","",INDEX('Undirviðmiðalisti (Lýsigögn)'!J$6:J$41,MATCH($C159,'Undirviðmiðalisti (Lýsigögn)'!$C$6:$C$41,0))),IFERROR(IF(INDEX('Undirviðmiðalisti (Lýsigögn)'!J$42:J$58,MATCH($C159,'Undirviðmiðalisti (Lýsigögn)'!$C$42:$C$58,0))="","",INDEX('Undirviðmiðalisti (Lýsigögn)'!J$42:J$58,MATCH($C159,'Undirviðmiðalisti (Lýsigögn)'!$C$42:$C$58,0))),""))))</f>
        <v/>
      </c>
      <c r="O159" s="16" t="str">
        <f aca="false">IF($C159="","",IF($G159="Einstaklingsbundið",IFERROR(IF(INDEX('Undirviðmiðalisti (Lýsigögn)'!K$42:K$58,MATCH($C159,'Undirviðmiðalisti (Lýsigögn)'!$C$42:$C$58,0))="","",INDEX('Undirviðmiðalisti (Lýsigögn)'!K$42:K$58,MATCH($C159,'Undirviðmiðalisti (Lýsigögn)'!$C$42:$C$58,0))),""),IFERROR(IF(INDEX('Undirviðmiðalisti (Lýsigögn)'!K$6:K$41,MATCH($C159,'Undirviðmiðalisti (Lýsigögn)'!$C$6:$C$41,0))="","",INDEX('Undirviðmiðalisti (Lýsigögn)'!K$6:K$41,MATCH($C159,'Undirviðmiðalisti (Lýsigögn)'!$C$6:$C$41,0))),IFERROR(IF(INDEX('Undirviðmiðalisti (Lýsigögn)'!K$42:K$58,MATCH($C159,'Undirviðmiðalisti (Lýsigögn)'!$C$42:$C$58,0))="","",INDEX('Undirviðmiðalisti (Lýsigögn)'!K$42:K$58,MATCH($C159,'Undirviðmiðalisti (Lýsigögn)'!$C$42:$C$58,0))),""))))</f>
        <v/>
      </c>
      <c r="P159" s="16" t="str">
        <f aca="false">IF($C159="","",IF($G159="Einstaklingsbundið",IFERROR(IF(INDEX('Undirviðmiðalisti (Lýsigögn)'!L$42:L$58,MATCH($C159,'Undirviðmiðalisti (Lýsigögn)'!$C$42:$C$58,0))="","",INDEX('Undirviðmiðalisti (Lýsigögn)'!L$42:L$58,MATCH($C159,'Undirviðmiðalisti (Lýsigögn)'!$C$42:$C$58,0))),""),IFERROR(IF(INDEX('Undirviðmiðalisti (Lýsigögn)'!L$6:L$41,MATCH($C159,'Undirviðmiðalisti (Lýsigögn)'!$C$6:$C$41,0))="","",INDEX('Undirviðmiðalisti (Lýsigögn)'!L$6:L$41,MATCH($C159,'Undirviðmiðalisti (Lýsigögn)'!$C$6:$C$41,0))),IFERROR(IF(INDEX('Undirviðmiðalisti (Lýsigögn)'!L$42:L$58,MATCH($C159,'Undirviðmiðalisti (Lýsigögn)'!$C$42:$C$58,0))="","",INDEX('Undirviðmiðalisti (Lýsigögn)'!L$42:L$58,MATCH($C159,'Undirviðmiðalisti (Lýsigögn)'!$C$42:$C$58,0))),""))))</f>
        <v/>
      </c>
      <c r="Q159" s="16" t="str">
        <f aca="false">IF($C159="","",IF($G159="Einstaklingsbundið",IFERROR(IF(INDEX('Undirviðmiðalisti (Lýsigögn)'!M$42:M$58,MATCH($C159,'Undirviðmiðalisti (Lýsigögn)'!$C$42:$C$58,0))="","",INDEX('Undirviðmiðalisti (Lýsigögn)'!M$42:M$58,MATCH($C159,'Undirviðmiðalisti (Lýsigögn)'!$C$42:$C$58,0))),""),IFERROR(IF(INDEX('Undirviðmiðalisti (Lýsigögn)'!M$6:M$41,MATCH($C159,'Undirviðmiðalisti (Lýsigögn)'!$C$6:$C$41,0))="","",INDEX('Undirviðmiðalisti (Lýsigögn)'!M$6:M$41,MATCH($C159,'Undirviðmiðalisti (Lýsigögn)'!$C$6:$C$41,0))),IFERROR(IF(INDEX('Undirviðmiðalisti (Lýsigögn)'!M$42:M$58,MATCH($C159,'Undirviðmiðalisti (Lýsigögn)'!$C$42:$C$58,0))="","",INDEX('Undirviðmiðalisti (Lýsigögn)'!M$42:M$58,MATCH($C159,'Undirviðmiðalisti (Lýsigögn)'!$C$42:$C$58,0))),""))))</f>
        <v/>
      </c>
    </row>
    <row r="160" customFormat="false" ht="15" hidden="false" customHeight="true" outlineLevel="0" collapsed="false">
      <c r="A160" s="22" t="str">
        <f aca="false">IF($B160="","",ROW()-5)</f>
        <v/>
      </c>
      <c r="B160" s="15"/>
      <c r="C160" s="15"/>
      <c r="D160" s="16" t="str">
        <f aca="false">IF($C160="","",IF($G160="Einstaklingsbundið",IFERROR(IF(INDEX('Undirviðmiðalisti (Lýsigögn)'!$D$42:$D$58,MATCH($C160,'Undirviðmiðalisti (Lýsigögn)'!$C$42:$C$58,0))="","",INDEX('Undirviðmiðalisti (Lýsigögn)'!$D$42:$D$58,MATCH($C160,'Undirviðmiðalisti (Lýsigögn)'!$C$42:$C$58,0))),""),IFERROR(IF(INDEX('Undirviðmiðalisti (Lýsigögn)'!$D$6:$D$41,MATCH($C160,'Undirviðmiðalisti (Lýsigögn)'!$C$6:$C$41,0))="","",INDEX('Undirviðmiðalisti (Lýsigögn)'!$D$6:$D$41,MATCH($C160,'Undirviðmiðalisti (Lýsigögn)'!$C$6:$C$41,0))),IFERROR(IF(INDEX('Undirviðmiðalisti (Lýsigögn)'!$D$42:$D$58,MATCH($C160,'Undirviðmiðalisti (Lýsigögn)'!$C$42:$C$58,0))="","",INDEX('Undirviðmiðalisti (Lýsigögn)'!$D$42:$D$58,MATCH($C160,'Undirviðmiðalisti (Lýsigögn)'!$C$42:$C$58,0))),""))))</f>
        <v/>
      </c>
      <c r="E160" s="14"/>
      <c r="F160" s="23" t="str">
        <f aca="false">IF($C160="","",IF($G160="Einstaklingsbundið",IFERROR(IF(INDEX('Undirviðmiðalisti (Lýsigögn)'!$E$42:$E$58,MATCH($C160,'Undirviðmiðalisti (Lýsigögn)'!$C$42:$C$58,0))="","",INDEX('Undirviðmiðalisti (Lýsigögn)'!$E$42:$E$58,MATCH($C160,'Undirviðmiðalisti (Lýsigögn)'!$C$42:$C$58,0))),""),IFERROR(IF(INDEX('Undirviðmiðalisti (Lýsigögn)'!$E$6:$E$41,MATCH($C160,'Undirviðmiðalisti (Lýsigögn)'!$C$6:$C$41,0))="","",INDEX('Undirviðmiðalisti (Lýsigögn)'!$E$6:$E$41,MATCH($C160,'Undirviðmiðalisti (Lýsigögn)'!$C$6:$C$41,0))),IFERROR(IF(INDEX('Undirviðmiðalisti (Lýsigögn)'!$E$42:$E$58,MATCH($C160,'Undirviðmiðalisti (Lýsigögn)'!$C$42:$C$58,0))="","",INDEX('Undirviðmiðalisti (Lýsigögn)'!$E$42:$E$58,MATCH($C160,'Undirviðmiðalisti (Lýsigögn)'!$C$42:$C$58,0))),""))))</f>
        <v/>
      </c>
      <c r="G160" s="24" t="str">
        <f aca="false">IFERROR(IF(B160="","",INDEX(Viðmið!$B$6:$B$10,MATCH(B160,Viðmið!$C$6:$C$10,0))),"")</f>
        <v/>
      </c>
      <c r="H160" s="25" t="str">
        <f aca="false">IF(OR(E160="",F160=""),"",E160*KVARDI)</f>
        <v/>
      </c>
      <c r="I160" s="26" t="str">
        <f aca="false">IF(B160="","",IF(ROUND(SUMIF($B$6:$B$205,B160,$E$6:$E$205),4)=ROUND(IFERROR(INDEX(Viðmið!$E$6:$E$10,MATCH(B160,Viðmið!$C$6:$C$10,0)),-1),4),"✓","✗"))</f>
        <v/>
      </c>
      <c r="J160" s="16" t="str">
        <f aca="false">IF($C160="","",IF($G160="Einstaklingsbundið",IFERROR(IF(INDEX('Undirviðmiðalisti (Lýsigögn)'!F$42:F$58,MATCH($C160,'Undirviðmiðalisti (Lýsigögn)'!$C$42:$C$58,0))="","",INDEX('Undirviðmiðalisti (Lýsigögn)'!F$42:F$58,MATCH($C160,'Undirviðmiðalisti (Lýsigögn)'!$C$42:$C$58,0))),""),IFERROR(IF(INDEX('Undirviðmiðalisti (Lýsigögn)'!F$6:F$41,MATCH($C160,'Undirviðmiðalisti (Lýsigögn)'!$C$6:$C$41,0))="","",INDEX('Undirviðmiðalisti (Lýsigögn)'!F$6:F$41,MATCH($C160,'Undirviðmiðalisti (Lýsigögn)'!$C$6:$C$41,0))),IFERROR(IF(INDEX('Undirviðmiðalisti (Lýsigögn)'!F$42:F$58,MATCH($C160,'Undirviðmiðalisti (Lýsigögn)'!$C$42:$C$58,0))="","",INDEX('Undirviðmiðalisti (Lýsigögn)'!F$42:F$58,MATCH($C160,'Undirviðmiðalisti (Lýsigögn)'!$C$42:$C$58,0))),""))))</f>
        <v/>
      </c>
      <c r="K160" s="16" t="str">
        <f aca="false">IF($C160="","",IF($G160="Einstaklingsbundið",IFERROR(IF(INDEX('Undirviðmiðalisti (Lýsigögn)'!G$42:G$58,MATCH($C160,'Undirviðmiðalisti (Lýsigögn)'!$C$42:$C$58,0))="","",INDEX('Undirviðmiðalisti (Lýsigögn)'!G$42:G$58,MATCH($C160,'Undirviðmiðalisti (Lýsigögn)'!$C$42:$C$58,0))),""),IFERROR(IF(INDEX('Undirviðmiðalisti (Lýsigögn)'!G$6:G$41,MATCH($C160,'Undirviðmiðalisti (Lýsigögn)'!$C$6:$C$41,0))="","",INDEX('Undirviðmiðalisti (Lýsigögn)'!G$6:G$41,MATCH($C160,'Undirviðmiðalisti (Lýsigögn)'!$C$6:$C$41,0))),IFERROR(IF(INDEX('Undirviðmiðalisti (Lýsigögn)'!G$42:G$58,MATCH($C160,'Undirviðmiðalisti (Lýsigögn)'!$C$42:$C$58,0))="","",INDEX('Undirviðmiðalisti (Lýsigögn)'!G$42:G$58,MATCH($C160,'Undirviðmiðalisti (Lýsigögn)'!$C$42:$C$58,0))),""))))</f>
        <v/>
      </c>
      <c r="L160" s="16" t="str">
        <f aca="false">IF($C160="","",IF($G160="Einstaklingsbundið",IFERROR(IF(INDEX('Undirviðmiðalisti (Lýsigögn)'!H$42:H$58,MATCH($C160,'Undirviðmiðalisti (Lýsigögn)'!$C$42:$C$58,0))="","",INDEX('Undirviðmiðalisti (Lýsigögn)'!H$42:H$58,MATCH($C160,'Undirviðmiðalisti (Lýsigögn)'!$C$42:$C$58,0))),""),IFERROR(IF(INDEX('Undirviðmiðalisti (Lýsigögn)'!H$6:H$41,MATCH($C160,'Undirviðmiðalisti (Lýsigögn)'!$C$6:$C$41,0))="","",INDEX('Undirviðmiðalisti (Lýsigögn)'!H$6:H$41,MATCH($C160,'Undirviðmiðalisti (Lýsigögn)'!$C$6:$C$41,0))),IFERROR(IF(INDEX('Undirviðmiðalisti (Lýsigögn)'!H$42:H$58,MATCH($C160,'Undirviðmiðalisti (Lýsigögn)'!$C$42:$C$58,0))="","",INDEX('Undirviðmiðalisti (Lýsigögn)'!H$42:H$58,MATCH($C160,'Undirviðmiðalisti (Lýsigögn)'!$C$42:$C$58,0))),""))))</f>
        <v/>
      </c>
      <c r="M160" s="16" t="str">
        <f aca="false">IF($C160="","",IF($G160="Einstaklingsbundið",IFERROR(IF(INDEX('Undirviðmiðalisti (Lýsigögn)'!I$42:I$58,MATCH($C160,'Undirviðmiðalisti (Lýsigögn)'!$C$42:$C$58,0))="","",INDEX('Undirviðmiðalisti (Lýsigögn)'!I$42:I$58,MATCH($C160,'Undirviðmiðalisti (Lýsigögn)'!$C$42:$C$58,0))),""),IFERROR(IF(INDEX('Undirviðmiðalisti (Lýsigögn)'!I$6:I$41,MATCH($C160,'Undirviðmiðalisti (Lýsigögn)'!$C$6:$C$41,0))="","",INDEX('Undirviðmiðalisti (Lýsigögn)'!I$6:I$41,MATCH($C160,'Undirviðmiðalisti (Lýsigögn)'!$C$6:$C$41,0))),IFERROR(IF(INDEX('Undirviðmiðalisti (Lýsigögn)'!I$42:I$58,MATCH($C160,'Undirviðmiðalisti (Lýsigögn)'!$C$42:$C$58,0))="","",INDEX('Undirviðmiðalisti (Lýsigögn)'!I$42:I$58,MATCH($C160,'Undirviðmiðalisti (Lýsigögn)'!$C$42:$C$58,0))),""))))</f>
        <v/>
      </c>
      <c r="N160" s="16" t="str">
        <f aca="false">IF($C160="","",IF($G160="Einstaklingsbundið",IFERROR(IF(INDEX('Undirviðmiðalisti (Lýsigögn)'!J$42:J$58,MATCH($C160,'Undirviðmiðalisti (Lýsigögn)'!$C$42:$C$58,0))="","",INDEX('Undirviðmiðalisti (Lýsigögn)'!J$42:J$58,MATCH($C160,'Undirviðmiðalisti (Lýsigögn)'!$C$42:$C$58,0))),""),IFERROR(IF(INDEX('Undirviðmiðalisti (Lýsigögn)'!J$6:J$41,MATCH($C160,'Undirviðmiðalisti (Lýsigögn)'!$C$6:$C$41,0))="","",INDEX('Undirviðmiðalisti (Lýsigögn)'!J$6:J$41,MATCH($C160,'Undirviðmiðalisti (Lýsigögn)'!$C$6:$C$41,0))),IFERROR(IF(INDEX('Undirviðmiðalisti (Lýsigögn)'!J$42:J$58,MATCH($C160,'Undirviðmiðalisti (Lýsigögn)'!$C$42:$C$58,0))="","",INDEX('Undirviðmiðalisti (Lýsigögn)'!J$42:J$58,MATCH($C160,'Undirviðmiðalisti (Lýsigögn)'!$C$42:$C$58,0))),""))))</f>
        <v/>
      </c>
      <c r="O160" s="16" t="str">
        <f aca="false">IF($C160="","",IF($G160="Einstaklingsbundið",IFERROR(IF(INDEX('Undirviðmiðalisti (Lýsigögn)'!K$42:K$58,MATCH($C160,'Undirviðmiðalisti (Lýsigögn)'!$C$42:$C$58,0))="","",INDEX('Undirviðmiðalisti (Lýsigögn)'!K$42:K$58,MATCH($C160,'Undirviðmiðalisti (Lýsigögn)'!$C$42:$C$58,0))),""),IFERROR(IF(INDEX('Undirviðmiðalisti (Lýsigögn)'!K$6:K$41,MATCH($C160,'Undirviðmiðalisti (Lýsigögn)'!$C$6:$C$41,0))="","",INDEX('Undirviðmiðalisti (Lýsigögn)'!K$6:K$41,MATCH($C160,'Undirviðmiðalisti (Lýsigögn)'!$C$6:$C$41,0))),IFERROR(IF(INDEX('Undirviðmiðalisti (Lýsigögn)'!K$42:K$58,MATCH($C160,'Undirviðmiðalisti (Lýsigögn)'!$C$42:$C$58,0))="","",INDEX('Undirviðmiðalisti (Lýsigögn)'!K$42:K$58,MATCH($C160,'Undirviðmiðalisti (Lýsigögn)'!$C$42:$C$58,0))),""))))</f>
        <v/>
      </c>
      <c r="P160" s="16" t="str">
        <f aca="false">IF($C160="","",IF($G160="Einstaklingsbundið",IFERROR(IF(INDEX('Undirviðmiðalisti (Lýsigögn)'!L$42:L$58,MATCH($C160,'Undirviðmiðalisti (Lýsigögn)'!$C$42:$C$58,0))="","",INDEX('Undirviðmiðalisti (Lýsigögn)'!L$42:L$58,MATCH($C160,'Undirviðmiðalisti (Lýsigögn)'!$C$42:$C$58,0))),""),IFERROR(IF(INDEX('Undirviðmiðalisti (Lýsigögn)'!L$6:L$41,MATCH($C160,'Undirviðmiðalisti (Lýsigögn)'!$C$6:$C$41,0))="","",INDEX('Undirviðmiðalisti (Lýsigögn)'!L$6:L$41,MATCH($C160,'Undirviðmiðalisti (Lýsigögn)'!$C$6:$C$41,0))),IFERROR(IF(INDEX('Undirviðmiðalisti (Lýsigögn)'!L$42:L$58,MATCH($C160,'Undirviðmiðalisti (Lýsigögn)'!$C$42:$C$58,0))="","",INDEX('Undirviðmiðalisti (Lýsigögn)'!L$42:L$58,MATCH($C160,'Undirviðmiðalisti (Lýsigögn)'!$C$42:$C$58,0))),""))))</f>
        <v/>
      </c>
      <c r="Q160" s="16" t="str">
        <f aca="false">IF($C160="","",IF($G160="Einstaklingsbundið",IFERROR(IF(INDEX('Undirviðmiðalisti (Lýsigögn)'!M$42:M$58,MATCH($C160,'Undirviðmiðalisti (Lýsigögn)'!$C$42:$C$58,0))="","",INDEX('Undirviðmiðalisti (Lýsigögn)'!M$42:M$58,MATCH($C160,'Undirviðmiðalisti (Lýsigögn)'!$C$42:$C$58,0))),""),IFERROR(IF(INDEX('Undirviðmiðalisti (Lýsigögn)'!M$6:M$41,MATCH($C160,'Undirviðmiðalisti (Lýsigögn)'!$C$6:$C$41,0))="","",INDEX('Undirviðmiðalisti (Lýsigögn)'!M$6:M$41,MATCH($C160,'Undirviðmiðalisti (Lýsigögn)'!$C$6:$C$41,0))),IFERROR(IF(INDEX('Undirviðmiðalisti (Lýsigögn)'!M$42:M$58,MATCH($C160,'Undirviðmiðalisti (Lýsigögn)'!$C$42:$C$58,0))="","",INDEX('Undirviðmiðalisti (Lýsigögn)'!M$42:M$58,MATCH($C160,'Undirviðmiðalisti (Lýsigögn)'!$C$42:$C$58,0))),""))))</f>
        <v/>
      </c>
    </row>
    <row r="161" customFormat="false" ht="15" hidden="false" customHeight="true" outlineLevel="0" collapsed="false">
      <c r="A161" s="22" t="str">
        <f aca="false">IF($B161="","",ROW()-5)</f>
        <v/>
      </c>
      <c r="B161" s="15"/>
      <c r="C161" s="15"/>
      <c r="D161" s="16" t="str">
        <f aca="false">IF($C161="","",IF($G161="Einstaklingsbundið",IFERROR(IF(INDEX('Undirviðmiðalisti (Lýsigögn)'!$D$42:$D$58,MATCH($C161,'Undirviðmiðalisti (Lýsigögn)'!$C$42:$C$58,0))="","",INDEX('Undirviðmiðalisti (Lýsigögn)'!$D$42:$D$58,MATCH($C161,'Undirviðmiðalisti (Lýsigögn)'!$C$42:$C$58,0))),""),IFERROR(IF(INDEX('Undirviðmiðalisti (Lýsigögn)'!$D$6:$D$41,MATCH($C161,'Undirviðmiðalisti (Lýsigögn)'!$C$6:$C$41,0))="","",INDEX('Undirviðmiðalisti (Lýsigögn)'!$D$6:$D$41,MATCH($C161,'Undirviðmiðalisti (Lýsigögn)'!$C$6:$C$41,0))),IFERROR(IF(INDEX('Undirviðmiðalisti (Lýsigögn)'!$D$42:$D$58,MATCH($C161,'Undirviðmiðalisti (Lýsigögn)'!$C$42:$C$58,0))="","",INDEX('Undirviðmiðalisti (Lýsigögn)'!$D$42:$D$58,MATCH($C161,'Undirviðmiðalisti (Lýsigögn)'!$C$42:$C$58,0))),""))))</f>
        <v/>
      </c>
      <c r="E161" s="14"/>
      <c r="F161" s="23" t="str">
        <f aca="false">IF($C161="","",IF($G161="Einstaklingsbundið",IFERROR(IF(INDEX('Undirviðmiðalisti (Lýsigögn)'!$E$42:$E$58,MATCH($C161,'Undirviðmiðalisti (Lýsigögn)'!$C$42:$C$58,0))="","",INDEX('Undirviðmiðalisti (Lýsigögn)'!$E$42:$E$58,MATCH($C161,'Undirviðmiðalisti (Lýsigögn)'!$C$42:$C$58,0))),""),IFERROR(IF(INDEX('Undirviðmiðalisti (Lýsigögn)'!$E$6:$E$41,MATCH($C161,'Undirviðmiðalisti (Lýsigögn)'!$C$6:$C$41,0))="","",INDEX('Undirviðmiðalisti (Lýsigögn)'!$E$6:$E$41,MATCH($C161,'Undirviðmiðalisti (Lýsigögn)'!$C$6:$C$41,0))),IFERROR(IF(INDEX('Undirviðmiðalisti (Lýsigögn)'!$E$42:$E$58,MATCH($C161,'Undirviðmiðalisti (Lýsigögn)'!$C$42:$C$58,0))="","",INDEX('Undirviðmiðalisti (Lýsigögn)'!$E$42:$E$58,MATCH($C161,'Undirviðmiðalisti (Lýsigögn)'!$C$42:$C$58,0))),""))))</f>
        <v/>
      </c>
      <c r="G161" s="24" t="str">
        <f aca="false">IFERROR(IF(B161="","",INDEX(Viðmið!$B$6:$B$10,MATCH(B161,Viðmið!$C$6:$C$10,0))),"")</f>
        <v/>
      </c>
      <c r="H161" s="25" t="str">
        <f aca="false">IF(OR(E161="",F161=""),"",E161*KVARDI)</f>
        <v/>
      </c>
      <c r="I161" s="26" t="str">
        <f aca="false">IF(B161="","",IF(ROUND(SUMIF($B$6:$B$205,B161,$E$6:$E$205),4)=ROUND(IFERROR(INDEX(Viðmið!$E$6:$E$10,MATCH(B161,Viðmið!$C$6:$C$10,0)),-1),4),"✓","✗"))</f>
        <v/>
      </c>
      <c r="J161" s="16" t="str">
        <f aca="false">IF($C161="","",IF($G161="Einstaklingsbundið",IFERROR(IF(INDEX('Undirviðmiðalisti (Lýsigögn)'!F$42:F$58,MATCH($C161,'Undirviðmiðalisti (Lýsigögn)'!$C$42:$C$58,0))="","",INDEX('Undirviðmiðalisti (Lýsigögn)'!F$42:F$58,MATCH($C161,'Undirviðmiðalisti (Lýsigögn)'!$C$42:$C$58,0))),""),IFERROR(IF(INDEX('Undirviðmiðalisti (Lýsigögn)'!F$6:F$41,MATCH($C161,'Undirviðmiðalisti (Lýsigögn)'!$C$6:$C$41,0))="","",INDEX('Undirviðmiðalisti (Lýsigögn)'!F$6:F$41,MATCH($C161,'Undirviðmiðalisti (Lýsigögn)'!$C$6:$C$41,0))),IFERROR(IF(INDEX('Undirviðmiðalisti (Lýsigögn)'!F$42:F$58,MATCH($C161,'Undirviðmiðalisti (Lýsigögn)'!$C$42:$C$58,0))="","",INDEX('Undirviðmiðalisti (Lýsigögn)'!F$42:F$58,MATCH($C161,'Undirviðmiðalisti (Lýsigögn)'!$C$42:$C$58,0))),""))))</f>
        <v/>
      </c>
      <c r="K161" s="16" t="str">
        <f aca="false">IF($C161="","",IF($G161="Einstaklingsbundið",IFERROR(IF(INDEX('Undirviðmiðalisti (Lýsigögn)'!G$42:G$58,MATCH($C161,'Undirviðmiðalisti (Lýsigögn)'!$C$42:$C$58,0))="","",INDEX('Undirviðmiðalisti (Lýsigögn)'!G$42:G$58,MATCH($C161,'Undirviðmiðalisti (Lýsigögn)'!$C$42:$C$58,0))),""),IFERROR(IF(INDEX('Undirviðmiðalisti (Lýsigögn)'!G$6:G$41,MATCH($C161,'Undirviðmiðalisti (Lýsigögn)'!$C$6:$C$41,0))="","",INDEX('Undirviðmiðalisti (Lýsigögn)'!G$6:G$41,MATCH($C161,'Undirviðmiðalisti (Lýsigögn)'!$C$6:$C$41,0))),IFERROR(IF(INDEX('Undirviðmiðalisti (Lýsigögn)'!G$42:G$58,MATCH($C161,'Undirviðmiðalisti (Lýsigögn)'!$C$42:$C$58,0))="","",INDEX('Undirviðmiðalisti (Lýsigögn)'!G$42:G$58,MATCH($C161,'Undirviðmiðalisti (Lýsigögn)'!$C$42:$C$58,0))),""))))</f>
        <v/>
      </c>
      <c r="L161" s="16" t="str">
        <f aca="false">IF($C161="","",IF($G161="Einstaklingsbundið",IFERROR(IF(INDEX('Undirviðmiðalisti (Lýsigögn)'!H$42:H$58,MATCH($C161,'Undirviðmiðalisti (Lýsigögn)'!$C$42:$C$58,0))="","",INDEX('Undirviðmiðalisti (Lýsigögn)'!H$42:H$58,MATCH($C161,'Undirviðmiðalisti (Lýsigögn)'!$C$42:$C$58,0))),""),IFERROR(IF(INDEX('Undirviðmiðalisti (Lýsigögn)'!H$6:H$41,MATCH($C161,'Undirviðmiðalisti (Lýsigögn)'!$C$6:$C$41,0))="","",INDEX('Undirviðmiðalisti (Lýsigögn)'!H$6:H$41,MATCH($C161,'Undirviðmiðalisti (Lýsigögn)'!$C$6:$C$41,0))),IFERROR(IF(INDEX('Undirviðmiðalisti (Lýsigögn)'!H$42:H$58,MATCH($C161,'Undirviðmiðalisti (Lýsigögn)'!$C$42:$C$58,0))="","",INDEX('Undirviðmiðalisti (Lýsigögn)'!H$42:H$58,MATCH($C161,'Undirviðmiðalisti (Lýsigögn)'!$C$42:$C$58,0))),""))))</f>
        <v/>
      </c>
      <c r="M161" s="16" t="str">
        <f aca="false">IF($C161="","",IF($G161="Einstaklingsbundið",IFERROR(IF(INDEX('Undirviðmiðalisti (Lýsigögn)'!I$42:I$58,MATCH($C161,'Undirviðmiðalisti (Lýsigögn)'!$C$42:$C$58,0))="","",INDEX('Undirviðmiðalisti (Lýsigögn)'!I$42:I$58,MATCH($C161,'Undirviðmiðalisti (Lýsigögn)'!$C$42:$C$58,0))),""),IFERROR(IF(INDEX('Undirviðmiðalisti (Lýsigögn)'!I$6:I$41,MATCH($C161,'Undirviðmiðalisti (Lýsigögn)'!$C$6:$C$41,0))="","",INDEX('Undirviðmiðalisti (Lýsigögn)'!I$6:I$41,MATCH($C161,'Undirviðmiðalisti (Lýsigögn)'!$C$6:$C$41,0))),IFERROR(IF(INDEX('Undirviðmiðalisti (Lýsigögn)'!I$42:I$58,MATCH($C161,'Undirviðmiðalisti (Lýsigögn)'!$C$42:$C$58,0))="","",INDEX('Undirviðmiðalisti (Lýsigögn)'!I$42:I$58,MATCH($C161,'Undirviðmiðalisti (Lýsigögn)'!$C$42:$C$58,0))),""))))</f>
        <v/>
      </c>
      <c r="N161" s="16" t="str">
        <f aca="false">IF($C161="","",IF($G161="Einstaklingsbundið",IFERROR(IF(INDEX('Undirviðmiðalisti (Lýsigögn)'!J$42:J$58,MATCH($C161,'Undirviðmiðalisti (Lýsigögn)'!$C$42:$C$58,0))="","",INDEX('Undirviðmiðalisti (Lýsigögn)'!J$42:J$58,MATCH($C161,'Undirviðmiðalisti (Lýsigögn)'!$C$42:$C$58,0))),""),IFERROR(IF(INDEX('Undirviðmiðalisti (Lýsigögn)'!J$6:J$41,MATCH($C161,'Undirviðmiðalisti (Lýsigögn)'!$C$6:$C$41,0))="","",INDEX('Undirviðmiðalisti (Lýsigögn)'!J$6:J$41,MATCH($C161,'Undirviðmiðalisti (Lýsigögn)'!$C$6:$C$41,0))),IFERROR(IF(INDEX('Undirviðmiðalisti (Lýsigögn)'!J$42:J$58,MATCH($C161,'Undirviðmiðalisti (Lýsigögn)'!$C$42:$C$58,0))="","",INDEX('Undirviðmiðalisti (Lýsigögn)'!J$42:J$58,MATCH($C161,'Undirviðmiðalisti (Lýsigögn)'!$C$42:$C$58,0))),""))))</f>
        <v/>
      </c>
      <c r="O161" s="16" t="str">
        <f aca="false">IF($C161="","",IF($G161="Einstaklingsbundið",IFERROR(IF(INDEX('Undirviðmiðalisti (Lýsigögn)'!K$42:K$58,MATCH($C161,'Undirviðmiðalisti (Lýsigögn)'!$C$42:$C$58,0))="","",INDEX('Undirviðmiðalisti (Lýsigögn)'!K$42:K$58,MATCH($C161,'Undirviðmiðalisti (Lýsigögn)'!$C$42:$C$58,0))),""),IFERROR(IF(INDEX('Undirviðmiðalisti (Lýsigögn)'!K$6:K$41,MATCH($C161,'Undirviðmiðalisti (Lýsigögn)'!$C$6:$C$41,0))="","",INDEX('Undirviðmiðalisti (Lýsigögn)'!K$6:K$41,MATCH($C161,'Undirviðmiðalisti (Lýsigögn)'!$C$6:$C$41,0))),IFERROR(IF(INDEX('Undirviðmiðalisti (Lýsigögn)'!K$42:K$58,MATCH($C161,'Undirviðmiðalisti (Lýsigögn)'!$C$42:$C$58,0))="","",INDEX('Undirviðmiðalisti (Lýsigögn)'!K$42:K$58,MATCH($C161,'Undirviðmiðalisti (Lýsigögn)'!$C$42:$C$58,0))),""))))</f>
        <v/>
      </c>
      <c r="P161" s="16" t="str">
        <f aca="false">IF($C161="","",IF($G161="Einstaklingsbundið",IFERROR(IF(INDEX('Undirviðmiðalisti (Lýsigögn)'!L$42:L$58,MATCH($C161,'Undirviðmiðalisti (Lýsigögn)'!$C$42:$C$58,0))="","",INDEX('Undirviðmiðalisti (Lýsigögn)'!L$42:L$58,MATCH($C161,'Undirviðmiðalisti (Lýsigögn)'!$C$42:$C$58,0))),""),IFERROR(IF(INDEX('Undirviðmiðalisti (Lýsigögn)'!L$6:L$41,MATCH($C161,'Undirviðmiðalisti (Lýsigögn)'!$C$6:$C$41,0))="","",INDEX('Undirviðmiðalisti (Lýsigögn)'!L$6:L$41,MATCH($C161,'Undirviðmiðalisti (Lýsigögn)'!$C$6:$C$41,0))),IFERROR(IF(INDEX('Undirviðmiðalisti (Lýsigögn)'!L$42:L$58,MATCH($C161,'Undirviðmiðalisti (Lýsigögn)'!$C$42:$C$58,0))="","",INDEX('Undirviðmiðalisti (Lýsigögn)'!L$42:L$58,MATCH($C161,'Undirviðmiðalisti (Lýsigögn)'!$C$42:$C$58,0))),""))))</f>
        <v/>
      </c>
      <c r="Q161" s="16" t="str">
        <f aca="false">IF($C161="","",IF($G161="Einstaklingsbundið",IFERROR(IF(INDEX('Undirviðmiðalisti (Lýsigögn)'!M$42:M$58,MATCH($C161,'Undirviðmiðalisti (Lýsigögn)'!$C$42:$C$58,0))="","",INDEX('Undirviðmiðalisti (Lýsigögn)'!M$42:M$58,MATCH($C161,'Undirviðmiðalisti (Lýsigögn)'!$C$42:$C$58,0))),""),IFERROR(IF(INDEX('Undirviðmiðalisti (Lýsigögn)'!M$6:M$41,MATCH($C161,'Undirviðmiðalisti (Lýsigögn)'!$C$6:$C$41,0))="","",INDEX('Undirviðmiðalisti (Lýsigögn)'!M$6:M$41,MATCH($C161,'Undirviðmiðalisti (Lýsigögn)'!$C$6:$C$41,0))),IFERROR(IF(INDEX('Undirviðmiðalisti (Lýsigögn)'!M$42:M$58,MATCH($C161,'Undirviðmiðalisti (Lýsigögn)'!$C$42:$C$58,0))="","",INDEX('Undirviðmiðalisti (Lýsigögn)'!M$42:M$58,MATCH($C161,'Undirviðmiðalisti (Lýsigögn)'!$C$42:$C$58,0))),""))))</f>
        <v/>
      </c>
    </row>
    <row r="162" customFormat="false" ht="15" hidden="false" customHeight="true" outlineLevel="0" collapsed="false">
      <c r="A162" s="22" t="str">
        <f aca="false">IF($B162="","",ROW()-5)</f>
        <v/>
      </c>
      <c r="B162" s="15"/>
      <c r="C162" s="15"/>
      <c r="D162" s="16" t="str">
        <f aca="false">IF($C162="","",IF($G162="Einstaklingsbundið",IFERROR(IF(INDEX('Undirviðmiðalisti (Lýsigögn)'!$D$42:$D$58,MATCH($C162,'Undirviðmiðalisti (Lýsigögn)'!$C$42:$C$58,0))="","",INDEX('Undirviðmiðalisti (Lýsigögn)'!$D$42:$D$58,MATCH($C162,'Undirviðmiðalisti (Lýsigögn)'!$C$42:$C$58,0))),""),IFERROR(IF(INDEX('Undirviðmiðalisti (Lýsigögn)'!$D$6:$D$41,MATCH($C162,'Undirviðmiðalisti (Lýsigögn)'!$C$6:$C$41,0))="","",INDEX('Undirviðmiðalisti (Lýsigögn)'!$D$6:$D$41,MATCH($C162,'Undirviðmiðalisti (Lýsigögn)'!$C$6:$C$41,0))),IFERROR(IF(INDEX('Undirviðmiðalisti (Lýsigögn)'!$D$42:$D$58,MATCH($C162,'Undirviðmiðalisti (Lýsigögn)'!$C$42:$C$58,0))="","",INDEX('Undirviðmiðalisti (Lýsigögn)'!$D$42:$D$58,MATCH($C162,'Undirviðmiðalisti (Lýsigögn)'!$C$42:$C$58,0))),""))))</f>
        <v/>
      </c>
      <c r="E162" s="14"/>
      <c r="F162" s="23" t="str">
        <f aca="false">IF($C162="","",IF($G162="Einstaklingsbundið",IFERROR(IF(INDEX('Undirviðmiðalisti (Lýsigögn)'!$E$42:$E$58,MATCH($C162,'Undirviðmiðalisti (Lýsigögn)'!$C$42:$C$58,0))="","",INDEX('Undirviðmiðalisti (Lýsigögn)'!$E$42:$E$58,MATCH($C162,'Undirviðmiðalisti (Lýsigögn)'!$C$42:$C$58,0))),""),IFERROR(IF(INDEX('Undirviðmiðalisti (Lýsigögn)'!$E$6:$E$41,MATCH($C162,'Undirviðmiðalisti (Lýsigögn)'!$C$6:$C$41,0))="","",INDEX('Undirviðmiðalisti (Lýsigögn)'!$E$6:$E$41,MATCH($C162,'Undirviðmiðalisti (Lýsigögn)'!$C$6:$C$41,0))),IFERROR(IF(INDEX('Undirviðmiðalisti (Lýsigögn)'!$E$42:$E$58,MATCH($C162,'Undirviðmiðalisti (Lýsigögn)'!$C$42:$C$58,0))="","",INDEX('Undirviðmiðalisti (Lýsigögn)'!$E$42:$E$58,MATCH($C162,'Undirviðmiðalisti (Lýsigögn)'!$C$42:$C$58,0))),""))))</f>
        <v/>
      </c>
      <c r="G162" s="24" t="str">
        <f aca="false">IFERROR(IF(B162="","",INDEX(Viðmið!$B$6:$B$10,MATCH(B162,Viðmið!$C$6:$C$10,0))),"")</f>
        <v/>
      </c>
      <c r="H162" s="25" t="str">
        <f aca="false">IF(OR(E162="",F162=""),"",E162*KVARDI)</f>
        <v/>
      </c>
      <c r="I162" s="26" t="str">
        <f aca="false">IF(B162="","",IF(ROUND(SUMIF($B$6:$B$205,B162,$E$6:$E$205),4)=ROUND(IFERROR(INDEX(Viðmið!$E$6:$E$10,MATCH(B162,Viðmið!$C$6:$C$10,0)),-1),4),"✓","✗"))</f>
        <v/>
      </c>
      <c r="J162" s="16" t="str">
        <f aca="false">IF($C162="","",IF($G162="Einstaklingsbundið",IFERROR(IF(INDEX('Undirviðmiðalisti (Lýsigögn)'!F$42:F$58,MATCH($C162,'Undirviðmiðalisti (Lýsigögn)'!$C$42:$C$58,0))="","",INDEX('Undirviðmiðalisti (Lýsigögn)'!F$42:F$58,MATCH($C162,'Undirviðmiðalisti (Lýsigögn)'!$C$42:$C$58,0))),""),IFERROR(IF(INDEX('Undirviðmiðalisti (Lýsigögn)'!F$6:F$41,MATCH($C162,'Undirviðmiðalisti (Lýsigögn)'!$C$6:$C$41,0))="","",INDEX('Undirviðmiðalisti (Lýsigögn)'!F$6:F$41,MATCH($C162,'Undirviðmiðalisti (Lýsigögn)'!$C$6:$C$41,0))),IFERROR(IF(INDEX('Undirviðmiðalisti (Lýsigögn)'!F$42:F$58,MATCH($C162,'Undirviðmiðalisti (Lýsigögn)'!$C$42:$C$58,0))="","",INDEX('Undirviðmiðalisti (Lýsigögn)'!F$42:F$58,MATCH($C162,'Undirviðmiðalisti (Lýsigögn)'!$C$42:$C$58,0))),""))))</f>
        <v/>
      </c>
      <c r="K162" s="16" t="str">
        <f aca="false">IF($C162="","",IF($G162="Einstaklingsbundið",IFERROR(IF(INDEX('Undirviðmiðalisti (Lýsigögn)'!G$42:G$58,MATCH($C162,'Undirviðmiðalisti (Lýsigögn)'!$C$42:$C$58,0))="","",INDEX('Undirviðmiðalisti (Lýsigögn)'!G$42:G$58,MATCH($C162,'Undirviðmiðalisti (Lýsigögn)'!$C$42:$C$58,0))),""),IFERROR(IF(INDEX('Undirviðmiðalisti (Lýsigögn)'!G$6:G$41,MATCH($C162,'Undirviðmiðalisti (Lýsigögn)'!$C$6:$C$41,0))="","",INDEX('Undirviðmiðalisti (Lýsigögn)'!G$6:G$41,MATCH($C162,'Undirviðmiðalisti (Lýsigögn)'!$C$6:$C$41,0))),IFERROR(IF(INDEX('Undirviðmiðalisti (Lýsigögn)'!G$42:G$58,MATCH($C162,'Undirviðmiðalisti (Lýsigögn)'!$C$42:$C$58,0))="","",INDEX('Undirviðmiðalisti (Lýsigögn)'!G$42:G$58,MATCH($C162,'Undirviðmiðalisti (Lýsigögn)'!$C$42:$C$58,0))),""))))</f>
        <v/>
      </c>
      <c r="L162" s="16" t="str">
        <f aca="false">IF($C162="","",IF($G162="Einstaklingsbundið",IFERROR(IF(INDEX('Undirviðmiðalisti (Lýsigögn)'!H$42:H$58,MATCH($C162,'Undirviðmiðalisti (Lýsigögn)'!$C$42:$C$58,0))="","",INDEX('Undirviðmiðalisti (Lýsigögn)'!H$42:H$58,MATCH($C162,'Undirviðmiðalisti (Lýsigögn)'!$C$42:$C$58,0))),""),IFERROR(IF(INDEX('Undirviðmiðalisti (Lýsigögn)'!H$6:H$41,MATCH($C162,'Undirviðmiðalisti (Lýsigögn)'!$C$6:$C$41,0))="","",INDEX('Undirviðmiðalisti (Lýsigögn)'!H$6:H$41,MATCH($C162,'Undirviðmiðalisti (Lýsigögn)'!$C$6:$C$41,0))),IFERROR(IF(INDEX('Undirviðmiðalisti (Lýsigögn)'!H$42:H$58,MATCH($C162,'Undirviðmiðalisti (Lýsigögn)'!$C$42:$C$58,0))="","",INDEX('Undirviðmiðalisti (Lýsigögn)'!H$42:H$58,MATCH($C162,'Undirviðmiðalisti (Lýsigögn)'!$C$42:$C$58,0))),""))))</f>
        <v/>
      </c>
      <c r="M162" s="16" t="str">
        <f aca="false">IF($C162="","",IF($G162="Einstaklingsbundið",IFERROR(IF(INDEX('Undirviðmiðalisti (Lýsigögn)'!I$42:I$58,MATCH($C162,'Undirviðmiðalisti (Lýsigögn)'!$C$42:$C$58,0))="","",INDEX('Undirviðmiðalisti (Lýsigögn)'!I$42:I$58,MATCH($C162,'Undirviðmiðalisti (Lýsigögn)'!$C$42:$C$58,0))),""),IFERROR(IF(INDEX('Undirviðmiðalisti (Lýsigögn)'!I$6:I$41,MATCH($C162,'Undirviðmiðalisti (Lýsigögn)'!$C$6:$C$41,0))="","",INDEX('Undirviðmiðalisti (Lýsigögn)'!I$6:I$41,MATCH($C162,'Undirviðmiðalisti (Lýsigögn)'!$C$6:$C$41,0))),IFERROR(IF(INDEX('Undirviðmiðalisti (Lýsigögn)'!I$42:I$58,MATCH($C162,'Undirviðmiðalisti (Lýsigögn)'!$C$42:$C$58,0))="","",INDEX('Undirviðmiðalisti (Lýsigögn)'!I$42:I$58,MATCH($C162,'Undirviðmiðalisti (Lýsigögn)'!$C$42:$C$58,0))),""))))</f>
        <v/>
      </c>
      <c r="N162" s="16" t="str">
        <f aca="false">IF($C162="","",IF($G162="Einstaklingsbundið",IFERROR(IF(INDEX('Undirviðmiðalisti (Lýsigögn)'!J$42:J$58,MATCH($C162,'Undirviðmiðalisti (Lýsigögn)'!$C$42:$C$58,0))="","",INDEX('Undirviðmiðalisti (Lýsigögn)'!J$42:J$58,MATCH($C162,'Undirviðmiðalisti (Lýsigögn)'!$C$42:$C$58,0))),""),IFERROR(IF(INDEX('Undirviðmiðalisti (Lýsigögn)'!J$6:J$41,MATCH($C162,'Undirviðmiðalisti (Lýsigögn)'!$C$6:$C$41,0))="","",INDEX('Undirviðmiðalisti (Lýsigögn)'!J$6:J$41,MATCH($C162,'Undirviðmiðalisti (Lýsigögn)'!$C$6:$C$41,0))),IFERROR(IF(INDEX('Undirviðmiðalisti (Lýsigögn)'!J$42:J$58,MATCH($C162,'Undirviðmiðalisti (Lýsigögn)'!$C$42:$C$58,0))="","",INDEX('Undirviðmiðalisti (Lýsigögn)'!J$42:J$58,MATCH($C162,'Undirviðmiðalisti (Lýsigögn)'!$C$42:$C$58,0))),""))))</f>
        <v/>
      </c>
      <c r="O162" s="16" t="str">
        <f aca="false">IF($C162="","",IF($G162="Einstaklingsbundið",IFERROR(IF(INDEX('Undirviðmiðalisti (Lýsigögn)'!K$42:K$58,MATCH($C162,'Undirviðmiðalisti (Lýsigögn)'!$C$42:$C$58,0))="","",INDEX('Undirviðmiðalisti (Lýsigögn)'!K$42:K$58,MATCH($C162,'Undirviðmiðalisti (Lýsigögn)'!$C$42:$C$58,0))),""),IFERROR(IF(INDEX('Undirviðmiðalisti (Lýsigögn)'!K$6:K$41,MATCH($C162,'Undirviðmiðalisti (Lýsigögn)'!$C$6:$C$41,0))="","",INDEX('Undirviðmiðalisti (Lýsigögn)'!K$6:K$41,MATCH($C162,'Undirviðmiðalisti (Lýsigögn)'!$C$6:$C$41,0))),IFERROR(IF(INDEX('Undirviðmiðalisti (Lýsigögn)'!K$42:K$58,MATCH($C162,'Undirviðmiðalisti (Lýsigögn)'!$C$42:$C$58,0))="","",INDEX('Undirviðmiðalisti (Lýsigögn)'!K$42:K$58,MATCH($C162,'Undirviðmiðalisti (Lýsigögn)'!$C$42:$C$58,0))),""))))</f>
        <v/>
      </c>
      <c r="P162" s="16" t="str">
        <f aca="false">IF($C162="","",IF($G162="Einstaklingsbundið",IFERROR(IF(INDEX('Undirviðmiðalisti (Lýsigögn)'!L$42:L$58,MATCH($C162,'Undirviðmiðalisti (Lýsigögn)'!$C$42:$C$58,0))="","",INDEX('Undirviðmiðalisti (Lýsigögn)'!L$42:L$58,MATCH($C162,'Undirviðmiðalisti (Lýsigögn)'!$C$42:$C$58,0))),""),IFERROR(IF(INDEX('Undirviðmiðalisti (Lýsigögn)'!L$6:L$41,MATCH($C162,'Undirviðmiðalisti (Lýsigögn)'!$C$6:$C$41,0))="","",INDEX('Undirviðmiðalisti (Lýsigögn)'!L$6:L$41,MATCH($C162,'Undirviðmiðalisti (Lýsigögn)'!$C$6:$C$41,0))),IFERROR(IF(INDEX('Undirviðmiðalisti (Lýsigögn)'!L$42:L$58,MATCH($C162,'Undirviðmiðalisti (Lýsigögn)'!$C$42:$C$58,0))="","",INDEX('Undirviðmiðalisti (Lýsigögn)'!L$42:L$58,MATCH($C162,'Undirviðmiðalisti (Lýsigögn)'!$C$42:$C$58,0))),""))))</f>
        <v/>
      </c>
      <c r="Q162" s="16" t="str">
        <f aca="false">IF($C162="","",IF($G162="Einstaklingsbundið",IFERROR(IF(INDEX('Undirviðmiðalisti (Lýsigögn)'!M$42:M$58,MATCH($C162,'Undirviðmiðalisti (Lýsigögn)'!$C$42:$C$58,0))="","",INDEX('Undirviðmiðalisti (Lýsigögn)'!M$42:M$58,MATCH($C162,'Undirviðmiðalisti (Lýsigögn)'!$C$42:$C$58,0))),""),IFERROR(IF(INDEX('Undirviðmiðalisti (Lýsigögn)'!M$6:M$41,MATCH($C162,'Undirviðmiðalisti (Lýsigögn)'!$C$6:$C$41,0))="","",INDEX('Undirviðmiðalisti (Lýsigögn)'!M$6:M$41,MATCH($C162,'Undirviðmiðalisti (Lýsigögn)'!$C$6:$C$41,0))),IFERROR(IF(INDEX('Undirviðmiðalisti (Lýsigögn)'!M$42:M$58,MATCH($C162,'Undirviðmiðalisti (Lýsigögn)'!$C$42:$C$58,0))="","",INDEX('Undirviðmiðalisti (Lýsigögn)'!M$42:M$58,MATCH($C162,'Undirviðmiðalisti (Lýsigögn)'!$C$42:$C$58,0))),""))))</f>
        <v/>
      </c>
    </row>
    <row r="163" customFormat="false" ht="15" hidden="false" customHeight="true" outlineLevel="0" collapsed="false">
      <c r="A163" s="22" t="str">
        <f aca="false">IF($B163="","",ROW()-5)</f>
        <v/>
      </c>
      <c r="B163" s="15"/>
      <c r="C163" s="15"/>
      <c r="D163" s="16" t="str">
        <f aca="false">IF($C163="","",IF($G163="Einstaklingsbundið",IFERROR(IF(INDEX('Undirviðmiðalisti (Lýsigögn)'!$D$42:$D$58,MATCH($C163,'Undirviðmiðalisti (Lýsigögn)'!$C$42:$C$58,0))="","",INDEX('Undirviðmiðalisti (Lýsigögn)'!$D$42:$D$58,MATCH($C163,'Undirviðmiðalisti (Lýsigögn)'!$C$42:$C$58,0))),""),IFERROR(IF(INDEX('Undirviðmiðalisti (Lýsigögn)'!$D$6:$D$41,MATCH($C163,'Undirviðmiðalisti (Lýsigögn)'!$C$6:$C$41,0))="","",INDEX('Undirviðmiðalisti (Lýsigögn)'!$D$6:$D$41,MATCH($C163,'Undirviðmiðalisti (Lýsigögn)'!$C$6:$C$41,0))),IFERROR(IF(INDEX('Undirviðmiðalisti (Lýsigögn)'!$D$42:$D$58,MATCH($C163,'Undirviðmiðalisti (Lýsigögn)'!$C$42:$C$58,0))="","",INDEX('Undirviðmiðalisti (Lýsigögn)'!$D$42:$D$58,MATCH($C163,'Undirviðmiðalisti (Lýsigögn)'!$C$42:$C$58,0))),""))))</f>
        <v/>
      </c>
      <c r="E163" s="14"/>
      <c r="F163" s="23" t="str">
        <f aca="false">IF($C163="","",IF($G163="Einstaklingsbundið",IFERROR(IF(INDEX('Undirviðmiðalisti (Lýsigögn)'!$E$42:$E$58,MATCH($C163,'Undirviðmiðalisti (Lýsigögn)'!$C$42:$C$58,0))="","",INDEX('Undirviðmiðalisti (Lýsigögn)'!$E$42:$E$58,MATCH($C163,'Undirviðmiðalisti (Lýsigögn)'!$C$42:$C$58,0))),""),IFERROR(IF(INDEX('Undirviðmiðalisti (Lýsigögn)'!$E$6:$E$41,MATCH($C163,'Undirviðmiðalisti (Lýsigögn)'!$C$6:$C$41,0))="","",INDEX('Undirviðmiðalisti (Lýsigögn)'!$E$6:$E$41,MATCH($C163,'Undirviðmiðalisti (Lýsigögn)'!$C$6:$C$41,0))),IFERROR(IF(INDEX('Undirviðmiðalisti (Lýsigögn)'!$E$42:$E$58,MATCH($C163,'Undirviðmiðalisti (Lýsigögn)'!$C$42:$C$58,0))="","",INDEX('Undirviðmiðalisti (Lýsigögn)'!$E$42:$E$58,MATCH($C163,'Undirviðmiðalisti (Lýsigögn)'!$C$42:$C$58,0))),""))))</f>
        <v/>
      </c>
      <c r="G163" s="24" t="str">
        <f aca="false">IFERROR(IF(B163="","",INDEX(Viðmið!$B$6:$B$10,MATCH(B163,Viðmið!$C$6:$C$10,0))),"")</f>
        <v/>
      </c>
      <c r="H163" s="25" t="str">
        <f aca="false">IF(OR(E163="",F163=""),"",E163*KVARDI)</f>
        <v/>
      </c>
      <c r="I163" s="26" t="str">
        <f aca="false">IF(B163="","",IF(ROUND(SUMIF($B$6:$B$205,B163,$E$6:$E$205),4)=ROUND(IFERROR(INDEX(Viðmið!$E$6:$E$10,MATCH(B163,Viðmið!$C$6:$C$10,0)),-1),4),"✓","✗"))</f>
        <v/>
      </c>
      <c r="J163" s="16" t="str">
        <f aca="false">IF($C163="","",IF($G163="Einstaklingsbundið",IFERROR(IF(INDEX('Undirviðmiðalisti (Lýsigögn)'!F$42:F$58,MATCH($C163,'Undirviðmiðalisti (Lýsigögn)'!$C$42:$C$58,0))="","",INDEX('Undirviðmiðalisti (Lýsigögn)'!F$42:F$58,MATCH($C163,'Undirviðmiðalisti (Lýsigögn)'!$C$42:$C$58,0))),""),IFERROR(IF(INDEX('Undirviðmiðalisti (Lýsigögn)'!F$6:F$41,MATCH($C163,'Undirviðmiðalisti (Lýsigögn)'!$C$6:$C$41,0))="","",INDEX('Undirviðmiðalisti (Lýsigögn)'!F$6:F$41,MATCH($C163,'Undirviðmiðalisti (Lýsigögn)'!$C$6:$C$41,0))),IFERROR(IF(INDEX('Undirviðmiðalisti (Lýsigögn)'!F$42:F$58,MATCH($C163,'Undirviðmiðalisti (Lýsigögn)'!$C$42:$C$58,0))="","",INDEX('Undirviðmiðalisti (Lýsigögn)'!F$42:F$58,MATCH($C163,'Undirviðmiðalisti (Lýsigögn)'!$C$42:$C$58,0))),""))))</f>
        <v/>
      </c>
      <c r="K163" s="16" t="str">
        <f aca="false">IF($C163="","",IF($G163="Einstaklingsbundið",IFERROR(IF(INDEX('Undirviðmiðalisti (Lýsigögn)'!G$42:G$58,MATCH($C163,'Undirviðmiðalisti (Lýsigögn)'!$C$42:$C$58,0))="","",INDEX('Undirviðmiðalisti (Lýsigögn)'!G$42:G$58,MATCH($C163,'Undirviðmiðalisti (Lýsigögn)'!$C$42:$C$58,0))),""),IFERROR(IF(INDEX('Undirviðmiðalisti (Lýsigögn)'!G$6:G$41,MATCH($C163,'Undirviðmiðalisti (Lýsigögn)'!$C$6:$C$41,0))="","",INDEX('Undirviðmiðalisti (Lýsigögn)'!G$6:G$41,MATCH($C163,'Undirviðmiðalisti (Lýsigögn)'!$C$6:$C$41,0))),IFERROR(IF(INDEX('Undirviðmiðalisti (Lýsigögn)'!G$42:G$58,MATCH($C163,'Undirviðmiðalisti (Lýsigögn)'!$C$42:$C$58,0))="","",INDEX('Undirviðmiðalisti (Lýsigögn)'!G$42:G$58,MATCH($C163,'Undirviðmiðalisti (Lýsigögn)'!$C$42:$C$58,0))),""))))</f>
        <v/>
      </c>
      <c r="L163" s="16" t="str">
        <f aca="false">IF($C163="","",IF($G163="Einstaklingsbundið",IFERROR(IF(INDEX('Undirviðmiðalisti (Lýsigögn)'!H$42:H$58,MATCH($C163,'Undirviðmiðalisti (Lýsigögn)'!$C$42:$C$58,0))="","",INDEX('Undirviðmiðalisti (Lýsigögn)'!H$42:H$58,MATCH($C163,'Undirviðmiðalisti (Lýsigögn)'!$C$42:$C$58,0))),""),IFERROR(IF(INDEX('Undirviðmiðalisti (Lýsigögn)'!H$6:H$41,MATCH($C163,'Undirviðmiðalisti (Lýsigögn)'!$C$6:$C$41,0))="","",INDEX('Undirviðmiðalisti (Lýsigögn)'!H$6:H$41,MATCH($C163,'Undirviðmiðalisti (Lýsigögn)'!$C$6:$C$41,0))),IFERROR(IF(INDEX('Undirviðmiðalisti (Lýsigögn)'!H$42:H$58,MATCH($C163,'Undirviðmiðalisti (Lýsigögn)'!$C$42:$C$58,0))="","",INDEX('Undirviðmiðalisti (Lýsigögn)'!H$42:H$58,MATCH($C163,'Undirviðmiðalisti (Lýsigögn)'!$C$42:$C$58,0))),""))))</f>
        <v/>
      </c>
      <c r="M163" s="16" t="str">
        <f aca="false">IF($C163="","",IF($G163="Einstaklingsbundið",IFERROR(IF(INDEX('Undirviðmiðalisti (Lýsigögn)'!I$42:I$58,MATCH($C163,'Undirviðmiðalisti (Lýsigögn)'!$C$42:$C$58,0))="","",INDEX('Undirviðmiðalisti (Lýsigögn)'!I$42:I$58,MATCH($C163,'Undirviðmiðalisti (Lýsigögn)'!$C$42:$C$58,0))),""),IFERROR(IF(INDEX('Undirviðmiðalisti (Lýsigögn)'!I$6:I$41,MATCH($C163,'Undirviðmiðalisti (Lýsigögn)'!$C$6:$C$41,0))="","",INDEX('Undirviðmiðalisti (Lýsigögn)'!I$6:I$41,MATCH($C163,'Undirviðmiðalisti (Lýsigögn)'!$C$6:$C$41,0))),IFERROR(IF(INDEX('Undirviðmiðalisti (Lýsigögn)'!I$42:I$58,MATCH($C163,'Undirviðmiðalisti (Lýsigögn)'!$C$42:$C$58,0))="","",INDEX('Undirviðmiðalisti (Lýsigögn)'!I$42:I$58,MATCH($C163,'Undirviðmiðalisti (Lýsigögn)'!$C$42:$C$58,0))),""))))</f>
        <v/>
      </c>
      <c r="N163" s="16" t="str">
        <f aca="false">IF($C163="","",IF($G163="Einstaklingsbundið",IFERROR(IF(INDEX('Undirviðmiðalisti (Lýsigögn)'!J$42:J$58,MATCH($C163,'Undirviðmiðalisti (Lýsigögn)'!$C$42:$C$58,0))="","",INDEX('Undirviðmiðalisti (Lýsigögn)'!J$42:J$58,MATCH($C163,'Undirviðmiðalisti (Lýsigögn)'!$C$42:$C$58,0))),""),IFERROR(IF(INDEX('Undirviðmiðalisti (Lýsigögn)'!J$6:J$41,MATCH($C163,'Undirviðmiðalisti (Lýsigögn)'!$C$6:$C$41,0))="","",INDEX('Undirviðmiðalisti (Lýsigögn)'!J$6:J$41,MATCH($C163,'Undirviðmiðalisti (Lýsigögn)'!$C$6:$C$41,0))),IFERROR(IF(INDEX('Undirviðmiðalisti (Lýsigögn)'!J$42:J$58,MATCH($C163,'Undirviðmiðalisti (Lýsigögn)'!$C$42:$C$58,0))="","",INDEX('Undirviðmiðalisti (Lýsigögn)'!J$42:J$58,MATCH($C163,'Undirviðmiðalisti (Lýsigögn)'!$C$42:$C$58,0))),""))))</f>
        <v/>
      </c>
      <c r="O163" s="16" t="str">
        <f aca="false">IF($C163="","",IF($G163="Einstaklingsbundið",IFERROR(IF(INDEX('Undirviðmiðalisti (Lýsigögn)'!K$42:K$58,MATCH($C163,'Undirviðmiðalisti (Lýsigögn)'!$C$42:$C$58,0))="","",INDEX('Undirviðmiðalisti (Lýsigögn)'!K$42:K$58,MATCH($C163,'Undirviðmiðalisti (Lýsigögn)'!$C$42:$C$58,0))),""),IFERROR(IF(INDEX('Undirviðmiðalisti (Lýsigögn)'!K$6:K$41,MATCH($C163,'Undirviðmiðalisti (Lýsigögn)'!$C$6:$C$41,0))="","",INDEX('Undirviðmiðalisti (Lýsigögn)'!K$6:K$41,MATCH($C163,'Undirviðmiðalisti (Lýsigögn)'!$C$6:$C$41,0))),IFERROR(IF(INDEX('Undirviðmiðalisti (Lýsigögn)'!K$42:K$58,MATCH($C163,'Undirviðmiðalisti (Lýsigögn)'!$C$42:$C$58,0))="","",INDEX('Undirviðmiðalisti (Lýsigögn)'!K$42:K$58,MATCH($C163,'Undirviðmiðalisti (Lýsigögn)'!$C$42:$C$58,0))),""))))</f>
        <v/>
      </c>
      <c r="P163" s="16" t="str">
        <f aca="false">IF($C163="","",IF($G163="Einstaklingsbundið",IFERROR(IF(INDEX('Undirviðmiðalisti (Lýsigögn)'!L$42:L$58,MATCH($C163,'Undirviðmiðalisti (Lýsigögn)'!$C$42:$C$58,0))="","",INDEX('Undirviðmiðalisti (Lýsigögn)'!L$42:L$58,MATCH($C163,'Undirviðmiðalisti (Lýsigögn)'!$C$42:$C$58,0))),""),IFERROR(IF(INDEX('Undirviðmiðalisti (Lýsigögn)'!L$6:L$41,MATCH($C163,'Undirviðmiðalisti (Lýsigögn)'!$C$6:$C$41,0))="","",INDEX('Undirviðmiðalisti (Lýsigögn)'!L$6:L$41,MATCH($C163,'Undirviðmiðalisti (Lýsigögn)'!$C$6:$C$41,0))),IFERROR(IF(INDEX('Undirviðmiðalisti (Lýsigögn)'!L$42:L$58,MATCH($C163,'Undirviðmiðalisti (Lýsigögn)'!$C$42:$C$58,0))="","",INDEX('Undirviðmiðalisti (Lýsigögn)'!L$42:L$58,MATCH($C163,'Undirviðmiðalisti (Lýsigögn)'!$C$42:$C$58,0))),""))))</f>
        <v/>
      </c>
      <c r="Q163" s="16" t="str">
        <f aca="false">IF($C163="","",IF($G163="Einstaklingsbundið",IFERROR(IF(INDEX('Undirviðmiðalisti (Lýsigögn)'!M$42:M$58,MATCH($C163,'Undirviðmiðalisti (Lýsigögn)'!$C$42:$C$58,0))="","",INDEX('Undirviðmiðalisti (Lýsigögn)'!M$42:M$58,MATCH($C163,'Undirviðmiðalisti (Lýsigögn)'!$C$42:$C$58,0))),""),IFERROR(IF(INDEX('Undirviðmiðalisti (Lýsigögn)'!M$6:M$41,MATCH($C163,'Undirviðmiðalisti (Lýsigögn)'!$C$6:$C$41,0))="","",INDEX('Undirviðmiðalisti (Lýsigögn)'!M$6:M$41,MATCH($C163,'Undirviðmiðalisti (Lýsigögn)'!$C$6:$C$41,0))),IFERROR(IF(INDEX('Undirviðmiðalisti (Lýsigögn)'!M$42:M$58,MATCH($C163,'Undirviðmiðalisti (Lýsigögn)'!$C$42:$C$58,0))="","",INDEX('Undirviðmiðalisti (Lýsigögn)'!M$42:M$58,MATCH($C163,'Undirviðmiðalisti (Lýsigögn)'!$C$42:$C$58,0))),""))))</f>
        <v/>
      </c>
    </row>
    <row r="164" customFormat="false" ht="15" hidden="false" customHeight="true" outlineLevel="0" collapsed="false">
      <c r="A164" s="22" t="str">
        <f aca="false">IF($B164="","",ROW()-5)</f>
        <v/>
      </c>
      <c r="B164" s="15"/>
      <c r="C164" s="15"/>
      <c r="D164" s="16" t="str">
        <f aca="false">IF($C164="","",IF($G164="Einstaklingsbundið",IFERROR(IF(INDEX('Undirviðmiðalisti (Lýsigögn)'!$D$42:$D$58,MATCH($C164,'Undirviðmiðalisti (Lýsigögn)'!$C$42:$C$58,0))="","",INDEX('Undirviðmiðalisti (Lýsigögn)'!$D$42:$D$58,MATCH($C164,'Undirviðmiðalisti (Lýsigögn)'!$C$42:$C$58,0))),""),IFERROR(IF(INDEX('Undirviðmiðalisti (Lýsigögn)'!$D$6:$D$41,MATCH($C164,'Undirviðmiðalisti (Lýsigögn)'!$C$6:$C$41,0))="","",INDEX('Undirviðmiðalisti (Lýsigögn)'!$D$6:$D$41,MATCH($C164,'Undirviðmiðalisti (Lýsigögn)'!$C$6:$C$41,0))),IFERROR(IF(INDEX('Undirviðmiðalisti (Lýsigögn)'!$D$42:$D$58,MATCH($C164,'Undirviðmiðalisti (Lýsigögn)'!$C$42:$C$58,0))="","",INDEX('Undirviðmiðalisti (Lýsigögn)'!$D$42:$D$58,MATCH($C164,'Undirviðmiðalisti (Lýsigögn)'!$C$42:$C$58,0))),""))))</f>
        <v/>
      </c>
      <c r="E164" s="14"/>
      <c r="F164" s="23" t="str">
        <f aca="false">IF($C164="","",IF($G164="Einstaklingsbundið",IFERROR(IF(INDEX('Undirviðmiðalisti (Lýsigögn)'!$E$42:$E$58,MATCH($C164,'Undirviðmiðalisti (Lýsigögn)'!$C$42:$C$58,0))="","",INDEX('Undirviðmiðalisti (Lýsigögn)'!$E$42:$E$58,MATCH($C164,'Undirviðmiðalisti (Lýsigögn)'!$C$42:$C$58,0))),""),IFERROR(IF(INDEX('Undirviðmiðalisti (Lýsigögn)'!$E$6:$E$41,MATCH($C164,'Undirviðmiðalisti (Lýsigögn)'!$C$6:$C$41,0))="","",INDEX('Undirviðmiðalisti (Lýsigögn)'!$E$6:$E$41,MATCH($C164,'Undirviðmiðalisti (Lýsigögn)'!$C$6:$C$41,0))),IFERROR(IF(INDEX('Undirviðmiðalisti (Lýsigögn)'!$E$42:$E$58,MATCH($C164,'Undirviðmiðalisti (Lýsigögn)'!$C$42:$C$58,0))="","",INDEX('Undirviðmiðalisti (Lýsigögn)'!$E$42:$E$58,MATCH($C164,'Undirviðmiðalisti (Lýsigögn)'!$C$42:$C$58,0))),""))))</f>
        <v/>
      </c>
      <c r="G164" s="24" t="str">
        <f aca="false">IFERROR(IF(B164="","",INDEX(Viðmið!$B$6:$B$10,MATCH(B164,Viðmið!$C$6:$C$10,0))),"")</f>
        <v/>
      </c>
      <c r="H164" s="25" t="str">
        <f aca="false">IF(OR(E164="",F164=""),"",E164*KVARDI)</f>
        <v/>
      </c>
      <c r="I164" s="26" t="str">
        <f aca="false">IF(B164="","",IF(ROUND(SUMIF($B$6:$B$205,B164,$E$6:$E$205),4)=ROUND(IFERROR(INDEX(Viðmið!$E$6:$E$10,MATCH(B164,Viðmið!$C$6:$C$10,0)),-1),4),"✓","✗"))</f>
        <v/>
      </c>
      <c r="J164" s="16" t="str">
        <f aca="false">IF($C164="","",IF($G164="Einstaklingsbundið",IFERROR(IF(INDEX('Undirviðmiðalisti (Lýsigögn)'!F$42:F$58,MATCH($C164,'Undirviðmiðalisti (Lýsigögn)'!$C$42:$C$58,0))="","",INDEX('Undirviðmiðalisti (Lýsigögn)'!F$42:F$58,MATCH($C164,'Undirviðmiðalisti (Lýsigögn)'!$C$42:$C$58,0))),""),IFERROR(IF(INDEX('Undirviðmiðalisti (Lýsigögn)'!F$6:F$41,MATCH($C164,'Undirviðmiðalisti (Lýsigögn)'!$C$6:$C$41,0))="","",INDEX('Undirviðmiðalisti (Lýsigögn)'!F$6:F$41,MATCH($C164,'Undirviðmiðalisti (Lýsigögn)'!$C$6:$C$41,0))),IFERROR(IF(INDEX('Undirviðmiðalisti (Lýsigögn)'!F$42:F$58,MATCH($C164,'Undirviðmiðalisti (Lýsigögn)'!$C$42:$C$58,0))="","",INDEX('Undirviðmiðalisti (Lýsigögn)'!F$42:F$58,MATCH($C164,'Undirviðmiðalisti (Lýsigögn)'!$C$42:$C$58,0))),""))))</f>
        <v/>
      </c>
      <c r="K164" s="16" t="str">
        <f aca="false">IF($C164="","",IF($G164="Einstaklingsbundið",IFERROR(IF(INDEX('Undirviðmiðalisti (Lýsigögn)'!G$42:G$58,MATCH($C164,'Undirviðmiðalisti (Lýsigögn)'!$C$42:$C$58,0))="","",INDEX('Undirviðmiðalisti (Lýsigögn)'!G$42:G$58,MATCH($C164,'Undirviðmiðalisti (Lýsigögn)'!$C$42:$C$58,0))),""),IFERROR(IF(INDEX('Undirviðmiðalisti (Lýsigögn)'!G$6:G$41,MATCH($C164,'Undirviðmiðalisti (Lýsigögn)'!$C$6:$C$41,0))="","",INDEX('Undirviðmiðalisti (Lýsigögn)'!G$6:G$41,MATCH($C164,'Undirviðmiðalisti (Lýsigögn)'!$C$6:$C$41,0))),IFERROR(IF(INDEX('Undirviðmiðalisti (Lýsigögn)'!G$42:G$58,MATCH($C164,'Undirviðmiðalisti (Lýsigögn)'!$C$42:$C$58,0))="","",INDEX('Undirviðmiðalisti (Lýsigögn)'!G$42:G$58,MATCH($C164,'Undirviðmiðalisti (Lýsigögn)'!$C$42:$C$58,0))),""))))</f>
        <v/>
      </c>
      <c r="L164" s="16" t="str">
        <f aca="false">IF($C164="","",IF($G164="Einstaklingsbundið",IFERROR(IF(INDEX('Undirviðmiðalisti (Lýsigögn)'!H$42:H$58,MATCH($C164,'Undirviðmiðalisti (Lýsigögn)'!$C$42:$C$58,0))="","",INDEX('Undirviðmiðalisti (Lýsigögn)'!H$42:H$58,MATCH($C164,'Undirviðmiðalisti (Lýsigögn)'!$C$42:$C$58,0))),""),IFERROR(IF(INDEX('Undirviðmiðalisti (Lýsigögn)'!H$6:H$41,MATCH($C164,'Undirviðmiðalisti (Lýsigögn)'!$C$6:$C$41,0))="","",INDEX('Undirviðmiðalisti (Lýsigögn)'!H$6:H$41,MATCH($C164,'Undirviðmiðalisti (Lýsigögn)'!$C$6:$C$41,0))),IFERROR(IF(INDEX('Undirviðmiðalisti (Lýsigögn)'!H$42:H$58,MATCH($C164,'Undirviðmiðalisti (Lýsigögn)'!$C$42:$C$58,0))="","",INDEX('Undirviðmiðalisti (Lýsigögn)'!H$42:H$58,MATCH($C164,'Undirviðmiðalisti (Lýsigögn)'!$C$42:$C$58,0))),""))))</f>
        <v/>
      </c>
      <c r="M164" s="16" t="str">
        <f aca="false">IF($C164="","",IF($G164="Einstaklingsbundið",IFERROR(IF(INDEX('Undirviðmiðalisti (Lýsigögn)'!I$42:I$58,MATCH($C164,'Undirviðmiðalisti (Lýsigögn)'!$C$42:$C$58,0))="","",INDEX('Undirviðmiðalisti (Lýsigögn)'!I$42:I$58,MATCH($C164,'Undirviðmiðalisti (Lýsigögn)'!$C$42:$C$58,0))),""),IFERROR(IF(INDEX('Undirviðmiðalisti (Lýsigögn)'!I$6:I$41,MATCH($C164,'Undirviðmiðalisti (Lýsigögn)'!$C$6:$C$41,0))="","",INDEX('Undirviðmiðalisti (Lýsigögn)'!I$6:I$41,MATCH($C164,'Undirviðmiðalisti (Lýsigögn)'!$C$6:$C$41,0))),IFERROR(IF(INDEX('Undirviðmiðalisti (Lýsigögn)'!I$42:I$58,MATCH($C164,'Undirviðmiðalisti (Lýsigögn)'!$C$42:$C$58,0))="","",INDEX('Undirviðmiðalisti (Lýsigögn)'!I$42:I$58,MATCH($C164,'Undirviðmiðalisti (Lýsigögn)'!$C$42:$C$58,0))),""))))</f>
        <v/>
      </c>
      <c r="N164" s="16" t="str">
        <f aca="false">IF($C164="","",IF($G164="Einstaklingsbundið",IFERROR(IF(INDEX('Undirviðmiðalisti (Lýsigögn)'!J$42:J$58,MATCH($C164,'Undirviðmiðalisti (Lýsigögn)'!$C$42:$C$58,0))="","",INDEX('Undirviðmiðalisti (Lýsigögn)'!J$42:J$58,MATCH($C164,'Undirviðmiðalisti (Lýsigögn)'!$C$42:$C$58,0))),""),IFERROR(IF(INDEX('Undirviðmiðalisti (Lýsigögn)'!J$6:J$41,MATCH($C164,'Undirviðmiðalisti (Lýsigögn)'!$C$6:$C$41,0))="","",INDEX('Undirviðmiðalisti (Lýsigögn)'!J$6:J$41,MATCH($C164,'Undirviðmiðalisti (Lýsigögn)'!$C$6:$C$41,0))),IFERROR(IF(INDEX('Undirviðmiðalisti (Lýsigögn)'!J$42:J$58,MATCH($C164,'Undirviðmiðalisti (Lýsigögn)'!$C$42:$C$58,0))="","",INDEX('Undirviðmiðalisti (Lýsigögn)'!J$42:J$58,MATCH($C164,'Undirviðmiðalisti (Lýsigögn)'!$C$42:$C$58,0))),""))))</f>
        <v/>
      </c>
      <c r="O164" s="16" t="str">
        <f aca="false">IF($C164="","",IF($G164="Einstaklingsbundið",IFERROR(IF(INDEX('Undirviðmiðalisti (Lýsigögn)'!K$42:K$58,MATCH($C164,'Undirviðmiðalisti (Lýsigögn)'!$C$42:$C$58,0))="","",INDEX('Undirviðmiðalisti (Lýsigögn)'!K$42:K$58,MATCH($C164,'Undirviðmiðalisti (Lýsigögn)'!$C$42:$C$58,0))),""),IFERROR(IF(INDEX('Undirviðmiðalisti (Lýsigögn)'!K$6:K$41,MATCH($C164,'Undirviðmiðalisti (Lýsigögn)'!$C$6:$C$41,0))="","",INDEX('Undirviðmiðalisti (Lýsigögn)'!K$6:K$41,MATCH($C164,'Undirviðmiðalisti (Lýsigögn)'!$C$6:$C$41,0))),IFERROR(IF(INDEX('Undirviðmiðalisti (Lýsigögn)'!K$42:K$58,MATCH($C164,'Undirviðmiðalisti (Lýsigögn)'!$C$42:$C$58,0))="","",INDEX('Undirviðmiðalisti (Lýsigögn)'!K$42:K$58,MATCH($C164,'Undirviðmiðalisti (Lýsigögn)'!$C$42:$C$58,0))),""))))</f>
        <v/>
      </c>
      <c r="P164" s="16" t="str">
        <f aca="false">IF($C164="","",IF($G164="Einstaklingsbundið",IFERROR(IF(INDEX('Undirviðmiðalisti (Lýsigögn)'!L$42:L$58,MATCH($C164,'Undirviðmiðalisti (Lýsigögn)'!$C$42:$C$58,0))="","",INDEX('Undirviðmiðalisti (Lýsigögn)'!L$42:L$58,MATCH($C164,'Undirviðmiðalisti (Lýsigögn)'!$C$42:$C$58,0))),""),IFERROR(IF(INDEX('Undirviðmiðalisti (Lýsigögn)'!L$6:L$41,MATCH($C164,'Undirviðmiðalisti (Lýsigögn)'!$C$6:$C$41,0))="","",INDEX('Undirviðmiðalisti (Lýsigögn)'!L$6:L$41,MATCH($C164,'Undirviðmiðalisti (Lýsigögn)'!$C$6:$C$41,0))),IFERROR(IF(INDEX('Undirviðmiðalisti (Lýsigögn)'!L$42:L$58,MATCH($C164,'Undirviðmiðalisti (Lýsigögn)'!$C$42:$C$58,0))="","",INDEX('Undirviðmiðalisti (Lýsigögn)'!L$42:L$58,MATCH($C164,'Undirviðmiðalisti (Lýsigögn)'!$C$42:$C$58,0))),""))))</f>
        <v/>
      </c>
      <c r="Q164" s="16" t="str">
        <f aca="false">IF($C164="","",IF($G164="Einstaklingsbundið",IFERROR(IF(INDEX('Undirviðmiðalisti (Lýsigögn)'!M$42:M$58,MATCH($C164,'Undirviðmiðalisti (Lýsigögn)'!$C$42:$C$58,0))="","",INDEX('Undirviðmiðalisti (Lýsigögn)'!M$42:M$58,MATCH($C164,'Undirviðmiðalisti (Lýsigögn)'!$C$42:$C$58,0))),""),IFERROR(IF(INDEX('Undirviðmiðalisti (Lýsigögn)'!M$6:M$41,MATCH($C164,'Undirviðmiðalisti (Lýsigögn)'!$C$6:$C$41,0))="","",INDEX('Undirviðmiðalisti (Lýsigögn)'!M$6:M$41,MATCH($C164,'Undirviðmiðalisti (Lýsigögn)'!$C$6:$C$41,0))),IFERROR(IF(INDEX('Undirviðmiðalisti (Lýsigögn)'!M$42:M$58,MATCH($C164,'Undirviðmiðalisti (Lýsigögn)'!$C$42:$C$58,0))="","",INDEX('Undirviðmiðalisti (Lýsigögn)'!M$42:M$58,MATCH($C164,'Undirviðmiðalisti (Lýsigögn)'!$C$42:$C$58,0))),""))))</f>
        <v/>
      </c>
    </row>
    <row r="165" customFormat="false" ht="15" hidden="false" customHeight="true" outlineLevel="0" collapsed="false">
      <c r="A165" s="22" t="str">
        <f aca="false">IF($B165="","",ROW()-5)</f>
        <v/>
      </c>
      <c r="B165" s="15"/>
      <c r="C165" s="15"/>
      <c r="D165" s="16" t="str">
        <f aca="false">IF($C165="","",IF($G165="Einstaklingsbundið",IFERROR(IF(INDEX('Undirviðmiðalisti (Lýsigögn)'!$D$42:$D$58,MATCH($C165,'Undirviðmiðalisti (Lýsigögn)'!$C$42:$C$58,0))="","",INDEX('Undirviðmiðalisti (Lýsigögn)'!$D$42:$D$58,MATCH($C165,'Undirviðmiðalisti (Lýsigögn)'!$C$42:$C$58,0))),""),IFERROR(IF(INDEX('Undirviðmiðalisti (Lýsigögn)'!$D$6:$D$41,MATCH($C165,'Undirviðmiðalisti (Lýsigögn)'!$C$6:$C$41,0))="","",INDEX('Undirviðmiðalisti (Lýsigögn)'!$D$6:$D$41,MATCH($C165,'Undirviðmiðalisti (Lýsigögn)'!$C$6:$C$41,0))),IFERROR(IF(INDEX('Undirviðmiðalisti (Lýsigögn)'!$D$42:$D$58,MATCH($C165,'Undirviðmiðalisti (Lýsigögn)'!$C$42:$C$58,0))="","",INDEX('Undirviðmiðalisti (Lýsigögn)'!$D$42:$D$58,MATCH($C165,'Undirviðmiðalisti (Lýsigögn)'!$C$42:$C$58,0))),""))))</f>
        <v/>
      </c>
      <c r="E165" s="14"/>
      <c r="F165" s="23" t="str">
        <f aca="false">IF($C165="","",IF($G165="Einstaklingsbundið",IFERROR(IF(INDEX('Undirviðmiðalisti (Lýsigögn)'!$E$42:$E$58,MATCH($C165,'Undirviðmiðalisti (Lýsigögn)'!$C$42:$C$58,0))="","",INDEX('Undirviðmiðalisti (Lýsigögn)'!$E$42:$E$58,MATCH($C165,'Undirviðmiðalisti (Lýsigögn)'!$C$42:$C$58,0))),""),IFERROR(IF(INDEX('Undirviðmiðalisti (Lýsigögn)'!$E$6:$E$41,MATCH($C165,'Undirviðmiðalisti (Lýsigögn)'!$C$6:$C$41,0))="","",INDEX('Undirviðmiðalisti (Lýsigögn)'!$E$6:$E$41,MATCH($C165,'Undirviðmiðalisti (Lýsigögn)'!$C$6:$C$41,0))),IFERROR(IF(INDEX('Undirviðmiðalisti (Lýsigögn)'!$E$42:$E$58,MATCH($C165,'Undirviðmiðalisti (Lýsigögn)'!$C$42:$C$58,0))="","",INDEX('Undirviðmiðalisti (Lýsigögn)'!$E$42:$E$58,MATCH($C165,'Undirviðmiðalisti (Lýsigögn)'!$C$42:$C$58,0))),""))))</f>
        <v/>
      </c>
      <c r="G165" s="24" t="str">
        <f aca="false">IFERROR(IF(B165="","",INDEX(Viðmið!$B$6:$B$10,MATCH(B165,Viðmið!$C$6:$C$10,0))),"")</f>
        <v/>
      </c>
      <c r="H165" s="25" t="str">
        <f aca="false">IF(OR(E165="",F165=""),"",E165*KVARDI)</f>
        <v/>
      </c>
      <c r="I165" s="26" t="str">
        <f aca="false">IF(B165="","",IF(ROUND(SUMIF($B$6:$B$205,B165,$E$6:$E$205),4)=ROUND(IFERROR(INDEX(Viðmið!$E$6:$E$10,MATCH(B165,Viðmið!$C$6:$C$10,0)),-1),4),"✓","✗"))</f>
        <v/>
      </c>
      <c r="J165" s="16" t="str">
        <f aca="false">IF($C165="","",IF($G165="Einstaklingsbundið",IFERROR(IF(INDEX('Undirviðmiðalisti (Lýsigögn)'!F$42:F$58,MATCH($C165,'Undirviðmiðalisti (Lýsigögn)'!$C$42:$C$58,0))="","",INDEX('Undirviðmiðalisti (Lýsigögn)'!F$42:F$58,MATCH($C165,'Undirviðmiðalisti (Lýsigögn)'!$C$42:$C$58,0))),""),IFERROR(IF(INDEX('Undirviðmiðalisti (Lýsigögn)'!F$6:F$41,MATCH($C165,'Undirviðmiðalisti (Lýsigögn)'!$C$6:$C$41,0))="","",INDEX('Undirviðmiðalisti (Lýsigögn)'!F$6:F$41,MATCH($C165,'Undirviðmiðalisti (Lýsigögn)'!$C$6:$C$41,0))),IFERROR(IF(INDEX('Undirviðmiðalisti (Lýsigögn)'!F$42:F$58,MATCH($C165,'Undirviðmiðalisti (Lýsigögn)'!$C$42:$C$58,0))="","",INDEX('Undirviðmiðalisti (Lýsigögn)'!F$42:F$58,MATCH($C165,'Undirviðmiðalisti (Lýsigögn)'!$C$42:$C$58,0))),""))))</f>
        <v/>
      </c>
      <c r="K165" s="16" t="str">
        <f aca="false">IF($C165="","",IF($G165="Einstaklingsbundið",IFERROR(IF(INDEX('Undirviðmiðalisti (Lýsigögn)'!G$42:G$58,MATCH($C165,'Undirviðmiðalisti (Lýsigögn)'!$C$42:$C$58,0))="","",INDEX('Undirviðmiðalisti (Lýsigögn)'!G$42:G$58,MATCH($C165,'Undirviðmiðalisti (Lýsigögn)'!$C$42:$C$58,0))),""),IFERROR(IF(INDEX('Undirviðmiðalisti (Lýsigögn)'!G$6:G$41,MATCH($C165,'Undirviðmiðalisti (Lýsigögn)'!$C$6:$C$41,0))="","",INDEX('Undirviðmiðalisti (Lýsigögn)'!G$6:G$41,MATCH($C165,'Undirviðmiðalisti (Lýsigögn)'!$C$6:$C$41,0))),IFERROR(IF(INDEX('Undirviðmiðalisti (Lýsigögn)'!G$42:G$58,MATCH($C165,'Undirviðmiðalisti (Lýsigögn)'!$C$42:$C$58,0))="","",INDEX('Undirviðmiðalisti (Lýsigögn)'!G$42:G$58,MATCH($C165,'Undirviðmiðalisti (Lýsigögn)'!$C$42:$C$58,0))),""))))</f>
        <v/>
      </c>
      <c r="L165" s="16" t="str">
        <f aca="false">IF($C165="","",IF($G165="Einstaklingsbundið",IFERROR(IF(INDEX('Undirviðmiðalisti (Lýsigögn)'!H$42:H$58,MATCH($C165,'Undirviðmiðalisti (Lýsigögn)'!$C$42:$C$58,0))="","",INDEX('Undirviðmiðalisti (Lýsigögn)'!H$42:H$58,MATCH($C165,'Undirviðmiðalisti (Lýsigögn)'!$C$42:$C$58,0))),""),IFERROR(IF(INDEX('Undirviðmiðalisti (Lýsigögn)'!H$6:H$41,MATCH($C165,'Undirviðmiðalisti (Lýsigögn)'!$C$6:$C$41,0))="","",INDEX('Undirviðmiðalisti (Lýsigögn)'!H$6:H$41,MATCH($C165,'Undirviðmiðalisti (Lýsigögn)'!$C$6:$C$41,0))),IFERROR(IF(INDEX('Undirviðmiðalisti (Lýsigögn)'!H$42:H$58,MATCH($C165,'Undirviðmiðalisti (Lýsigögn)'!$C$42:$C$58,0))="","",INDEX('Undirviðmiðalisti (Lýsigögn)'!H$42:H$58,MATCH($C165,'Undirviðmiðalisti (Lýsigögn)'!$C$42:$C$58,0))),""))))</f>
        <v/>
      </c>
      <c r="M165" s="16" t="str">
        <f aca="false">IF($C165="","",IF($G165="Einstaklingsbundið",IFERROR(IF(INDEX('Undirviðmiðalisti (Lýsigögn)'!I$42:I$58,MATCH($C165,'Undirviðmiðalisti (Lýsigögn)'!$C$42:$C$58,0))="","",INDEX('Undirviðmiðalisti (Lýsigögn)'!I$42:I$58,MATCH($C165,'Undirviðmiðalisti (Lýsigögn)'!$C$42:$C$58,0))),""),IFERROR(IF(INDEX('Undirviðmiðalisti (Lýsigögn)'!I$6:I$41,MATCH($C165,'Undirviðmiðalisti (Lýsigögn)'!$C$6:$C$41,0))="","",INDEX('Undirviðmiðalisti (Lýsigögn)'!I$6:I$41,MATCH($C165,'Undirviðmiðalisti (Lýsigögn)'!$C$6:$C$41,0))),IFERROR(IF(INDEX('Undirviðmiðalisti (Lýsigögn)'!I$42:I$58,MATCH($C165,'Undirviðmiðalisti (Lýsigögn)'!$C$42:$C$58,0))="","",INDEX('Undirviðmiðalisti (Lýsigögn)'!I$42:I$58,MATCH($C165,'Undirviðmiðalisti (Lýsigögn)'!$C$42:$C$58,0))),""))))</f>
        <v/>
      </c>
      <c r="N165" s="16" t="str">
        <f aca="false">IF($C165="","",IF($G165="Einstaklingsbundið",IFERROR(IF(INDEX('Undirviðmiðalisti (Lýsigögn)'!J$42:J$58,MATCH($C165,'Undirviðmiðalisti (Lýsigögn)'!$C$42:$C$58,0))="","",INDEX('Undirviðmiðalisti (Lýsigögn)'!J$42:J$58,MATCH($C165,'Undirviðmiðalisti (Lýsigögn)'!$C$42:$C$58,0))),""),IFERROR(IF(INDEX('Undirviðmiðalisti (Lýsigögn)'!J$6:J$41,MATCH($C165,'Undirviðmiðalisti (Lýsigögn)'!$C$6:$C$41,0))="","",INDEX('Undirviðmiðalisti (Lýsigögn)'!J$6:J$41,MATCH($C165,'Undirviðmiðalisti (Lýsigögn)'!$C$6:$C$41,0))),IFERROR(IF(INDEX('Undirviðmiðalisti (Lýsigögn)'!J$42:J$58,MATCH($C165,'Undirviðmiðalisti (Lýsigögn)'!$C$42:$C$58,0))="","",INDEX('Undirviðmiðalisti (Lýsigögn)'!J$42:J$58,MATCH($C165,'Undirviðmiðalisti (Lýsigögn)'!$C$42:$C$58,0))),""))))</f>
        <v/>
      </c>
      <c r="O165" s="16" t="str">
        <f aca="false">IF($C165="","",IF($G165="Einstaklingsbundið",IFERROR(IF(INDEX('Undirviðmiðalisti (Lýsigögn)'!K$42:K$58,MATCH($C165,'Undirviðmiðalisti (Lýsigögn)'!$C$42:$C$58,0))="","",INDEX('Undirviðmiðalisti (Lýsigögn)'!K$42:K$58,MATCH($C165,'Undirviðmiðalisti (Lýsigögn)'!$C$42:$C$58,0))),""),IFERROR(IF(INDEX('Undirviðmiðalisti (Lýsigögn)'!K$6:K$41,MATCH($C165,'Undirviðmiðalisti (Lýsigögn)'!$C$6:$C$41,0))="","",INDEX('Undirviðmiðalisti (Lýsigögn)'!K$6:K$41,MATCH($C165,'Undirviðmiðalisti (Lýsigögn)'!$C$6:$C$41,0))),IFERROR(IF(INDEX('Undirviðmiðalisti (Lýsigögn)'!K$42:K$58,MATCH($C165,'Undirviðmiðalisti (Lýsigögn)'!$C$42:$C$58,0))="","",INDEX('Undirviðmiðalisti (Lýsigögn)'!K$42:K$58,MATCH($C165,'Undirviðmiðalisti (Lýsigögn)'!$C$42:$C$58,0))),""))))</f>
        <v/>
      </c>
      <c r="P165" s="16" t="str">
        <f aca="false">IF($C165="","",IF($G165="Einstaklingsbundið",IFERROR(IF(INDEX('Undirviðmiðalisti (Lýsigögn)'!L$42:L$58,MATCH($C165,'Undirviðmiðalisti (Lýsigögn)'!$C$42:$C$58,0))="","",INDEX('Undirviðmiðalisti (Lýsigögn)'!L$42:L$58,MATCH($C165,'Undirviðmiðalisti (Lýsigögn)'!$C$42:$C$58,0))),""),IFERROR(IF(INDEX('Undirviðmiðalisti (Lýsigögn)'!L$6:L$41,MATCH($C165,'Undirviðmiðalisti (Lýsigögn)'!$C$6:$C$41,0))="","",INDEX('Undirviðmiðalisti (Lýsigögn)'!L$6:L$41,MATCH($C165,'Undirviðmiðalisti (Lýsigögn)'!$C$6:$C$41,0))),IFERROR(IF(INDEX('Undirviðmiðalisti (Lýsigögn)'!L$42:L$58,MATCH($C165,'Undirviðmiðalisti (Lýsigögn)'!$C$42:$C$58,0))="","",INDEX('Undirviðmiðalisti (Lýsigögn)'!L$42:L$58,MATCH($C165,'Undirviðmiðalisti (Lýsigögn)'!$C$42:$C$58,0))),""))))</f>
        <v/>
      </c>
      <c r="Q165" s="16" t="str">
        <f aca="false">IF($C165="","",IF($G165="Einstaklingsbundið",IFERROR(IF(INDEX('Undirviðmiðalisti (Lýsigögn)'!M$42:M$58,MATCH($C165,'Undirviðmiðalisti (Lýsigögn)'!$C$42:$C$58,0))="","",INDEX('Undirviðmiðalisti (Lýsigögn)'!M$42:M$58,MATCH($C165,'Undirviðmiðalisti (Lýsigögn)'!$C$42:$C$58,0))),""),IFERROR(IF(INDEX('Undirviðmiðalisti (Lýsigögn)'!M$6:M$41,MATCH($C165,'Undirviðmiðalisti (Lýsigögn)'!$C$6:$C$41,0))="","",INDEX('Undirviðmiðalisti (Lýsigögn)'!M$6:M$41,MATCH($C165,'Undirviðmiðalisti (Lýsigögn)'!$C$6:$C$41,0))),IFERROR(IF(INDEX('Undirviðmiðalisti (Lýsigögn)'!M$42:M$58,MATCH($C165,'Undirviðmiðalisti (Lýsigögn)'!$C$42:$C$58,0))="","",INDEX('Undirviðmiðalisti (Lýsigögn)'!M$42:M$58,MATCH($C165,'Undirviðmiðalisti (Lýsigögn)'!$C$42:$C$58,0))),""))))</f>
        <v/>
      </c>
    </row>
    <row r="166" customFormat="false" ht="15" hidden="false" customHeight="true" outlineLevel="0" collapsed="false">
      <c r="A166" s="22" t="str">
        <f aca="false">IF($B166="","",ROW()-5)</f>
        <v/>
      </c>
      <c r="B166" s="15"/>
      <c r="C166" s="15"/>
      <c r="D166" s="16" t="str">
        <f aca="false">IF($C166="","",IF($G166="Einstaklingsbundið",IFERROR(IF(INDEX('Undirviðmiðalisti (Lýsigögn)'!$D$42:$D$58,MATCH($C166,'Undirviðmiðalisti (Lýsigögn)'!$C$42:$C$58,0))="","",INDEX('Undirviðmiðalisti (Lýsigögn)'!$D$42:$D$58,MATCH($C166,'Undirviðmiðalisti (Lýsigögn)'!$C$42:$C$58,0))),""),IFERROR(IF(INDEX('Undirviðmiðalisti (Lýsigögn)'!$D$6:$D$41,MATCH($C166,'Undirviðmiðalisti (Lýsigögn)'!$C$6:$C$41,0))="","",INDEX('Undirviðmiðalisti (Lýsigögn)'!$D$6:$D$41,MATCH($C166,'Undirviðmiðalisti (Lýsigögn)'!$C$6:$C$41,0))),IFERROR(IF(INDEX('Undirviðmiðalisti (Lýsigögn)'!$D$42:$D$58,MATCH($C166,'Undirviðmiðalisti (Lýsigögn)'!$C$42:$C$58,0))="","",INDEX('Undirviðmiðalisti (Lýsigögn)'!$D$42:$D$58,MATCH($C166,'Undirviðmiðalisti (Lýsigögn)'!$C$42:$C$58,0))),""))))</f>
        <v/>
      </c>
      <c r="E166" s="14"/>
      <c r="F166" s="23" t="str">
        <f aca="false">IF($C166="","",IF($G166="Einstaklingsbundið",IFERROR(IF(INDEX('Undirviðmiðalisti (Lýsigögn)'!$E$42:$E$58,MATCH($C166,'Undirviðmiðalisti (Lýsigögn)'!$C$42:$C$58,0))="","",INDEX('Undirviðmiðalisti (Lýsigögn)'!$E$42:$E$58,MATCH($C166,'Undirviðmiðalisti (Lýsigögn)'!$C$42:$C$58,0))),""),IFERROR(IF(INDEX('Undirviðmiðalisti (Lýsigögn)'!$E$6:$E$41,MATCH($C166,'Undirviðmiðalisti (Lýsigögn)'!$C$6:$C$41,0))="","",INDEX('Undirviðmiðalisti (Lýsigögn)'!$E$6:$E$41,MATCH($C166,'Undirviðmiðalisti (Lýsigögn)'!$C$6:$C$41,0))),IFERROR(IF(INDEX('Undirviðmiðalisti (Lýsigögn)'!$E$42:$E$58,MATCH($C166,'Undirviðmiðalisti (Lýsigögn)'!$C$42:$C$58,0))="","",INDEX('Undirviðmiðalisti (Lýsigögn)'!$E$42:$E$58,MATCH($C166,'Undirviðmiðalisti (Lýsigögn)'!$C$42:$C$58,0))),""))))</f>
        <v/>
      </c>
      <c r="G166" s="24" t="str">
        <f aca="false">IFERROR(IF(B166="","",INDEX(Viðmið!$B$6:$B$10,MATCH(B166,Viðmið!$C$6:$C$10,0))),"")</f>
        <v/>
      </c>
      <c r="H166" s="25" t="str">
        <f aca="false">IF(OR(E166="",F166=""),"",E166*KVARDI)</f>
        <v/>
      </c>
      <c r="I166" s="26" t="str">
        <f aca="false">IF(B166="","",IF(ROUND(SUMIF($B$6:$B$205,B166,$E$6:$E$205),4)=ROUND(IFERROR(INDEX(Viðmið!$E$6:$E$10,MATCH(B166,Viðmið!$C$6:$C$10,0)),-1),4),"✓","✗"))</f>
        <v/>
      </c>
      <c r="J166" s="16" t="str">
        <f aca="false">IF($C166="","",IF($G166="Einstaklingsbundið",IFERROR(IF(INDEX('Undirviðmiðalisti (Lýsigögn)'!F$42:F$58,MATCH($C166,'Undirviðmiðalisti (Lýsigögn)'!$C$42:$C$58,0))="","",INDEX('Undirviðmiðalisti (Lýsigögn)'!F$42:F$58,MATCH($C166,'Undirviðmiðalisti (Lýsigögn)'!$C$42:$C$58,0))),""),IFERROR(IF(INDEX('Undirviðmiðalisti (Lýsigögn)'!F$6:F$41,MATCH($C166,'Undirviðmiðalisti (Lýsigögn)'!$C$6:$C$41,0))="","",INDEX('Undirviðmiðalisti (Lýsigögn)'!F$6:F$41,MATCH($C166,'Undirviðmiðalisti (Lýsigögn)'!$C$6:$C$41,0))),IFERROR(IF(INDEX('Undirviðmiðalisti (Lýsigögn)'!F$42:F$58,MATCH($C166,'Undirviðmiðalisti (Lýsigögn)'!$C$42:$C$58,0))="","",INDEX('Undirviðmiðalisti (Lýsigögn)'!F$42:F$58,MATCH($C166,'Undirviðmiðalisti (Lýsigögn)'!$C$42:$C$58,0))),""))))</f>
        <v/>
      </c>
      <c r="K166" s="16" t="str">
        <f aca="false">IF($C166="","",IF($G166="Einstaklingsbundið",IFERROR(IF(INDEX('Undirviðmiðalisti (Lýsigögn)'!G$42:G$58,MATCH($C166,'Undirviðmiðalisti (Lýsigögn)'!$C$42:$C$58,0))="","",INDEX('Undirviðmiðalisti (Lýsigögn)'!G$42:G$58,MATCH($C166,'Undirviðmiðalisti (Lýsigögn)'!$C$42:$C$58,0))),""),IFERROR(IF(INDEX('Undirviðmiðalisti (Lýsigögn)'!G$6:G$41,MATCH($C166,'Undirviðmiðalisti (Lýsigögn)'!$C$6:$C$41,0))="","",INDEX('Undirviðmiðalisti (Lýsigögn)'!G$6:G$41,MATCH($C166,'Undirviðmiðalisti (Lýsigögn)'!$C$6:$C$41,0))),IFERROR(IF(INDEX('Undirviðmiðalisti (Lýsigögn)'!G$42:G$58,MATCH($C166,'Undirviðmiðalisti (Lýsigögn)'!$C$42:$C$58,0))="","",INDEX('Undirviðmiðalisti (Lýsigögn)'!G$42:G$58,MATCH($C166,'Undirviðmiðalisti (Lýsigögn)'!$C$42:$C$58,0))),""))))</f>
        <v/>
      </c>
      <c r="L166" s="16" t="str">
        <f aca="false">IF($C166="","",IF($G166="Einstaklingsbundið",IFERROR(IF(INDEX('Undirviðmiðalisti (Lýsigögn)'!H$42:H$58,MATCH($C166,'Undirviðmiðalisti (Lýsigögn)'!$C$42:$C$58,0))="","",INDEX('Undirviðmiðalisti (Lýsigögn)'!H$42:H$58,MATCH($C166,'Undirviðmiðalisti (Lýsigögn)'!$C$42:$C$58,0))),""),IFERROR(IF(INDEX('Undirviðmiðalisti (Lýsigögn)'!H$6:H$41,MATCH($C166,'Undirviðmiðalisti (Lýsigögn)'!$C$6:$C$41,0))="","",INDEX('Undirviðmiðalisti (Lýsigögn)'!H$6:H$41,MATCH($C166,'Undirviðmiðalisti (Lýsigögn)'!$C$6:$C$41,0))),IFERROR(IF(INDEX('Undirviðmiðalisti (Lýsigögn)'!H$42:H$58,MATCH($C166,'Undirviðmiðalisti (Lýsigögn)'!$C$42:$C$58,0))="","",INDEX('Undirviðmiðalisti (Lýsigögn)'!H$42:H$58,MATCH($C166,'Undirviðmiðalisti (Lýsigögn)'!$C$42:$C$58,0))),""))))</f>
        <v/>
      </c>
      <c r="M166" s="16" t="str">
        <f aca="false">IF($C166="","",IF($G166="Einstaklingsbundið",IFERROR(IF(INDEX('Undirviðmiðalisti (Lýsigögn)'!I$42:I$58,MATCH($C166,'Undirviðmiðalisti (Lýsigögn)'!$C$42:$C$58,0))="","",INDEX('Undirviðmiðalisti (Lýsigögn)'!I$42:I$58,MATCH($C166,'Undirviðmiðalisti (Lýsigögn)'!$C$42:$C$58,0))),""),IFERROR(IF(INDEX('Undirviðmiðalisti (Lýsigögn)'!I$6:I$41,MATCH($C166,'Undirviðmiðalisti (Lýsigögn)'!$C$6:$C$41,0))="","",INDEX('Undirviðmiðalisti (Lýsigögn)'!I$6:I$41,MATCH($C166,'Undirviðmiðalisti (Lýsigögn)'!$C$6:$C$41,0))),IFERROR(IF(INDEX('Undirviðmiðalisti (Lýsigögn)'!I$42:I$58,MATCH($C166,'Undirviðmiðalisti (Lýsigögn)'!$C$42:$C$58,0))="","",INDEX('Undirviðmiðalisti (Lýsigögn)'!I$42:I$58,MATCH($C166,'Undirviðmiðalisti (Lýsigögn)'!$C$42:$C$58,0))),""))))</f>
        <v/>
      </c>
      <c r="N166" s="16" t="str">
        <f aca="false">IF($C166="","",IF($G166="Einstaklingsbundið",IFERROR(IF(INDEX('Undirviðmiðalisti (Lýsigögn)'!J$42:J$58,MATCH($C166,'Undirviðmiðalisti (Lýsigögn)'!$C$42:$C$58,0))="","",INDEX('Undirviðmiðalisti (Lýsigögn)'!J$42:J$58,MATCH($C166,'Undirviðmiðalisti (Lýsigögn)'!$C$42:$C$58,0))),""),IFERROR(IF(INDEX('Undirviðmiðalisti (Lýsigögn)'!J$6:J$41,MATCH($C166,'Undirviðmiðalisti (Lýsigögn)'!$C$6:$C$41,0))="","",INDEX('Undirviðmiðalisti (Lýsigögn)'!J$6:J$41,MATCH($C166,'Undirviðmiðalisti (Lýsigögn)'!$C$6:$C$41,0))),IFERROR(IF(INDEX('Undirviðmiðalisti (Lýsigögn)'!J$42:J$58,MATCH($C166,'Undirviðmiðalisti (Lýsigögn)'!$C$42:$C$58,0))="","",INDEX('Undirviðmiðalisti (Lýsigögn)'!J$42:J$58,MATCH($C166,'Undirviðmiðalisti (Lýsigögn)'!$C$42:$C$58,0))),""))))</f>
        <v/>
      </c>
      <c r="O166" s="16" t="str">
        <f aca="false">IF($C166="","",IF($G166="Einstaklingsbundið",IFERROR(IF(INDEX('Undirviðmiðalisti (Lýsigögn)'!K$42:K$58,MATCH($C166,'Undirviðmiðalisti (Lýsigögn)'!$C$42:$C$58,0))="","",INDEX('Undirviðmiðalisti (Lýsigögn)'!K$42:K$58,MATCH($C166,'Undirviðmiðalisti (Lýsigögn)'!$C$42:$C$58,0))),""),IFERROR(IF(INDEX('Undirviðmiðalisti (Lýsigögn)'!K$6:K$41,MATCH($C166,'Undirviðmiðalisti (Lýsigögn)'!$C$6:$C$41,0))="","",INDEX('Undirviðmiðalisti (Lýsigögn)'!K$6:K$41,MATCH($C166,'Undirviðmiðalisti (Lýsigögn)'!$C$6:$C$41,0))),IFERROR(IF(INDEX('Undirviðmiðalisti (Lýsigögn)'!K$42:K$58,MATCH($C166,'Undirviðmiðalisti (Lýsigögn)'!$C$42:$C$58,0))="","",INDEX('Undirviðmiðalisti (Lýsigögn)'!K$42:K$58,MATCH($C166,'Undirviðmiðalisti (Lýsigögn)'!$C$42:$C$58,0))),""))))</f>
        <v/>
      </c>
      <c r="P166" s="16" t="str">
        <f aca="false">IF($C166="","",IF($G166="Einstaklingsbundið",IFERROR(IF(INDEX('Undirviðmiðalisti (Lýsigögn)'!L$42:L$58,MATCH($C166,'Undirviðmiðalisti (Lýsigögn)'!$C$42:$C$58,0))="","",INDEX('Undirviðmiðalisti (Lýsigögn)'!L$42:L$58,MATCH($C166,'Undirviðmiðalisti (Lýsigögn)'!$C$42:$C$58,0))),""),IFERROR(IF(INDEX('Undirviðmiðalisti (Lýsigögn)'!L$6:L$41,MATCH($C166,'Undirviðmiðalisti (Lýsigögn)'!$C$6:$C$41,0))="","",INDEX('Undirviðmiðalisti (Lýsigögn)'!L$6:L$41,MATCH($C166,'Undirviðmiðalisti (Lýsigögn)'!$C$6:$C$41,0))),IFERROR(IF(INDEX('Undirviðmiðalisti (Lýsigögn)'!L$42:L$58,MATCH($C166,'Undirviðmiðalisti (Lýsigögn)'!$C$42:$C$58,0))="","",INDEX('Undirviðmiðalisti (Lýsigögn)'!L$42:L$58,MATCH($C166,'Undirviðmiðalisti (Lýsigögn)'!$C$42:$C$58,0))),""))))</f>
        <v/>
      </c>
      <c r="Q166" s="16" t="str">
        <f aca="false">IF($C166="","",IF($G166="Einstaklingsbundið",IFERROR(IF(INDEX('Undirviðmiðalisti (Lýsigögn)'!M$42:M$58,MATCH($C166,'Undirviðmiðalisti (Lýsigögn)'!$C$42:$C$58,0))="","",INDEX('Undirviðmiðalisti (Lýsigögn)'!M$42:M$58,MATCH($C166,'Undirviðmiðalisti (Lýsigögn)'!$C$42:$C$58,0))),""),IFERROR(IF(INDEX('Undirviðmiðalisti (Lýsigögn)'!M$6:M$41,MATCH($C166,'Undirviðmiðalisti (Lýsigögn)'!$C$6:$C$41,0))="","",INDEX('Undirviðmiðalisti (Lýsigögn)'!M$6:M$41,MATCH($C166,'Undirviðmiðalisti (Lýsigögn)'!$C$6:$C$41,0))),IFERROR(IF(INDEX('Undirviðmiðalisti (Lýsigögn)'!M$42:M$58,MATCH($C166,'Undirviðmiðalisti (Lýsigögn)'!$C$42:$C$58,0))="","",INDEX('Undirviðmiðalisti (Lýsigögn)'!M$42:M$58,MATCH($C166,'Undirviðmiðalisti (Lýsigögn)'!$C$42:$C$58,0))),""))))</f>
        <v/>
      </c>
    </row>
    <row r="167" customFormat="false" ht="15" hidden="false" customHeight="true" outlineLevel="0" collapsed="false">
      <c r="A167" s="22" t="str">
        <f aca="false">IF($B167="","",ROW()-5)</f>
        <v/>
      </c>
      <c r="B167" s="15"/>
      <c r="C167" s="15"/>
      <c r="D167" s="16" t="str">
        <f aca="false">IF($C167="","",IF($G167="Einstaklingsbundið",IFERROR(IF(INDEX('Undirviðmiðalisti (Lýsigögn)'!$D$42:$D$58,MATCH($C167,'Undirviðmiðalisti (Lýsigögn)'!$C$42:$C$58,0))="","",INDEX('Undirviðmiðalisti (Lýsigögn)'!$D$42:$D$58,MATCH($C167,'Undirviðmiðalisti (Lýsigögn)'!$C$42:$C$58,0))),""),IFERROR(IF(INDEX('Undirviðmiðalisti (Lýsigögn)'!$D$6:$D$41,MATCH($C167,'Undirviðmiðalisti (Lýsigögn)'!$C$6:$C$41,0))="","",INDEX('Undirviðmiðalisti (Lýsigögn)'!$D$6:$D$41,MATCH($C167,'Undirviðmiðalisti (Lýsigögn)'!$C$6:$C$41,0))),IFERROR(IF(INDEX('Undirviðmiðalisti (Lýsigögn)'!$D$42:$D$58,MATCH($C167,'Undirviðmiðalisti (Lýsigögn)'!$C$42:$C$58,0))="","",INDEX('Undirviðmiðalisti (Lýsigögn)'!$D$42:$D$58,MATCH($C167,'Undirviðmiðalisti (Lýsigögn)'!$C$42:$C$58,0))),""))))</f>
        <v/>
      </c>
      <c r="E167" s="14"/>
      <c r="F167" s="23" t="str">
        <f aca="false">IF($C167="","",IF($G167="Einstaklingsbundið",IFERROR(IF(INDEX('Undirviðmiðalisti (Lýsigögn)'!$E$42:$E$58,MATCH($C167,'Undirviðmiðalisti (Lýsigögn)'!$C$42:$C$58,0))="","",INDEX('Undirviðmiðalisti (Lýsigögn)'!$E$42:$E$58,MATCH($C167,'Undirviðmiðalisti (Lýsigögn)'!$C$42:$C$58,0))),""),IFERROR(IF(INDEX('Undirviðmiðalisti (Lýsigögn)'!$E$6:$E$41,MATCH($C167,'Undirviðmiðalisti (Lýsigögn)'!$C$6:$C$41,0))="","",INDEX('Undirviðmiðalisti (Lýsigögn)'!$E$6:$E$41,MATCH($C167,'Undirviðmiðalisti (Lýsigögn)'!$C$6:$C$41,0))),IFERROR(IF(INDEX('Undirviðmiðalisti (Lýsigögn)'!$E$42:$E$58,MATCH($C167,'Undirviðmiðalisti (Lýsigögn)'!$C$42:$C$58,0))="","",INDEX('Undirviðmiðalisti (Lýsigögn)'!$E$42:$E$58,MATCH($C167,'Undirviðmiðalisti (Lýsigögn)'!$C$42:$C$58,0))),""))))</f>
        <v/>
      </c>
      <c r="G167" s="24" t="str">
        <f aca="false">IFERROR(IF(B167="","",INDEX(Viðmið!$B$6:$B$10,MATCH(B167,Viðmið!$C$6:$C$10,0))),"")</f>
        <v/>
      </c>
      <c r="H167" s="25" t="str">
        <f aca="false">IF(OR(E167="",F167=""),"",E167*KVARDI)</f>
        <v/>
      </c>
      <c r="I167" s="26" t="str">
        <f aca="false">IF(B167="","",IF(ROUND(SUMIF($B$6:$B$205,B167,$E$6:$E$205),4)=ROUND(IFERROR(INDEX(Viðmið!$E$6:$E$10,MATCH(B167,Viðmið!$C$6:$C$10,0)),-1),4),"✓","✗"))</f>
        <v/>
      </c>
      <c r="J167" s="16" t="str">
        <f aca="false">IF($C167="","",IF($G167="Einstaklingsbundið",IFERROR(IF(INDEX('Undirviðmiðalisti (Lýsigögn)'!F$42:F$58,MATCH($C167,'Undirviðmiðalisti (Lýsigögn)'!$C$42:$C$58,0))="","",INDEX('Undirviðmiðalisti (Lýsigögn)'!F$42:F$58,MATCH($C167,'Undirviðmiðalisti (Lýsigögn)'!$C$42:$C$58,0))),""),IFERROR(IF(INDEX('Undirviðmiðalisti (Lýsigögn)'!F$6:F$41,MATCH($C167,'Undirviðmiðalisti (Lýsigögn)'!$C$6:$C$41,0))="","",INDEX('Undirviðmiðalisti (Lýsigögn)'!F$6:F$41,MATCH($C167,'Undirviðmiðalisti (Lýsigögn)'!$C$6:$C$41,0))),IFERROR(IF(INDEX('Undirviðmiðalisti (Lýsigögn)'!F$42:F$58,MATCH($C167,'Undirviðmiðalisti (Lýsigögn)'!$C$42:$C$58,0))="","",INDEX('Undirviðmiðalisti (Lýsigögn)'!F$42:F$58,MATCH($C167,'Undirviðmiðalisti (Lýsigögn)'!$C$42:$C$58,0))),""))))</f>
        <v/>
      </c>
      <c r="K167" s="16" t="str">
        <f aca="false">IF($C167="","",IF($G167="Einstaklingsbundið",IFERROR(IF(INDEX('Undirviðmiðalisti (Lýsigögn)'!G$42:G$58,MATCH($C167,'Undirviðmiðalisti (Lýsigögn)'!$C$42:$C$58,0))="","",INDEX('Undirviðmiðalisti (Lýsigögn)'!G$42:G$58,MATCH($C167,'Undirviðmiðalisti (Lýsigögn)'!$C$42:$C$58,0))),""),IFERROR(IF(INDEX('Undirviðmiðalisti (Lýsigögn)'!G$6:G$41,MATCH($C167,'Undirviðmiðalisti (Lýsigögn)'!$C$6:$C$41,0))="","",INDEX('Undirviðmiðalisti (Lýsigögn)'!G$6:G$41,MATCH($C167,'Undirviðmiðalisti (Lýsigögn)'!$C$6:$C$41,0))),IFERROR(IF(INDEX('Undirviðmiðalisti (Lýsigögn)'!G$42:G$58,MATCH($C167,'Undirviðmiðalisti (Lýsigögn)'!$C$42:$C$58,0))="","",INDEX('Undirviðmiðalisti (Lýsigögn)'!G$42:G$58,MATCH($C167,'Undirviðmiðalisti (Lýsigögn)'!$C$42:$C$58,0))),""))))</f>
        <v/>
      </c>
      <c r="L167" s="16" t="str">
        <f aca="false">IF($C167="","",IF($G167="Einstaklingsbundið",IFERROR(IF(INDEX('Undirviðmiðalisti (Lýsigögn)'!H$42:H$58,MATCH($C167,'Undirviðmiðalisti (Lýsigögn)'!$C$42:$C$58,0))="","",INDEX('Undirviðmiðalisti (Lýsigögn)'!H$42:H$58,MATCH($C167,'Undirviðmiðalisti (Lýsigögn)'!$C$42:$C$58,0))),""),IFERROR(IF(INDEX('Undirviðmiðalisti (Lýsigögn)'!H$6:H$41,MATCH($C167,'Undirviðmiðalisti (Lýsigögn)'!$C$6:$C$41,0))="","",INDEX('Undirviðmiðalisti (Lýsigögn)'!H$6:H$41,MATCH($C167,'Undirviðmiðalisti (Lýsigögn)'!$C$6:$C$41,0))),IFERROR(IF(INDEX('Undirviðmiðalisti (Lýsigögn)'!H$42:H$58,MATCH($C167,'Undirviðmiðalisti (Lýsigögn)'!$C$42:$C$58,0))="","",INDEX('Undirviðmiðalisti (Lýsigögn)'!H$42:H$58,MATCH($C167,'Undirviðmiðalisti (Lýsigögn)'!$C$42:$C$58,0))),""))))</f>
        <v/>
      </c>
      <c r="M167" s="16" t="str">
        <f aca="false">IF($C167="","",IF($G167="Einstaklingsbundið",IFERROR(IF(INDEX('Undirviðmiðalisti (Lýsigögn)'!I$42:I$58,MATCH($C167,'Undirviðmiðalisti (Lýsigögn)'!$C$42:$C$58,0))="","",INDEX('Undirviðmiðalisti (Lýsigögn)'!I$42:I$58,MATCH($C167,'Undirviðmiðalisti (Lýsigögn)'!$C$42:$C$58,0))),""),IFERROR(IF(INDEX('Undirviðmiðalisti (Lýsigögn)'!I$6:I$41,MATCH($C167,'Undirviðmiðalisti (Lýsigögn)'!$C$6:$C$41,0))="","",INDEX('Undirviðmiðalisti (Lýsigögn)'!I$6:I$41,MATCH($C167,'Undirviðmiðalisti (Lýsigögn)'!$C$6:$C$41,0))),IFERROR(IF(INDEX('Undirviðmiðalisti (Lýsigögn)'!I$42:I$58,MATCH($C167,'Undirviðmiðalisti (Lýsigögn)'!$C$42:$C$58,0))="","",INDEX('Undirviðmiðalisti (Lýsigögn)'!I$42:I$58,MATCH($C167,'Undirviðmiðalisti (Lýsigögn)'!$C$42:$C$58,0))),""))))</f>
        <v/>
      </c>
      <c r="N167" s="16" t="str">
        <f aca="false">IF($C167="","",IF($G167="Einstaklingsbundið",IFERROR(IF(INDEX('Undirviðmiðalisti (Lýsigögn)'!J$42:J$58,MATCH($C167,'Undirviðmiðalisti (Lýsigögn)'!$C$42:$C$58,0))="","",INDEX('Undirviðmiðalisti (Lýsigögn)'!J$42:J$58,MATCH($C167,'Undirviðmiðalisti (Lýsigögn)'!$C$42:$C$58,0))),""),IFERROR(IF(INDEX('Undirviðmiðalisti (Lýsigögn)'!J$6:J$41,MATCH($C167,'Undirviðmiðalisti (Lýsigögn)'!$C$6:$C$41,0))="","",INDEX('Undirviðmiðalisti (Lýsigögn)'!J$6:J$41,MATCH($C167,'Undirviðmiðalisti (Lýsigögn)'!$C$6:$C$41,0))),IFERROR(IF(INDEX('Undirviðmiðalisti (Lýsigögn)'!J$42:J$58,MATCH($C167,'Undirviðmiðalisti (Lýsigögn)'!$C$42:$C$58,0))="","",INDEX('Undirviðmiðalisti (Lýsigögn)'!J$42:J$58,MATCH($C167,'Undirviðmiðalisti (Lýsigögn)'!$C$42:$C$58,0))),""))))</f>
        <v/>
      </c>
      <c r="O167" s="16" t="str">
        <f aca="false">IF($C167="","",IF($G167="Einstaklingsbundið",IFERROR(IF(INDEX('Undirviðmiðalisti (Lýsigögn)'!K$42:K$58,MATCH($C167,'Undirviðmiðalisti (Lýsigögn)'!$C$42:$C$58,0))="","",INDEX('Undirviðmiðalisti (Lýsigögn)'!K$42:K$58,MATCH($C167,'Undirviðmiðalisti (Lýsigögn)'!$C$42:$C$58,0))),""),IFERROR(IF(INDEX('Undirviðmiðalisti (Lýsigögn)'!K$6:K$41,MATCH($C167,'Undirviðmiðalisti (Lýsigögn)'!$C$6:$C$41,0))="","",INDEX('Undirviðmiðalisti (Lýsigögn)'!K$6:K$41,MATCH($C167,'Undirviðmiðalisti (Lýsigögn)'!$C$6:$C$41,0))),IFERROR(IF(INDEX('Undirviðmiðalisti (Lýsigögn)'!K$42:K$58,MATCH($C167,'Undirviðmiðalisti (Lýsigögn)'!$C$42:$C$58,0))="","",INDEX('Undirviðmiðalisti (Lýsigögn)'!K$42:K$58,MATCH($C167,'Undirviðmiðalisti (Lýsigögn)'!$C$42:$C$58,0))),""))))</f>
        <v/>
      </c>
      <c r="P167" s="16" t="str">
        <f aca="false">IF($C167="","",IF($G167="Einstaklingsbundið",IFERROR(IF(INDEX('Undirviðmiðalisti (Lýsigögn)'!L$42:L$58,MATCH($C167,'Undirviðmiðalisti (Lýsigögn)'!$C$42:$C$58,0))="","",INDEX('Undirviðmiðalisti (Lýsigögn)'!L$42:L$58,MATCH($C167,'Undirviðmiðalisti (Lýsigögn)'!$C$42:$C$58,0))),""),IFERROR(IF(INDEX('Undirviðmiðalisti (Lýsigögn)'!L$6:L$41,MATCH($C167,'Undirviðmiðalisti (Lýsigögn)'!$C$6:$C$41,0))="","",INDEX('Undirviðmiðalisti (Lýsigögn)'!L$6:L$41,MATCH($C167,'Undirviðmiðalisti (Lýsigögn)'!$C$6:$C$41,0))),IFERROR(IF(INDEX('Undirviðmiðalisti (Lýsigögn)'!L$42:L$58,MATCH($C167,'Undirviðmiðalisti (Lýsigögn)'!$C$42:$C$58,0))="","",INDEX('Undirviðmiðalisti (Lýsigögn)'!L$42:L$58,MATCH($C167,'Undirviðmiðalisti (Lýsigögn)'!$C$42:$C$58,0))),""))))</f>
        <v/>
      </c>
      <c r="Q167" s="16" t="str">
        <f aca="false">IF($C167="","",IF($G167="Einstaklingsbundið",IFERROR(IF(INDEX('Undirviðmiðalisti (Lýsigögn)'!M$42:M$58,MATCH($C167,'Undirviðmiðalisti (Lýsigögn)'!$C$42:$C$58,0))="","",INDEX('Undirviðmiðalisti (Lýsigögn)'!M$42:M$58,MATCH($C167,'Undirviðmiðalisti (Lýsigögn)'!$C$42:$C$58,0))),""),IFERROR(IF(INDEX('Undirviðmiðalisti (Lýsigögn)'!M$6:M$41,MATCH($C167,'Undirviðmiðalisti (Lýsigögn)'!$C$6:$C$41,0))="","",INDEX('Undirviðmiðalisti (Lýsigögn)'!M$6:M$41,MATCH($C167,'Undirviðmiðalisti (Lýsigögn)'!$C$6:$C$41,0))),IFERROR(IF(INDEX('Undirviðmiðalisti (Lýsigögn)'!M$42:M$58,MATCH($C167,'Undirviðmiðalisti (Lýsigögn)'!$C$42:$C$58,0))="","",INDEX('Undirviðmiðalisti (Lýsigögn)'!M$42:M$58,MATCH($C167,'Undirviðmiðalisti (Lýsigögn)'!$C$42:$C$58,0))),""))))</f>
        <v/>
      </c>
    </row>
    <row r="168" customFormat="false" ht="15" hidden="false" customHeight="true" outlineLevel="0" collapsed="false">
      <c r="A168" s="22" t="str">
        <f aca="false">IF($B168="","",ROW()-5)</f>
        <v/>
      </c>
      <c r="B168" s="15"/>
      <c r="C168" s="15"/>
      <c r="D168" s="16" t="str">
        <f aca="false">IF($C168="","",IF($G168="Einstaklingsbundið",IFERROR(IF(INDEX('Undirviðmiðalisti (Lýsigögn)'!$D$42:$D$58,MATCH($C168,'Undirviðmiðalisti (Lýsigögn)'!$C$42:$C$58,0))="","",INDEX('Undirviðmiðalisti (Lýsigögn)'!$D$42:$D$58,MATCH($C168,'Undirviðmiðalisti (Lýsigögn)'!$C$42:$C$58,0))),""),IFERROR(IF(INDEX('Undirviðmiðalisti (Lýsigögn)'!$D$6:$D$41,MATCH($C168,'Undirviðmiðalisti (Lýsigögn)'!$C$6:$C$41,0))="","",INDEX('Undirviðmiðalisti (Lýsigögn)'!$D$6:$D$41,MATCH($C168,'Undirviðmiðalisti (Lýsigögn)'!$C$6:$C$41,0))),IFERROR(IF(INDEX('Undirviðmiðalisti (Lýsigögn)'!$D$42:$D$58,MATCH($C168,'Undirviðmiðalisti (Lýsigögn)'!$C$42:$C$58,0))="","",INDEX('Undirviðmiðalisti (Lýsigögn)'!$D$42:$D$58,MATCH($C168,'Undirviðmiðalisti (Lýsigögn)'!$C$42:$C$58,0))),""))))</f>
        <v/>
      </c>
      <c r="E168" s="14"/>
      <c r="F168" s="23" t="str">
        <f aca="false">IF($C168="","",IF($G168="Einstaklingsbundið",IFERROR(IF(INDEX('Undirviðmiðalisti (Lýsigögn)'!$E$42:$E$58,MATCH($C168,'Undirviðmiðalisti (Lýsigögn)'!$C$42:$C$58,0))="","",INDEX('Undirviðmiðalisti (Lýsigögn)'!$E$42:$E$58,MATCH($C168,'Undirviðmiðalisti (Lýsigögn)'!$C$42:$C$58,0))),""),IFERROR(IF(INDEX('Undirviðmiðalisti (Lýsigögn)'!$E$6:$E$41,MATCH($C168,'Undirviðmiðalisti (Lýsigögn)'!$C$6:$C$41,0))="","",INDEX('Undirviðmiðalisti (Lýsigögn)'!$E$6:$E$41,MATCH($C168,'Undirviðmiðalisti (Lýsigögn)'!$C$6:$C$41,0))),IFERROR(IF(INDEX('Undirviðmiðalisti (Lýsigögn)'!$E$42:$E$58,MATCH($C168,'Undirviðmiðalisti (Lýsigögn)'!$C$42:$C$58,0))="","",INDEX('Undirviðmiðalisti (Lýsigögn)'!$E$42:$E$58,MATCH($C168,'Undirviðmiðalisti (Lýsigögn)'!$C$42:$C$58,0))),""))))</f>
        <v/>
      </c>
      <c r="G168" s="24" t="str">
        <f aca="false">IFERROR(IF(B168="","",INDEX(Viðmið!$B$6:$B$10,MATCH(B168,Viðmið!$C$6:$C$10,0))),"")</f>
        <v/>
      </c>
      <c r="H168" s="25" t="str">
        <f aca="false">IF(OR(E168="",F168=""),"",E168*KVARDI)</f>
        <v/>
      </c>
      <c r="I168" s="26" t="str">
        <f aca="false">IF(B168="","",IF(ROUND(SUMIF($B$6:$B$205,B168,$E$6:$E$205),4)=ROUND(IFERROR(INDEX(Viðmið!$E$6:$E$10,MATCH(B168,Viðmið!$C$6:$C$10,0)),-1),4),"✓","✗"))</f>
        <v/>
      </c>
      <c r="J168" s="16" t="str">
        <f aca="false">IF($C168="","",IF($G168="Einstaklingsbundið",IFERROR(IF(INDEX('Undirviðmiðalisti (Lýsigögn)'!F$42:F$58,MATCH($C168,'Undirviðmiðalisti (Lýsigögn)'!$C$42:$C$58,0))="","",INDEX('Undirviðmiðalisti (Lýsigögn)'!F$42:F$58,MATCH($C168,'Undirviðmiðalisti (Lýsigögn)'!$C$42:$C$58,0))),""),IFERROR(IF(INDEX('Undirviðmiðalisti (Lýsigögn)'!F$6:F$41,MATCH($C168,'Undirviðmiðalisti (Lýsigögn)'!$C$6:$C$41,0))="","",INDEX('Undirviðmiðalisti (Lýsigögn)'!F$6:F$41,MATCH($C168,'Undirviðmiðalisti (Lýsigögn)'!$C$6:$C$41,0))),IFERROR(IF(INDEX('Undirviðmiðalisti (Lýsigögn)'!F$42:F$58,MATCH($C168,'Undirviðmiðalisti (Lýsigögn)'!$C$42:$C$58,0))="","",INDEX('Undirviðmiðalisti (Lýsigögn)'!F$42:F$58,MATCH($C168,'Undirviðmiðalisti (Lýsigögn)'!$C$42:$C$58,0))),""))))</f>
        <v/>
      </c>
      <c r="K168" s="16" t="str">
        <f aca="false">IF($C168="","",IF($G168="Einstaklingsbundið",IFERROR(IF(INDEX('Undirviðmiðalisti (Lýsigögn)'!G$42:G$58,MATCH($C168,'Undirviðmiðalisti (Lýsigögn)'!$C$42:$C$58,0))="","",INDEX('Undirviðmiðalisti (Lýsigögn)'!G$42:G$58,MATCH($C168,'Undirviðmiðalisti (Lýsigögn)'!$C$42:$C$58,0))),""),IFERROR(IF(INDEX('Undirviðmiðalisti (Lýsigögn)'!G$6:G$41,MATCH($C168,'Undirviðmiðalisti (Lýsigögn)'!$C$6:$C$41,0))="","",INDEX('Undirviðmiðalisti (Lýsigögn)'!G$6:G$41,MATCH($C168,'Undirviðmiðalisti (Lýsigögn)'!$C$6:$C$41,0))),IFERROR(IF(INDEX('Undirviðmiðalisti (Lýsigögn)'!G$42:G$58,MATCH($C168,'Undirviðmiðalisti (Lýsigögn)'!$C$42:$C$58,0))="","",INDEX('Undirviðmiðalisti (Lýsigögn)'!G$42:G$58,MATCH($C168,'Undirviðmiðalisti (Lýsigögn)'!$C$42:$C$58,0))),""))))</f>
        <v/>
      </c>
      <c r="L168" s="16" t="str">
        <f aca="false">IF($C168="","",IF($G168="Einstaklingsbundið",IFERROR(IF(INDEX('Undirviðmiðalisti (Lýsigögn)'!H$42:H$58,MATCH($C168,'Undirviðmiðalisti (Lýsigögn)'!$C$42:$C$58,0))="","",INDEX('Undirviðmiðalisti (Lýsigögn)'!H$42:H$58,MATCH($C168,'Undirviðmiðalisti (Lýsigögn)'!$C$42:$C$58,0))),""),IFERROR(IF(INDEX('Undirviðmiðalisti (Lýsigögn)'!H$6:H$41,MATCH($C168,'Undirviðmiðalisti (Lýsigögn)'!$C$6:$C$41,0))="","",INDEX('Undirviðmiðalisti (Lýsigögn)'!H$6:H$41,MATCH($C168,'Undirviðmiðalisti (Lýsigögn)'!$C$6:$C$41,0))),IFERROR(IF(INDEX('Undirviðmiðalisti (Lýsigögn)'!H$42:H$58,MATCH($C168,'Undirviðmiðalisti (Lýsigögn)'!$C$42:$C$58,0))="","",INDEX('Undirviðmiðalisti (Lýsigögn)'!H$42:H$58,MATCH($C168,'Undirviðmiðalisti (Lýsigögn)'!$C$42:$C$58,0))),""))))</f>
        <v/>
      </c>
      <c r="M168" s="16" t="str">
        <f aca="false">IF($C168="","",IF($G168="Einstaklingsbundið",IFERROR(IF(INDEX('Undirviðmiðalisti (Lýsigögn)'!I$42:I$58,MATCH($C168,'Undirviðmiðalisti (Lýsigögn)'!$C$42:$C$58,0))="","",INDEX('Undirviðmiðalisti (Lýsigögn)'!I$42:I$58,MATCH($C168,'Undirviðmiðalisti (Lýsigögn)'!$C$42:$C$58,0))),""),IFERROR(IF(INDEX('Undirviðmiðalisti (Lýsigögn)'!I$6:I$41,MATCH($C168,'Undirviðmiðalisti (Lýsigögn)'!$C$6:$C$41,0))="","",INDEX('Undirviðmiðalisti (Lýsigögn)'!I$6:I$41,MATCH($C168,'Undirviðmiðalisti (Lýsigögn)'!$C$6:$C$41,0))),IFERROR(IF(INDEX('Undirviðmiðalisti (Lýsigögn)'!I$42:I$58,MATCH($C168,'Undirviðmiðalisti (Lýsigögn)'!$C$42:$C$58,0))="","",INDEX('Undirviðmiðalisti (Lýsigögn)'!I$42:I$58,MATCH($C168,'Undirviðmiðalisti (Lýsigögn)'!$C$42:$C$58,0))),""))))</f>
        <v/>
      </c>
      <c r="N168" s="16" t="str">
        <f aca="false">IF($C168="","",IF($G168="Einstaklingsbundið",IFERROR(IF(INDEX('Undirviðmiðalisti (Lýsigögn)'!J$42:J$58,MATCH($C168,'Undirviðmiðalisti (Lýsigögn)'!$C$42:$C$58,0))="","",INDEX('Undirviðmiðalisti (Lýsigögn)'!J$42:J$58,MATCH($C168,'Undirviðmiðalisti (Lýsigögn)'!$C$42:$C$58,0))),""),IFERROR(IF(INDEX('Undirviðmiðalisti (Lýsigögn)'!J$6:J$41,MATCH($C168,'Undirviðmiðalisti (Lýsigögn)'!$C$6:$C$41,0))="","",INDEX('Undirviðmiðalisti (Lýsigögn)'!J$6:J$41,MATCH($C168,'Undirviðmiðalisti (Lýsigögn)'!$C$6:$C$41,0))),IFERROR(IF(INDEX('Undirviðmiðalisti (Lýsigögn)'!J$42:J$58,MATCH($C168,'Undirviðmiðalisti (Lýsigögn)'!$C$42:$C$58,0))="","",INDEX('Undirviðmiðalisti (Lýsigögn)'!J$42:J$58,MATCH($C168,'Undirviðmiðalisti (Lýsigögn)'!$C$42:$C$58,0))),""))))</f>
        <v/>
      </c>
      <c r="O168" s="16" t="str">
        <f aca="false">IF($C168="","",IF($G168="Einstaklingsbundið",IFERROR(IF(INDEX('Undirviðmiðalisti (Lýsigögn)'!K$42:K$58,MATCH($C168,'Undirviðmiðalisti (Lýsigögn)'!$C$42:$C$58,0))="","",INDEX('Undirviðmiðalisti (Lýsigögn)'!K$42:K$58,MATCH($C168,'Undirviðmiðalisti (Lýsigögn)'!$C$42:$C$58,0))),""),IFERROR(IF(INDEX('Undirviðmiðalisti (Lýsigögn)'!K$6:K$41,MATCH($C168,'Undirviðmiðalisti (Lýsigögn)'!$C$6:$C$41,0))="","",INDEX('Undirviðmiðalisti (Lýsigögn)'!K$6:K$41,MATCH($C168,'Undirviðmiðalisti (Lýsigögn)'!$C$6:$C$41,0))),IFERROR(IF(INDEX('Undirviðmiðalisti (Lýsigögn)'!K$42:K$58,MATCH($C168,'Undirviðmiðalisti (Lýsigögn)'!$C$42:$C$58,0))="","",INDEX('Undirviðmiðalisti (Lýsigögn)'!K$42:K$58,MATCH($C168,'Undirviðmiðalisti (Lýsigögn)'!$C$42:$C$58,0))),""))))</f>
        <v/>
      </c>
      <c r="P168" s="16" t="str">
        <f aca="false">IF($C168="","",IF($G168="Einstaklingsbundið",IFERROR(IF(INDEX('Undirviðmiðalisti (Lýsigögn)'!L$42:L$58,MATCH($C168,'Undirviðmiðalisti (Lýsigögn)'!$C$42:$C$58,0))="","",INDEX('Undirviðmiðalisti (Lýsigögn)'!L$42:L$58,MATCH($C168,'Undirviðmiðalisti (Lýsigögn)'!$C$42:$C$58,0))),""),IFERROR(IF(INDEX('Undirviðmiðalisti (Lýsigögn)'!L$6:L$41,MATCH($C168,'Undirviðmiðalisti (Lýsigögn)'!$C$6:$C$41,0))="","",INDEX('Undirviðmiðalisti (Lýsigögn)'!L$6:L$41,MATCH($C168,'Undirviðmiðalisti (Lýsigögn)'!$C$6:$C$41,0))),IFERROR(IF(INDEX('Undirviðmiðalisti (Lýsigögn)'!L$42:L$58,MATCH($C168,'Undirviðmiðalisti (Lýsigögn)'!$C$42:$C$58,0))="","",INDEX('Undirviðmiðalisti (Lýsigögn)'!L$42:L$58,MATCH($C168,'Undirviðmiðalisti (Lýsigögn)'!$C$42:$C$58,0))),""))))</f>
        <v/>
      </c>
      <c r="Q168" s="16" t="str">
        <f aca="false">IF($C168="","",IF($G168="Einstaklingsbundið",IFERROR(IF(INDEX('Undirviðmiðalisti (Lýsigögn)'!M$42:M$58,MATCH($C168,'Undirviðmiðalisti (Lýsigögn)'!$C$42:$C$58,0))="","",INDEX('Undirviðmiðalisti (Lýsigögn)'!M$42:M$58,MATCH($C168,'Undirviðmiðalisti (Lýsigögn)'!$C$42:$C$58,0))),""),IFERROR(IF(INDEX('Undirviðmiðalisti (Lýsigögn)'!M$6:M$41,MATCH($C168,'Undirviðmiðalisti (Lýsigögn)'!$C$6:$C$41,0))="","",INDEX('Undirviðmiðalisti (Lýsigögn)'!M$6:M$41,MATCH($C168,'Undirviðmiðalisti (Lýsigögn)'!$C$6:$C$41,0))),IFERROR(IF(INDEX('Undirviðmiðalisti (Lýsigögn)'!M$42:M$58,MATCH($C168,'Undirviðmiðalisti (Lýsigögn)'!$C$42:$C$58,0))="","",INDEX('Undirviðmiðalisti (Lýsigögn)'!M$42:M$58,MATCH($C168,'Undirviðmiðalisti (Lýsigögn)'!$C$42:$C$58,0))),""))))</f>
        <v/>
      </c>
    </row>
    <row r="169" customFormat="false" ht="15" hidden="false" customHeight="true" outlineLevel="0" collapsed="false">
      <c r="A169" s="22" t="str">
        <f aca="false">IF($B169="","",ROW()-5)</f>
        <v/>
      </c>
      <c r="B169" s="15"/>
      <c r="C169" s="15"/>
      <c r="D169" s="16" t="str">
        <f aca="false">IF($C169="","",IF($G169="Einstaklingsbundið",IFERROR(IF(INDEX('Undirviðmiðalisti (Lýsigögn)'!$D$42:$D$58,MATCH($C169,'Undirviðmiðalisti (Lýsigögn)'!$C$42:$C$58,0))="","",INDEX('Undirviðmiðalisti (Lýsigögn)'!$D$42:$D$58,MATCH($C169,'Undirviðmiðalisti (Lýsigögn)'!$C$42:$C$58,0))),""),IFERROR(IF(INDEX('Undirviðmiðalisti (Lýsigögn)'!$D$6:$D$41,MATCH($C169,'Undirviðmiðalisti (Lýsigögn)'!$C$6:$C$41,0))="","",INDEX('Undirviðmiðalisti (Lýsigögn)'!$D$6:$D$41,MATCH($C169,'Undirviðmiðalisti (Lýsigögn)'!$C$6:$C$41,0))),IFERROR(IF(INDEX('Undirviðmiðalisti (Lýsigögn)'!$D$42:$D$58,MATCH($C169,'Undirviðmiðalisti (Lýsigögn)'!$C$42:$C$58,0))="","",INDEX('Undirviðmiðalisti (Lýsigögn)'!$D$42:$D$58,MATCH($C169,'Undirviðmiðalisti (Lýsigögn)'!$C$42:$C$58,0))),""))))</f>
        <v/>
      </c>
      <c r="E169" s="14"/>
      <c r="F169" s="23" t="str">
        <f aca="false">IF($C169="","",IF($G169="Einstaklingsbundið",IFERROR(IF(INDEX('Undirviðmiðalisti (Lýsigögn)'!$E$42:$E$58,MATCH($C169,'Undirviðmiðalisti (Lýsigögn)'!$C$42:$C$58,0))="","",INDEX('Undirviðmiðalisti (Lýsigögn)'!$E$42:$E$58,MATCH($C169,'Undirviðmiðalisti (Lýsigögn)'!$C$42:$C$58,0))),""),IFERROR(IF(INDEX('Undirviðmiðalisti (Lýsigögn)'!$E$6:$E$41,MATCH($C169,'Undirviðmiðalisti (Lýsigögn)'!$C$6:$C$41,0))="","",INDEX('Undirviðmiðalisti (Lýsigögn)'!$E$6:$E$41,MATCH($C169,'Undirviðmiðalisti (Lýsigögn)'!$C$6:$C$41,0))),IFERROR(IF(INDEX('Undirviðmiðalisti (Lýsigögn)'!$E$42:$E$58,MATCH($C169,'Undirviðmiðalisti (Lýsigögn)'!$C$42:$C$58,0))="","",INDEX('Undirviðmiðalisti (Lýsigögn)'!$E$42:$E$58,MATCH($C169,'Undirviðmiðalisti (Lýsigögn)'!$C$42:$C$58,0))),""))))</f>
        <v/>
      </c>
      <c r="G169" s="24" t="str">
        <f aca="false">IFERROR(IF(B169="","",INDEX(Viðmið!$B$6:$B$10,MATCH(B169,Viðmið!$C$6:$C$10,0))),"")</f>
        <v/>
      </c>
      <c r="H169" s="25" t="str">
        <f aca="false">IF(OR(E169="",F169=""),"",E169*KVARDI)</f>
        <v/>
      </c>
      <c r="I169" s="26" t="str">
        <f aca="false">IF(B169="","",IF(ROUND(SUMIF($B$6:$B$205,B169,$E$6:$E$205),4)=ROUND(IFERROR(INDEX(Viðmið!$E$6:$E$10,MATCH(B169,Viðmið!$C$6:$C$10,0)),-1),4),"✓","✗"))</f>
        <v/>
      </c>
      <c r="J169" s="16" t="str">
        <f aca="false">IF($C169="","",IF($G169="Einstaklingsbundið",IFERROR(IF(INDEX('Undirviðmiðalisti (Lýsigögn)'!F$42:F$58,MATCH($C169,'Undirviðmiðalisti (Lýsigögn)'!$C$42:$C$58,0))="","",INDEX('Undirviðmiðalisti (Lýsigögn)'!F$42:F$58,MATCH($C169,'Undirviðmiðalisti (Lýsigögn)'!$C$42:$C$58,0))),""),IFERROR(IF(INDEX('Undirviðmiðalisti (Lýsigögn)'!F$6:F$41,MATCH($C169,'Undirviðmiðalisti (Lýsigögn)'!$C$6:$C$41,0))="","",INDEX('Undirviðmiðalisti (Lýsigögn)'!F$6:F$41,MATCH($C169,'Undirviðmiðalisti (Lýsigögn)'!$C$6:$C$41,0))),IFERROR(IF(INDEX('Undirviðmiðalisti (Lýsigögn)'!F$42:F$58,MATCH($C169,'Undirviðmiðalisti (Lýsigögn)'!$C$42:$C$58,0))="","",INDEX('Undirviðmiðalisti (Lýsigögn)'!F$42:F$58,MATCH($C169,'Undirviðmiðalisti (Lýsigögn)'!$C$42:$C$58,0))),""))))</f>
        <v/>
      </c>
      <c r="K169" s="16" t="str">
        <f aca="false">IF($C169="","",IF($G169="Einstaklingsbundið",IFERROR(IF(INDEX('Undirviðmiðalisti (Lýsigögn)'!G$42:G$58,MATCH($C169,'Undirviðmiðalisti (Lýsigögn)'!$C$42:$C$58,0))="","",INDEX('Undirviðmiðalisti (Lýsigögn)'!G$42:G$58,MATCH($C169,'Undirviðmiðalisti (Lýsigögn)'!$C$42:$C$58,0))),""),IFERROR(IF(INDEX('Undirviðmiðalisti (Lýsigögn)'!G$6:G$41,MATCH($C169,'Undirviðmiðalisti (Lýsigögn)'!$C$6:$C$41,0))="","",INDEX('Undirviðmiðalisti (Lýsigögn)'!G$6:G$41,MATCH($C169,'Undirviðmiðalisti (Lýsigögn)'!$C$6:$C$41,0))),IFERROR(IF(INDEX('Undirviðmiðalisti (Lýsigögn)'!G$42:G$58,MATCH($C169,'Undirviðmiðalisti (Lýsigögn)'!$C$42:$C$58,0))="","",INDEX('Undirviðmiðalisti (Lýsigögn)'!G$42:G$58,MATCH($C169,'Undirviðmiðalisti (Lýsigögn)'!$C$42:$C$58,0))),""))))</f>
        <v/>
      </c>
      <c r="L169" s="16" t="str">
        <f aca="false">IF($C169="","",IF($G169="Einstaklingsbundið",IFERROR(IF(INDEX('Undirviðmiðalisti (Lýsigögn)'!H$42:H$58,MATCH($C169,'Undirviðmiðalisti (Lýsigögn)'!$C$42:$C$58,0))="","",INDEX('Undirviðmiðalisti (Lýsigögn)'!H$42:H$58,MATCH($C169,'Undirviðmiðalisti (Lýsigögn)'!$C$42:$C$58,0))),""),IFERROR(IF(INDEX('Undirviðmiðalisti (Lýsigögn)'!H$6:H$41,MATCH($C169,'Undirviðmiðalisti (Lýsigögn)'!$C$6:$C$41,0))="","",INDEX('Undirviðmiðalisti (Lýsigögn)'!H$6:H$41,MATCH($C169,'Undirviðmiðalisti (Lýsigögn)'!$C$6:$C$41,0))),IFERROR(IF(INDEX('Undirviðmiðalisti (Lýsigögn)'!H$42:H$58,MATCH($C169,'Undirviðmiðalisti (Lýsigögn)'!$C$42:$C$58,0))="","",INDEX('Undirviðmiðalisti (Lýsigögn)'!H$42:H$58,MATCH($C169,'Undirviðmiðalisti (Lýsigögn)'!$C$42:$C$58,0))),""))))</f>
        <v/>
      </c>
      <c r="M169" s="16" t="str">
        <f aca="false">IF($C169="","",IF($G169="Einstaklingsbundið",IFERROR(IF(INDEX('Undirviðmiðalisti (Lýsigögn)'!I$42:I$58,MATCH($C169,'Undirviðmiðalisti (Lýsigögn)'!$C$42:$C$58,0))="","",INDEX('Undirviðmiðalisti (Lýsigögn)'!I$42:I$58,MATCH($C169,'Undirviðmiðalisti (Lýsigögn)'!$C$42:$C$58,0))),""),IFERROR(IF(INDEX('Undirviðmiðalisti (Lýsigögn)'!I$6:I$41,MATCH($C169,'Undirviðmiðalisti (Lýsigögn)'!$C$6:$C$41,0))="","",INDEX('Undirviðmiðalisti (Lýsigögn)'!I$6:I$41,MATCH($C169,'Undirviðmiðalisti (Lýsigögn)'!$C$6:$C$41,0))),IFERROR(IF(INDEX('Undirviðmiðalisti (Lýsigögn)'!I$42:I$58,MATCH($C169,'Undirviðmiðalisti (Lýsigögn)'!$C$42:$C$58,0))="","",INDEX('Undirviðmiðalisti (Lýsigögn)'!I$42:I$58,MATCH($C169,'Undirviðmiðalisti (Lýsigögn)'!$C$42:$C$58,0))),""))))</f>
        <v/>
      </c>
      <c r="N169" s="16" t="str">
        <f aca="false">IF($C169="","",IF($G169="Einstaklingsbundið",IFERROR(IF(INDEX('Undirviðmiðalisti (Lýsigögn)'!J$42:J$58,MATCH($C169,'Undirviðmiðalisti (Lýsigögn)'!$C$42:$C$58,0))="","",INDEX('Undirviðmiðalisti (Lýsigögn)'!J$42:J$58,MATCH($C169,'Undirviðmiðalisti (Lýsigögn)'!$C$42:$C$58,0))),""),IFERROR(IF(INDEX('Undirviðmiðalisti (Lýsigögn)'!J$6:J$41,MATCH($C169,'Undirviðmiðalisti (Lýsigögn)'!$C$6:$C$41,0))="","",INDEX('Undirviðmiðalisti (Lýsigögn)'!J$6:J$41,MATCH($C169,'Undirviðmiðalisti (Lýsigögn)'!$C$6:$C$41,0))),IFERROR(IF(INDEX('Undirviðmiðalisti (Lýsigögn)'!J$42:J$58,MATCH($C169,'Undirviðmiðalisti (Lýsigögn)'!$C$42:$C$58,0))="","",INDEX('Undirviðmiðalisti (Lýsigögn)'!J$42:J$58,MATCH($C169,'Undirviðmiðalisti (Lýsigögn)'!$C$42:$C$58,0))),""))))</f>
        <v/>
      </c>
      <c r="O169" s="16" t="str">
        <f aca="false">IF($C169="","",IF($G169="Einstaklingsbundið",IFERROR(IF(INDEX('Undirviðmiðalisti (Lýsigögn)'!K$42:K$58,MATCH($C169,'Undirviðmiðalisti (Lýsigögn)'!$C$42:$C$58,0))="","",INDEX('Undirviðmiðalisti (Lýsigögn)'!K$42:K$58,MATCH($C169,'Undirviðmiðalisti (Lýsigögn)'!$C$42:$C$58,0))),""),IFERROR(IF(INDEX('Undirviðmiðalisti (Lýsigögn)'!K$6:K$41,MATCH($C169,'Undirviðmiðalisti (Lýsigögn)'!$C$6:$C$41,0))="","",INDEX('Undirviðmiðalisti (Lýsigögn)'!K$6:K$41,MATCH($C169,'Undirviðmiðalisti (Lýsigögn)'!$C$6:$C$41,0))),IFERROR(IF(INDEX('Undirviðmiðalisti (Lýsigögn)'!K$42:K$58,MATCH($C169,'Undirviðmiðalisti (Lýsigögn)'!$C$42:$C$58,0))="","",INDEX('Undirviðmiðalisti (Lýsigögn)'!K$42:K$58,MATCH($C169,'Undirviðmiðalisti (Lýsigögn)'!$C$42:$C$58,0))),""))))</f>
        <v/>
      </c>
      <c r="P169" s="16" t="str">
        <f aca="false">IF($C169="","",IF($G169="Einstaklingsbundið",IFERROR(IF(INDEX('Undirviðmiðalisti (Lýsigögn)'!L$42:L$58,MATCH($C169,'Undirviðmiðalisti (Lýsigögn)'!$C$42:$C$58,0))="","",INDEX('Undirviðmiðalisti (Lýsigögn)'!L$42:L$58,MATCH($C169,'Undirviðmiðalisti (Lýsigögn)'!$C$42:$C$58,0))),""),IFERROR(IF(INDEX('Undirviðmiðalisti (Lýsigögn)'!L$6:L$41,MATCH($C169,'Undirviðmiðalisti (Lýsigögn)'!$C$6:$C$41,0))="","",INDEX('Undirviðmiðalisti (Lýsigögn)'!L$6:L$41,MATCH($C169,'Undirviðmiðalisti (Lýsigögn)'!$C$6:$C$41,0))),IFERROR(IF(INDEX('Undirviðmiðalisti (Lýsigögn)'!L$42:L$58,MATCH($C169,'Undirviðmiðalisti (Lýsigögn)'!$C$42:$C$58,0))="","",INDEX('Undirviðmiðalisti (Lýsigögn)'!L$42:L$58,MATCH($C169,'Undirviðmiðalisti (Lýsigögn)'!$C$42:$C$58,0))),""))))</f>
        <v/>
      </c>
      <c r="Q169" s="16" t="str">
        <f aca="false">IF($C169="","",IF($G169="Einstaklingsbundið",IFERROR(IF(INDEX('Undirviðmiðalisti (Lýsigögn)'!M$42:M$58,MATCH($C169,'Undirviðmiðalisti (Lýsigögn)'!$C$42:$C$58,0))="","",INDEX('Undirviðmiðalisti (Lýsigögn)'!M$42:M$58,MATCH($C169,'Undirviðmiðalisti (Lýsigögn)'!$C$42:$C$58,0))),""),IFERROR(IF(INDEX('Undirviðmiðalisti (Lýsigögn)'!M$6:M$41,MATCH($C169,'Undirviðmiðalisti (Lýsigögn)'!$C$6:$C$41,0))="","",INDEX('Undirviðmiðalisti (Lýsigögn)'!M$6:M$41,MATCH($C169,'Undirviðmiðalisti (Lýsigögn)'!$C$6:$C$41,0))),IFERROR(IF(INDEX('Undirviðmiðalisti (Lýsigögn)'!M$42:M$58,MATCH($C169,'Undirviðmiðalisti (Lýsigögn)'!$C$42:$C$58,0))="","",INDEX('Undirviðmiðalisti (Lýsigögn)'!M$42:M$58,MATCH($C169,'Undirviðmiðalisti (Lýsigögn)'!$C$42:$C$58,0))),""))))</f>
        <v/>
      </c>
    </row>
    <row r="170" customFormat="false" ht="15" hidden="false" customHeight="true" outlineLevel="0" collapsed="false">
      <c r="A170" s="22" t="str">
        <f aca="false">IF($B170="","",ROW()-5)</f>
        <v/>
      </c>
      <c r="B170" s="15"/>
      <c r="C170" s="15"/>
      <c r="D170" s="16" t="str">
        <f aca="false">IF($C170="","",IF($G170="Einstaklingsbundið",IFERROR(IF(INDEX('Undirviðmiðalisti (Lýsigögn)'!$D$42:$D$58,MATCH($C170,'Undirviðmiðalisti (Lýsigögn)'!$C$42:$C$58,0))="","",INDEX('Undirviðmiðalisti (Lýsigögn)'!$D$42:$D$58,MATCH($C170,'Undirviðmiðalisti (Lýsigögn)'!$C$42:$C$58,0))),""),IFERROR(IF(INDEX('Undirviðmiðalisti (Lýsigögn)'!$D$6:$D$41,MATCH($C170,'Undirviðmiðalisti (Lýsigögn)'!$C$6:$C$41,0))="","",INDEX('Undirviðmiðalisti (Lýsigögn)'!$D$6:$D$41,MATCH($C170,'Undirviðmiðalisti (Lýsigögn)'!$C$6:$C$41,0))),IFERROR(IF(INDEX('Undirviðmiðalisti (Lýsigögn)'!$D$42:$D$58,MATCH($C170,'Undirviðmiðalisti (Lýsigögn)'!$C$42:$C$58,0))="","",INDEX('Undirviðmiðalisti (Lýsigögn)'!$D$42:$D$58,MATCH($C170,'Undirviðmiðalisti (Lýsigögn)'!$C$42:$C$58,0))),""))))</f>
        <v/>
      </c>
      <c r="E170" s="14"/>
      <c r="F170" s="23" t="str">
        <f aca="false">IF($C170="","",IF($G170="Einstaklingsbundið",IFERROR(IF(INDEX('Undirviðmiðalisti (Lýsigögn)'!$E$42:$E$58,MATCH($C170,'Undirviðmiðalisti (Lýsigögn)'!$C$42:$C$58,0))="","",INDEX('Undirviðmiðalisti (Lýsigögn)'!$E$42:$E$58,MATCH($C170,'Undirviðmiðalisti (Lýsigögn)'!$C$42:$C$58,0))),""),IFERROR(IF(INDEX('Undirviðmiðalisti (Lýsigögn)'!$E$6:$E$41,MATCH($C170,'Undirviðmiðalisti (Lýsigögn)'!$C$6:$C$41,0))="","",INDEX('Undirviðmiðalisti (Lýsigögn)'!$E$6:$E$41,MATCH($C170,'Undirviðmiðalisti (Lýsigögn)'!$C$6:$C$41,0))),IFERROR(IF(INDEX('Undirviðmiðalisti (Lýsigögn)'!$E$42:$E$58,MATCH($C170,'Undirviðmiðalisti (Lýsigögn)'!$C$42:$C$58,0))="","",INDEX('Undirviðmiðalisti (Lýsigögn)'!$E$42:$E$58,MATCH($C170,'Undirviðmiðalisti (Lýsigögn)'!$C$42:$C$58,0))),""))))</f>
        <v/>
      </c>
      <c r="G170" s="24" t="str">
        <f aca="false">IFERROR(IF(B170="","",INDEX(Viðmið!$B$6:$B$10,MATCH(B170,Viðmið!$C$6:$C$10,0))),"")</f>
        <v/>
      </c>
      <c r="H170" s="25" t="str">
        <f aca="false">IF(OR(E170="",F170=""),"",E170*KVARDI)</f>
        <v/>
      </c>
      <c r="I170" s="26" t="str">
        <f aca="false">IF(B170="","",IF(ROUND(SUMIF($B$6:$B$205,B170,$E$6:$E$205),4)=ROUND(IFERROR(INDEX(Viðmið!$E$6:$E$10,MATCH(B170,Viðmið!$C$6:$C$10,0)),-1),4),"✓","✗"))</f>
        <v/>
      </c>
      <c r="J170" s="16" t="str">
        <f aca="false">IF($C170="","",IF($G170="Einstaklingsbundið",IFERROR(IF(INDEX('Undirviðmiðalisti (Lýsigögn)'!F$42:F$58,MATCH($C170,'Undirviðmiðalisti (Lýsigögn)'!$C$42:$C$58,0))="","",INDEX('Undirviðmiðalisti (Lýsigögn)'!F$42:F$58,MATCH($C170,'Undirviðmiðalisti (Lýsigögn)'!$C$42:$C$58,0))),""),IFERROR(IF(INDEX('Undirviðmiðalisti (Lýsigögn)'!F$6:F$41,MATCH($C170,'Undirviðmiðalisti (Lýsigögn)'!$C$6:$C$41,0))="","",INDEX('Undirviðmiðalisti (Lýsigögn)'!F$6:F$41,MATCH($C170,'Undirviðmiðalisti (Lýsigögn)'!$C$6:$C$41,0))),IFERROR(IF(INDEX('Undirviðmiðalisti (Lýsigögn)'!F$42:F$58,MATCH($C170,'Undirviðmiðalisti (Lýsigögn)'!$C$42:$C$58,0))="","",INDEX('Undirviðmiðalisti (Lýsigögn)'!F$42:F$58,MATCH($C170,'Undirviðmiðalisti (Lýsigögn)'!$C$42:$C$58,0))),""))))</f>
        <v/>
      </c>
      <c r="K170" s="16" t="str">
        <f aca="false">IF($C170="","",IF($G170="Einstaklingsbundið",IFERROR(IF(INDEX('Undirviðmiðalisti (Lýsigögn)'!G$42:G$58,MATCH($C170,'Undirviðmiðalisti (Lýsigögn)'!$C$42:$C$58,0))="","",INDEX('Undirviðmiðalisti (Lýsigögn)'!G$42:G$58,MATCH($C170,'Undirviðmiðalisti (Lýsigögn)'!$C$42:$C$58,0))),""),IFERROR(IF(INDEX('Undirviðmiðalisti (Lýsigögn)'!G$6:G$41,MATCH($C170,'Undirviðmiðalisti (Lýsigögn)'!$C$6:$C$41,0))="","",INDEX('Undirviðmiðalisti (Lýsigögn)'!G$6:G$41,MATCH($C170,'Undirviðmiðalisti (Lýsigögn)'!$C$6:$C$41,0))),IFERROR(IF(INDEX('Undirviðmiðalisti (Lýsigögn)'!G$42:G$58,MATCH($C170,'Undirviðmiðalisti (Lýsigögn)'!$C$42:$C$58,0))="","",INDEX('Undirviðmiðalisti (Lýsigögn)'!G$42:G$58,MATCH($C170,'Undirviðmiðalisti (Lýsigögn)'!$C$42:$C$58,0))),""))))</f>
        <v/>
      </c>
      <c r="L170" s="16" t="str">
        <f aca="false">IF($C170="","",IF($G170="Einstaklingsbundið",IFERROR(IF(INDEX('Undirviðmiðalisti (Lýsigögn)'!H$42:H$58,MATCH($C170,'Undirviðmiðalisti (Lýsigögn)'!$C$42:$C$58,0))="","",INDEX('Undirviðmiðalisti (Lýsigögn)'!H$42:H$58,MATCH($C170,'Undirviðmiðalisti (Lýsigögn)'!$C$42:$C$58,0))),""),IFERROR(IF(INDEX('Undirviðmiðalisti (Lýsigögn)'!H$6:H$41,MATCH($C170,'Undirviðmiðalisti (Lýsigögn)'!$C$6:$C$41,0))="","",INDEX('Undirviðmiðalisti (Lýsigögn)'!H$6:H$41,MATCH($C170,'Undirviðmiðalisti (Lýsigögn)'!$C$6:$C$41,0))),IFERROR(IF(INDEX('Undirviðmiðalisti (Lýsigögn)'!H$42:H$58,MATCH($C170,'Undirviðmiðalisti (Lýsigögn)'!$C$42:$C$58,0))="","",INDEX('Undirviðmiðalisti (Lýsigögn)'!H$42:H$58,MATCH($C170,'Undirviðmiðalisti (Lýsigögn)'!$C$42:$C$58,0))),""))))</f>
        <v/>
      </c>
      <c r="M170" s="16" t="str">
        <f aca="false">IF($C170="","",IF($G170="Einstaklingsbundið",IFERROR(IF(INDEX('Undirviðmiðalisti (Lýsigögn)'!I$42:I$58,MATCH($C170,'Undirviðmiðalisti (Lýsigögn)'!$C$42:$C$58,0))="","",INDEX('Undirviðmiðalisti (Lýsigögn)'!I$42:I$58,MATCH($C170,'Undirviðmiðalisti (Lýsigögn)'!$C$42:$C$58,0))),""),IFERROR(IF(INDEX('Undirviðmiðalisti (Lýsigögn)'!I$6:I$41,MATCH($C170,'Undirviðmiðalisti (Lýsigögn)'!$C$6:$C$41,0))="","",INDEX('Undirviðmiðalisti (Lýsigögn)'!I$6:I$41,MATCH($C170,'Undirviðmiðalisti (Lýsigögn)'!$C$6:$C$41,0))),IFERROR(IF(INDEX('Undirviðmiðalisti (Lýsigögn)'!I$42:I$58,MATCH($C170,'Undirviðmiðalisti (Lýsigögn)'!$C$42:$C$58,0))="","",INDEX('Undirviðmiðalisti (Lýsigögn)'!I$42:I$58,MATCH($C170,'Undirviðmiðalisti (Lýsigögn)'!$C$42:$C$58,0))),""))))</f>
        <v/>
      </c>
      <c r="N170" s="16" t="str">
        <f aca="false">IF($C170="","",IF($G170="Einstaklingsbundið",IFERROR(IF(INDEX('Undirviðmiðalisti (Lýsigögn)'!J$42:J$58,MATCH($C170,'Undirviðmiðalisti (Lýsigögn)'!$C$42:$C$58,0))="","",INDEX('Undirviðmiðalisti (Lýsigögn)'!J$42:J$58,MATCH($C170,'Undirviðmiðalisti (Lýsigögn)'!$C$42:$C$58,0))),""),IFERROR(IF(INDEX('Undirviðmiðalisti (Lýsigögn)'!J$6:J$41,MATCH($C170,'Undirviðmiðalisti (Lýsigögn)'!$C$6:$C$41,0))="","",INDEX('Undirviðmiðalisti (Lýsigögn)'!J$6:J$41,MATCH($C170,'Undirviðmiðalisti (Lýsigögn)'!$C$6:$C$41,0))),IFERROR(IF(INDEX('Undirviðmiðalisti (Lýsigögn)'!J$42:J$58,MATCH($C170,'Undirviðmiðalisti (Lýsigögn)'!$C$42:$C$58,0))="","",INDEX('Undirviðmiðalisti (Lýsigögn)'!J$42:J$58,MATCH($C170,'Undirviðmiðalisti (Lýsigögn)'!$C$42:$C$58,0))),""))))</f>
        <v/>
      </c>
      <c r="O170" s="16" t="str">
        <f aca="false">IF($C170="","",IF($G170="Einstaklingsbundið",IFERROR(IF(INDEX('Undirviðmiðalisti (Lýsigögn)'!K$42:K$58,MATCH($C170,'Undirviðmiðalisti (Lýsigögn)'!$C$42:$C$58,0))="","",INDEX('Undirviðmiðalisti (Lýsigögn)'!K$42:K$58,MATCH($C170,'Undirviðmiðalisti (Lýsigögn)'!$C$42:$C$58,0))),""),IFERROR(IF(INDEX('Undirviðmiðalisti (Lýsigögn)'!K$6:K$41,MATCH($C170,'Undirviðmiðalisti (Lýsigögn)'!$C$6:$C$41,0))="","",INDEX('Undirviðmiðalisti (Lýsigögn)'!K$6:K$41,MATCH($C170,'Undirviðmiðalisti (Lýsigögn)'!$C$6:$C$41,0))),IFERROR(IF(INDEX('Undirviðmiðalisti (Lýsigögn)'!K$42:K$58,MATCH($C170,'Undirviðmiðalisti (Lýsigögn)'!$C$42:$C$58,0))="","",INDEX('Undirviðmiðalisti (Lýsigögn)'!K$42:K$58,MATCH($C170,'Undirviðmiðalisti (Lýsigögn)'!$C$42:$C$58,0))),""))))</f>
        <v/>
      </c>
      <c r="P170" s="16" t="str">
        <f aca="false">IF($C170="","",IF($G170="Einstaklingsbundið",IFERROR(IF(INDEX('Undirviðmiðalisti (Lýsigögn)'!L$42:L$58,MATCH($C170,'Undirviðmiðalisti (Lýsigögn)'!$C$42:$C$58,0))="","",INDEX('Undirviðmiðalisti (Lýsigögn)'!L$42:L$58,MATCH($C170,'Undirviðmiðalisti (Lýsigögn)'!$C$42:$C$58,0))),""),IFERROR(IF(INDEX('Undirviðmiðalisti (Lýsigögn)'!L$6:L$41,MATCH($C170,'Undirviðmiðalisti (Lýsigögn)'!$C$6:$C$41,0))="","",INDEX('Undirviðmiðalisti (Lýsigögn)'!L$6:L$41,MATCH($C170,'Undirviðmiðalisti (Lýsigögn)'!$C$6:$C$41,0))),IFERROR(IF(INDEX('Undirviðmiðalisti (Lýsigögn)'!L$42:L$58,MATCH($C170,'Undirviðmiðalisti (Lýsigögn)'!$C$42:$C$58,0))="","",INDEX('Undirviðmiðalisti (Lýsigögn)'!L$42:L$58,MATCH($C170,'Undirviðmiðalisti (Lýsigögn)'!$C$42:$C$58,0))),""))))</f>
        <v/>
      </c>
      <c r="Q170" s="16" t="str">
        <f aca="false">IF($C170="","",IF($G170="Einstaklingsbundið",IFERROR(IF(INDEX('Undirviðmiðalisti (Lýsigögn)'!M$42:M$58,MATCH($C170,'Undirviðmiðalisti (Lýsigögn)'!$C$42:$C$58,0))="","",INDEX('Undirviðmiðalisti (Lýsigögn)'!M$42:M$58,MATCH($C170,'Undirviðmiðalisti (Lýsigögn)'!$C$42:$C$58,0))),""),IFERROR(IF(INDEX('Undirviðmiðalisti (Lýsigögn)'!M$6:M$41,MATCH($C170,'Undirviðmiðalisti (Lýsigögn)'!$C$6:$C$41,0))="","",INDEX('Undirviðmiðalisti (Lýsigögn)'!M$6:M$41,MATCH($C170,'Undirviðmiðalisti (Lýsigögn)'!$C$6:$C$41,0))),IFERROR(IF(INDEX('Undirviðmiðalisti (Lýsigögn)'!M$42:M$58,MATCH($C170,'Undirviðmiðalisti (Lýsigögn)'!$C$42:$C$58,0))="","",INDEX('Undirviðmiðalisti (Lýsigögn)'!M$42:M$58,MATCH($C170,'Undirviðmiðalisti (Lýsigögn)'!$C$42:$C$58,0))),""))))</f>
        <v/>
      </c>
    </row>
    <row r="171" customFormat="false" ht="15" hidden="false" customHeight="true" outlineLevel="0" collapsed="false">
      <c r="A171" s="22" t="str">
        <f aca="false">IF($B171="","",ROW()-5)</f>
        <v/>
      </c>
      <c r="B171" s="15"/>
      <c r="C171" s="15"/>
      <c r="D171" s="16" t="str">
        <f aca="false">IF($C171="","",IF($G171="Einstaklingsbundið",IFERROR(IF(INDEX('Undirviðmiðalisti (Lýsigögn)'!$D$42:$D$58,MATCH($C171,'Undirviðmiðalisti (Lýsigögn)'!$C$42:$C$58,0))="","",INDEX('Undirviðmiðalisti (Lýsigögn)'!$D$42:$D$58,MATCH($C171,'Undirviðmiðalisti (Lýsigögn)'!$C$42:$C$58,0))),""),IFERROR(IF(INDEX('Undirviðmiðalisti (Lýsigögn)'!$D$6:$D$41,MATCH($C171,'Undirviðmiðalisti (Lýsigögn)'!$C$6:$C$41,0))="","",INDEX('Undirviðmiðalisti (Lýsigögn)'!$D$6:$D$41,MATCH($C171,'Undirviðmiðalisti (Lýsigögn)'!$C$6:$C$41,0))),IFERROR(IF(INDEX('Undirviðmiðalisti (Lýsigögn)'!$D$42:$D$58,MATCH($C171,'Undirviðmiðalisti (Lýsigögn)'!$C$42:$C$58,0))="","",INDEX('Undirviðmiðalisti (Lýsigögn)'!$D$42:$D$58,MATCH($C171,'Undirviðmiðalisti (Lýsigögn)'!$C$42:$C$58,0))),""))))</f>
        <v/>
      </c>
      <c r="E171" s="14"/>
      <c r="F171" s="23" t="str">
        <f aca="false">IF($C171="","",IF($G171="Einstaklingsbundið",IFERROR(IF(INDEX('Undirviðmiðalisti (Lýsigögn)'!$E$42:$E$58,MATCH($C171,'Undirviðmiðalisti (Lýsigögn)'!$C$42:$C$58,0))="","",INDEX('Undirviðmiðalisti (Lýsigögn)'!$E$42:$E$58,MATCH($C171,'Undirviðmiðalisti (Lýsigögn)'!$C$42:$C$58,0))),""),IFERROR(IF(INDEX('Undirviðmiðalisti (Lýsigögn)'!$E$6:$E$41,MATCH($C171,'Undirviðmiðalisti (Lýsigögn)'!$C$6:$C$41,0))="","",INDEX('Undirviðmiðalisti (Lýsigögn)'!$E$6:$E$41,MATCH($C171,'Undirviðmiðalisti (Lýsigögn)'!$C$6:$C$41,0))),IFERROR(IF(INDEX('Undirviðmiðalisti (Lýsigögn)'!$E$42:$E$58,MATCH($C171,'Undirviðmiðalisti (Lýsigögn)'!$C$42:$C$58,0))="","",INDEX('Undirviðmiðalisti (Lýsigögn)'!$E$42:$E$58,MATCH($C171,'Undirviðmiðalisti (Lýsigögn)'!$C$42:$C$58,0))),""))))</f>
        <v/>
      </c>
      <c r="G171" s="24" t="str">
        <f aca="false">IFERROR(IF(B171="","",INDEX(Viðmið!$B$6:$B$10,MATCH(B171,Viðmið!$C$6:$C$10,0))),"")</f>
        <v/>
      </c>
      <c r="H171" s="25" t="str">
        <f aca="false">IF(OR(E171="",F171=""),"",E171*KVARDI)</f>
        <v/>
      </c>
      <c r="I171" s="26" t="str">
        <f aca="false">IF(B171="","",IF(ROUND(SUMIF($B$6:$B$205,B171,$E$6:$E$205),4)=ROUND(IFERROR(INDEX(Viðmið!$E$6:$E$10,MATCH(B171,Viðmið!$C$6:$C$10,0)),-1),4),"✓","✗"))</f>
        <v/>
      </c>
      <c r="J171" s="16" t="str">
        <f aca="false">IF($C171="","",IF($G171="Einstaklingsbundið",IFERROR(IF(INDEX('Undirviðmiðalisti (Lýsigögn)'!F$42:F$58,MATCH($C171,'Undirviðmiðalisti (Lýsigögn)'!$C$42:$C$58,0))="","",INDEX('Undirviðmiðalisti (Lýsigögn)'!F$42:F$58,MATCH($C171,'Undirviðmiðalisti (Lýsigögn)'!$C$42:$C$58,0))),""),IFERROR(IF(INDEX('Undirviðmiðalisti (Lýsigögn)'!F$6:F$41,MATCH($C171,'Undirviðmiðalisti (Lýsigögn)'!$C$6:$C$41,0))="","",INDEX('Undirviðmiðalisti (Lýsigögn)'!F$6:F$41,MATCH($C171,'Undirviðmiðalisti (Lýsigögn)'!$C$6:$C$41,0))),IFERROR(IF(INDEX('Undirviðmiðalisti (Lýsigögn)'!F$42:F$58,MATCH($C171,'Undirviðmiðalisti (Lýsigögn)'!$C$42:$C$58,0))="","",INDEX('Undirviðmiðalisti (Lýsigögn)'!F$42:F$58,MATCH($C171,'Undirviðmiðalisti (Lýsigögn)'!$C$42:$C$58,0))),""))))</f>
        <v/>
      </c>
      <c r="K171" s="16" t="str">
        <f aca="false">IF($C171="","",IF($G171="Einstaklingsbundið",IFERROR(IF(INDEX('Undirviðmiðalisti (Lýsigögn)'!G$42:G$58,MATCH($C171,'Undirviðmiðalisti (Lýsigögn)'!$C$42:$C$58,0))="","",INDEX('Undirviðmiðalisti (Lýsigögn)'!G$42:G$58,MATCH($C171,'Undirviðmiðalisti (Lýsigögn)'!$C$42:$C$58,0))),""),IFERROR(IF(INDEX('Undirviðmiðalisti (Lýsigögn)'!G$6:G$41,MATCH($C171,'Undirviðmiðalisti (Lýsigögn)'!$C$6:$C$41,0))="","",INDEX('Undirviðmiðalisti (Lýsigögn)'!G$6:G$41,MATCH($C171,'Undirviðmiðalisti (Lýsigögn)'!$C$6:$C$41,0))),IFERROR(IF(INDEX('Undirviðmiðalisti (Lýsigögn)'!G$42:G$58,MATCH($C171,'Undirviðmiðalisti (Lýsigögn)'!$C$42:$C$58,0))="","",INDEX('Undirviðmiðalisti (Lýsigögn)'!G$42:G$58,MATCH($C171,'Undirviðmiðalisti (Lýsigögn)'!$C$42:$C$58,0))),""))))</f>
        <v/>
      </c>
      <c r="L171" s="16" t="str">
        <f aca="false">IF($C171="","",IF($G171="Einstaklingsbundið",IFERROR(IF(INDEX('Undirviðmiðalisti (Lýsigögn)'!H$42:H$58,MATCH($C171,'Undirviðmiðalisti (Lýsigögn)'!$C$42:$C$58,0))="","",INDEX('Undirviðmiðalisti (Lýsigögn)'!H$42:H$58,MATCH($C171,'Undirviðmiðalisti (Lýsigögn)'!$C$42:$C$58,0))),""),IFERROR(IF(INDEX('Undirviðmiðalisti (Lýsigögn)'!H$6:H$41,MATCH($C171,'Undirviðmiðalisti (Lýsigögn)'!$C$6:$C$41,0))="","",INDEX('Undirviðmiðalisti (Lýsigögn)'!H$6:H$41,MATCH($C171,'Undirviðmiðalisti (Lýsigögn)'!$C$6:$C$41,0))),IFERROR(IF(INDEX('Undirviðmiðalisti (Lýsigögn)'!H$42:H$58,MATCH($C171,'Undirviðmiðalisti (Lýsigögn)'!$C$42:$C$58,0))="","",INDEX('Undirviðmiðalisti (Lýsigögn)'!H$42:H$58,MATCH($C171,'Undirviðmiðalisti (Lýsigögn)'!$C$42:$C$58,0))),""))))</f>
        <v/>
      </c>
      <c r="M171" s="16" t="str">
        <f aca="false">IF($C171="","",IF($G171="Einstaklingsbundið",IFERROR(IF(INDEX('Undirviðmiðalisti (Lýsigögn)'!I$42:I$58,MATCH($C171,'Undirviðmiðalisti (Lýsigögn)'!$C$42:$C$58,0))="","",INDEX('Undirviðmiðalisti (Lýsigögn)'!I$42:I$58,MATCH($C171,'Undirviðmiðalisti (Lýsigögn)'!$C$42:$C$58,0))),""),IFERROR(IF(INDEX('Undirviðmiðalisti (Lýsigögn)'!I$6:I$41,MATCH($C171,'Undirviðmiðalisti (Lýsigögn)'!$C$6:$C$41,0))="","",INDEX('Undirviðmiðalisti (Lýsigögn)'!I$6:I$41,MATCH($C171,'Undirviðmiðalisti (Lýsigögn)'!$C$6:$C$41,0))),IFERROR(IF(INDEX('Undirviðmiðalisti (Lýsigögn)'!I$42:I$58,MATCH($C171,'Undirviðmiðalisti (Lýsigögn)'!$C$42:$C$58,0))="","",INDEX('Undirviðmiðalisti (Lýsigögn)'!I$42:I$58,MATCH($C171,'Undirviðmiðalisti (Lýsigögn)'!$C$42:$C$58,0))),""))))</f>
        <v/>
      </c>
      <c r="N171" s="16" t="str">
        <f aca="false">IF($C171="","",IF($G171="Einstaklingsbundið",IFERROR(IF(INDEX('Undirviðmiðalisti (Lýsigögn)'!J$42:J$58,MATCH($C171,'Undirviðmiðalisti (Lýsigögn)'!$C$42:$C$58,0))="","",INDEX('Undirviðmiðalisti (Lýsigögn)'!J$42:J$58,MATCH($C171,'Undirviðmiðalisti (Lýsigögn)'!$C$42:$C$58,0))),""),IFERROR(IF(INDEX('Undirviðmiðalisti (Lýsigögn)'!J$6:J$41,MATCH($C171,'Undirviðmiðalisti (Lýsigögn)'!$C$6:$C$41,0))="","",INDEX('Undirviðmiðalisti (Lýsigögn)'!J$6:J$41,MATCH($C171,'Undirviðmiðalisti (Lýsigögn)'!$C$6:$C$41,0))),IFERROR(IF(INDEX('Undirviðmiðalisti (Lýsigögn)'!J$42:J$58,MATCH($C171,'Undirviðmiðalisti (Lýsigögn)'!$C$42:$C$58,0))="","",INDEX('Undirviðmiðalisti (Lýsigögn)'!J$42:J$58,MATCH($C171,'Undirviðmiðalisti (Lýsigögn)'!$C$42:$C$58,0))),""))))</f>
        <v/>
      </c>
      <c r="O171" s="16" t="str">
        <f aca="false">IF($C171="","",IF($G171="Einstaklingsbundið",IFERROR(IF(INDEX('Undirviðmiðalisti (Lýsigögn)'!K$42:K$58,MATCH($C171,'Undirviðmiðalisti (Lýsigögn)'!$C$42:$C$58,0))="","",INDEX('Undirviðmiðalisti (Lýsigögn)'!K$42:K$58,MATCH($C171,'Undirviðmiðalisti (Lýsigögn)'!$C$42:$C$58,0))),""),IFERROR(IF(INDEX('Undirviðmiðalisti (Lýsigögn)'!K$6:K$41,MATCH($C171,'Undirviðmiðalisti (Lýsigögn)'!$C$6:$C$41,0))="","",INDEX('Undirviðmiðalisti (Lýsigögn)'!K$6:K$41,MATCH($C171,'Undirviðmiðalisti (Lýsigögn)'!$C$6:$C$41,0))),IFERROR(IF(INDEX('Undirviðmiðalisti (Lýsigögn)'!K$42:K$58,MATCH($C171,'Undirviðmiðalisti (Lýsigögn)'!$C$42:$C$58,0))="","",INDEX('Undirviðmiðalisti (Lýsigögn)'!K$42:K$58,MATCH($C171,'Undirviðmiðalisti (Lýsigögn)'!$C$42:$C$58,0))),""))))</f>
        <v/>
      </c>
      <c r="P171" s="16" t="str">
        <f aca="false">IF($C171="","",IF($G171="Einstaklingsbundið",IFERROR(IF(INDEX('Undirviðmiðalisti (Lýsigögn)'!L$42:L$58,MATCH($C171,'Undirviðmiðalisti (Lýsigögn)'!$C$42:$C$58,0))="","",INDEX('Undirviðmiðalisti (Lýsigögn)'!L$42:L$58,MATCH($C171,'Undirviðmiðalisti (Lýsigögn)'!$C$42:$C$58,0))),""),IFERROR(IF(INDEX('Undirviðmiðalisti (Lýsigögn)'!L$6:L$41,MATCH($C171,'Undirviðmiðalisti (Lýsigögn)'!$C$6:$C$41,0))="","",INDEX('Undirviðmiðalisti (Lýsigögn)'!L$6:L$41,MATCH($C171,'Undirviðmiðalisti (Lýsigögn)'!$C$6:$C$41,0))),IFERROR(IF(INDEX('Undirviðmiðalisti (Lýsigögn)'!L$42:L$58,MATCH($C171,'Undirviðmiðalisti (Lýsigögn)'!$C$42:$C$58,0))="","",INDEX('Undirviðmiðalisti (Lýsigögn)'!L$42:L$58,MATCH($C171,'Undirviðmiðalisti (Lýsigögn)'!$C$42:$C$58,0))),""))))</f>
        <v/>
      </c>
      <c r="Q171" s="16" t="str">
        <f aca="false">IF($C171="","",IF($G171="Einstaklingsbundið",IFERROR(IF(INDEX('Undirviðmiðalisti (Lýsigögn)'!M$42:M$58,MATCH($C171,'Undirviðmiðalisti (Lýsigögn)'!$C$42:$C$58,0))="","",INDEX('Undirviðmiðalisti (Lýsigögn)'!M$42:M$58,MATCH($C171,'Undirviðmiðalisti (Lýsigögn)'!$C$42:$C$58,0))),""),IFERROR(IF(INDEX('Undirviðmiðalisti (Lýsigögn)'!M$6:M$41,MATCH($C171,'Undirviðmiðalisti (Lýsigögn)'!$C$6:$C$41,0))="","",INDEX('Undirviðmiðalisti (Lýsigögn)'!M$6:M$41,MATCH($C171,'Undirviðmiðalisti (Lýsigögn)'!$C$6:$C$41,0))),IFERROR(IF(INDEX('Undirviðmiðalisti (Lýsigögn)'!M$42:M$58,MATCH($C171,'Undirviðmiðalisti (Lýsigögn)'!$C$42:$C$58,0))="","",INDEX('Undirviðmiðalisti (Lýsigögn)'!M$42:M$58,MATCH($C171,'Undirviðmiðalisti (Lýsigögn)'!$C$42:$C$58,0))),""))))</f>
        <v/>
      </c>
    </row>
    <row r="172" customFormat="false" ht="15" hidden="false" customHeight="true" outlineLevel="0" collapsed="false">
      <c r="A172" s="22" t="str">
        <f aca="false">IF($B172="","",ROW()-5)</f>
        <v/>
      </c>
      <c r="B172" s="15"/>
      <c r="C172" s="15"/>
      <c r="D172" s="16" t="str">
        <f aca="false">IF($C172="","",IF($G172="Einstaklingsbundið",IFERROR(IF(INDEX('Undirviðmiðalisti (Lýsigögn)'!$D$42:$D$58,MATCH($C172,'Undirviðmiðalisti (Lýsigögn)'!$C$42:$C$58,0))="","",INDEX('Undirviðmiðalisti (Lýsigögn)'!$D$42:$D$58,MATCH($C172,'Undirviðmiðalisti (Lýsigögn)'!$C$42:$C$58,0))),""),IFERROR(IF(INDEX('Undirviðmiðalisti (Lýsigögn)'!$D$6:$D$41,MATCH($C172,'Undirviðmiðalisti (Lýsigögn)'!$C$6:$C$41,0))="","",INDEX('Undirviðmiðalisti (Lýsigögn)'!$D$6:$D$41,MATCH($C172,'Undirviðmiðalisti (Lýsigögn)'!$C$6:$C$41,0))),IFERROR(IF(INDEX('Undirviðmiðalisti (Lýsigögn)'!$D$42:$D$58,MATCH($C172,'Undirviðmiðalisti (Lýsigögn)'!$C$42:$C$58,0))="","",INDEX('Undirviðmiðalisti (Lýsigögn)'!$D$42:$D$58,MATCH($C172,'Undirviðmiðalisti (Lýsigögn)'!$C$42:$C$58,0))),""))))</f>
        <v/>
      </c>
      <c r="E172" s="14"/>
      <c r="F172" s="23" t="str">
        <f aca="false">IF($C172="","",IF($G172="Einstaklingsbundið",IFERROR(IF(INDEX('Undirviðmiðalisti (Lýsigögn)'!$E$42:$E$58,MATCH($C172,'Undirviðmiðalisti (Lýsigögn)'!$C$42:$C$58,0))="","",INDEX('Undirviðmiðalisti (Lýsigögn)'!$E$42:$E$58,MATCH($C172,'Undirviðmiðalisti (Lýsigögn)'!$C$42:$C$58,0))),""),IFERROR(IF(INDEX('Undirviðmiðalisti (Lýsigögn)'!$E$6:$E$41,MATCH($C172,'Undirviðmiðalisti (Lýsigögn)'!$C$6:$C$41,0))="","",INDEX('Undirviðmiðalisti (Lýsigögn)'!$E$6:$E$41,MATCH($C172,'Undirviðmiðalisti (Lýsigögn)'!$C$6:$C$41,0))),IFERROR(IF(INDEX('Undirviðmiðalisti (Lýsigögn)'!$E$42:$E$58,MATCH($C172,'Undirviðmiðalisti (Lýsigögn)'!$C$42:$C$58,0))="","",INDEX('Undirviðmiðalisti (Lýsigögn)'!$E$42:$E$58,MATCH($C172,'Undirviðmiðalisti (Lýsigögn)'!$C$42:$C$58,0))),""))))</f>
        <v/>
      </c>
      <c r="G172" s="24" t="str">
        <f aca="false">IFERROR(IF(B172="","",INDEX(Viðmið!$B$6:$B$10,MATCH(B172,Viðmið!$C$6:$C$10,0))),"")</f>
        <v/>
      </c>
      <c r="H172" s="25" t="str">
        <f aca="false">IF(OR(E172="",F172=""),"",E172*KVARDI)</f>
        <v/>
      </c>
      <c r="I172" s="26" t="str">
        <f aca="false">IF(B172="","",IF(ROUND(SUMIF($B$6:$B$205,B172,$E$6:$E$205),4)=ROUND(IFERROR(INDEX(Viðmið!$E$6:$E$10,MATCH(B172,Viðmið!$C$6:$C$10,0)),-1),4),"✓","✗"))</f>
        <v/>
      </c>
      <c r="J172" s="16" t="str">
        <f aca="false">IF($C172="","",IF($G172="Einstaklingsbundið",IFERROR(IF(INDEX('Undirviðmiðalisti (Lýsigögn)'!F$42:F$58,MATCH($C172,'Undirviðmiðalisti (Lýsigögn)'!$C$42:$C$58,0))="","",INDEX('Undirviðmiðalisti (Lýsigögn)'!F$42:F$58,MATCH($C172,'Undirviðmiðalisti (Lýsigögn)'!$C$42:$C$58,0))),""),IFERROR(IF(INDEX('Undirviðmiðalisti (Lýsigögn)'!F$6:F$41,MATCH($C172,'Undirviðmiðalisti (Lýsigögn)'!$C$6:$C$41,0))="","",INDEX('Undirviðmiðalisti (Lýsigögn)'!F$6:F$41,MATCH($C172,'Undirviðmiðalisti (Lýsigögn)'!$C$6:$C$41,0))),IFERROR(IF(INDEX('Undirviðmiðalisti (Lýsigögn)'!F$42:F$58,MATCH($C172,'Undirviðmiðalisti (Lýsigögn)'!$C$42:$C$58,0))="","",INDEX('Undirviðmiðalisti (Lýsigögn)'!F$42:F$58,MATCH($C172,'Undirviðmiðalisti (Lýsigögn)'!$C$42:$C$58,0))),""))))</f>
        <v/>
      </c>
      <c r="K172" s="16" t="str">
        <f aca="false">IF($C172="","",IF($G172="Einstaklingsbundið",IFERROR(IF(INDEX('Undirviðmiðalisti (Lýsigögn)'!G$42:G$58,MATCH($C172,'Undirviðmiðalisti (Lýsigögn)'!$C$42:$C$58,0))="","",INDEX('Undirviðmiðalisti (Lýsigögn)'!G$42:G$58,MATCH($C172,'Undirviðmiðalisti (Lýsigögn)'!$C$42:$C$58,0))),""),IFERROR(IF(INDEX('Undirviðmiðalisti (Lýsigögn)'!G$6:G$41,MATCH($C172,'Undirviðmiðalisti (Lýsigögn)'!$C$6:$C$41,0))="","",INDEX('Undirviðmiðalisti (Lýsigögn)'!G$6:G$41,MATCH($C172,'Undirviðmiðalisti (Lýsigögn)'!$C$6:$C$41,0))),IFERROR(IF(INDEX('Undirviðmiðalisti (Lýsigögn)'!G$42:G$58,MATCH($C172,'Undirviðmiðalisti (Lýsigögn)'!$C$42:$C$58,0))="","",INDEX('Undirviðmiðalisti (Lýsigögn)'!G$42:G$58,MATCH($C172,'Undirviðmiðalisti (Lýsigögn)'!$C$42:$C$58,0))),""))))</f>
        <v/>
      </c>
      <c r="L172" s="16" t="str">
        <f aca="false">IF($C172="","",IF($G172="Einstaklingsbundið",IFERROR(IF(INDEX('Undirviðmiðalisti (Lýsigögn)'!H$42:H$58,MATCH($C172,'Undirviðmiðalisti (Lýsigögn)'!$C$42:$C$58,0))="","",INDEX('Undirviðmiðalisti (Lýsigögn)'!H$42:H$58,MATCH($C172,'Undirviðmiðalisti (Lýsigögn)'!$C$42:$C$58,0))),""),IFERROR(IF(INDEX('Undirviðmiðalisti (Lýsigögn)'!H$6:H$41,MATCH($C172,'Undirviðmiðalisti (Lýsigögn)'!$C$6:$C$41,0))="","",INDEX('Undirviðmiðalisti (Lýsigögn)'!H$6:H$41,MATCH($C172,'Undirviðmiðalisti (Lýsigögn)'!$C$6:$C$41,0))),IFERROR(IF(INDEX('Undirviðmiðalisti (Lýsigögn)'!H$42:H$58,MATCH($C172,'Undirviðmiðalisti (Lýsigögn)'!$C$42:$C$58,0))="","",INDEX('Undirviðmiðalisti (Lýsigögn)'!H$42:H$58,MATCH($C172,'Undirviðmiðalisti (Lýsigögn)'!$C$42:$C$58,0))),""))))</f>
        <v/>
      </c>
      <c r="M172" s="16" t="str">
        <f aca="false">IF($C172="","",IF($G172="Einstaklingsbundið",IFERROR(IF(INDEX('Undirviðmiðalisti (Lýsigögn)'!I$42:I$58,MATCH($C172,'Undirviðmiðalisti (Lýsigögn)'!$C$42:$C$58,0))="","",INDEX('Undirviðmiðalisti (Lýsigögn)'!I$42:I$58,MATCH($C172,'Undirviðmiðalisti (Lýsigögn)'!$C$42:$C$58,0))),""),IFERROR(IF(INDEX('Undirviðmiðalisti (Lýsigögn)'!I$6:I$41,MATCH($C172,'Undirviðmiðalisti (Lýsigögn)'!$C$6:$C$41,0))="","",INDEX('Undirviðmiðalisti (Lýsigögn)'!I$6:I$41,MATCH($C172,'Undirviðmiðalisti (Lýsigögn)'!$C$6:$C$41,0))),IFERROR(IF(INDEX('Undirviðmiðalisti (Lýsigögn)'!I$42:I$58,MATCH($C172,'Undirviðmiðalisti (Lýsigögn)'!$C$42:$C$58,0))="","",INDEX('Undirviðmiðalisti (Lýsigögn)'!I$42:I$58,MATCH($C172,'Undirviðmiðalisti (Lýsigögn)'!$C$42:$C$58,0))),""))))</f>
        <v/>
      </c>
      <c r="N172" s="16" t="str">
        <f aca="false">IF($C172="","",IF($G172="Einstaklingsbundið",IFERROR(IF(INDEX('Undirviðmiðalisti (Lýsigögn)'!J$42:J$58,MATCH($C172,'Undirviðmiðalisti (Lýsigögn)'!$C$42:$C$58,0))="","",INDEX('Undirviðmiðalisti (Lýsigögn)'!J$42:J$58,MATCH($C172,'Undirviðmiðalisti (Lýsigögn)'!$C$42:$C$58,0))),""),IFERROR(IF(INDEX('Undirviðmiðalisti (Lýsigögn)'!J$6:J$41,MATCH($C172,'Undirviðmiðalisti (Lýsigögn)'!$C$6:$C$41,0))="","",INDEX('Undirviðmiðalisti (Lýsigögn)'!J$6:J$41,MATCH($C172,'Undirviðmiðalisti (Lýsigögn)'!$C$6:$C$41,0))),IFERROR(IF(INDEX('Undirviðmiðalisti (Lýsigögn)'!J$42:J$58,MATCH($C172,'Undirviðmiðalisti (Lýsigögn)'!$C$42:$C$58,0))="","",INDEX('Undirviðmiðalisti (Lýsigögn)'!J$42:J$58,MATCH($C172,'Undirviðmiðalisti (Lýsigögn)'!$C$42:$C$58,0))),""))))</f>
        <v/>
      </c>
      <c r="O172" s="16" t="str">
        <f aca="false">IF($C172="","",IF($G172="Einstaklingsbundið",IFERROR(IF(INDEX('Undirviðmiðalisti (Lýsigögn)'!K$42:K$58,MATCH($C172,'Undirviðmiðalisti (Lýsigögn)'!$C$42:$C$58,0))="","",INDEX('Undirviðmiðalisti (Lýsigögn)'!K$42:K$58,MATCH($C172,'Undirviðmiðalisti (Lýsigögn)'!$C$42:$C$58,0))),""),IFERROR(IF(INDEX('Undirviðmiðalisti (Lýsigögn)'!K$6:K$41,MATCH($C172,'Undirviðmiðalisti (Lýsigögn)'!$C$6:$C$41,0))="","",INDEX('Undirviðmiðalisti (Lýsigögn)'!K$6:K$41,MATCH($C172,'Undirviðmiðalisti (Lýsigögn)'!$C$6:$C$41,0))),IFERROR(IF(INDEX('Undirviðmiðalisti (Lýsigögn)'!K$42:K$58,MATCH($C172,'Undirviðmiðalisti (Lýsigögn)'!$C$42:$C$58,0))="","",INDEX('Undirviðmiðalisti (Lýsigögn)'!K$42:K$58,MATCH($C172,'Undirviðmiðalisti (Lýsigögn)'!$C$42:$C$58,0))),""))))</f>
        <v/>
      </c>
      <c r="P172" s="16" t="str">
        <f aca="false">IF($C172="","",IF($G172="Einstaklingsbundið",IFERROR(IF(INDEX('Undirviðmiðalisti (Lýsigögn)'!L$42:L$58,MATCH($C172,'Undirviðmiðalisti (Lýsigögn)'!$C$42:$C$58,0))="","",INDEX('Undirviðmiðalisti (Lýsigögn)'!L$42:L$58,MATCH($C172,'Undirviðmiðalisti (Lýsigögn)'!$C$42:$C$58,0))),""),IFERROR(IF(INDEX('Undirviðmiðalisti (Lýsigögn)'!L$6:L$41,MATCH($C172,'Undirviðmiðalisti (Lýsigögn)'!$C$6:$C$41,0))="","",INDEX('Undirviðmiðalisti (Lýsigögn)'!L$6:L$41,MATCH($C172,'Undirviðmiðalisti (Lýsigögn)'!$C$6:$C$41,0))),IFERROR(IF(INDEX('Undirviðmiðalisti (Lýsigögn)'!L$42:L$58,MATCH($C172,'Undirviðmiðalisti (Lýsigögn)'!$C$42:$C$58,0))="","",INDEX('Undirviðmiðalisti (Lýsigögn)'!L$42:L$58,MATCH($C172,'Undirviðmiðalisti (Lýsigögn)'!$C$42:$C$58,0))),""))))</f>
        <v/>
      </c>
      <c r="Q172" s="16" t="str">
        <f aca="false">IF($C172="","",IF($G172="Einstaklingsbundið",IFERROR(IF(INDEX('Undirviðmiðalisti (Lýsigögn)'!M$42:M$58,MATCH($C172,'Undirviðmiðalisti (Lýsigögn)'!$C$42:$C$58,0))="","",INDEX('Undirviðmiðalisti (Lýsigögn)'!M$42:M$58,MATCH($C172,'Undirviðmiðalisti (Lýsigögn)'!$C$42:$C$58,0))),""),IFERROR(IF(INDEX('Undirviðmiðalisti (Lýsigögn)'!M$6:M$41,MATCH($C172,'Undirviðmiðalisti (Lýsigögn)'!$C$6:$C$41,0))="","",INDEX('Undirviðmiðalisti (Lýsigögn)'!M$6:M$41,MATCH($C172,'Undirviðmiðalisti (Lýsigögn)'!$C$6:$C$41,0))),IFERROR(IF(INDEX('Undirviðmiðalisti (Lýsigögn)'!M$42:M$58,MATCH($C172,'Undirviðmiðalisti (Lýsigögn)'!$C$42:$C$58,0))="","",INDEX('Undirviðmiðalisti (Lýsigögn)'!M$42:M$58,MATCH($C172,'Undirviðmiðalisti (Lýsigögn)'!$C$42:$C$58,0))),""))))</f>
        <v/>
      </c>
    </row>
    <row r="173" customFormat="false" ht="15" hidden="false" customHeight="true" outlineLevel="0" collapsed="false">
      <c r="A173" s="22" t="str">
        <f aca="false">IF($B173="","",ROW()-5)</f>
        <v/>
      </c>
      <c r="B173" s="15"/>
      <c r="C173" s="15"/>
      <c r="D173" s="16" t="str">
        <f aca="false">IF($C173="","",IF($G173="Einstaklingsbundið",IFERROR(IF(INDEX('Undirviðmiðalisti (Lýsigögn)'!$D$42:$D$58,MATCH($C173,'Undirviðmiðalisti (Lýsigögn)'!$C$42:$C$58,0))="","",INDEX('Undirviðmiðalisti (Lýsigögn)'!$D$42:$D$58,MATCH($C173,'Undirviðmiðalisti (Lýsigögn)'!$C$42:$C$58,0))),""),IFERROR(IF(INDEX('Undirviðmiðalisti (Lýsigögn)'!$D$6:$D$41,MATCH($C173,'Undirviðmiðalisti (Lýsigögn)'!$C$6:$C$41,0))="","",INDEX('Undirviðmiðalisti (Lýsigögn)'!$D$6:$D$41,MATCH($C173,'Undirviðmiðalisti (Lýsigögn)'!$C$6:$C$41,0))),IFERROR(IF(INDEX('Undirviðmiðalisti (Lýsigögn)'!$D$42:$D$58,MATCH($C173,'Undirviðmiðalisti (Lýsigögn)'!$C$42:$C$58,0))="","",INDEX('Undirviðmiðalisti (Lýsigögn)'!$D$42:$D$58,MATCH($C173,'Undirviðmiðalisti (Lýsigögn)'!$C$42:$C$58,0))),""))))</f>
        <v/>
      </c>
      <c r="E173" s="14"/>
      <c r="F173" s="23" t="str">
        <f aca="false">IF($C173="","",IF($G173="Einstaklingsbundið",IFERROR(IF(INDEX('Undirviðmiðalisti (Lýsigögn)'!$E$42:$E$58,MATCH($C173,'Undirviðmiðalisti (Lýsigögn)'!$C$42:$C$58,0))="","",INDEX('Undirviðmiðalisti (Lýsigögn)'!$E$42:$E$58,MATCH($C173,'Undirviðmiðalisti (Lýsigögn)'!$C$42:$C$58,0))),""),IFERROR(IF(INDEX('Undirviðmiðalisti (Lýsigögn)'!$E$6:$E$41,MATCH($C173,'Undirviðmiðalisti (Lýsigögn)'!$C$6:$C$41,0))="","",INDEX('Undirviðmiðalisti (Lýsigögn)'!$E$6:$E$41,MATCH($C173,'Undirviðmiðalisti (Lýsigögn)'!$C$6:$C$41,0))),IFERROR(IF(INDEX('Undirviðmiðalisti (Lýsigögn)'!$E$42:$E$58,MATCH($C173,'Undirviðmiðalisti (Lýsigögn)'!$C$42:$C$58,0))="","",INDEX('Undirviðmiðalisti (Lýsigögn)'!$E$42:$E$58,MATCH($C173,'Undirviðmiðalisti (Lýsigögn)'!$C$42:$C$58,0))),""))))</f>
        <v/>
      </c>
      <c r="G173" s="24" t="str">
        <f aca="false">IFERROR(IF(B173="","",INDEX(Viðmið!$B$6:$B$10,MATCH(B173,Viðmið!$C$6:$C$10,0))),"")</f>
        <v/>
      </c>
      <c r="H173" s="25" t="str">
        <f aca="false">IF(OR(E173="",F173=""),"",E173*KVARDI)</f>
        <v/>
      </c>
      <c r="I173" s="26" t="str">
        <f aca="false">IF(B173="","",IF(ROUND(SUMIF($B$6:$B$205,B173,$E$6:$E$205),4)=ROUND(IFERROR(INDEX(Viðmið!$E$6:$E$10,MATCH(B173,Viðmið!$C$6:$C$10,0)),-1),4),"✓","✗"))</f>
        <v/>
      </c>
      <c r="J173" s="16" t="str">
        <f aca="false">IF($C173="","",IF($G173="Einstaklingsbundið",IFERROR(IF(INDEX('Undirviðmiðalisti (Lýsigögn)'!F$42:F$58,MATCH($C173,'Undirviðmiðalisti (Lýsigögn)'!$C$42:$C$58,0))="","",INDEX('Undirviðmiðalisti (Lýsigögn)'!F$42:F$58,MATCH($C173,'Undirviðmiðalisti (Lýsigögn)'!$C$42:$C$58,0))),""),IFERROR(IF(INDEX('Undirviðmiðalisti (Lýsigögn)'!F$6:F$41,MATCH($C173,'Undirviðmiðalisti (Lýsigögn)'!$C$6:$C$41,0))="","",INDEX('Undirviðmiðalisti (Lýsigögn)'!F$6:F$41,MATCH($C173,'Undirviðmiðalisti (Lýsigögn)'!$C$6:$C$41,0))),IFERROR(IF(INDEX('Undirviðmiðalisti (Lýsigögn)'!F$42:F$58,MATCH($C173,'Undirviðmiðalisti (Lýsigögn)'!$C$42:$C$58,0))="","",INDEX('Undirviðmiðalisti (Lýsigögn)'!F$42:F$58,MATCH($C173,'Undirviðmiðalisti (Lýsigögn)'!$C$42:$C$58,0))),""))))</f>
        <v/>
      </c>
      <c r="K173" s="16" t="str">
        <f aca="false">IF($C173="","",IF($G173="Einstaklingsbundið",IFERROR(IF(INDEX('Undirviðmiðalisti (Lýsigögn)'!G$42:G$58,MATCH($C173,'Undirviðmiðalisti (Lýsigögn)'!$C$42:$C$58,0))="","",INDEX('Undirviðmiðalisti (Lýsigögn)'!G$42:G$58,MATCH($C173,'Undirviðmiðalisti (Lýsigögn)'!$C$42:$C$58,0))),""),IFERROR(IF(INDEX('Undirviðmiðalisti (Lýsigögn)'!G$6:G$41,MATCH($C173,'Undirviðmiðalisti (Lýsigögn)'!$C$6:$C$41,0))="","",INDEX('Undirviðmiðalisti (Lýsigögn)'!G$6:G$41,MATCH($C173,'Undirviðmiðalisti (Lýsigögn)'!$C$6:$C$41,0))),IFERROR(IF(INDEX('Undirviðmiðalisti (Lýsigögn)'!G$42:G$58,MATCH($C173,'Undirviðmiðalisti (Lýsigögn)'!$C$42:$C$58,0))="","",INDEX('Undirviðmiðalisti (Lýsigögn)'!G$42:G$58,MATCH($C173,'Undirviðmiðalisti (Lýsigögn)'!$C$42:$C$58,0))),""))))</f>
        <v/>
      </c>
      <c r="L173" s="16" t="str">
        <f aca="false">IF($C173="","",IF($G173="Einstaklingsbundið",IFERROR(IF(INDEX('Undirviðmiðalisti (Lýsigögn)'!H$42:H$58,MATCH($C173,'Undirviðmiðalisti (Lýsigögn)'!$C$42:$C$58,0))="","",INDEX('Undirviðmiðalisti (Lýsigögn)'!H$42:H$58,MATCH($C173,'Undirviðmiðalisti (Lýsigögn)'!$C$42:$C$58,0))),""),IFERROR(IF(INDEX('Undirviðmiðalisti (Lýsigögn)'!H$6:H$41,MATCH($C173,'Undirviðmiðalisti (Lýsigögn)'!$C$6:$C$41,0))="","",INDEX('Undirviðmiðalisti (Lýsigögn)'!H$6:H$41,MATCH($C173,'Undirviðmiðalisti (Lýsigögn)'!$C$6:$C$41,0))),IFERROR(IF(INDEX('Undirviðmiðalisti (Lýsigögn)'!H$42:H$58,MATCH($C173,'Undirviðmiðalisti (Lýsigögn)'!$C$42:$C$58,0))="","",INDEX('Undirviðmiðalisti (Lýsigögn)'!H$42:H$58,MATCH($C173,'Undirviðmiðalisti (Lýsigögn)'!$C$42:$C$58,0))),""))))</f>
        <v/>
      </c>
      <c r="M173" s="16" t="str">
        <f aca="false">IF($C173="","",IF($G173="Einstaklingsbundið",IFERROR(IF(INDEX('Undirviðmiðalisti (Lýsigögn)'!I$42:I$58,MATCH($C173,'Undirviðmiðalisti (Lýsigögn)'!$C$42:$C$58,0))="","",INDEX('Undirviðmiðalisti (Lýsigögn)'!I$42:I$58,MATCH($C173,'Undirviðmiðalisti (Lýsigögn)'!$C$42:$C$58,0))),""),IFERROR(IF(INDEX('Undirviðmiðalisti (Lýsigögn)'!I$6:I$41,MATCH($C173,'Undirviðmiðalisti (Lýsigögn)'!$C$6:$C$41,0))="","",INDEX('Undirviðmiðalisti (Lýsigögn)'!I$6:I$41,MATCH($C173,'Undirviðmiðalisti (Lýsigögn)'!$C$6:$C$41,0))),IFERROR(IF(INDEX('Undirviðmiðalisti (Lýsigögn)'!I$42:I$58,MATCH($C173,'Undirviðmiðalisti (Lýsigögn)'!$C$42:$C$58,0))="","",INDEX('Undirviðmiðalisti (Lýsigögn)'!I$42:I$58,MATCH($C173,'Undirviðmiðalisti (Lýsigögn)'!$C$42:$C$58,0))),""))))</f>
        <v/>
      </c>
      <c r="N173" s="16" t="str">
        <f aca="false">IF($C173="","",IF($G173="Einstaklingsbundið",IFERROR(IF(INDEX('Undirviðmiðalisti (Lýsigögn)'!J$42:J$58,MATCH($C173,'Undirviðmiðalisti (Lýsigögn)'!$C$42:$C$58,0))="","",INDEX('Undirviðmiðalisti (Lýsigögn)'!J$42:J$58,MATCH($C173,'Undirviðmiðalisti (Lýsigögn)'!$C$42:$C$58,0))),""),IFERROR(IF(INDEX('Undirviðmiðalisti (Lýsigögn)'!J$6:J$41,MATCH($C173,'Undirviðmiðalisti (Lýsigögn)'!$C$6:$C$41,0))="","",INDEX('Undirviðmiðalisti (Lýsigögn)'!J$6:J$41,MATCH($C173,'Undirviðmiðalisti (Lýsigögn)'!$C$6:$C$41,0))),IFERROR(IF(INDEX('Undirviðmiðalisti (Lýsigögn)'!J$42:J$58,MATCH($C173,'Undirviðmiðalisti (Lýsigögn)'!$C$42:$C$58,0))="","",INDEX('Undirviðmiðalisti (Lýsigögn)'!J$42:J$58,MATCH($C173,'Undirviðmiðalisti (Lýsigögn)'!$C$42:$C$58,0))),""))))</f>
        <v/>
      </c>
      <c r="O173" s="16" t="str">
        <f aca="false">IF($C173="","",IF($G173="Einstaklingsbundið",IFERROR(IF(INDEX('Undirviðmiðalisti (Lýsigögn)'!K$42:K$58,MATCH($C173,'Undirviðmiðalisti (Lýsigögn)'!$C$42:$C$58,0))="","",INDEX('Undirviðmiðalisti (Lýsigögn)'!K$42:K$58,MATCH($C173,'Undirviðmiðalisti (Lýsigögn)'!$C$42:$C$58,0))),""),IFERROR(IF(INDEX('Undirviðmiðalisti (Lýsigögn)'!K$6:K$41,MATCH($C173,'Undirviðmiðalisti (Lýsigögn)'!$C$6:$C$41,0))="","",INDEX('Undirviðmiðalisti (Lýsigögn)'!K$6:K$41,MATCH($C173,'Undirviðmiðalisti (Lýsigögn)'!$C$6:$C$41,0))),IFERROR(IF(INDEX('Undirviðmiðalisti (Lýsigögn)'!K$42:K$58,MATCH($C173,'Undirviðmiðalisti (Lýsigögn)'!$C$42:$C$58,0))="","",INDEX('Undirviðmiðalisti (Lýsigögn)'!K$42:K$58,MATCH($C173,'Undirviðmiðalisti (Lýsigögn)'!$C$42:$C$58,0))),""))))</f>
        <v/>
      </c>
      <c r="P173" s="16" t="str">
        <f aca="false">IF($C173="","",IF($G173="Einstaklingsbundið",IFERROR(IF(INDEX('Undirviðmiðalisti (Lýsigögn)'!L$42:L$58,MATCH($C173,'Undirviðmiðalisti (Lýsigögn)'!$C$42:$C$58,0))="","",INDEX('Undirviðmiðalisti (Lýsigögn)'!L$42:L$58,MATCH($C173,'Undirviðmiðalisti (Lýsigögn)'!$C$42:$C$58,0))),""),IFERROR(IF(INDEX('Undirviðmiðalisti (Lýsigögn)'!L$6:L$41,MATCH($C173,'Undirviðmiðalisti (Lýsigögn)'!$C$6:$C$41,0))="","",INDEX('Undirviðmiðalisti (Lýsigögn)'!L$6:L$41,MATCH($C173,'Undirviðmiðalisti (Lýsigögn)'!$C$6:$C$41,0))),IFERROR(IF(INDEX('Undirviðmiðalisti (Lýsigögn)'!L$42:L$58,MATCH($C173,'Undirviðmiðalisti (Lýsigögn)'!$C$42:$C$58,0))="","",INDEX('Undirviðmiðalisti (Lýsigögn)'!L$42:L$58,MATCH($C173,'Undirviðmiðalisti (Lýsigögn)'!$C$42:$C$58,0))),""))))</f>
        <v/>
      </c>
      <c r="Q173" s="16" t="str">
        <f aca="false">IF($C173="","",IF($G173="Einstaklingsbundið",IFERROR(IF(INDEX('Undirviðmiðalisti (Lýsigögn)'!M$42:M$58,MATCH($C173,'Undirviðmiðalisti (Lýsigögn)'!$C$42:$C$58,0))="","",INDEX('Undirviðmiðalisti (Lýsigögn)'!M$42:M$58,MATCH($C173,'Undirviðmiðalisti (Lýsigögn)'!$C$42:$C$58,0))),""),IFERROR(IF(INDEX('Undirviðmiðalisti (Lýsigögn)'!M$6:M$41,MATCH($C173,'Undirviðmiðalisti (Lýsigögn)'!$C$6:$C$41,0))="","",INDEX('Undirviðmiðalisti (Lýsigögn)'!M$6:M$41,MATCH($C173,'Undirviðmiðalisti (Lýsigögn)'!$C$6:$C$41,0))),IFERROR(IF(INDEX('Undirviðmiðalisti (Lýsigögn)'!M$42:M$58,MATCH($C173,'Undirviðmiðalisti (Lýsigögn)'!$C$42:$C$58,0))="","",INDEX('Undirviðmiðalisti (Lýsigögn)'!M$42:M$58,MATCH($C173,'Undirviðmiðalisti (Lýsigögn)'!$C$42:$C$58,0))),""))))</f>
        <v/>
      </c>
    </row>
    <row r="174" customFormat="false" ht="15" hidden="false" customHeight="true" outlineLevel="0" collapsed="false">
      <c r="A174" s="22" t="str">
        <f aca="false">IF($B174="","",ROW()-5)</f>
        <v/>
      </c>
      <c r="B174" s="15"/>
      <c r="C174" s="15"/>
      <c r="D174" s="16" t="str">
        <f aca="false">IF($C174="","",IF($G174="Einstaklingsbundið",IFERROR(IF(INDEX('Undirviðmiðalisti (Lýsigögn)'!$D$42:$D$58,MATCH($C174,'Undirviðmiðalisti (Lýsigögn)'!$C$42:$C$58,0))="","",INDEX('Undirviðmiðalisti (Lýsigögn)'!$D$42:$D$58,MATCH($C174,'Undirviðmiðalisti (Lýsigögn)'!$C$42:$C$58,0))),""),IFERROR(IF(INDEX('Undirviðmiðalisti (Lýsigögn)'!$D$6:$D$41,MATCH($C174,'Undirviðmiðalisti (Lýsigögn)'!$C$6:$C$41,0))="","",INDEX('Undirviðmiðalisti (Lýsigögn)'!$D$6:$D$41,MATCH($C174,'Undirviðmiðalisti (Lýsigögn)'!$C$6:$C$41,0))),IFERROR(IF(INDEX('Undirviðmiðalisti (Lýsigögn)'!$D$42:$D$58,MATCH($C174,'Undirviðmiðalisti (Lýsigögn)'!$C$42:$C$58,0))="","",INDEX('Undirviðmiðalisti (Lýsigögn)'!$D$42:$D$58,MATCH($C174,'Undirviðmiðalisti (Lýsigögn)'!$C$42:$C$58,0))),""))))</f>
        <v/>
      </c>
      <c r="E174" s="14"/>
      <c r="F174" s="23" t="str">
        <f aca="false">IF($C174="","",IF($G174="Einstaklingsbundið",IFERROR(IF(INDEX('Undirviðmiðalisti (Lýsigögn)'!$E$42:$E$58,MATCH($C174,'Undirviðmiðalisti (Lýsigögn)'!$C$42:$C$58,0))="","",INDEX('Undirviðmiðalisti (Lýsigögn)'!$E$42:$E$58,MATCH($C174,'Undirviðmiðalisti (Lýsigögn)'!$C$42:$C$58,0))),""),IFERROR(IF(INDEX('Undirviðmiðalisti (Lýsigögn)'!$E$6:$E$41,MATCH($C174,'Undirviðmiðalisti (Lýsigögn)'!$C$6:$C$41,0))="","",INDEX('Undirviðmiðalisti (Lýsigögn)'!$E$6:$E$41,MATCH($C174,'Undirviðmiðalisti (Lýsigögn)'!$C$6:$C$41,0))),IFERROR(IF(INDEX('Undirviðmiðalisti (Lýsigögn)'!$E$42:$E$58,MATCH($C174,'Undirviðmiðalisti (Lýsigögn)'!$C$42:$C$58,0))="","",INDEX('Undirviðmiðalisti (Lýsigögn)'!$E$42:$E$58,MATCH($C174,'Undirviðmiðalisti (Lýsigögn)'!$C$42:$C$58,0))),""))))</f>
        <v/>
      </c>
      <c r="G174" s="24" t="str">
        <f aca="false">IFERROR(IF(B174="","",INDEX(Viðmið!$B$6:$B$10,MATCH(B174,Viðmið!$C$6:$C$10,0))),"")</f>
        <v/>
      </c>
      <c r="H174" s="25" t="str">
        <f aca="false">IF(OR(E174="",F174=""),"",E174*KVARDI)</f>
        <v/>
      </c>
      <c r="I174" s="26" t="str">
        <f aca="false">IF(B174="","",IF(ROUND(SUMIF($B$6:$B$205,B174,$E$6:$E$205),4)=ROUND(IFERROR(INDEX(Viðmið!$E$6:$E$10,MATCH(B174,Viðmið!$C$6:$C$10,0)),-1),4),"✓","✗"))</f>
        <v/>
      </c>
      <c r="J174" s="16" t="str">
        <f aca="false">IF($C174="","",IF($G174="Einstaklingsbundið",IFERROR(IF(INDEX('Undirviðmiðalisti (Lýsigögn)'!F$42:F$58,MATCH($C174,'Undirviðmiðalisti (Lýsigögn)'!$C$42:$C$58,0))="","",INDEX('Undirviðmiðalisti (Lýsigögn)'!F$42:F$58,MATCH($C174,'Undirviðmiðalisti (Lýsigögn)'!$C$42:$C$58,0))),""),IFERROR(IF(INDEX('Undirviðmiðalisti (Lýsigögn)'!F$6:F$41,MATCH($C174,'Undirviðmiðalisti (Lýsigögn)'!$C$6:$C$41,0))="","",INDEX('Undirviðmiðalisti (Lýsigögn)'!F$6:F$41,MATCH($C174,'Undirviðmiðalisti (Lýsigögn)'!$C$6:$C$41,0))),IFERROR(IF(INDEX('Undirviðmiðalisti (Lýsigögn)'!F$42:F$58,MATCH($C174,'Undirviðmiðalisti (Lýsigögn)'!$C$42:$C$58,0))="","",INDEX('Undirviðmiðalisti (Lýsigögn)'!F$42:F$58,MATCH($C174,'Undirviðmiðalisti (Lýsigögn)'!$C$42:$C$58,0))),""))))</f>
        <v/>
      </c>
      <c r="K174" s="16" t="str">
        <f aca="false">IF($C174="","",IF($G174="Einstaklingsbundið",IFERROR(IF(INDEX('Undirviðmiðalisti (Lýsigögn)'!G$42:G$58,MATCH($C174,'Undirviðmiðalisti (Lýsigögn)'!$C$42:$C$58,0))="","",INDEX('Undirviðmiðalisti (Lýsigögn)'!G$42:G$58,MATCH($C174,'Undirviðmiðalisti (Lýsigögn)'!$C$42:$C$58,0))),""),IFERROR(IF(INDEX('Undirviðmiðalisti (Lýsigögn)'!G$6:G$41,MATCH($C174,'Undirviðmiðalisti (Lýsigögn)'!$C$6:$C$41,0))="","",INDEX('Undirviðmiðalisti (Lýsigögn)'!G$6:G$41,MATCH($C174,'Undirviðmiðalisti (Lýsigögn)'!$C$6:$C$41,0))),IFERROR(IF(INDEX('Undirviðmiðalisti (Lýsigögn)'!G$42:G$58,MATCH($C174,'Undirviðmiðalisti (Lýsigögn)'!$C$42:$C$58,0))="","",INDEX('Undirviðmiðalisti (Lýsigögn)'!G$42:G$58,MATCH($C174,'Undirviðmiðalisti (Lýsigögn)'!$C$42:$C$58,0))),""))))</f>
        <v/>
      </c>
      <c r="L174" s="16" t="str">
        <f aca="false">IF($C174="","",IF($G174="Einstaklingsbundið",IFERROR(IF(INDEX('Undirviðmiðalisti (Lýsigögn)'!H$42:H$58,MATCH($C174,'Undirviðmiðalisti (Lýsigögn)'!$C$42:$C$58,0))="","",INDEX('Undirviðmiðalisti (Lýsigögn)'!H$42:H$58,MATCH($C174,'Undirviðmiðalisti (Lýsigögn)'!$C$42:$C$58,0))),""),IFERROR(IF(INDEX('Undirviðmiðalisti (Lýsigögn)'!H$6:H$41,MATCH($C174,'Undirviðmiðalisti (Lýsigögn)'!$C$6:$C$41,0))="","",INDEX('Undirviðmiðalisti (Lýsigögn)'!H$6:H$41,MATCH($C174,'Undirviðmiðalisti (Lýsigögn)'!$C$6:$C$41,0))),IFERROR(IF(INDEX('Undirviðmiðalisti (Lýsigögn)'!H$42:H$58,MATCH($C174,'Undirviðmiðalisti (Lýsigögn)'!$C$42:$C$58,0))="","",INDEX('Undirviðmiðalisti (Lýsigögn)'!H$42:H$58,MATCH($C174,'Undirviðmiðalisti (Lýsigögn)'!$C$42:$C$58,0))),""))))</f>
        <v/>
      </c>
      <c r="M174" s="16" t="str">
        <f aca="false">IF($C174="","",IF($G174="Einstaklingsbundið",IFERROR(IF(INDEX('Undirviðmiðalisti (Lýsigögn)'!I$42:I$58,MATCH($C174,'Undirviðmiðalisti (Lýsigögn)'!$C$42:$C$58,0))="","",INDEX('Undirviðmiðalisti (Lýsigögn)'!I$42:I$58,MATCH($C174,'Undirviðmiðalisti (Lýsigögn)'!$C$42:$C$58,0))),""),IFERROR(IF(INDEX('Undirviðmiðalisti (Lýsigögn)'!I$6:I$41,MATCH($C174,'Undirviðmiðalisti (Lýsigögn)'!$C$6:$C$41,0))="","",INDEX('Undirviðmiðalisti (Lýsigögn)'!I$6:I$41,MATCH($C174,'Undirviðmiðalisti (Lýsigögn)'!$C$6:$C$41,0))),IFERROR(IF(INDEX('Undirviðmiðalisti (Lýsigögn)'!I$42:I$58,MATCH($C174,'Undirviðmiðalisti (Lýsigögn)'!$C$42:$C$58,0))="","",INDEX('Undirviðmiðalisti (Lýsigögn)'!I$42:I$58,MATCH($C174,'Undirviðmiðalisti (Lýsigögn)'!$C$42:$C$58,0))),""))))</f>
        <v/>
      </c>
      <c r="N174" s="16" t="str">
        <f aca="false">IF($C174="","",IF($G174="Einstaklingsbundið",IFERROR(IF(INDEX('Undirviðmiðalisti (Lýsigögn)'!J$42:J$58,MATCH($C174,'Undirviðmiðalisti (Lýsigögn)'!$C$42:$C$58,0))="","",INDEX('Undirviðmiðalisti (Lýsigögn)'!J$42:J$58,MATCH($C174,'Undirviðmiðalisti (Lýsigögn)'!$C$42:$C$58,0))),""),IFERROR(IF(INDEX('Undirviðmiðalisti (Lýsigögn)'!J$6:J$41,MATCH($C174,'Undirviðmiðalisti (Lýsigögn)'!$C$6:$C$41,0))="","",INDEX('Undirviðmiðalisti (Lýsigögn)'!J$6:J$41,MATCH($C174,'Undirviðmiðalisti (Lýsigögn)'!$C$6:$C$41,0))),IFERROR(IF(INDEX('Undirviðmiðalisti (Lýsigögn)'!J$42:J$58,MATCH($C174,'Undirviðmiðalisti (Lýsigögn)'!$C$42:$C$58,0))="","",INDEX('Undirviðmiðalisti (Lýsigögn)'!J$42:J$58,MATCH($C174,'Undirviðmiðalisti (Lýsigögn)'!$C$42:$C$58,0))),""))))</f>
        <v/>
      </c>
      <c r="O174" s="16" t="str">
        <f aca="false">IF($C174="","",IF($G174="Einstaklingsbundið",IFERROR(IF(INDEX('Undirviðmiðalisti (Lýsigögn)'!K$42:K$58,MATCH($C174,'Undirviðmiðalisti (Lýsigögn)'!$C$42:$C$58,0))="","",INDEX('Undirviðmiðalisti (Lýsigögn)'!K$42:K$58,MATCH($C174,'Undirviðmiðalisti (Lýsigögn)'!$C$42:$C$58,0))),""),IFERROR(IF(INDEX('Undirviðmiðalisti (Lýsigögn)'!K$6:K$41,MATCH($C174,'Undirviðmiðalisti (Lýsigögn)'!$C$6:$C$41,0))="","",INDEX('Undirviðmiðalisti (Lýsigögn)'!K$6:K$41,MATCH($C174,'Undirviðmiðalisti (Lýsigögn)'!$C$6:$C$41,0))),IFERROR(IF(INDEX('Undirviðmiðalisti (Lýsigögn)'!K$42:K$58,MATCH($C174,'Undirviðmiðalisti (Lýsigögn)'!$C$42:$C$58,0))="","",INDEX('Undirviðmiðalisti (Lýsigögn)'!K$42:K$58,MATCH($C174,'Undirviðmiðalisti (Lýsigögn)'!$C$42:$C$58,0))),""))))</f>
        <v/>
      </c>
      <c r="P174" s="16" t="str">
        <f aca="false">IF($C174="","",IF($G174="Einstaklingsbundið",IFERROR(IF(INDEX('Undirviðmiðalisti (Lýsigögn)'!L$42:L$58,MATCH($C174,'Undirviðmiðalisti (Lýsigögn)'!$C$42:$C$58,0))="","",INDEX('Undirviðmiðalisti (Lýsigögn)'!L$42:L$58,MATCH($C174,'Undirviðmiðalisti (Lýsigögn)'!$C$42:$C$58,0))),""),IFERROR(IF(INDEX('Undirviðmiðalisti (Lýsigögn)'!L$6:L$41,MATCH($C174,'Undirviðmiðalisti (Lýsigögn)'!$C$6:$C$41,0))="","",INDEX('Undirviðmiðalisti (Lýsigögn)'!L$6:L$41,MATCH($C174,'Undirviðmiðalisti (Lýsigögn)'!$C$6:$C$41,0))),IFERROR(IF(INDEX('Undirviðmiðalisti (Lýsigögn)'!L$42:L$58,MATCH($C174,'Undirviðmiðalisti (Lýsigögn)'!$C$42:$C$58,0))="","",INDEX('Undirviðmiðalisti (Lýsigögn)'!L$42:L$58,MATCH($C174,'Undirviðmiðalisti (Lýsigögn)'!$C$42:$C$58,0))),""))))</f>
        <v/>
      </c>
      <c r="Q174" s="16" t="str">
        <f aca="false">IF($C174="","",IF($G174="Einstaklingsbundið",IFERROR(IF(INDEX('Undirviðmiðalisti (Lýsigögn)'!M$42:M$58,MATCH($C174,'Undirviðmiðalisti (Lýsigögn)'!$C$42:$C$58,0))="","",INDEX('Undirviðmiðalisti (Lýsigögn)'!M$42:M$58,MATCH($C174,'Undirviðmiðalisti (Lýsigögn)'!$C$42:$C$58,0))),""),IFERROR(IF(INDEX('Undirviðmiðalisti (Lýsigögn)'!M$6:M$41,MATCH($C174,'Undirviðmiðalisti (Lýsigögn)'!$C$6:$C$41,0))="","",INDEX('Undirviðmiðalisti (Lýsigögn)'!M$6:M$41,MATCH($C174,'Undirviðmiðalisti (Lýsigögn)'!$C$6:$C$41,0))),IFERROR(IF(INDEX('Undirviðmiðalisti (Lýsigögn)'!M$42:M$58,MATCH($C174,'Undirviðmiðalisti (Lýsigögn)'!$C$42:$C$58,0))="","",INDEX('Undirviðmiðalisti (Lýsigögn)'!M$42:M$58,MATCH($C174,'Undirviðmiðalisti (Lýsigögn)'!$C$42:$C$58,0))),""))))</f>
        <v/>
      </c>
    </row>
    <row r="175" customFormat="false" ht="15" hidden="false" customHeight="true" outlineLevel="0" collapsed="false">
      <c r="A175" s="22" t="str">
        <f aca="false">IF($B175="","",ROW()-5)</f>
        <v/>
      </c>
      <c r="B175" s="15"/>
      <c r="C175" s="15"/>
      <c r="D175" s="16" t="str">
        <f aca="false">IF($C175="","",IF($G175="Einstaklingsbundið",IFERROR(IF(INDEX('Undirviðmiðalisti (Lýsigögn)'!$D$42:$D$58,MATCH($C175,'Undirviðmiðalisti (Lýsigögn)'!$C$42:$C$58,0))="","",INDEX('Undirviðmiðalisti (Lýsigögn)'!$D$42:$D$58,MATCH($C175,'Undirviðmiðalisti (Lýsigögn)'!$C$42:$C$58,0))),""),IFERROR(IF(INDEX('Undirviðmiðalisti (Lýsigögn)'!$D$6:$D$41,MATCH($C175,'Undirviðmiðalisti (Lýsigögn)'!$C$6:$C$41,0))="","",INDEX('Undirviðmiðalisti (Lýsigögn)'!$D$6:$D$41,MATCH($C175,'Undirviðmiðalisti (Lýsigögn)'!$C$6:$C$41,0))),IFERROR(IF(INDEX('Undirviðmiðalisti (Lýsigögn)'!$D$42:$D$58,MATCH($C175,'Undirviðmiðalisti (Lýsigögn)'!$C$42:$C$58,0))="","",INDEX('Undirviðmiðalisti (Lýsigögn)'!$D$42:$D$58,MATCH($C175,'Undirviðmiðalisti (Lýsigögn)'!$C$42:$C$58,0))),""))))</f>
        <v/>
      </c>
      <c r="E175" s="14"/>
      <c r="F175" s="23" t="str">
        <f aca="false">IF($C175="","",IF($G175="Einstaklingsbundið",IFERROR(IF(INDEX('Undirviðmiðalisti (Lýsigögn)'!$E$42:$E$58,MATCH($C175,'Undirviðmiðalisti (Lýsigögn)'!$C$42:$C$58,0))="","",INDEX('Undirviðmiðalisti (Lýsigögn)'!$E$42:$E$58,MATCH($C175,'Undirviðmiðalisti (Lýsigögn)'!$C$42:$C$58,0))),""),IFERROR(IF(INDEX('Undirviðmiðalisti (Lýsigögn)'!$E$6:$E$41,MATCH($C175,'Undirviðmiðalisti (Lýsigögn)'!$C$6:$C$41,0))="","",INDEX('Undirviðmiðalisti (Lýsigögn)'!$E$6:$E$41,MATCH($C175,'Undirviðmiðalisti (Lýsigögn)'!$C$6:$C$41,0))),IFERROR(IF(INDEX('Undirviðmiðalisti (Lýsigögn)'!$E$42:$E$58,MATCH($C175,'Undirviðmiðalisti (Lýsigögn)'!$C$42:$C$58,0))="","",INDEX('Undirviðmiðalisti (Lýsigögn)'!$E$42:$E$58,MATCH($C175,'Undirviðmiðalisti (Lýsigögn)'!$C$42:$C$58,0))),""))))</f>
        <v/>
      </c>
      <c r="G175" s="24" t="str">
        <f aca="false">IFERROR(IF(B175="","",INDEX(Viðmið!$B$6:$B$10,MATCH(B175,Viðmið!$C$6:$C$10,0))),"")</f>
        <v/>
      </c>
      <c r="H175" s="25" t="str">
        <f aca="false">IF(OR(E175="",F175=""),"",E175*KVARDI)</f>
        <v/>
      </c>
      <c r="I175" s="26" t="str">
        <f aca="false">IF(B175="","",IF(ROUND(SUMIF($B$6:$B$205,B175,$E$6:$E$205),4)=ROUND(IFERROR(INDEX(Viðmið!$E$6:$E$10,MATCH(B175,Viðmið!$C$6:$C$10,0)),-1),4),"✓","✗"))</f>
        <v/>
      </c>
      <c r="J175" s="16" t="str">
        <f aca="false">IF($C175="","",IF($G175="Einstaklingsbundið",IFERROR(IF(INDEX('Undirviðmiðalisti (Lýsigögn)'!F$42:F$58,MATCH($C175,'Undirviðmiðalisti (Lýsigögn)'!$C$42:$C$58,0))="","",INDEX('Undirviðmiðalisti (Lýsigögn)'!F$42:F$58,MATCH($C175,'Undirviðmiðalisti (Lýsigögn)'!$C$42:$C$58,0))),""),IFERROR(IF(INDEX('Undirviðmiðalisti (Lýsigögn)'!F$6:F$41,MATCH($C175,'Undirviðmiðalisti (Lýsigögn)'!$C$6:$C$41,0))="","",INDEX('Undirviðmiðalisti (Lýsigögn)'!F$6:F$41,MATCH($C175,'Undirviðmiðalisti (Lýsigögn)'!$C$6:$C$41,0))),IFERROR(IF(INDEX('Undirviðmiðalisti (Lýsigögn)'!F$42:F$58,MATCH($C175,'Undirviðmiðalisti (Lýsigögn)'!$C$42:$C$58,0))="","",INDEX('Undirviðmiðalisti (Lýsigögn)'!F$42:F$58,MATCH($C175,'Undirviðmiðalisti (Lýsigögn)'!$C$42:$C$58,0))),""))))</f>
        <v/>
      </c>
      <c r="K175" s="16" t="str">
        <f aca="false">IF($C175="","",IF($G175="Einstaklingsbundið",IFERROR(IF(INDEX('Undirviðmiðalisti (Lýsigögn)'!G$42:G$58,MATCH($C175,'Undirviðmiðalisti (Lýsigögn)'!$C$42:$C$58,0))="","",INDEX('Undirviðmiðalisti (Lýsigögn)'!G$42:G$58,MATCH($C175,'Undirviðmiðalisti (Lýsigögn)'!$C$42:$C$58,0))),""),IFERROR(IF(INDEX('Undirviðmiðalisti (Lýsigögn)'!G$6:G$41,MATCH($C175,'Undirviðmiðalisti (Lýsigögn)'!$C$6:$C$41,0))="","",INDEX('Undirviðmiðalisti (Lýsigögn)'!G$6:G$41,MATCH($C175,'Undirviðmiðalisti (Lýsigögn)'!$C$6:$C$41,0))),IFERROR(IF(INDEX('Undirviðmiðalisti (Lýsigögn)'!G$42:G$58,MATCH($C175,'Undirviðmiðalisti (Lýsigögn)'!$C$42:$C$58,0))="","",INDEX('Undirviðmiðalisti (Lýsigögn)'!G$42:G$58,MATCH($C175,'Undirviðmiðalisti (Lýsigögn)'!$C$42:$C$58,0))),""))))</f>
        <v/>
      </c>
      <c r="L175" s="16" t="str">
        <f aca="false">IF($C175="","",IF($G175="Einstaklingsbundið",IFERROR(IF(INDEX('Undirviðmiðalisti (Lýsigögn)'!H$42:H$58,MATCH($C175,'Undirviðmiðalisti (Lýsigögn)'!$C$42:$C$58,0))="","",INDEX('Undirviðmiðalisti (Lýsigögn)'!H$42:H$58,MATCH($C175,'Undirviðmiðalisti (Lýsigögn)'!$C$42:$C$58,0))),""),IFERROR(IF(INDEX('Undirviðmiðalisti (Lýsigögn)'!H$6:H$41,MATCH($C175,'Undirviðmiðalisti (Lýsigögn)'!$C$6:$C$41,0))="","",INDEX('Undirviðmiðalisti (Lýsigögn)'!H$6:H$41,MATCH($C175,'Undirviðmiðalisti (Lýsigögn)'!$C$6:$C$41,0))),IFERROR(IF(INDEX('Undirviðmiðalisti (Lýsigögn)'!H$42:H$58,MATCH($C175,'Undirviðmiðalisti (Lýsigögn)'!$C$42:$C$58,0))="","",INDEX('Undirviðmiðalisti (Lýsigögn)'!H$42:H$58,MATCH($C175,'Undirviðmiðalisti (Lýsigögn)'!$C$42:$C$58,0))),""))))</f>
        <v/>
      </c>
      <c r="M175" s="16" t="str">
        <f aca="false">IF($C175="","",IF($G175="Einstaklingsbundið",IFERROR(IF(INDEX('Undirviðmiðalisti (Lýsigögn)'!I$42:I$58,MATCH($C175,'Undirviðmiðalisti (Lýsigögn)'!$C$42:$C$58,0))="","",INDEX('Undirviðmiðalisti (Lýsigögn)'!I$42:I$58,MATCH($C175,'Undirviðmiðalisti (Lýsigögn)'!$C$42:$C$58,0))),""),IFERROR(IF(INDEX('Undirviðmiðalisti (Lýsigögn)'!I$6:I$41,MATCH($C175,'Undirviðmiðalisti (Lýsigögn)'!$C$6:$C$41,0))="","",INDEX('Undirviðmiðalisti (Lýsigögn)'!I$6:I$41,MATCH($C175,'Undirviðmiðalisti (Lýsigögn)'!$C$6:$C$41,0))),IFERROR(IF(INDEX('Undirviðmiðalisti (Lýsigögn)'!I$42:I$58,MATCH($C175,'Undirviðmiðalisti (Lýsigögn)'!$C$42:$C$58,0))="","",INDEX('Undirviðmiðalisti (Lýsigögn)'!I$42:I$58,MATCH($C175,'Undirviðmiðalisti (Lýsigögn)'!$C$42:$C$58,0))),""))))</f>
        <v/>
      </c>
      <c r="N175" s="16" t="str">
        <f aca="false">IF($C175="","",IF($G175="Einstaklingsbundið",IFERROR(IF(INDEX('Undirviðmiðalisti (Lýsigögn)'!J$42:J$58,MATCH($C175,'Undirviðmiðalisti (Lýsigögn)'!$C$42:$C$58,0))="","",INDEX('Undirviðmiðalisti (Lýsigögn)'!J$42:J$58,MATCH($C175,'Undirviðmiðalisti (Lýsigögn)'!$C$42:$C$58,0))),""),IFERROR(IF(INDEX('Undirviðmiðalisti (Lýsigögn)'!J$6:J$41,MATCH($C175,'Undirviðmiðalisti (Lýsigögn)'!$C$6:$C$41,0))="","",INDEX('Undirviðmiðalisti (Lýsigögn)'!J$6:J$41,MATCH($C175,'Undirviðmiðalisti (Lýsigögn)'!$C$6:$C$41,0))),IFERROR(IF(INDEX('Undirviðmiðalisti (Lýsigögn)'!J$42:J$58,MATCH($C175,'Undirviðmiðalisti (Lýsigögn)'!$C$42:$C$58,0))="","",INDEX('Undirviðmiðalisti (Lýsigögn)'!J$42:J$58,MATCH($C175,'Undirviðmiðalisti (Lýsigögn)'!$C$42:$C$58,0))),""))))</f>
        <v/>
      </c>
      <c r="O175" s="16" t="str">
        <f aca="false">IF($C175="","",IF($G175="Einstaklingsbundið",IFERROR(IF(INDEX('Undirviðmiðalisti (Lýsigögn)'!K$42:K$58,MATCH($C175,'Undirviðmiðalisti (Lýsigögn)'!$C$42:$C$58,0))="","",INDEX('Undirviðmiðalisti (Lýsigögn)'!K$42:K$58,MATCH($C175,'Undirviðmiðalisti (Lýsigögn)'!$C$42:$C$58,0))),""),IFERROR(IF(INDEX('Undirviðmiðalisti (Lýsigögn)'!K$6:K$41,MATCH($C175,'Undirviðmiðalisti (Lýsigögn)'!$C$6:$C$41,0))="","",INDEX('Undirviðmiðalisti (Lýsigögn)'!K$6:K$41,MATCH($C175,'Undirviðmiðalisti (Lýsigögn)'!$C$6:$C$41,0))),IFERROR(IF(INDEX('Undirviðmiðalisti (Lýsigögn)'!K$42:K$58,MATCH($C175,'Undirviðmiðalisti (Lýsigögn)'!$C$42:$C$58,0))="","",INDEX('Undirviðmiðalisti (Lýsigögn)'!K$42:K$58,MATCH($C175,'Undirviðmiðalisti (Lýsigögn)'!$C$42:$C$58,0))),""))))</f>
        <v/>
      </c>
      <c r="P175" s="16" t="str">
        <f aca="false">IF($C175="","",IF($G175="Einstaklingsbundið",IFERROR(IF(INDEX('Undirviðmiðalisti (Lýsigögn)'!L$42:L$58,MATCH($C175,'Undirviðmiðalisti (Lýsigögn)'!$C$42:$C$58,0))="","",INDEX('Undirviðmiðalisti (Lýsigögn)'!L$42:L$58,MATCH($C175,'Undirviðmiðalisti (Lýsigögn)'!$C$42:$C$58,0))),""),IFERROR(IF(INDEX('Undirviðmiðalisti (Lýsigögn)'!L$6:L$41,MATCH($C175,'Undirviðmiðalisti (Lýsigögn)'!$C$6:$C$41,0))="","",INDEX('Undirviðmiðalisti (Lýsigögn)'!L$6:L$41,MATCH($C175,'Undirviðmiðalisti (Lýsigögn)'!$C$6:$C$41,0))),IFERROR(IF(INDEX('Undirviðmiðalisti (Lýsigögn)'!L$42:L$58,MATCH($C175,'Undirviðmiðalisti (Lýsigögn)'!$C$42:$C$58,0))="","",INDEX('Undirviðmiðalisti (Lýsigögn)'!L$42:L$58,MATCH($C175,'Undirviðmiðalisti (Lýsigögn)'!$C$42:$C$58,0))),""))))</f>
        <v/>
      </c>
      <c r="Q175" s="16" t="str">
        <f aca="false">IF($C175="","",IF($G175="Einstaklingsbundið",IFERROR(IF(INDEX('Undirviðmiðalisti (Lýsigögn)'!M$42:M$58,MATCH($C175,'Undirviðmiðalisti (Lýsigögn)'!$C$42:$C$58,0))="","",INDEX('Undirviðmiðalisti (Lýsigögn)'!M$42:M$58,MATCH($C175,'Undirviðmiðalisti (Lýsigögn)'!$C$42:$C$58,0))),""),IFERROR(IF(INDEX('Undirviðmiðalisti (Lýsigögn)'!M$6:M$41,MATCH($C175,'Undirviðmiðalisti (Lýsigögn)'!$C$6:$C$41,0))="","",INDEX('Undirviðmiðalisti (Lýsigögn)'!M$6:M$41,MATCH($C175,'Undirviðmiðalisti (Lýsigögn)'!$C$6:$C$41,0))),IFERROR(IF(INDEX('Undirviðmiðalisti (Lýsigögn)'!M$42:M$58,MATCH($C175,'Undirviðmiðalisti (Lýsigögn)'!$C$42:$C$58,0))="","",INDEX('Undirviðmiðalisti (Lýsigögn)'!M$42:M$58,MATCH($C175,'Undirviðmiðalisti (Lýsigögn)'!$C$42:$C$58,0))),""))))</f>
        <v/>
      </c>
    </row>
    <row r="176" customFormat="false" ht="15" hidden="false" customHeight="true" outlineLevel="0" collapsed="false">
      <c r="A176" s="22" t="str">
        <f aca="false">IF($B176="","",ROW()-5)</f>
        <v/>
      </c>
      <c r="B176" s="15"/>
      <c r="C176" s="15"/>
      <c r="D176" s="16" t="str">
        <f aca="false">IF($C176="","",IF($G176="Einstaklingsbundið",IFERROR(IF(INDEX('Undirviðmiðalisti (Lýsigögn)'!$D$42:$D$58,MATCH($C176,'Undirviðmiðalisti (Lýsigögn)'!$C$42:$C$58,0))="","",INDEX('Undirviðmiðalisti (Lýsigögn)'!$D$42:$D$58,MATCH($C176,'Undirviðmiðalisti (Lýsigögn)'!$C$42:$C$58,0))),""),IFERROR(IF(INDEX('Undirviðmiðalisti (Lýsigögn)'!$D$6:$D$41,MATCH($C176,'Undirviðmiðalisti (Lýsigögn)'!$C$6:$C$41,0))="","",INDEX('Undirviðmiðalisti (Lýsigögn)'!$D$6:$D$41,MATCH($C176,'Undirviðmiðalisti (Lýsigögn)'!$C$6:$C$41,0))),IFERROR(IF(INDEX('Undirviðmiðalisti (Lýsigögn)'!$D$42:$D$58,MATCH($C176,'Undirviðmiðalisti (Lýsigögn)'!$C$42:$C$58,0))="","",INDEX('Undirviðmiðalisti (Lýsigögn)'!$D$42:$D$58,MATCH($C176,'Undirviðmiðalisti (Lýsigögn)'!$C$42:$C$58,0))),""))))</f>
        <v/>
      </c>
      <c r="E176" s="14"/>
      <c r="F176" s="23" t="str">
        <f aca="false">IF($C176="","",IF($G176="Einstaklingsbundið",IFERROR(IF(INDEX('Undirviðmiðalisti (Lýsigögn)'!$E$42:$E$58,MATCH($C176,'Undirviðmiðalisti (Lýsigögn)'!$C$42:$C$58,0))="","",INDEX('Undirviðmiðalisti (Lýsigögn)'!$E$42:$E$58,MATCH($C176,'Undirviðmiðalisti (Lýsigögn)'!$C$42:$C$58,0))),""),IFERROR(IF(INDEX('Undirviðmiðalisti (Lýsigögn)'!$E$6:$E$41,MATCH($C176,'Undirviðmiðalisti (Lýsigögn)'!$C$6:$C$41,0))="","",INDEX('Undirviðmiðalisti (Lýsigögn)'!$E$6:$E$41,MATCH($C176,'Undirviðmiðalisti (Lýsigögn)'!$C$6:$C$41,0))),IFERROR(IF(INDEX('Undirviðmiðalisti (Lýsigögn)'!$E$42:$E$58,MATCH($C176,'Undirviðmiðalisti (Lýsigögn)'!$C$42:$C$58,0))="","",INDEX('Undirviðmiðalisti (Lýsigögn)'!$E$42:$E$58,MATCH($C176,'Undirviðmiðalisti (Lýsigögn)'!$C$42:$C$58,0))),""))))</f>
        <v/>
      </c>
      <c r="G176" s="24" t="str">
        <f aca="false">IFERROR(IF(B176="","",INDEX(Viðmið!$B$6:$B$10,MATCH(B176,Viðmið!$C$6:$C$10,0))),"")</f>
        <v/>
      </c>
      <c r="H176" s="25" t="str">
        <f aca="false">IF(OR(E176="",F176=""),"",E176*KVARDI)</f>
        <v/>
      </c>
      <c r="I176" s="26" t="str">
        <f aca="false">IF(B176="","",IF(ROUND(SUMIF($B$6:$B$205,B176,$E$6:$E$205),4)=ROUND(IFERROR(INDEX(Viðmið!$E$6:$E$10,MATCH(B176,Viðmið!$C$6:$C$10,0)),-1),4),"✓","✗"))</f>
        <v/>
      </c>
      <c r="J176" s="16" t="str">
        <f aca="false">IF($C176="","",IF($G176="Einstaklingsbundið",IFERROR(IF(INDEX('Undirviðmiðalisti (Lýsigögn)'!F$42:F$58,MATCH($C176,'Undirviðmiðalisti (Lýsigögn)'!$C$42:$C$58,0))="","",INDEX('Undirviðmiðalisti (Lýsigögn)'!F$42:F$58,MATCH($C176,'Undirviðmiðalisti (Lýsigögn)'!$C$42:$C$58,0))),""),IFERROR(IF(INDEX('Undirviðmiðalisti (Lýsigögn)'!F$6:F$41,MATCH($C176,'Undirviðmiðalisti (Lýsigögn)'!$C$6:$C$41,0))="","",INDEX('Undirviðmiðalisti (Lýsigögn)'!F$6:F$41,MATCH($C176,'Undirviðmiðalisti (Lýsigögn)'!$C$6:$C$41,0))),IFERROR(IF(INDEX('Undirviðmiðalisti (Lýsigögn)'!F$42:F$58,MATCH($C176,'Undirviðmiðalisti (Lýsigögn)'!$C$42:$C$58,0))="","",INDEX('Undirviðmiðalisti (Lýsigögn)'!F$42:F$58,MATCH($C176,'Undirviðmiðalisti (Lýsigögn)'!$C$42:$C$58,0))),""))))</f>
        <v/>
      </c>
      <c r="K176" s="16" t="str">
        <f aca="false">IF($C176="","",IF($G176="Einstaklingsbundið",IFERROR(IF(INDEX('Undirviðmiðalisti (Lýsigögn)'!G$42:G$58,MATCH($C176,'Undirviðmiðalisti (Lýsigögn)'!$C$42:$C$58,0))="","",INDEX('Undirviðmiðalisti (Lýsigögn)'!G$42:G$58,MATCH($C176,'Undirviðmiðalisti (Lýsigögn)'!$C$42:$C$58,0))),""),IFERROR(IF(INDEX('Undirviðmiðalisti (Lýsigögn)'!G$6:G$41,MATCH($C176,'Undirviðmiðalisti (Lýsigögn)'!$C$6:$C$41,0))="","",INDEX('Undirviðmiðalisti (Lýsigögn)'!G$6:G$41,MATCH($C176,'Undirviðmiðalisti (Lýsigögn)'!$C$6:$C$41,0))),IFERROR(IF(INDEX('Undirviðmiðalisti (Lýsigögn)'!G$42:G$58,MATCH($C176,'Undirviðmiðalisti (Lýsigögn)'!$C$42:$C$58,0))="","",INDEX('Undirviðmiðalisti (Lýsigögn)'!G$42:G$58,MATCH($C176,'Undirviðmiðalisti (Lýsigögn)'!$C$42:$C$58,0))),""))))</f>
        <v/>
      </c>
      <c r="L176" s="16" t="str">
        <f aca="false">IF($C176="","",IF($G176="Einstaklingsbundið",IFERROR(IF(INDEX('Undirviðmiðalisti (Lýsigögn)'!H$42:H$58,MATCH($C176,'Undirviðmiðalisti (Lýsigögn)'!$C$42:$C$58,0))="","",INDEX('Undirviðmiðalisti (Lýsigögn)'!H$42:H$58,MATCH($C176,'Undirviðmiðalisti (Lýsigögn)'!$C$42:$C$58,0))),""),IFERROR(IF(INDEX('Undirviðmiðalisti (Lýsigögn)'!H$6:H$41,MATCH($C176,'Undirviðmiðalisti (Lýsigögn)'!$C$6:$C$41,0))="","",INDEX('Undirviðmiðalisti (Lýsigögn)'!H$6:H$41,MATCH($C176,'Undirviðmiðalisti (Lýsigögn)'!$C$6:$C$41,0))),IFERROR(IF(INDEX('Undirviðmiðalisti (Lýsigögn)'!H$42:H$58,MATCH($C176,'Undirviðmiðalisti (Lýsigögn)'!$C$42:$C$58,0))="","",INDEX('Undirviðmiðalisti (Lýsigögn)'!H$42:H$58,MATCH($C176,'Undirviðmiðalisti (Lýsigögn)'!$C$42:$C$58,0))),""))))</f>
        <v/>
      </c>
      <c r="M176" s="16" t="str">
        <f aca="false">IF($C176="","",IF($G176="Einstaklingsbundið",IFERROR(IF(INDEX('Undirviðmiðalisti (Lýsigögn)'!I$42:I$58,MATCH($C176,'Undirviðmiðalisti (Lýsigögn)'!$C$42:$C$58,0))="","",INDEX('Undirviðmiðalisti (Lýsigögn)'!I$42:I$58,MATCH($C176,'Undirviðmiðalisti (Lýsigögn)'!$C$42:$C$58,0))),""),IFERROR(IF(INDEX('Undirviðmiðalisti (Lýsigögn)'!I$6:I$41,MATCH($C176,'Undirviðmiðalisti (Lýsigögn)'!$C$6:$C$41,0))="","",INDEX('Undirviðmiðalisti (Lýsigögn)'!I$6:I$41,MATCH($C176,'Undirviðmiðalisti (Lýsigögn)'!$C$6:$C$41,0))),IFERROR(IF(INDEX('Undirviðmiðalisti (Lýsigögn)'!I$42:I$58,MATCH($C176,'Undirviðmiðalisti (Lýsigögn)'!$C$42:$C$58,0))="","",INDEX('Undirviðmiðalisti (Lýsigögn)'!I$42:I$58,MATCH($C176,'Undirviðmiðalisti (Lýsigögn)'!$C$42:$C$58,0))),""))))</f>
        <v/>
      </c>
      <c r="N176" s="16" t="str">
        <f aca="false">IF($C176="","",IF($G176="Einstaklingsbundið",IFERROR(IF(INDEX('Undirviðmiðalisti (Lýsigögn)'!J$42:J$58,MATCH($C176,'Undirviðmiðalisti (Lýsigögn)'!$C$42:$C$58,0))="","",INDEX('Undirviðmiðalisti (Lýsigögn)'!J$42:J$58,MATCH($C176,'Undirviðmiðalisti (Lýsigögn)'!$C$42:$C$58,0))),""),IFERROR(IF(INDEX('Undirviðmiðalisti (Lýsigögn)'!J$6:J$41,MATCH($C176,'Undirviðmiðalisti (Lýsigögn)'!$C$6:$C$41,0))="","",INDEX('Undirviðmiðalisti (Lýsigögn)'!J$6:J$41,MATCH($C176,'Undirviðmiðalisti (Lýsigögn)'!$C$6:$C$41,0))),IFERROR(IF(INDEX('Undirviðmiðalisti (Lýsigögn)'!J$42:J$58,MATCH($C176,'Undirviðmiðalisti (Lýsigögn)'!$C$42:$C$58,0))="","",INDEX('Undirviðmiðalisti (Lýsigögn)'!J$42:J$58,MATCH($C176,'Undirviðmiðalisti (Lýsigögn)'!$C$42:$C$58,0))),""))))</f>
        <v/>
      </c>
      <c r="O176" s="16" t="str">
        <f aca="false">IF($C176="","",IF($G176="Einstaklingsbundið",IFERROR(IF(INDEX('Undirviðmiðalisti (Lýsigögn)'!K$42:K$58,MATCH($C176,'Undirviðmiðalisti (Lýsigögn)'!$C$42:$C$58,0))="","",INDEX('Undirviðmiðalisti (Lýsigögn)'!K$42:K$58,MATCH($C176,'Undirviðmiðalisti (Lýsigögn)'!$C$42:$C$58,0))),""),IFERROR(IF(INDEX('Undirviðmiðalisti (Lýsigögn)'!K$6:K$41,MATCH($C176,'Undirviðmiðalisti (Lýsigögn)'!$C$6:$C$41,0))="","",INDEX('Undirviðmiðalisti (Lýsigögn)'!K$6:K$41,MATCH($C176,'Undirviðmiðalisti (Lýsigögn)'!$C$6:$C$41,0))),IFERROR(IF(INDEX('Undirviðmiðalisti (Lýsigögn)'!K$42:K$58,MATCH($C176,'Undirviðmiðalisti (Lýsigögn)'!$C$42:$C$58,0))="","",INDEX('Undirviðmiðalisti (Lýsigögn)'!K$42:K$58,MATCH($C176,'Undirviðmiðalisti (Lýsigögn)'!$C$42:$C$58,0))),""))))</f>
        <v/>
      </c>
      <c r="P176" s="16" t="str">
        <f aca="false">IF($C176="","",IF($G176="Einstaklingsbundið",IFERROR(IF(INDEX('Undirviðmiðalisti (Lýsigögn)'!L$42:L$58,MATCH($C176,'Undirviðmiðalisti (Lýsigögn)'!$C$42:$C$58,0))="","",INDEX('Undirviðmiðalisti (Lýsigögn)'!L$42:L$58,MATCH($C176,'Undirviðmiðalisti (Lýsigögn)'!$C$42:$C$58,0))),""),IFERROR(IF(INDEX('Undirviðmiðalisti (Lýsigögn)'!L$6:L$41,MATCH($C176,'Undirviðmiðalisti (Lýsigögn)'!$C$6:$C$41,0))="","",INDEX('Undirviðmiðalisti (Lýsigögn)'!L$6:L$41,MATCH($C176,'Undirviðmiðalisti (Lýsigögn)'!$C$6:$C$41,0))),IFERROR(IF(INDEX('Undirviðmiðalisti (Lýsigögn)'!L$42:L$58,MATCH($C176,'Undirviðmiðalisti (Lýsigögn)'!$C$42:$C$58,0))="","",INDEX('Undirviðmiðalisti (Lýsigögn)'!L$42:L$58,MATCH($C176,'Undirviðmiðalisti (Lýsigögn)'!$C$42:$C$58,0))),""))))</f>
        <v/>
      </c>
      <c r="Q176" s="16" t="str">
        <f aca="false">IF($C176="","",IF($G176="Einstaklingsbundið",IFERROR(IF(INDEX('Undirviðmiðalisti (Lýsigögn)'!M$42:M$58,MATCH($C176,'Undirviðmiðalisti (Lýsigögn)'!$C$42:$C$58,0))="","",INDEX('Undirviðmiðalisti (Lýsigögn)'!M$42:M$58,MATCH($C176,'Undirviðmiðalisti (Lýsigögn)'!$C$42:$C$58,0))),""),IFERROR(IF(INDEX('Undirviðmiðalisti (Lýsigögn)'!M$6:M$41,MATCH($C176,'Undirviðmiðalisti (Lýsigögn)'!$C$6:$C$41,0))="","",INDEX('Undirviðmiðalisti (Lýsigögn)'!M$6:M$41,MATCH($C176,'Undirviðmiðalisti (Lýsigögn)'!$C$6:$C$41,0))),IFERROR(IF(INDEX('Undirviðmiðalisti (Lýsigögn)'!M$42:M$58,MATCH($C176,'Undirviðmiðalisti (Lýsigögn)'!$C$42:$C$58,0))="","",INDEX('Undirviðmiðalisti (Lýsigögn)'!M$42:M$58,MATCH($C176,'Undirviðmiðalisti (Lýsigögn)'!$C$42:$C$58,0))),""))))</f>
        <v/>
      </c>
    </row>
    <row r="177" customFormat="false" ht="15" hidden="false" customHeight="true" outlineLevel="0" collapsed="false">
      <c r="A177" s="22" t="str">
        <f aca="false">IF($B177="","",ROW()-5)</f>
        <v/>
      </c>
      <c r="B177" s="15"/>
      <c r="C177" s="15"/>
      <c r="D177" s="16" t="str">
        <f aca="false">IF($C177="","",IF($G177="Einstaklingsbundið",IFERROR(IF(INDEX('Undirviðmiðalisti (Lýsigögn)'!$D$42:$D$58,MATCH($C177,'Undirviðmiðalisti (Lýsigögn)'!$C$42:$C$58,0))="","",INDEX('Undirviðmiðalisti (Lýsigögn)'!$D$42:$D$58,MATCH($C177,'Undirviðmiðalisti (Lýsigögn)'!$C$42:$C$58,0))),""),IFERROR(IF(INDEX('Undirviðmiðalisti (Lýsigögn)'!$D$6:$D$41,MATCH($C177,'Undirviðmiðalisti (Lýsigögn)'!$C$6:$C$41,0))="","",INDEX('Undirviðmiðalisti (Lýsigögn)'!$D$6:$D$41,MATCH($C177,'Undirviðmiðalisti (Lýsigögn)'!$C$6:$C$41,0))),IFERROR(IF(INDEX('Undirviðmiðalisti (Lýsigögn)'!$D$42:$D$58,MATCH($C177,'Undirviðmiðalisti (Lýsigögn)'!$C$42:$C$58,0))="","",INDEX('Undirviðmiðalisti (Lýsigögn)'!$D$42:$D$58,MATCH($C177,'Undirviðmiðalisti (Lýsigögn)'!$C$42:$C$58,0))),""))))</f>
        <v/>
      </c>
      <c r="E177" s="14"/>
      <c r="F177" s="23" t="str">
        <f aca="false">IF($C177="","",IF($G177="Einstaklingsbundið",IFERROR(IF(INDEX('Undirviðmiðalisti (Lýsigögn)'!$E$42:$E$58,MATCH($C177,'Undirviðmiðalisti (Lýsigögn)'!$C$42:$C$58,0))="","",INDEX('Undirviðmiðalisti (Lýsigögn)'!$E$42:$E$58,MATCH($C177,'Undirviðmiðalisti (Lýsigögn)'!$C$42:$C$58,0))),""),IFERROR(IF(INDEX('Undirviðmiðalisti (Lýsigögn)'!$E$6:$E$41,MATCH($C177,'Undirviðmiðalisti (Lýsigögn)'!$C$6:$C$41,0))="","",INDEX('Undirviðmiðalisti (Lýsigögn)'!$E$6:$E$41,MATCH($C177,'Undirviðmiðalisti (Lýsigögn)'!$C$6:$C$41,0))),IFERROR(IF(INDEX('Undirviðmiðalisti (Lýsigögn)'!$E$42:$E$58,MATCH($C177,'Undirviðmiðalisti (Lýsigögn)'!$C$42:$C$58,0))="","",INDEX('Undirviðmiðalisti (Lýsigögn)'!$E$42:$E$58,MATCH($C177,'Undirviðmiðalisti (Lýsigögn)'!$C$42:$C$58,0))),""))))</f>
        <v/>
      </c>
      <c r="G177" s="24" t="str">
        <f aca="false">IFERROR(IF(B177="","",INDEX(Viðmið!$B$6:$B$10,MATCH(B177,Viðmið!$C$6:$C$10,0))),"")</f>
        <v/>
      </c>
      <c r="H177" s="25" t="str">
        <f aca="false">IF(OR(E177="",F177=""),"",E177*KVARDI)</f>
        <v/>
      </c>
      <c r="I177" s="26" t="str">
        <f aca="false">IF(B177="","",IF(ROUND(SUMIF($B$6:$B$205,B177,$E$6:$E$205),4)=ROUND(IFERROR(INDEX(Viðmið!$E$6:$E$10,MATCH(B177,Viðmið!$C$6:$C$10,0)),-1),4),"✓","✗"))</f>
        <v/>
      </c>
      <c r="J177" s="16" t="str">
        <f aca="false">IF($C177="","",IF($G177="Einstaklingsbundið",IFERROR(IF(INDEX('Undirviðmiðalisti (Lýsigögn)'!F$42:F$58,MATCH($C177,'Undirviðmiðalisti (Lýsigögn)'!$C$42:$C$58,0))="","",INDEX('Undirviðmiðalisti (Lýsigögn)'!F$42:F$58,MATCH($C177,'Undirviðmiðalisti (Lýsigögn)'!$C$42:$C$58,0))),""),IFERROR(IF(INDEX('Undirviðmiðalisti (Lýsigögn)'!F$6:F$41,MATCH($C177,'Undirviðmiðalisti (Lýsigögn)'!$C$6:$C$41,0))="","",INDEX('Undirviðmiðalisti (Lýsigögn)'!F$6:F$41,MATCH($C177,'Undirviðmiðalisti (Lýsigögn)'!$C$6:$C$41,0))),IFERROR(IF(INDEX('Undirviðmiðalisti (Lýsigögn)'!F$42:F$58,MATCH($C177,'Undirviðmiðalisti (Lýsigögn)'!$C$42:$C$58,0))="","",INDEX('Undirviðmiðalisti (Lýsigögn)'!F$42:F$58,MATCH($C177,'Undirviðmiðalisti (Lýsigögn)'!$C$42:$C$58,0))),""))))</f>
        <v/>
      </c>
      <c r="K177" s="16" t="str">
        <f aca="false">IF($C177="","",IF($G177="Einstaklingsbundið",IFERROR(IF(INDEX('Undirviðmiðalisti (Lýsigögn)'!G$42:G$58,MATCH($C177,'Undirviðmiðalisti (Lýsigögn)'!$C$42:$C$58,0))="","",INDEX('Undirviðmiðalisti (Lýsigögn)'!G$42:G$58,MATCH($C177,'Undirviðmiðalisti (Lýsigögn)'!$C$42:$C$58,0))),""),IFERROR(IF(INDEX('Undirviðmiðalisti (Lýsigögn)'!G$6:G$41,MATCH($C177,'Undirviðmiðalisti (Lýsigögn)'!$C$6:$C$41,0))="","",INDEX('Undirviðmiðalisti (Lýsigögn)'!G$6:G$41,MATCH($C177,'Undirviðmiðalisti (Lýsigögn)'!$C$6:$C$41,0))),IFERROR(IF(INDEX('Undirviðmiðalisti (Lýsigögn)'!G$42:G$58,MATCH($C177,'Undirviðmiðalisti (Lýsigögn)'!$C$42:$C$58,0))="","",INDEX('Undirviðmiðalisti (Lýsigögn)'!G$42:G$58,MATCH($C177,'Undirviðmiðalisti (Lýsigögn)'!$C$42:$C$58,0))),""))))</f>
        <v/>
      </c>
      <c r="L177" s="16" t="str">
        <f aca="false">IF($C177="","",IF($G177="Einstaklingsbundið",IFERROR(IF(INDEX('Undirviðmiðalisti (Lýsigögn)'!H$42:H$58,MATCH($C177,'Undirviðmiðalisti (Lýsigögn)'!$C$42:$C$58,0))="","",INDEX('Undirviðmiðalisti (Lýsigögn)'!H$42:H$58,MATCH($C177,'Undirviðmiðalisti (Lýsigögn)'!$C$42:$C$58,0))),""),IFERROR(IF(INDEX('Undirviðmiðalisti (Lýsigögn)'!H$6:H$41,MATCH($C177,'Undirviðmiðalisti (Lýsigögn)'!$C$6:$C$41,0))="","",INDEX('Undirviðmiðalisti (Lýsigögn)'!H$6:H$41,MATCH($C177,'Undirviðmiðalisti (Lýsigögn)'!$C$6:$C$41,0))),IFERROR(IF(INDEX('Undirviðmiðalisti (Lýsigögn)'!H$42:H$58,MATCH($C177,'Undirviðmiðalisti (Lýsigögn)'!$C$42:$C$58,0))="","",INDEX('Undirviðmiðalisti (Lýsigögn)'!H$42:H$58,MATCH($C177,'Undirviðmiðalisti (Lýsigögn)'!$C$42:$C$58,0))),""))))</f>
        <v/>
      </c>
      <c r="M177" s="16" t="str">
        <f aca="false">IF($C177="","",IF($G177="Einstaklingsbundið",IFERROR(IF(INDEX('Undirviðmiðalisti (Lýsigögn)'!I$42:I$58,MATCH($C177,'Undirviðmiðalisti (Lýsigögn)'!$C$42:$C$58,0))="","",INDEX('Undirviðmiðalisti (Lýsigögn)'!I$42:I$58,MATCH($C177,'Undirviðmiðalisti (Lýsigögn)'!$C$42:$C$58,0))),""),IFERROR(IF(INDEX('Undirviðmiðalisti (Lýsigögn)'!I$6:I$41,MATCH($C177,'Undirviðmiðalisti (Lýsigögn)'!$C$6:$C$41,0))="","",INDEX('Undirviðmiðalisti (Lýsigögn)'!I$6:I$41,MATCH($C177,'Undirviðmiðalisti (Lýsigögn)'!$C$6:$C$41,0))),IFERROR(IF(INDEX('Undirviðmiðalisti (Lýsigögn)'!I$42:I$58,MATCH($C177,'Undirviðmiðalisti (Lýsigögn)'!$C$42:$C$58,0))="","",INDEX('Undirviðmiðalisti (Lýsigögn)'!I$42:I$58,MATCH($C177,'Undirviðmiðalisti (Lýsigögn)'!$C$42:$C$58,0))),""))))</f>
        <v/>
      </c>
      <c r="N177" s="16" t="str">
        <f aca="false">IF($C177="","",IF($G177="Einstaklingsbundið",IFERROR(IF(INDEX('Undirviðmiðalisti (Lýsigögn)'!J$42:J$58,MATCH($C177,'Undirviðmiðalisti (Lýsigögn)'!$C$42:$C$58,0))="","",INDEX('Undirviðmiðalisti (Lýsigögn)'!J$42:J$58,MATCH($C177,'Undirviðmiðalisti (Lýsigögn)'!$C$42:$C$58,0))),""),IFERROR(IF(INDEX('Undirviðmiðalisti (Lýsigögn)'!J$6:J$41,MATCH($C177,'Undirviðmiðalisti (Lýsigögn)'!$C$6:$C$41,0))="","",INDEX('Undirviðmiðalisti (Lýsigögn)'!J$6:J$41,MATCH($C177,'Undirviðmiðalisti (Lýsigögn)'!$C$6:$C$41,0))),IFERROR(IF(INDEX('Undirviðmiðalisti (Lýsigögn)'!J$42:J$58,MATCH($C177,'Undirviðmiðalisti (Lýsigögn)'!$C$42:$C$58,0))="","",INDEX('Undirviðmiðalisti (Lýsigögn)'!J$42:J$58,MATCH($C177,'Undirviðmiðalisti (Lýsigögn)'!$C$42:$C$58,0))),""))))</f>
        <v/>
      </c>
      <c r="O177" s="16" t="str">
        <f aca="false">IF($C177="","",IF($G177="Einstaklingsbundið",IFERROR(IF(INDEX('Undirviðmiðalisti (Lýsigögn)'!K$42:K$58,MATCH($C177,'Undirviðmiðalisti (Lýsigögn)'!$C$42:$C$58,0))="","",INDEX('Undirviðmiðalisti (Lýsigögn)'!K$42:K$58,MATCH($C177,'Undirviðmiðalisti (Lýsigögn)'!$C$42:$C$58,0))),""),IFERROR(IF(INDEX('Undirviðmiðalisti (Lýsigögn)'!K$6:K$41,MATCH($C177,'Undirviðmiðalisti (Lýsigögn)'!$C$6:$C$41,0))="","",INDEX('Undirviðmiðalisti (Lýsigögn)'!K$6:K$41,MATCH($C177,'Undirviðmiðalisti (Lýsigögn)'!$C$6:$C$41,0))),IFERROR(IF(INDEX('Undirviðmiðalisti (Lýsigögn)'!K$42:K$58,MATCH($C177,'Undirviðmiðalisti (Lýsigögn)'!$C$42:$C$58,0))="","",INDEX('Undirviðmiðalisti (Lýsigögn)'!K$42:K$58,MATCH($C177,'Undirviðmiðalisti (Lýsigögn)'!$C$42:$C$58,0))),""))))</f>
        <v/>
      </c>
      <c r="P177" s="16" t="str">
        <f aca="false">IF($C177="","",IF($G177="Einstaklingsbundið",IFERROR(IF(INDEX('Undirviðmiðalisti (Lýsigögn)'!L$42:L$58,MATCH($C177,'Undirviðmiðalisti (Lýsigögn)'!$C$42:$C$58,0))="","",INDEX('Undirviðmiðalisti (Lýsigögn)'!L$42:L$58,MATCH($C177,'Undirviðmiðalisti (Lýsigögn)'!$C$42:$C$58,0))),""),IFERROR(IF(INDEX('Undirviðmiðalisti (Lýsigögn)'!L$6:L$41,MATCH($C177,'Undirviðmiðalisti (Lýsigögn)'!$C$6:$C$41,0))="","",INDEX('Undirviðmiðalisti (Lýsigögn)'!L$6:L$41,MATCH($C177,'Undirviðmiðalisti (Lýsigögn)'!$C$6:$C$41,0))),IFERROR(IF(INDEX('Undirviðmiðalisti (Lýsigögn)'!L$42:L$58,MATCH($C177,'Undirviðmiðalisti (Lýsigögn)'!$C$42:$C$58,0))="","",INDEX('Undirviðmiðalisti (Lýsigögn)'!L$42:L$58,MATCH($C177,'Undirviðmiðalisti (Lýsigögn)'!$C$42:$C$58,0))),""))))</f>
        <v/>
      </c>
      <c r="Q177" s="16" t="str">
        <f aca="false">IF($C177="","",IF($G177="Einstaklingsbundið",IFERROR(IF(INDEX('Undirviðmiðalisti (Lýsigögn)'!M$42:M$58,MATCH($C177,'Undirviðmiðalisti (Lýsigögn)'!$C$42:$C$58,0))="","",INDEX('Undirviðmiðalisti (Lýsigögn)'!M$42:M$58,MATCH($C177,'Undirviðmiðalisti (Lýsigögn)'!$C$42:$C$58,0))),""),IFERROR(IF(INDEX('Undirviðmiðalisti (Lýsigögn)'!M$6:M$41,MATCH($C177,'Undirviðmiðalisti (Lýsigögn)'!$C$6:$C$41,0))="","",INDEX('Undirviðmiðalisti (Lýsigögn)'!M$6:M$41,MATCH($C177,'Undirviðmiðalisti (Lýsigögn)'!$C$6:$C$41,0))),IFERROR(IF(INDEX('Undirviðmiðalisti (Lýsigögn)'!M$42:M$58,MATCH($C177,'Undirviðmiðalisti (Lýsigögn)'!$C$42:$C$58,0))="","",INDEX('Undirviðmiðalisti (Lýsigögn)'!M$42:M$58,MATCH($C177,'Undirviðmiðalisti (Lýsigögn)'!$C$42:$C$58,0))),""))))</f>
        <v/>
      </c>
    </row>
    <row r="178" customFormat="false" ht="15" hidden="false" customHeight="true" outlineLevel="0" collapsed="false">
      <c r="A178" s="22" t="str">
        <f aca="false">IF($B178="","",ROW()-5)</f>
        <v/>
      </c>
      <c r="B178" s="15"/>
      <c r="C178" s="15"/>
      <c r="D178" s="16" t="str">
        <f aca="false">IF($C178="","",IF($G178="Einstaklingsbundið",IFERROR(IF(INDEX('Undirviðmiðalisti (Lýsigögn)'!$D$42:$D$58,MATCH($C178,'Undirviðmiðalisti (Lýsigögn)'!$C$42:$C$58,0))="","",INDEX('Undirviðmiðalisti (Lýsigögn)'!$D$42:$D$58,MATCH($C178,'Undirviðmiðalisti (Lýsigögn)'!$C$42:$C$58,0))),""),IFERROR(IF(INDEX('Undirviðmiðalisti (Lýsigögn)'!$D$6:$D$41,MATCH($C178,'Undirviðmiðalisti (Lýsigögn)'!$C$6:$C$41,0))="","",INDEX('Undirviðmiðalisti (Lýsigögn)'!$D$6:$D$41,MATCH($C178,'Undirviðmiðalisti (Lýsigögn)'!$C$6:$C$41,0))),IFERROR(IF(INDEX('Undirviðmiðalisti (Lýsigögn)'!$D$42:$D$58,MATCH($C178,'Undirviðmiðalisti (Lýsigögn)'!$C$42:$C$58,0))="","",INDEX('Undirviðmiðalisti (Lýsigögn)'!$D$42:$D$58,MATCH($C178,'Undirviðmiðalisti (Lýsigögn)'!$C$42:$C$58,0))),""))))</f>
        <v/>
      </c>
      <c r="E178" s="14"/>
      <c r="F178" s="23" t="str">
        <f aca="false">IF($C178="","",IF($G178="Einstaklingsbundið",IFERROR(IF(INDEX('Undirviðmiðalisti (Lýsigögn)'!$E$42:$E$58,MATCH($C178,'Undirviðmiðalisti (Lýsigögn)'!$C$42:$C$58,0))="","",INDEX('Undirviðmiðalisti (Lýsigögn)'!$E$42:$E$58,MATCH($C178,'Undirviðmiðalisti (Lýsigögn)'!$C$42:$C$58,0))),""),IFERROR(IF(INDEX('Undirviðmiðalisti (Lýsigögn)'!$E$6:$E$41,MATCH($C178,'Undirviðmiðalisti (Lýsigögn)'!$C$6:$C$41,0))="","",INDEX('Undirviðmiðalisti (Lýsigögn)'!$E$6:$E$41,MATCH($C178,'Undirviðmiðalisti (Lýsigögn)'!$C$6:$C$41,0))),IFERROR(IF(INDEX('Undirviðmiðalisti (Lýsigögn)'!$E$42:$E$58,MATCH($C178,'Undirviðmiðalisti (Lýsigögn)'!$C$42:$C$58,0))="","",INDEX('Undirviðmiðalisti (Lýsigögn)'!$E$42:$E$58,MATCH($C178,'Undirviðmiðalisti (Lýsigögn)'!$C$42:$C$58,0))),""))))</f>
        <v/>
      </c>
      <c r="G178" s="24" t="str">
        <f aca="false">IFERROR(IF(B178="","",INDEX(Viðmið!$B$6:$B$10,MATCH(B178,Viðmið!$C$6:$C$10,0))),"")</f>
        <v/>
      </c>
      <c r="H178" s="25" t="str">
        <f aca="false">IF(OR(E178="",F178=""),"",E178*KVARDI)</f>
        <v/>
      </c>
      <c r="I178" s="26" t="str">
        <f aca="false">IF(B178="","",IF(ROUND(SUMIF($B$6:$B$205,B178,$E$6:$E$205),4)=ROUND(IFERROR(INDEX(Viðmið!$E$6:$E$10,MATCH(B178,Viðmið!$C$6:$C$10,0)),-1),4),"✓","✗"))</f>
        <v/>
      </c>
      <c r="J178" s="16" t="str">
        <f aca="false">IF($C178="","",IF($G178="Einstaklingsbundið",IFERROR(IF(INDEX('Undirviðmiðalisti (Lýsigögn)'!F$42:F$58,MATCH($C178,'Undirviðmiðalisti (Lýsigögn)'!$C$42:$C$58,0))="","",INDEX('Undirviðmiðalisti (Lýsigögn)'!F$42:F$58,MATCH($C178,'Undirviðmiðalisti (Lýsigögn)'!$C$42:$C$58,0))),""),IFERROR(IF(INDEX('Undirviðmiðalisti (Lýsigögn)'!F$6:F$41,MATCH($C178,'Undirviðmiðalisti (Lýsigögn)'!$C$6:$C$41,0))="","",INDEX('Undirviðmiðalisti (Lýsigögn)'!F$6:F$41,MATCH($C178,'Undirviðmiðalisti (Lýsigögn)'!$C$6:$C$41,0))),IFERROR(IF(INDEX('Undirviðmiðalisti (Lýsigögn)'!F$42:F$58,MATCH($C178,'Undirviðmiðalisti (Lýsigögn)'!$C$42:$C$58,0))="","",INDEX('Undirviðmiðalisti (Lýsigögn)'!F$42:F$58,MATCH($C178,'Undirviðmiðalisti (Lýsigögn)'!$C$42:$C$58,0))),""))))</f>
        <v/>
      </c>
      <c r="K178" s="16" t="str">
        <f aca="false">IF($C178="","",IF($G178="Einstaklingsbundið",IFERROR(IF(INDEX('Undirviðmiðalisti (Lýsigögn)'!G$42:G$58,MATCH($C178,'Undirviðmiðalisti (Lýsigögn)'!$C$42:$C$58,0))="","",INDEX('Undirviðmiðalisti (Lýsigögn)'!G$42:G$58,MATCH($C178,'Undirviðmiðalisti (Lýsigögn)'!$C$42:$C$58,0))),""),IFERROR(IF(INDEX('Undirviðmiðalisti (Lýsigögn)'!G$6:G$41,MATCH($C178,'Undirviðmiðalisti (Lýsigögn)'!$C$6:$C$41,0))="","",INDEX('Undirviðmiðalisti (Lýsigögn)'!G$6:G$41,MATCH($C178,'Undirviðmiðalisti (Lýsigögn)'!$C$6:$C$41,0))),IFERROR(IF(INDEX('Undirviðmiðalisti (Lýsigögn)'!G$42:G$58,MATCH($C178,'Undirviðmiðalisti (Lýsigögn)'!$C$42:$C$58,0))="","",INDEX('Undirviðmiðalisti (Lýsigögn)'!G$42:G$58,MATCH($C178,'Undirviðmiðalisti (Lýsigögn)'!$C$42:$C$58,0))),""))))</f>
        <v/>
      </c>
      <c r="L178" s="16" t="str">
        <f aca="false">IF($C178="","",IF($G178="Einstaklingsbundið",IFERROR(IF(INDEX('Undirviðmiðalisti (Lýsigögn)'!H$42:H$58,MATCH($C178,'Undirviðmiðalisti (Lýsigögn)'!$C$42:$C$58,0))="","",INDEX('Undirviðmiðalisti (Lýsigögn)'!H$42:H$58,MATCH($C178,'Undirviðmiðalisti (Lýsigögn)'!$C$42:$C$58,0))),""),IFERROR(IF(INDEX('Undirviðmiðalisti (Lýsigögn)'!H$6:H$41,MATCH($C178,'Undirviðmiðalisti (Lýsigögn)'!$C$6:$C$41,0))="","",INDEX('Undirviðmiðalisti (Lýsigögn)'!H$6:H$41,MATCH($C178,'Undirviðmiðalisti (Lýsigögn)'!$C$6:$C$41,0))),IFERROR(IF(INDEX('Undirviðmiðalisti (Lýsigögn)'!H$42:H$58,MATCH($C178,'Undirviðmiðalisti (Lýsigögn)'!$C$42:$C$58,0))="","",INDEX('Undirviðmiðalisti (Lýsigögn)'!H$42:H$58,MATCH($C178,'Undirviðmiðalisti (Lýsigögn)'!$C$42:$C$58,0))),""))))</f>
        <v/>
      </c>
      <c r="M178" s="16" t="str">
        <f aca="false">IF($C178="","",IF($G178="Einstaklingsbundið",IFERROR(IF(INDEX('Undirviðmiðalisti (Lýsigögn)'!I$42:I$58,MATCH($C178,'Undirviðmiðalisti (Lýsigögn)'!$C$42:$C$58,0))="","",INDEX('Undirviðmiðalisti (Lýsigögn)'!I$42:I$58,MATCH($C178,'Undirviðmiðalisti (Lýsigögn)'!$C$42:$C$58,0))),""),IFERROR(IF(INDEX('Undirviðmiðalisti (Lýsigögn)'!I$6:I$41,MATCH($C178,'Undirviðmiðalisti (Lýsigögn)'!$C$6:$C$41,0))="","",INDEX('Undirviðmiðalisti (Lýsigögn)'!I$6:I$41,MATCH($C178,'Undirviðmiðalisti (Lýsigögn)'!$C$6:$C$41,0))),IFERROR(IF(INDEX('Undirviðmiðalisti (Lýsigögn)'!I$42:I$58,MATCH($C178,'Undirviðmiðalisti (Lýsigögn)'!$C$42:$C$58,0))="","",INDEX('Undirviðmiðalisti (Lýsigögn)'!I$42:I$58,MATCH($C178,'Undirviðmiðalisti (Lýsigögn)'!$C$42:$C$58,0))),""))))</f>
        <v/>
      </c>
      <c r="N178" s="16" t="str">
        <f aca="false">IF($C178="","",IF($G178="Einstaklingsbundið",IFERROR(IF(INDEX('Undirviðmiðalisti (Lýsigögn)'!J$42:J$58,MATCH($C178,'Undirviðmiðalisti (Lýsigögn)'!$C$42:$C$58,0))="","",INDEX('Undirviðmiðalisti (Lýsigögn)'!J$42:J$58,MATCH($C178,'Undirviðmiðalisti (Lýsigögn)'!$C$42:$C$58,0))),""),IFERROR(IF(INDEX('Undirviðmiðalisti (Lýsigögn)'!J$6:J$41,MATCH($C178,'Undirviðmiðalisti (Lýsigögn)'!$C$6:$C$41,0))="","",INDEX('Undirviðmiðalisti (Lýsigögn)'!J$6:J$41,MATCH($C178,'Undirviðmiðalisti (Lýsigögn)'!$C$6:$C$41,0))),IFERROR(IF(INDEX('Undirviðmiðalisti (Lýsigögn)'!J$42:J$58,MATCH($C178,'Undirviðmiðalisti (Lýsigögn)'!$C$42:$C$58,0))="","",INDEX('Undirviðmiðalisti (Lýsigögn)'!J$42:J$58,MATCH($C178,'Undirviðmiðalisti (Lýsigögn)'!$C$42:$C$58,0))),""))))</f>
        <v/>
      </c>
      <c r="O178" s="16" t="str">
        <f aca="false">IF($C178="","",IF($G178="Einstaklingsbundið",IFERROR(IF(INDEX('Undirviðmiðalisti (Lýsigögn)'!K$42:K$58,MATCH($C178,'Undirviðmiðalisti (Lýsigögn)'!$C$42:$C$58,0))="","",INDEX('Undirviðmiðalisti (Lýsigögn)'!K$42:K$58,MATCH($C178,'Undirviðmiðalisti (Lýsigögn)'!$C$42:$C$58,0))),""),IFERROR(IF(INDEX('Undirviðmiðalisti (Lýsigögn)'!K$6:K$41,MATCH($C178,'Undirviðmiðalisti (Lýsigögn)'!$C$6:$C$41,0))="","",INDEX('Undirviðmiðalisti (Lýsigögn)'!K$6:K$41,MATCH($C178,'Undirviðmiðalisti (Lýsigögn)'!$C$6:$C$41,0))),IFERROR(IF(INDEX('Undirviðmiðalisti (Lýsigögn)'!K$42:K$58,MATCH($C178,'Undirviðmiðalisti (Lýsigögn)'!$C$42:$C$58,0))="","",INDEX('Undirviðmiðalisti (Lýsigögn)'!K$42:K$58,MATCH($C178,'Undirviðmiðalisti (Lýsigögn)'!$C$42:$C$58,0))),""))))</f>
        <v/>
      </c>
      <c r="P178" s="16" t="str">
        <f aca="false">IF($C178="","",IF($G178="Einstaklingsbundið",IFERROR(IF(INDEX('Undirviðmiðalisti (Lýsigögn)'!L$42:L$58,MATCH($C178,'Undirviðmiðalisti (Lýsigögn)'!$C$42:$C$58,0))="","",INDEX('Undirviðmiðalisti (Lýsigögn)'!L$42:L$58,MATCH($C178,'Undirviðmiðalisti (Lýsigögn)'!$C$42:$C$58,0))),""),IFERROR(IF(INDEX('Undirviðmiðalisti (Lýsigögn)'!L$6:L$41,MATCH($C178,'Undirviðmiðalisti (Lýsigögn)'!$C$6:$C$41,0))="","",INDEX('Undirviðmiðalisti (Lýsigögn)'!L$6:L$41,MATCH($C178,'Undirviðmiðalisti (Lýsigögn)'!$C$6:$C$41,0))),IFERROR(IF(INDEX('Undirviðmiðalisti (Lýsigögn)'!L$42:L$58,MATCH($C178,'Undirviðmiðalisti (Lýsigögn)'!$C$42:$C$58,0))="","",INDEX('Undirviðmiðalisti (Lýsigögn)'!L$42:L$58,MATCH($C178,'Undirviðmiðalisti (Lýsigögn)'!$C$42:$C$58,0))),""))))</f>
        <v/>
      </c>
      <c r="Q178" s="16" t="str">
        <f aca="false">IF($C178="","",IF($G178="Einstaklingsbundið",IFERROR(IF(INDEX('Undirviðmiðalisti (Lýsigögn)'!M$42:M$58,MATCH($C178,'Undirviðmiðalisti (Lýsigögn)'!$C$42:$C$58,0))="","",INDEX('Undirviðmiðalisti (Lýsigögn)'!M$42:M$58,MATCH($C178,'Undirviðmiðalisti (Lýsigögn)'!$C$42:$C$58,0))),""),IFERROR(IF(INDEX('Undirviðmiðalisti (Lýsigögn)'!M$6:M$41,MATCH($C178,'Undirviðmiðalisti (Lýsigögn)'!$C$6:$C$41,0))="","",INDEX('Undirviðmiðalisti (Lýsigögn)'!M$6:M$41,MATCH($C178,'Undirviðmiðalisti (Lýsigögn)'!$C$6:$C$41,0))),IFERROR(IF(INDEX('Undirviðmiðalisti (Lýsigögn)'!M$42:M$58,MATCH($C178,'Undirviðmiðalisti (Lýsigögn)'!$C$42:$C$58,0))="","",INDEX('Undirviðmiðalisti (Lýsigögn)'!M$42:M$58,MATCH($C178,'Undirviðmiðalisti (Lýsigögn)'!$C$42:$C$58,0))),""))))</f>
        <v/>
      </c>
    </row>
    <row r="179" customFormat="false" ht="15" hidden="false" customHeight="true" outlineLevel="0" collapsed="false">
      <c r="A179" s="22" t="str">
        <f aca="false">IF($B179="","",ROW()-5)</f>
        <v/>
      </c>
      <c r="B179" s="15"/>
      <c r="C179" s="15"/>
      <c r="D179" s="16" t="str">
        <f aca="false">IF($C179="","",IF($G179="Einstaklingsbundið",IFERROR(IF(INDEX('Undirviðmiðalisti (Lýsigögn)'!$D$42:$D$58,MATCH($C179,'Undirviðmiðalisti (Lýsigögn)'!$C$42:$C$58,0))="","",INDEX('Undirviðmiðalisti (Lýsigögn)'!$D$42:$D$58,MATCH($C179,'Undirviðmiðalisti (Lýsigögn)'!$C$42:$C$58,0))),""),IFERROR(IF(INDEX('Undirviðmiðalisti (Lýsigögn)'!$D$6:$D$41,MATCH($C179,'Undirviðmiðalisti (Lýsigögn)'!$C$6:$C$41,0))="","",INDEX('Undirviðmiðalisti (Lýsigögn)'!$D$6:$D$41,MATCH($C179,'Undirviðmiðalisti (Lýsigögn)'!$C$6:$C$41,0))),IFERROR(IF(INDEX('Undirviðmiðalisti (Lýsigögn)'!$D$42:$D$58,MATCH($C179,'Undirviðmiðalisti (Lýsigögn)'!$C$42:$C$58,0))="","",INDEX('Undirviðmiðalisti (Lýsigögn)'!$D$42:$D$58,MATCH($C179,'Undirviðmiðalisti (Lýsigögn)'!$C$42:$C$58,0))),""))))</f>
        <v/>
      </c>
      <c r="E179" s="14"/>
      <c r="F179" s="23" t="str">
        <f aca="false">IF($C179="","",IF($G179="Einstaklingsbundið",IFERROR(IF(INDEX('Undirviðmiðalisti (Lýsigögn)'!$E$42:$E$58,MATCH($C179,'Undirviðmiðalisti (Lýsigögn)'!$C$42:$C$58,0))="","",INDEX('Undirviðmiðalisti (Lýsigögn)'!$E$42:$E$58,MATCH($C179,'Undirviðmiðalisti (Lýsigögn)'!$C$42:$C$58,0))),""),IFERROR(IF(INDEX('Undirviðmiðalisti (Lýsigögn)'!$E$6:$E$41,MATCH($C179,'Undirviðmiðalisti (Lýsigögn)'!$C$6:$C$41,0))="","",INDEX('Undirviðmiðalisti (Lýsigögn)'!$E$6:$E$41,MATCH($C179,'Undirviðmiðalisti (Lýsigögn)'!$C$6:$C$41,0))),IFERROR(IF(INDEX('Undirviðmiðalisti (Lýsigögn)'!$E$42:$E$58,MATCH($C179,'Undirviðmiðalisti (Lýsigögn)'!$C$42:$C$58,0))="","",INDEX('Undirviðmiðalisti (Lýsigögn)'!$E$42:$E$58,MATCH($C179,'Undirviðmiðalisti (Lýsigögn)'!$C$42:$C$58,0))),""))))</f>
        <v/>
      </c>
      <c r="G179" s="24" t="str">
        <f aca="false">IFERROR(IF(B179="","",INDEX(Viðmið!$B$6:$B$10,MATCH(B179,Viðmið!$C$6:$C$10,0))),"")</f>
        <v/>
      </c>
      <c r="H179" s="25" t="str">
        <f aca="false">IF(OR(E179="",F179=""),"",E179*KVARDI)</f>
        <v/>
      </c>
      <c r="I179" s="26" t="str">
        <f aca="false">IF(B179="","",IF(ROUND(SUMIF($B$6:$B$205,B179,$E$6:$E$205),4)=ROUND(IFERROR(INDEX(Viðmið!$E$6:$E$10,MATCH(B179,Viðmið!$C$6:$C$10,0)),-1),4),"✓","✗"))</f>
        <v/>
      </c>
      <c r="J179" s="16" t="str">
        <f aca="false">IF($C179="","",IF($G179="Einstaklingsbundið",IFERROR(IF(INDEX('Undirviðmiðalisti (Lýsigögn)'!F$42:F$58,MATCH($C179,'Undirviðmiðalisti (Lýsigögn)'!$C$42:$C$58,0))="","",INDEX('Undirviðmiðalisti (Lýsigögn)'!F$42:F$58,MATCH($C179,'Undirviðmiðalisti (Lýsigögn)'!$C$42:$C$58,0))),""),IFERROR(IF(INDEX('Undirviðmiðalisti (Lýsigögn)'!F$6:F$41,MATCH($C179,'Undirviðmiðalisti (Lýsigögn)'!$C$6:$C$41,0))="","",INDEX('Undirviðmiðalisti (Lýsigögn)'!F$6:F$41,MATCH($C179,'Undirviðmiðalisti (Lýsigögn)'!$C$6:$C$41,0))),IFERROR(IF(INDEX('Undirviðmiðalisti (Lýsigögn)'!F$42:F$58,MATCH($C179,'Undirviðmiðalisti (Lýsigögn)'!$C$42:$C$58,0))="","",INDEX('Undirviðmiðalisti (Lýsigögn)'!F$42:F$58,MATCH($C179,'Undirviðmiðalisti (Lýsigögn)'!$C$42:$C$58,0))),""))))</f>
        <v/>
      </c>
      <c r="K179" s="16" t="str">
        <f aca="false">IF($C179="","",IF($G179="Einstaklingsbundið",IFERROR(IF(INDEX('Undirviðmiðalisti (Lýsigögn)'!G$42:G$58,MATCH($C179,'Undirviðmiðalisti (Lýsigögn)'!$C$42:$C$58,0))="","",INDEX('Undirviðmiðalisti (Lýsigögn)'!G$42:G$58,MATCH($C179,'Undirviðmiðalisti (Lýsigögn)'!$C$42:$C$58,0))),""),IFERROR(IF(INDEX('Undirviðmiðalisti (Lýsigögn)'!G$6:G$41,MATCH($C179,'Undirviðmiðalisti (Lýsigögn)'!$C$6:$C$41,0))="","",INDEX('Undirviðmiðalisti (Lýsigögn)'!G$6:G$41,MATCH($C179,'Undirviðmiðalisti (Lýsigögn)'!$C$6:$C$41,0))),IFERROR(IF(INDEX('Undirviðmiðalisti (Lýsigögn)'!G$42:G$58,MATCH($C179,'Undirviðmiðalisti (Lýsigögn)'!$C$42:$C$58,0))="","",INDEX('Undirviðmiðalisti (Lýsigögn)'!G$42:G$58,MATCH($C179,'Undirviðmiðalisti (Lýsigögn)'!$C$42:$C$58,0))),""))))</f>
        <v/>
      </c>
      <c r="L179" s="16" t="str">
        <f aca="false">IF($C179="","",IF($G179="Einstaklingsbundið",IFERROR(IF(INDEX('Undirviðmiðalisti (Lýsigögn)'!H$42:H$58,MATCH($C179,'Undirviðmiðalisti (Lýsigögn)'!$C$42:$C$58,0))="","",INDEX('Undirviðmiðalisti (Lýsigögn)'!H$42:H$58,MATCH($C179,'Undirviðmiðalisti (Lýsigögn)'!$C$42:$C$58,0))),""),IFERROR(IF(INDEX('Undirviðmiðalisti (Lýsigögn)'!H$6:H$41,MATCH($C179,'Undirviðmiðalisti (Lýsigögn)'!$C$6:$C$41,0))="","",INDEX('Undirviðmiðalisti (Lýsigögn)'!H$6:H$41,MATCH($C179,'Undirviðmiðalisti (Lýsigögn)'!$C$6:$C$41,0))),IFERROR(IF(INDEX('Undirviðmiðalisti (Lýsigögn)'!H$42:H$58,MATCH($C179,'Undirviðmiðalisti (Lýsigögn)'!$C$42:$C$58,0))="","",INDEX('Undirviðmiðalisti (Lýsigögn)'!H$42:H$58,MATCH($C179,'Undirviðmiðalisti (Lýsigögn)'!$C$42:$C$58,0))),""))))</f>
        <v/>
      </c>
      <c r="M179" s="16" t="str">
        <f aca="false">IF($C179="","",IF($G179="Einstaklingsbundið",IFERROR(IF(INDEX('Undirviðmiðalisti (Lýsigögn)'!I$42:I$58,MATCH($C179,'Undirviðmiðalisti (Lýsigögn)'!$C$42:$C$58,0))="","",INDEX('Undirviðmiðalisti (Lýsigögn)'!I$42:I$58,MATCH($C179,'Undirviðmiðalisti (Lýsigögn)'!$C$42:$C$58,0))),""),IFERROR(IF(INDEX('Undirviðmiðalisti (Lýsigögn)'!I$6:I$41,MATCH($C179,'Undirviðmiðalisti (Lýsigögn)'!$C$6:$C$41,0))="","",INDEX('Undirviðmiðalisti (Lýsigögn)'!I$6:I$41,MATCH($C179,'Undirviðmiðalisti (Lýsigögn)'!$C$6:$C$41,0))),IFERROR(IF(INDEX('Undirviðmiðalisti (Lýsigögn)'!I$42:I$58,MATCH($C179,'Undirviðmiðalisti (Lýsigögn)'!$C$42:$C$58,0))="","",INDEX('Undirviðmiðalisti (Lýsigögn)'!I$42:I$58,MATCH($C179,'Undirviðmiðalisti (Lýsigögn)'!$C$42:$C$58,0))),""))))</f>
        <v/>
      </c>
      <c r="N179" s="16" t="str">
        <f aca="false">IF($C179="","",IF($G179="Einstaklingsbundið",IFERROR(IF(INDEX('Undirviðmiðalisti (Lýsigögn)'!J$42:J$58,MATCH($C179,'Undirviðmiðalisti (Lýsigögn)'!$C$42:$C$58,0))="","",INDEX('Undirviðmiðalisti (Lýsigögn)'!J$42:J$58,MATCH($C179,'Undirviðmiðalisti (Lýsigögn)'!$C$42:$C$58,0))),""),IFERROR(IF(INDEX('Undirviðmiðalisti (Lýsigögn)'!J$6:J$41,MATCH($C179,'Undirviðmiðalisti (Lýsigögn)'!$C$6:$C$41,0))="","",INDEX('Undirviðmiðalisti (Lýsigögn)'!J$6:J$41,MATCH($C179,'Undirviðmiðalisti (Lýsigögn)'!$C$6:$C$41,0))),IFERROR(IF(INDEX('Undirviðmiðalisti (Lýsigögn)'!J$42:J$58,MATCH($C179,'Undirviðmiðalisti (Lýsigögn)'!$C$42:$C$58,0))="","",INDEX('Undirviðmiðalisti (Lýsigögn)'!J$42:J$58,MATCH($C179,'Undirviðmiðalisti (Lýsigögn)'!$C$42:$C$58,0))),""))))</f>
        <v/>
      </c>
      <c r="O179" s="16" t="str">
        <f aca="false">IF($C179="","",IF($G179="Einstaklingsbundið",IFERROR(IF(INDEX('Undirviðmiðalisti (Lýsigögn)'!K$42:K$58,MATCH($C179,'Undirviðmiðalisti (Lýsigögn)'!$C$42:$C$58,0))="","",INDEX('Undirviðmiðalisti (Lýsigögn)'!K$42:K$58,MATCH($C179,'Undirviðmiðalisti (Lýsigögn)'!$C$42:$C$58,0))),""),IFERROR(IF(INDEX('Undirviðmiðalisti (Lýsigögn)'!K$6:K$41,MATCH($C179,'Undirviðmiðalisti (Lýsigögn)'!$C$6:$C$41,0))="","",INDEX('Undirviðmiðalisti (Lýsigögn)'!K$6:K$41,MATCH($C179,'Undirviðmiðalisti (Lýsigögn)'!$C$6:$C$41,0))),IFERROR(IF(INDEX('Undirviðmiðalisti (Lýsigögn)'!K$42:K$58,MATCH($C179,'Undirviðmiðalisti (Lýsigögn)'!$C$42:$C$58,0))="","",INDEX('Undirviðmiðalisti (Lýsigögn)'!K$42:K$58,MATCH($C179,'Undirviðmiðalisti (Lýsigögn)'!$C$42:$C$58,0))),""))))</f>
        <v/>
      </c>
      <c r="P179" s="16" t="str">
        <f aca="false">IF($C179="","",IF($G179="Einstaklingsbundið",IFERROR(IF(INDEX('Undirviðmiðalisti (Lýsigögn)'!L$42:L$58,MATCH($C179,'Undirviðmiðalisti (Lýsigögn)'!$C$42:$C$58,0))="","",INDEX('Undirviðmiðalisti (Lýsigögn)'!L$42:L$58,MATCH($C179,'Undirviðmiðalisti (Lýsigögn)'!$C$42:$C$58,0))),""),IFERROR(IF(INDEX('Undirviðmiðalisti (Lýsigögn)'!L$6:L$41,MATCH($C179,'Undirviðmiðalisti (Lýsigögn)'!$C$6:$C$41,0))="","",INDEX('Undirviðmiðalisti (Lýsigögn)'!L$6:L$41,MATCH($C179,'Undirviðmiðalisti (Lýsigögn)'!$C$6:$C$41,0))),IFERROR(IF(INDEX('Undirviðmiðalisti (Lýsigögn)'!L$42:L$58,MATCH($C179,'Undirviðmiðalisti (Lýsigögn)'!$C$42:$C$58,0))="","",INDEX('Undirviðmiðalisti (Lýsigögn)'!L$42:L$58,MATCH($C179,'Undirviðmiðalisti (Lýsigögn)'!$C$42:$C$58,0))),""))))</f>
        <v/>
      </c>
      <c r="Q179" s="16" t="str">
        <f aca="false">IF($C179="","",IF($G179="Einstaklingsbundið",IFERROR(IF(INDEX('Undirviðmiðalisti (Lýsigögn)'!M$42:M$58,MATCH($C179,'Undirviðmiðalisti (Lýsigögn)'!$C$42:$C$58,0))="","",INDEX('Undirviðmiðalisti (Lýsigögn)'!M$42:M$58,MATCH($C179,'Undirviðmiðalisti (Lýsigögn)'!$C$42:$C$58,0))),""),IFERROR(IF(INDEX('Undirviðmiðalisti (Lýsigögn)'!M$6:M$41,MATCH($C179,'Undirviðmiðalisti (Lýsigögn)'!$C$6:$C$41,0))="","",INDEX('Undirviðmiðalisti (Lýsigögn)'!M$6:M$41,MATCH($C179,'Undirviðmiðalisti (Lýsigögn)'!$C$6:$C$41,0))),IFERROR(IF(INDEX('Undirviðmiðalisti (Lýsigögn)'!M$42:M$58,MATCH($C179,'Undirviðmiðalisti (Lýsigögn)'!$C$42:$C$58,0))="","",INDEX('Undirviðmiðalisti (Lýsigögn)'!M$42:M$58,MATCH($C179,'Undirviðmiðalisti (Lýsigögn)'!$C$42:$C$58,0))),""))))</f>
        <v/>
      </c>
    </row>
    <row r="180" customFormat="false" ht="15" hidden="false" customHeight="true" outlineLevel="0" collapsed="false">
      <c r="A180" s="22" t="str">
        <f aca="false">IF($B180="","",ROW()-5)</f>
        <v/>
      </c>
      <c r="B180" s="15"/>
      <c r="C180" s="15"/>
      <c r="D180" s="16" t="str">
        <f aca="false">IF($C180="","",IF($G180="Einstaklingsbundið",IFERROR(IF(INDEX('Undirviðmiðalisti (Lýsigögn)'!$D$42:$D$58,MATCH($C180,'Undirviðmiðalisti (Lýsigögn)'!$C$42:$C$58,0))="","",INDEX('Undirviðmiðalisti (Lýsigögn)'!$D$42:$D$58,MATCH($C180,'Undirviðmiðalisti (Lýsigögn)'!$C$42:$C$58,0))),""),IFERROR(IF(INDEX('Undirviðmiðalisti (Lýsigögn)'!$D$6:$D$41,MATCH($C180,'Undirviðmiðalisti (Lýsigögn)'!$C$6:$C$41,0))="","",INDEX('Undirviðmiðalisti (Lýsigögn)'!$D$6:$D$41,MATCH($C180,'Undirviðmiðalisti (Lýsigögn)'!$C$6:$C$41,0))),IFERROR(IF(INDEX('Undirviðmiðalisti (Lýsigögn)'!$D$42:$D$58,MATCH($C180,'Undirviðmiðalisti (Lýsigögn)'!$C$42:$C$58,0))="","",INDEX('Undirviðmiðalisti (Lýsigögn)'!$D$42:$D$58,MATCH($C180,'Undirviðmiðalisti (Lýsigögn)'!$C$42:$C$58,0))),""))))</f>
        <v/>
      </c>
      <c r="E180" s="14"/>
      <c r="F180" s="23" t="str">
        <f aca="false">IF($C180="","",IF($G180="Einstaklingsbundið",IFERROR(IF(INDEX('Undirviðmiðalisti (Lýsigögn)'!$E$42:$E$58,MATCH($C180,'Undirviðmiðalisti (Lýsigögn)'!$C$42:$C$58,0))="","",INDEX('Undirviðmiðalisti (Lýsigögn)'!$E$42:$E$58,MATCH($C180,'Undirviðmiðalisti (Lýsigögn)'!$C$42:$C$58,0))),""),IFERROR(IF(INDEX('Undirviðmiðalisti (Lýsigögn)'!$E$6:$E$41,MATCH($C180,'Undirviðmiðalisti (Lýsigögn)'!$C$6:$C$41,0))="","",INDEX('Undirviðmiðalisti (Lýsigögn)'!$E$6:$E$41,MATCH($C180,'Undirviðmiðalisti (Lýsigögn)'!$C$6:$C$41,0))),IFERROR(IF(INDEX('Undirviðmiðalisti (Lýsigögn)'!$E$42:$E$58,MATCH($C180,'Undirviðmiðalisti (Lýsigögn)'!$C$42:$C$58,0))="","",INDEX('Undirviðmiðalisti (Lýsigögn)'!$E$42:$E$58,MATCH($C180,'Undirviðmiðalisti (Lýsigögn)'!$C$42:$C$58,0))),""))))</f>
        <v/>
      </c>
      <c r="G180" s="24" t="str">
        <f aca="false">IFERROR(IF(B180="","",INDEX(Viðmið!$B$6:$B$10,MATCH(B180,Viðmið!$C$6:$C$10,0))),"")</f>
        <v/>
      </c>
      <c r="H180" s="25" t="str">
        <f aca="false">IF(OR(E180="",F180=""),"",E180*KVARDI)</f>
        <v/>
      </c>
      <c r="I180" s="26" t="str">
        <f aca="false">IF(B180="","",IF(ROUND(SUMIF($B$6:$B$205,B180,$E$6:$E$205),4)=ROUND(IFERROR(INDEX(Viðmið!$E$6:$E$10,MATCH(B180,Viðmið!$C$6:$C$10,0)),-1),4),"✓","✗"))</f>
        <v/>
      </c>
      <c r="J180" s="16" t="str">
        <f aca="false">IF($C180="","",IF($G180="Einstaklingsbundið",IFERROR(IF(INDEX('Undirviðmiðalisti (Lýsigögn)'!F$42:F$58,MATCH($C180,'Undirviðmiðalisti (Lýsigögn)'!$C$42:$C$58,0))="","",INDEX('Undirviðmiðalisti (Lýsigögn)'!F$42:F$58,MATCH($C180,'Undirviðmiðalisti (Lýsigögn)'!$C$42:$C$58,0))),""),IFERROR(IF(INDEX('Undirviðmiðalisti (Lýsigögn)'!F$6:F$41,MATCH($C180,'Undirviðmiðalisti (Lýsigögn)'!$C$6:$C$41,0))="","",INDEX('Undirviðmiðalisti (Lýsigögn)'!F$6:F$41,MATCH($C180,'Undirviðmiðalisti (Lýsigögn)'!$C$6:$C$41,0))),IFERROR(IF(INDEX('Undirviðmiðalisti (Lýsigögn)'!F$42:F$58,MATCH($C180,'Undirviðmiðalisti (Lýsigögn)'!$C$42:$C$58,0))="","",INDEX('Undirviðmiðalisti (Lýsigögn)'!F$42:F$58,MATCH($C180,'Undirviðmiðalisti (Lýsigögn)'!$C$42:$C$58,0))),""))))</f>
        <v/>
      </c>
      <c r="K180" s="16" t="str">
        <f aca="false">IF($C180="","",IF($G180="Einstaklingsbundið",IFERROR(IF(INDEX('Undirviðmiðalisti (Lýsigögn)'!G$42:G$58,MATCH($C180,'Undirviðmiðalisti (Lýsigögn)'!$C$42:$C$58,0))="","",INDEX('Undirviðmiðalisti (Lýsigögn)'!G$42:G$58,MATCH($C180,'Undirviðmiðalisti (Lýsigögn)'!$C$42:$C$58,0))),""),IFERROR(IF(INDEX('Undirviðmiðalisti (Lýsigögn)'!G$6:G$41,MATCH($C180,'Undirviðmiðalisti (Lýsigögn)'!$C$6:$C$41,0))="","",INDEX('Undirviðmiðalisti (Lýsigögn)'!G$6:G$41,MATCH($C180,'Undirviðmiðalisti (Lýsigögn)'!$C$6:$C$41,0))),IFERROR(IF(INDEX('Undirviðmiðalisti (Lýsigögn)'!G$42:G$58,MATCH($C180,'Undirviðmiðalisti (Lýsigögn)'!$C$42:$C$58,0))="","",INDEX('Undirviðmiðalisti (Lýsigögn)'!G$42:G$58,MATCH($C180,'Undirviðmiðalisti (Lýsigögn)'!$C$42:$C$58,0))),""))))</f>
        <v/>
      </c>
      <c r="L180" s="16" t="str">
        <f aca="false">IF($C180="","",IF($G180="Einstaklingsbundið",IFERROR(IF(INDEX('Undirviðmiðalisti (Lýsigögn)'!H$42:H$58,MATCH($C180,'Undirviðmiðalisti (Lýsigögn)'!$C$42:$C$58,0))="","",INDEX('Undirviðmiðalisti (Lýsigögn)'!H$42:H$58,MATCH($C180,'Undirviðmiðalisti (Lýsigögn)'!$C$42:$C$58,0))),""),IFERROR(IF(INDEX('Undirviðmiðalisti (Lýsigögn)'!H$6:H$41,MATCH($C180,'Undirviðmiðalisti (Lýsigögn)'!$C$6:$C$41,0))="","",INDEX('Undirviðmiðalisti (Lýsigögn)'!H$6:H$41,MATCH($C180,'Undirviðmiðalisti (Lýsigögn)'!$C$6:$C$41,0))),IFERROR(IF(INDEX('Undirviðmiðalisti (Lýsigögn)'!H$42:H$58,MATCH($C180,'Undirviðmiðalisti (Lýsigögn)'!$C$42:$C$58,0))="","",INDEX('Undirviðmiðalisti (Lýsigögn)'!H$42:H$58,MATCH($C180,'Undirviðmiðalisti (Lýsigögn)'!$C$42:$C$58,0))),""))))</f>
        <v/>
      </c>
      <c r="M180" s="16" t="str">
        <f aca="false">IF($C180="","",IF($G180="Einstaklingsbundið",IFERROR(IF(INDEX('Undirviðmiðalisti (Lýsigögn)'!I$42:I$58,MATCH($C180,'Undirviðmiðalisti (Lýsigögn)'!$C$42:$C$58,0))="","",INDEX('Undirviðmiðalisti (Lýsigögn)'!I$42:I$58,MATCH($C180,'Undirviðmiðalisti (Lýsigögn)'!$C$42:$C$58,0))),""),IFERROR(IF(INDEX('Undirviðmiðalisti (Lýsigögn)'!I$6:I$41,MATCH($C180,'Undirviðmiðalisti (Lýsigögn)'!$C$6:$C$41,0))="","",INDEX('Undirviðmiðalisti (Lýsigögn)'!I$6:I$41,MATCH($C180,'Undirviðmiðalisti (Lýsigögn)'!$C$6:$C$41,0))),IFERROR(IF(INDEX('Undirviðmiðalisti (Lýsigögn)'!I$42:I$58,MATCH($C180,'Undirviðmiðalisti (Lýsigögn)'!$C$42:$C$58,0))="","",INDEX('Undirviðmiðalisti (Lýsigögn)'!I$42:I$58,MATCH($C180,'Undirviðmiðalisti (Lýsigögn)'!$C$42:$C$58,0))),""))))</f>
        <v/>
      </c>
      <c r="N180" s="16" t="str">
        <f aca="false">IF($C180="","",IF($G180="Einstaklingsbundið",IFERROR(IF(INDEX('Undirviðmiðalisti (Lýsigögn)'!J$42:J$58,MATCH($C180,'Undirviðmiðalisti (Lýsigögn)'!$C$42:$C$58,0))="","",INDEX('Undirviðmiðalisti (Lýsigögn)'!J$42:J$58,MATCH($C180,'Undirviðmiðalisti (Lýsigögn)'!$C$42:$C$58,0))),""),IFERROR(IF(INDEX('Undirviðmiðalisti (Lýsigögn)'!J$6:J$41,MATCH($C180,'Undirviðmiðalisti (Lýsigögn)'!$C$6:$C$41,0))="","",INDEX('Undirviðmiðalisti (Lýsigögn)'!J$6:J$41,MATCH($C180,'Undirviðmiðalisti (Lýsigögn)'!$C$6:$C$41,0))),IFERROR(IF(INDEX('Undirviðmiðalisti (Lýsigögn)'!J$42:J$58,MATCH($C180,'Undirviðmiðalisti (Lýsigögn)'!$C$42:$C$58,0))="","",INDEX('Undirviðmiðalisti (Lýsigögn)'!J$42:J$58,MATCH($C180,'Undirviðmiðalisti (Lýsigögn)'!$C$42:$C$58,0))),""))))</f>
        <v/>
      </c>
      <c r="O180" s="16" t="str">
        <f aca="false">IF($C180="","",IF($G180="Einstaklingsbundið",IFERROR(IF(INDEX('Undirviðmiðalisti (Lýsigögn)'!K$42:K$58,MATCH($C180,'Undirviðmiðalisti (Lýsigögn)'!$C$42:$C$58,0))="","",INDEX('Undirviðmiðalisti (Lýsigögn)'!K$42:K$58,MATCH($C180,'Undirviðmiðalisti (Lýsigögn)'!$C$42:$C$58,0))),""),IFERROR(IF(INDEX('Undirviðmiðalisti (Lýsigögn)'!K$6:K$41,MATCH($C180,'Undirviðmiðalisti (Lýsigögn)'!$C$6:$C$41,0))="","",INDEX('Undirviðmiðalisti (Lýsigögn)'!K$6:K$41,MATCH($C180,'Undirviðmiðalisti (Lýsigögn)'!$C$6:$C$41,0))),IFERROR(IF(INDEX('Undirviðmiðalisti (Lýsigögn)'!K$42:K$58,MATCH($C180,'Undirviðmiðalisti (Lýsigögn)'!$C$42:$C$58,0))="","",INDEX('Undirviðmiðalisti (Lýsigögn)'!K$42:K$58,MATCH($C180,'Undirviðmiðalisti (Lýsigögn)'!$C$42:$C$58,0))),""))))</f>
        <v/>
      </c>
      <c r="P180" s="16" t="str">
        <f aca="false">IF($C180="","",IF($G180="Einstaklingsbundið",IFERROR(IF(INDEX('Undirviðmiðalisti (Lýsigögn)'!L$42:L$58,MATCH($C180,'Undirviðmiðalisti (Lýsigögn)'!$C$42:$C$58,0))="","",INDEX('Undirviðmiðalisti (Lýsigögn)'!L$42:L$58,MATCH($C180,'Undirviðmiðalisti (Lýsigögn)'!$C$42:$C$58,0))),""),IFERROR(IF(INDEX('Undirviðmiðalisti (Lýsigögn)'!L$6:L$41,MATCH($C180,'Undirviðmiðalisti (Lýsigögn)'!$C$6:$C$41,0))="","",INDEX('Undirviðmiðalisti (Lýsigögn)'!L$6:L$41,MATCH($C180,'Undirviðmiðalisti (Lýsigögn)'!$C$6:$C$41,0))),IFERROR(IF(INDEX('Undirviðmiðalisti (Lýsigögn)'!L$42:L$58,MATCH($C180,'Undirviðmiðalisti (Lýsigögn)'!$C$42:$C$58,0))="","",INDEX('Undirviðmiðalisti (Lýsigögn)'!L$42:L$58,MATCH($C180,'Undirviðmiðalisti (Lýsigögn)'!$C$42:$C$58,0))),""))))</f>
        <v/>
      </c>
      <c r="Q180" s="16" t="str">
        <f aca="false">IF($C180="","",IF($G180="Einstaklingsbundið",IFERROR(IF(INDEX('Undirviðmiðalisti (Lýsigögn)'!M$42:M$58,MATCH($C180,'Undirviðmiðalisti (Lýsigögn)'!$C$42:$C$58,0))="","",INDEX('Undirviðmiðalisti (Lýsigögn)'!M$42:M$58,MATCH($C180,'Undirviðmiðalisti (Lýsigögn)'!$C$42:$C$58,0))),""),IFERROR(IF(INDEX('Undirviðmiðalisti (Lýsigögn)'!M$6:M$41,MATCH($C180,'Undirviðmiðalisti (Lýsigögn)'!$C$6:$C$41,0))="","",INDEX('Undirviðmiðalisti (Lýsigögn)'!M$6:M$41,MATCH($C180,'Undirviðmiðalisti (Lýsigögn)'!$C$6:$C$41,0))),IFERROR(IF(INDEX('Undirviðmiðalisti (Lýsigögn)'!M$42:M$58,MATCH($C180,'Undirviðmiðalisti (Lýsigögn)'!$C$42:$C$58,0))="","",INDEX('Undirviðmiðalisti (Lýsigögn)'!M$42:M$58,MATCH($C180,'Undirviðmiðalisti (Lýsigögn)'!$C$42:$C$58,0))),""))))</f>
        <v/>
      </c>
    </row>
    <row r="181" customFormat="false" ht="15" hidden="false" customHeight="true" outlineLevel="0" collapsed="false">
      <c r="A181" s="22" t="str">
        <f aca="false">IF($B181="","",ROW()-5)</f>
        <v/>
      </c>
      <c r="B181" s="15"/>
      <c r="C181" s="15"/>
      <c r="D181" s="16" t="str">
        <f aca="false">IF($C181="","",IF($G181="Einstaklingsbundið",IFERROR(IF(INDEX('Undirviðmiðalisti (Lýsigögn)'!$D$42:$D$58,MATCH($C181,'Undirviðmiðalisti (Lýsigögn)'!$C$42:$C$58,0))="","",INDEX('Undirviðmiðalisti (Lýsigögn)'!$D$42:$D$58,MATCH($C181,'Undirviðmiðalisti (Lýsigögn)'!$C$42:$C$58,0))),""),IFERROR(IF(INDEX('Undirviðmiðalisti (Lýsigögn)'!$D$6:$D$41,MATCH($C181,'Undirviðmiðalisti (Lýsigögn)'!$C$6:$C$41,0))="","",INDEX('Undirviðmiðalisti (Lýsigögn)'!$D$6:$D$41,MATCH($C181,'Undirviðmiðalisti (Lýsigögn)'!$C$6:$C$41,0))),IFERROR(IF(INDEX('Undirviðmiðalisti (Lýsigögn)'!$D$42:$D$58,MATCH($C181,'Undirviðmiðalisti (Lýsigögn)'!$C$42:$C$58,0))="","",INDEX('Undirviðmiðalisti (Lýsigögn)'!$D$42:$D$58,MATCH($C181,'Undirviðmiðalisti (Lýsigögn)'!$C$42:$C$58,0))),""))))</f>
        <v/>
      </c>
      <c r="E181" s="14"/>
      <c r="F181" s="23" t="str">
        <f aca="false">IF($C181="","",IF($G181="Einstaklingsbundið",IFERROR(IF(INDEX('Undirviðmiðalisti (Lýsigögn)'!$E$42:$E$58,MATCH($C181,'Undirviðmiðalisti (Lýsigögn)'!$C$42:$C$58,0))="","",INDEX('Undirviðmiðalisti (Lýsigögn)'!$E$42:$E$58,MATCH($C181,'Undirviðmiðalisti (Lýsigögn)'!$C$42:$C$58,0))),""),IFERROR(IF(INDEX('Undirviðmiðalisti (Lýsigögn)'!$E$6:$E$41,MATCH($C181,'Undirviðmiðalisti (Lýsigögn)'!$C$6:$C$41,0))="","",INDEX('Undirviðmiðalisti (Lýsigögn)'!$E$6:$E$41,MATCH($C181,'Undirviðmiðalisti (Lýsigögn)'!$C$6:$C$41,0))),IFERROR(IF(INDEX('Undirviðmiðalisti (Lýsigögn)'!$E$42:$E$58,MATCH($C181,'Undirviðmiðalisti (Lýsigögn)'!$C$42:$C$58,0))="","",INDEX('Undirviðmiðalisti (Lýsigögn)'!$E$42:$E$58,MATCH($C181,'Undirviðmiðalisti (Lýsigögn)'!$C$42:$C$58,0))),""))))</f>
        <v/>
      </c>
      <c r="G181" s="24" t="str">
        <f aca="false">IFERROR(IF(B181="","",INDEX(Viðmið!$B$6:$B$10,MATCH(B181,Viðmið!$C$6:$C$10,0))),"")</f>
        <v/>
      </c>
      <c r="H181" s="25" t="str">
        <f aca="false">IF(OR(E181="",F181=""),"",E181*KVARDI)</f>
        <v/>
      </c>
      <c r="I181" s="26" t="str">
        <f aca="false">IF(B181="","",IF(ROUND(SUMIF($B$6:$B$205,B181,$E$6:$E$205),4)=ROUND(IFERROR(INDEX(Viðmið!$E$6:$E$10,MATCH(B181,Viðmið!$C$6:$C$10,0)),-1),4),"✓","✗"))</f>
        <v/>
      </c>
      <c r="J181" s="16" t="str">
        <f aca="false">IF($C181="","",IF($G181="Einstaklingsbundið",IFERROR(IF(INDEX('Undirviðmiðalisti (Lýsigögn)'!F$42:F$58,MATCH($C181,'Undirviðmiðalisti (Lýsigögn)'!$C$42:$C$58,0))="","",INDEX('Undirviðmiðalisti (Lýsigögn)'!F$42:F$58,MATCH($C181,'Undirviðmiðalisti (Lýsigögn)'!$C$42:$C$58,0))),""),IFERROR(IF(INDEX('Undirviðmiðalisti (Lýsigögn)'!F$6:F$41,MATCH($C181,'Undirviðmiðalisti (Lýsigögn)'!$C$6:$C$41,0))="","",INDEX('Undirviðmiðalisti (Lýsigögn)'!F$6:F$41,MATCH($C181,'Undirviðmiðalisti (Lýsigögn)'!$C$6:$C$41,0))),IFERROR(IF(INDEX('Undirviðmiðalisti (Lýsigögn)'!F$42:F$58,MATCH($C181,'Undirviðmiðalisti (Lýsigögn)'!$C$42:$C$58,0))="","",INDEX('Undirviðmiðalisti (Lýsigögn)'!F$42:F$58,MATCH($C181,'Undirviðmiðalisti (Lýsigögn)'!$C$42:$C$58,0))),""))))</f>
        <v/>
      </c>
      <c r="K181" s="16" t="str">
        <f aca="false">IF($C181="","",IF($G181="Einstaklingsbundið",IFERROR(IF(INDEX('Undirviðmiðalisti (Lýsigögn)'!G$42:G$58,MATCH($C181,'Undirviðmiðalisti (Lýsigögn)'!$C$42:$C$58,0))="","",INDEX('Undirviðmiðalisti (Lýsigögn)'!G$42:G$58,MATCH($C181,'Undirviðmiðalisti (Lýsigögn)'!$C$42:$C$58,0))),""),IFERROR(IF(INDEX('Undirviðmiðalisti (Lýsigögn)'!G$6:G$41,MATCH($C181,'Undirviðmiðalisti (Lýsigögn)'!$C$6:$C$41,0))="","",INDEX('Undirviðmiðalisti (Lýsigögn)'!G$6:G$41,MATCH($C181,'Undirviðmiðalisti (Lýsigögn)'!$C$6:$C$41,0))),IFERROR(IF(INDEX('Undirviðmiðalisti (Lýsigögn)'!G$42:G$58,MATCH($C181,'Undirviðmiðalisti (Lýsigögn)'!$C$42:$C$58,0))="","",INDEX('Undirviðmiðalisti (Lýsigögn)'!G$42:G$58,MATCH($C181,'Undirviðmiðalisti (Lýsigögn)'!$C$42:$C$58,0))),""))))</f>
        <v/>
      </c>
      <c r="L181" s="16" t="str">
        <f aca="false">IF($C181="","",IF($G181="Einstaklingsbundið",IFERROR(IF(INDEX('Undirviðmiðalisti (Lýsigögn)'!H$42:H$58,MATCH($C181,'Undirviðmiðalisti (Lýsigögn)'!$C$42:$C$58,0))="","",INDEX('Undirviðmiðalisti (Lýsigögn)'!H$42:H$58,MATCH($C181,'Undirviðmiðalisti (Lýsigögn)'!$C$42:$C$58,0))),""),IFERROR(IF(INDEX('Undirviðmiðalisti (Lýsigögn)'!H$6:H$41,MATCH($C181,'Undirviðmiðalisti (Lýsigögn)'!$C$6:$C$41,0))="","",INDEX('Undirviðmiðalisti (Lýsigögn)'!H$6:H$41,MATCH($C181,'Undirviðmiðalisti (Lýsigögn)'!$C$6:$C$41,0))),IFERROR(IF(INDEX('Undirviðmiðalisti (Lýsigögn)'!H$42:H$58,MATCH($C181,'Undirviðmiðalisti (Lýsigögn)'!$C$42:$C$58,0))="","",INDEX('Undirviðmiðalisti (Lýsigögn)'!H$42:H$58,MATCH($C181,'Undirviðmiðalisti (Lýsigögn)'!$C$42:$C$58,0))),""))))</f>
        <v/>
      </c>
      <c r="M181" s="16" t="str">
        <f aca="false">IF($C181="","",IF($G181="Einstaklingsbundið",IFERROR(IF(INDEX('Undirviðmiðalisti (Lýsigögn)'!I$42:I$58,MATCH($C181,'Undirviðmiðalisti (Lýsigögn)'!$C$42:$C$58,0))="","",INDEX('Undirviðmiðalisti (Lýsigögn)'!I$42:I$58,MATCH($C181,'Undirviðmiðalisti (Lýsigögn)'!$C$42:$C$58,0))),""),IFERROR(IF(INDEX('Undirviðmiðalisti (Lýsigögn)'!I$6:I$41,MATCH($C181,'Undirviðmiðalisti (Lýsigögn)'!$C$6:$C$41,0))="","",INDEX('Undirviðmiðalisti (Lýsigögn)'!I$6:I$41,MATCH($C181,'Undirviðmiðalisti (Lýsigögn)'!$C$6:$C$41,0))),IFERROR(IF(INDEX('Undirviðmiðalisti (Lýsigögn)'!I$42:I$58,MATCH($C181,'Undirviðmiðalisti (Lýsigögn)'!$C$42:$C$58,0))="","",INDEX('Undirviðmiðalisti (Lýsigögn)'!I$42:I$58,MATCH($C181,'Undirviðmiðalisti (Lýsigögn)'!$C$42:$C$58,0))),""))))</f>
        <v/>
      </c>
      <c r="N181" s="16" t="str">
        <f aca="false">IF($C181="","",IF($G181="Einstaklingsbundið",IFERROR(IF(INDEX('Undirviðmiðalisti (Lýsigögn)'!J$42:J$58,MATCH($C181,'Undirviðmiðalisti (Lýsigögn)'!$C$42:$C$58,0))="","",INDEX('Undirviðmiðalisti (Lýsigögn)'!J$42:J$58,MATCH($C181,'Undirviðmiðalisti (Lýsigögn)'!$C$42:$C$58,0))),""),IFERROR(IF(INDEX('Undirviðmiðalisti (Lýsigögn)'!J$6:J$41,MATCH($C181,'Undirviðmiðalisti (Lýsigögn)'!$C$6:$C$41,0))="","",INDEX('Undirviðmiðalisti (Lýsigögn)'!J$6:J$41,MATCH($C181,'Undirviðmiðalisti (Lýsigögn)'!$C$6:$C$41,0))),IFERROR(IF(INDEX('Undirviðmiðalisti (Lýsigögn)'!J$42:J$58,MATCH($C181,'Undirviðmiðalisti (Lýsigögn)'!$C$42:$C$58,0))="","",INDEX('Undirviðmiðalisti (Lýsigögn)'!J$42:J$58,MATCH($C181,'Undirviðmiðalisti (Lýsigögn)'!$C$42:$C$58,0))),""))))</f>
        <v/>
      </c>
      <c r="O181" s="16" t="str">
        <f aca="false">IF($C181="","",IF($G181="Einstaklingsbundið",IFERROR(IF(INDEX('Undirviðmiðalisti (Lýsigögn)'!K$42:K$58,MATCH($C181,'Undirviðmiðalisti (Lýsigögn)'!$C$42:$C$58,0))="","",INDEX('Undirviðmiðalisti (Lýsigögn)'!K$42:K$58,MATCH($C181,'Undirviðmiðalisti (Lýsigögn)'!$C$42:$C$58,0))),""),IFERROR(IF(INDEX('Undirviðmiðalisti (Lýsigögn)'!K$6:K$41,MATCH($C181,'Undirviðmiðalisti (Lýsigögn)'!$C$6:$C$41,0))="","",INDEX('Undirviðmiðalisti (Lýsigögn)'!K$6:K$41,MATCH($C181,'Undirviðmiðalisti (Lýsigögn)'!$C$6:$C$41,0))),IFERROR(IF(INDEX('Undirviðmiðalisti (Lýsigögn)'!K$42:K$58,MATCH($C181,'Undirviðmiðalisti (Lýsigögn)'!$C$42:$C$58,0))="","",INDEX('Undirviðmiðalisti (Lýsigögn)'!K$42:K$58,MATCH($C181,'Undirviðmiðalisti (Lýsigögn)'!$C$42:$C$58,0))),""))))</f>
        <v/>
      </c>
      <c r="P181" s="16" t="str">
        <f aca="false">IF($C181="","",IF($G181="Einstaklingsbundið",IFERROR(IF(INDEX('Undirviðmiðalisti (Lýsigögn)'!L$42:L$58,MATCH($C181,'Undirviðmiðalisti (Lýsigögn)'!$C$42:$C$58,0))="","",INDEX('Undirviðmiðalisti (Lýsigögn)'!L$42:L$58,MATCH($C181,'Undirviðmiðalisti (Lýsigögn)'!$C$42:$C$58,0))),""),IFERROR(IF(INDEX('Undirviðmiðalisti (Lýsigögn)'!L$6:L$41,MATCH($C181,'Undirviðmiðalisti (Lýsigögn)'!$C$6:$C$41,0))="","",INDEX('Undirviðmiðalisti (Lýsigögn)'!L$6:L$41,MATCH($C181,'Undirviðmiðalisti (Lýsigögn)'!$C$6:$C$41,0))),IFERROR(IF(INDEX('Undirviðmiðalisti (Lýsigögn)'!L$42:L$58,MATCH($C181,'Undirviðmiðalisti (Lýsigögn)'!$C$42:$C$58,0))="","",INDEX('Undirviðmiðalisti (Lýsigögn)'!L$42:L$58,MATCH($C181,'Undirviðmiðalisti (Lýsigögn)'!$C$42:$C$58,0))),""))))</f>
        <v/>
      </c>
      <c r="Q181" s="16" t="str">
        <f aca="false">IF($C181="","",IF($G181="Einstaklingsbundið",IFERROR(IF(INDEX('Undirviðmiðalisti (Lýsigögn)'!M$42:M$58,MATCH($C181,'Undirviðmiðalisti (Lýsigögn)'!$C$42:$C$58,0))="","",INDEX('Undirviðmiðalisti (Lýsigögn)'!M$42:M$58,MATCH($C181,'Undirviðmiðalisti (Lýsigögn)'!$C$42:$C$58,0))),""),IFERROR(IF(INDEX('Undirviðmiðalisti (Lýsigögn)'!M$6:M$41,MATCH($C181,'Undirviðmiðalisti (Lýsigögn)'!$C$6:$C$41,0))="","",INDEX('Undirviðmiðalisti (Lýsigögn)'!M$6:M$41,MATCH($C181,'Undirviðmiðalisti (Lýsigögn)'!$C$6:$C$41,0))),IFERROR(IF(INDEX('Undirviðmiðalisti (Lýsigögn)'!M$42:M$58,MATCH($C181,'Undirviðmiðalisti (Lýsigögn)'!$C$42:$C$58,0))="","",INDEX('Undirviðmiðalisti (Lýsigögn)'!M$42:M$58,MATCH($C181,'Undirviðmiðalisti (Lýsigögn)'!$C$42:$C$58,0))),""))))</f>
        <v/>
      </c>
    </row>
    <row r="182" customFormat="false" ht="15" hidden="false" customHeight="true" outlineLevel="0" collapsed="false">
      <c r="A182" s="22" t="str">
        <f aca="false">IF($B182="","",ROW()-5)</f>
        <v/>
      </c>
      <c r="B182" s="15"/>
      <c r="C182" s="15"/>
      <c r="D182" s="16" t="str">
        <f aca="false">IF($C182="","",IF($G182="Einstaklingsbundið",IFERROR(IF(INDEX('Undirviðmiðalisti (Lýsigögn)'!$D$42:$D$58,MATCH($C182,'Undirviðmiðalisti (Lýsigögn)'!$C$42:$C$58,0))="","",INDEX('Undirviðmiðalisti (Lýsigögn)'!$D$42:$D$58,MATCH($C182,'Undirviðmiðalisti (Lýsigögn)'!$C$42:$C$58,0))),""),IFERROR(IF(INDEX('Undirviðmiðalisti (Lýsigögn)'!$D$6:$D$41,MATCH($C182,'Undirviðmiðalisti (Lýsigögn)'!$C$6:$C$41,0))="","",INDEX('Undirviðmiðalisti (Lýsigögn)'!$D$6:$D$41,MATCH($C182,'Undirviðmiðalisti (Lýsigögn)'!$C$6:$C$41,0))),IFERROR(IF(INDEX('Undirviðmiðalisti (Lýsigögn)'!$D$42:$D$58,MATCH($C182,'Undirviðmiðalisti (Lýsigögn)'!$C$42:$C$58,0))="","",INDEX('Undirviðmiðalisti (Lýsigögn)'!$D$42:$D$58,MATCH($C182,'Undirviðmiðalisti (Lýsigögn)'!$C$42:$C$58,0))),""))))</f>
        <v/>
      </c>
      <c r="E182" s="14"/>
      <c r="F182" s="23" t="str">
        <f aca="false">IF($C182="","",IF($G182="Einstaklingsbundið",IFERROR(IF(INDEX('Undirviðmiðalisti (Lýsigögn)'!$E$42:$E$58,MATCH($C182,'Undirviðmiðalisti (Lýsigögn)'!$C$42:$C$58,0))="","",INDEX('Undirviðmiðalisti (Lýsigögn)'!$E$42:$E$58,MATCH($C182,'Undirviðmiðalisti (Lýsigögn)'!$C$42:$C$58,0))),""),IFERROR(IF(INDEX('Undirviðmiðalisti (Lýsigögn)'!$E$6:$E$41,MATCH($C182,'Undirviðmiðalisti (Lýsigögn)'!$C$6:$C$41,0))="","",INDEX('Undirviðmiðalisti (Lýsigögn)'!$E$6:$E$41,MATCH($C182,'Undirviðmiðalisti (Lýsigögn)'!$C$6:$C$41,0))),IFERROR(IF(INDEX('Undirviðmiðalisti (Lýsigögn)'!$E$42:$E$58,MATCH($C182,'Undirviðmiðalisti (Lýsigögn)'!$C$42:$C$58,0))="","",INDEX('Undirviðmiðalisti (Lýsigögn)'!$E$42:$E$58,MATCH($C182,'Undirviðmiðalisti (Lýsigögn)'!$C$42:$C$58,0))),""))))</f>
        <v/>
      </c>
      <c r="G182" s="24" t="str">
        <f aca="false">IFERROR(IF(B182="","",INDEX(Viðmið!$B$6:$B$10,MATCH(B182,Viðmið!$C$6:$C$10,0))),"")</f>
        <v/>
      </c>
      <c r="H182" s="25" t="str">
        <f aca="false">IF(OR(E182="",F182=""),"",E182*KVARDI)</f>
        <v/>
      </c>
      <c r="I182" s="26" t="str">
        <f aca="false">IF(B182="","",IF(ROUND(SUMIF($B$6:$B$205,B182,$E$6:$E$205),4)=ROUND(IFERROR(INDEX(Viðmið!$E$6:$E$10,MATCH(B182,Viðmið!$C$6:$C$10,0)),-1),4),"✓","✗"))</f>
        <v/>
      </c>
      <c r="J182" s="16" t="str">
        <f aca="false">IF($C182="","",IF($G182="Einstaklingsbundið",IFERROR(IF(INDEX('Undirviðmiðalisti (Lýsigögn)'!F$42:F$58,MATCH($C182,'Undirviðmiðalisti (Lýsigögn)'!$C$42:$C$58,0))="","",INDEX('Undirviðmiðalisti (Lýsigögn)'!F$42:F$58,MATCH($C182,'Undirviðmiðalisti (Lýsigögn)'!$C$42:$C$58,0))),""),IFERROR(IF(INDEX('Undirviðmiðalisti (Lýsigögn)'!F$6:F$41,MATCH($C182,'Undirviðmiðalisti (Lýsigögn)'!$C$6:$C$41,0))="","",INDEX('Undirviðmiðalisti (Lýsigögn)'!F$6:F$41,MATCH($C182,'Undirviðmiðalisti (Lýsigögn)'!$C$6:$C$41,0))),IFERROR(IF(INDEX('Undirviðmiðalisti (Lýsigögn)'!F$42:F$58,MATCH($C182,'Undirviðmiðalisti (Lýsigögn)'!$C$42:$C$58,0))="","",INDEX('Undirviðmiðalisti (Lýsigögn)'!F$42:F$58,MATCH($C182,'Undirviðmiðalisti (Lýsigögn)'!$C$42:$C$58,0))),""))))</f>
        <v/>
      </c>
      <c r="K182" s="16" t="str">
        <f aca="false">IF($C182="","",IF($G182="Einstaklingsbundið",IFERROR(IF(INDEX('Undirviðmiðalisti (Lýsigögn)'!G$42:G$58,MATCH($C182,'Undirviðmiðalisti (Lýsigögn)'!$C$42:$C$58,0))="","",INDEX('Undirviðmiðalisti (Lýsigögn)'!G$42:G$58,MATCH($C182,'Undirviðmiðalisti (Lýsigögn)'!$C$42:$C$58,0))),""),IFERROR(IF(INDEX('Undirviðmiðalisti (Lýsigögn)'!G$6:G$41,MATCH($C182,'Undirviðmiðalisti (Lýsigögn)'!$C$6:$C$41,0))="","",INDEX('Undirviðmiðalisti (Lýsigögn)'!G$6:G$41,MATCH($C182,'Undirviðmiðalisti (Lýsigögn)'!$C$6:$C$41,0))),IFERROR(IF(INDEX('Undirviðmiðalisti (Lýsigögn)'!G$42:G$58,MATCH($C182,'Undirviðmiðalisti (Lýsigögn)'!$C$42:$C$58,0))="","",INDEX('Undirviðmiðalisti (Lýsigögn)'!G$42:G$58,MATCH($C182,'Undirviðmiðalisti (Lýsigögn)'!$C$42:$C$58,0))),""))))</f>
        <v/>
      </c>
      <c r="L182" s="16" t="str">
        <f aca="false">IF($C182="","",IF($G182="Einstaklingsbundið",IFERROR(IF(INDEX('Undirviðmiðalisti (Lýsigögn)'!H$42:H$58,MATCH($C182,'Undirviðmiðalisti (Lýsigögn)'!$C$42:$C$58,0))="","",INDEX('Undirviðmiðalisti (Lýsigögn)'!H$42:H$58,MATCH($C182,'Undirviðmiðalisti (Lýsigögn)'!$C$42:$C$58,0))),""),IFERROR(IF(INDEX('Undirviðmiðalisti (Lýsigögn)'!H$6:H$41,MATCH($C182,'Undirviðmiðalisti (Lýsigögn)'!$C$6:$C$41,0))="","",INDEX('Undirviðmiðalisti (Lýsigögn)'!H$6:H$41,MATCH($C182,'Undirviðmiðalisti (Lýsigögn)'!$C$6:$C$41,0))),IFERROR(IF(INDEX('Undirviðmiðalisti (Lýsigögn)'!H$42:H$58,MATCH($C182,'Undirviðmiðalisti (Lýsigögn)'!$C$42:$C$58,0))="","",INDEX('Undirviðmiðalisti (Lýsigögn)'!H$42:H$58,MATCH($C182,'Undirviðmiðalisti (Lýsigögn)'!$C$42:$C$58,0))),""))))</f>
        <v/>
      </c>
      <c r="M182" s="16" t="str">
        <f aca="false">IF($C182="","",IF($G182="Einstaklingsbundið",IFERROR(IF(INDEX('Undirviðmiðalisti (Lýsigögn)'!I$42:I$58,MATCH($C182,'Undirviðmiðalisti (Lýsigögn)'!$C$42:$C$58,0))="","",INDEX('Undirviðmiðalisti (Lýsigögn)'!I$42:I$58,MATCH($C182,'Undirviðmiðalisti (Lýsigögn)'!$C$42:$C$58,0))),""),IFERROR(IF(INDEX('Undirviðmiðalisti (Lýsigögn)'!I$6:I$41,MATCH($C182,'Undirviðmiðalisti (Lýsigögn)'!$C$6:$C$41,0))="","",INDEX('Undirviðmiðalisti (Lýsigögn)'!I$6:I$41,MATCH($C182,'Undirviðmiðalisti (Lýsigögn)'!$C$6:$C$41,0))),IFERROR(IF(INDEX('Undirviðmiðalisti (Lýsigögn)'!I$42:I$58,MATCH($C182,'Undirviðmiðalisti (Lýsigögn)'!$C$42:$C$58,0))="","",INDEX('Undirviðmiðalisti (Lýsigögn)'!I$42:I$58,MATCH($C182,'Undirviðmiðalisti (Lýsigögn)'!$C$42:$C$58,0))),""))))</f>
        <v/>
      </c>
      <c r="N182" s="16" t="str">
        <f aca="false">IF($C182="","",IF($G182="Einstaklingsbundið",IFERROR(IF(INDEX('Undirviðmiðalisti (Lýsigögn)'!J$42:J$58,MATCH($C182,'Undirviðmiðalisti (Lýsigögn)'!$C$42:$C$58,0))="","",INDEX('Undirviðmiðalisti (Lýsigögn)'!J$42:J$58,MATCH($C182,'Undirviðmiðalisti (Lýsigögn)'!$C$42:$C$58,0))),""),IFERROR(IF(INDEX('Undirviðmiðalisti (Lýsigögn)'!J$6:J$41,MATCH($C182,'Undirviðmiðalisti (Lýsigögn)'!$C$6:$C$41,0))="","",INDEX('Undirviðmiðalisti (Lýsigögn)'!J$6:J$41,MATCH($C182,'Undirviðmiðalisti (Lýsigögn)'!$C$6:$C$41,0))),IFERROR(IF(INDEX('Undirviðmiðalisti (Lýsigögn)'!J$42:J$58,MATCH($C182,'Undirviðmiðalisti (Lýsigögn)'!$C$42:$C$58,0))="","",INDEX('Undirviðmiðalisti (Lýsigögn)'!J$42:J$58,MATCH($C182,'Undirviðmiðalisti (Lýsigögn)'!$C$42:$C$58,0))),""))))</f>
        <v/>
      </c>
      <c r="O182" s="16" t="str">
        <f aca="false">IF($C182="","",IF($G182="Einstaklingsbundið",IFERROR(IF(INDEX('Undirviðmiðalisti (Lýsigögn)'!K$42:K$58,MATCH($C182,'Undirviðmiðalisti (Lýsigögn)'!$C$42:$C$58,0))="","",INDEX('Undirviðmiðalisti (Lýsigögn)'!K$42:K$58,MATCH($C182,'Undirviðmiðalisti (Lýsigögn)'!$C$42:$C$58,0))),""),IFERROR(IF(INDEX('Undirviðmiðalisti (Lýsigögn)'!K$6:K$41,MATCH($C182,'Undirviðmiðalisti (Lýsigögn)'!$C$6:$C$41,0))="","",INDEX('Undirviðmiðalisti (Lýsigögn)'!K$6:K$41,MATCH($C182,'Undirviðmiðalisti (Lýsigögn)'!$C$6:$C$41,0))),IFERROR(IF(INDEX('Undirviðmiðalisti (Lýsigögn)'!K$42:K$58,MATCH($C182,'Undirviðmiðalisti (Lýsigögn)'!$C$42:$C$58,0))="","",INDEX('Undirviðmiðalisti (Lýsigögn)'!K$42:K$58,MATCH($C182,'Undirviðmiðalisti (Lýsigögn)'!$C$42:$C$58,0))),""))))</f>
        <v/>
      </c>
      <c r="P182" s="16" t="str">
        <f aca="false">IF($C182="","",IF($G182="Einstaklingsbundið",IFERROR(IF(INDEX('Undirviðmiðalisti (Lýsigögn)'!L$42:L$58,MATCH($C182,'Undirviðmiðalisti (Lýsigögn)'!$C$42:$C$58,0))="","",INDEX('Undirviðmiðalisti (Lýsigögn)'!L$42:L$58,MATCH($C182,'Undirviðmiðalisti (Lýsigögn)'!$C$42:$C$58,0))),""),IFERROR(IF(INDEX('Undirviðmiðalisti (Lýsigögn)'!L$6:L$41,MATCH($C182,'Undirviðmiðalisti (Lýsigögn)'!$C$6:$C$41,0))="","",INDEX('Undirviðmiðalisti (Lýsigögn)'!L$6:L$41,MATCH($C182,'Undirviðmiðalisti (Lýsigögn)'!$C$6:$C$41,0))),IFERROR(IF(INDEX('Undirviðmiðalisti (Lýsigögn)'!L$42:L$58,MATCH($C182,'Undirviðmiðalisti (Lýsigögn)'!$C$42:$C$58,0))="","",INDEX('Undirviðmiðalisti (Lýsigögn)'!L$42:L$58,MATCH($C182,'Undirviðmiðalisti (Lýsigögn)'!$C$42:$C$58,0))),""))))</f>
        <v/>
      </c>
      <c r="Q182" s="16" t="str">
        <f aca="false">IF($C182="","",IF($G182="Einstaklingsbundið",IFERROR(IF(INDEX('Undirviðmiðalisti (Lýsigögn)'!M$42:M$58,MATCH($C182,'Undirviðmiðalisti (Lýsigögn)'!$C$42:$C$58,0))="","",INDEX('Undirviðmiðalisti (Lýsigögn)'!M$42:M$58,MATCH($C182,'Undirviðmiðalisti (Lýsigögn)'!$C$42:$C$58,0))),""),IFERROR(IF(INDEX('Undirviðmiðalisti (Lýsigögn)'!M$6:M$41,MATCH($C182,'Undirviðmiðalisti (Lýsigögn)'!$C$6:$C$41,0))="","",INDEX('Undirviðmiðalisti (Lýsigögn)'!M$6:M$41,MATCH($C182,'Undirviðmiðalisti (Lýsigögn)'!$C$6:$C$41,0))),IFERROR(IF(INDEX('Undirviðmiðalisti (Lýsigögn)'!M$42:M$58,MATCH($C182,'Undirviðmiðalisti (Lýsigögn)'!$C$42:$C$58,0))="","",INDEX('Undirviðmiðalisti (Lýsigögn)'!M$42:M$58,MATCH($C182,'Undirviðmiðalisti (Lýsigögn)'!$C$42:$C$58,0))),""))))</f>
        <v/>
      </c>
    </row>
    <row r="183" customFormat="false" ht="15" hidden="false" customHeight="true" outlineLevel="0" collapsed="false">
      <c r="A183" s="22" t="str">
        <f aca="false">IF($B183="","",ROW()-5)</f>
        <v/>
      </c>
      <c r="B183" s="15"/>
      <c r="C183" s="15"/>
      <c r="D183" s="16" t="str">
        <f aca="false">IF($C183="","",IF($G183="Einstaklingsbundið",IFERROR(IF(INDEX('Undirviðmiðalisti (Lýsigögn)'!$D$42:$D$58,MATCH($C183,'Undirviðmiðalisti (Lýsigögn)'!$C$42:$C$58,0))="","",INDEX('Undirviðmiðalisti (Lýsigögn)'!$D$42:$D$58,MATCH($C183,'Undirviðmiðalisti (Lýsigögn)'!$C$42:$C$58,0))),""),IFERROR(IF(INDEX('Undirviðmiðalisti (Lýsigögn)'!$D$6:$D$41,MATCH($C183,'Undirviðmiðalisti (Lýsigögn)'!$C$6:$C$41,0))="","",INDEX('Undirviðmiðalisti (Lýsigögn)'!$D$6:$D$41,MATCH($C183,'Undirviðmiðalisti (Lýsigögn)'!$C$6:$C$41,0))),IFERROR(IF(INDEX('Undirviðmiðalisti (Lýsigögn)'!$D$42:$D$58,MATCH($C183,'Undirviðmiðalisti (Lýsigögn)'!$C$42:$C$58,0))="","",INDEX('Undirviðmiðalisti (Lýsigögn)'!$D$42:$D$58,MATCH($C183,'Undirviðmiðalisti (Lýsigögn)'!$C$42:$C$58,0))),""))))</f>
        <v/>
      </c>
      <c r="E183" s="14"/>
      <c r="F183" s="23" t="str">
        <f aca="false">IF($C183="","",IF($G183="Einstaklingsbundið",IFERROR(IF(INDEX('Undirviðmiðalisti (Lýsigögn)'!$E$42:$E$58,MATCH($C183,'Undirviðmiðalisti (Lýsigögn)'!$C$42:$C$58,0))="","",INDEX('Undirviðmiðalisti (Lýsigögn)'!$E$42:$E$58,MATCH($C183,'Undirviðmiðalisti (Lýsigögn)'!$C$42:$C$58,0))),""),IFERROR(IF(INDEX('Undirviðmiðalisti (Lýsigögn)'!$E$6:$E$41,MATCH($C183,'Undirviðmiðalisti (Lýsigögn)'!$C$6:$C$41,0))="","",INDEX('Undirviðmiðalisti (Lýsigögn)'!$E$6:$E$41,MATCH($C183,'Undirviðmiðalisti (Lýsigögn)'!$C$6:$C$41,0))),IFERROR(IF(INDEX('Undirviðmiðalisti (Lýsigögn)'!$E$42:$E$58,MATCH($C183,'Undirviðmiðalisti (Lýsigögn)'!$C$42:$C$58,0))="","",INDEX('Undirviðmiðalisti (Lýsigögn)'!$E$42:$E$58,MATCH($C183,'Undirviðmiðalisti (Lýsigögn)'!$C$42:$C$58,0))),""))))</f>
        <v/>
      </c>
      <c r="G183" s="24" t="str">
        <f aca="false">IFERROR(IF(B183="","",INDEX(Viðmið!$B$6:$B$10,MATCH(B183,Viðmið!$C$6:$C$10,0))),"")</f>
        <v/>
      </c>
      <c r="H183" s="25" t="str">
        <f aca="false">IF(OR(E183="",F183=""),"",E183*KVARDI)</f>
        <v/>
      </c>
      <c r="I183" s="26" t="str">
        <f aca="false">IF(B183="","",IF(ROUND(SUMIF($B$6:$B$205,B183,$E$6:$E$205),4)=ROUND(IFERROR(INDEX(Viðmið!$E$6:$E$10,MATCH(B183,Viðmið!$C$6:$C$10,0)),-1),4),"✓","✗"))</f>
        <v/>
      </c>
      <c r="J183" s="16" t="str">
        <f aca="false">IF($C183="","",IF($G183="Einstaklingsbundið",IFERROR(IF(INDEX('Undirviðmiðalisti (Lýsigögn)'!F$42:F$58,MATCH($C183,'Undirviðmiðalisti (Lýsigögn)'!$C$42:$C$58,0))="","",INDEX('Undirviðmiðalisti (Lýsigögn)'!F$42:F$58,MATCH($C183,'Undirviðmiðalisti (Lýsigögn)'!$C$42:$C$58,0))),""),IFERROR(IF(INDEX('Undirviðmiðalisti (Lýsigögn)'!F$6:F$41,MATCH($C183,'Undirviðmiðalisti (Lýsigögn)'!$C$6:$C$41,0))="","",INDEX('Undirviðmiðalisti (Lýsigögn)'!F$6:F$41,MATCH($C183,'Undirviðmiðalisti (Lýsigögn)'!$C$6:$C$41,0))),IFERROR(IF(INDEX('Undirviðmiðalisti (Lýsigögn)'!F$42:F$58,MATCH($C183,'Undirviðmiðalisti (Lýsigögn)'!$C$42:$C$58,0))="","",INDEX('Undirviðmiðalisti (Lýsigögn)'!F$42:F$58,MATCH($C183,'Undirviðmiðalisti (Lýsigögn)'!$C$42:$C$58,0))),""))))</f>
        <v/>
      </c>
      <c r="K183" s="16" t="str">
        <f aca="false">IF($C183="","",IF($G183="Einstaklingsbundið",IFERROR(IF(INDEX('Undirviðmiðalisti (Lýsigögn)'!G$42:G$58,MATCH($C183,'Undirviðmiðalisti (Lýsigögn)'!$C$42:$C$58,0))="","",INDEX('Undirviðmiðalisti (Lýsigögn)'!G$42:G$58,MATCH($C183,'Undirviðmiðalisti (Lýsigögn)'!$C$42:$C$58,0))),""),IFERROR(IF(INDEX('Undirviðmiðalisti (Lýsigögn)'!G$6:G$41,MATCH($C183,'Undirviðmiðalisti (Lýsigögn)'!$C$6:$C$41,0))="","",INDEX('Undirviðmiðalisti (Lýsigögn)'!G$6:G$41,MATCH($C183,'Undirviðmiðalisti (Lýsigögn)'!$C$6:$C$41,0))),IFERROR(IF(INDEX('Undirviðmiðalisti (Lýsigögn)'!G$42:G$58,MATCH($C183,'Undirviðmiðalisti (Lýsigögn)'!$C$42:$C$58,0))="","",INDEX('Undirviðmiðalisti (Lýsigögn)'!G$42:G$58,MATCH($C183,'Undirviðmiðalisti (Lýsigögn)'!$C$42:$C$58,0))),""))))</f>
        <v/>
      </c>
      <c r="L183" s="16" t="str">
        <f aca="false">IF($C183="","",IF($G183="Einstaklingsbundið",IFERROR(IF(INDEX('Undirviðmiðalisti (Lýsigögn)'!H$42:H$58,MATCH($C183,'Undirviðmiðalisti (Lýsigögn)'!$C$42:$C$58,0))="","",INDEX('Undirviðmiðalisti (Lýsigögn)'!H$42:H$58,MATCH($C183,'Undirviðmiðalisti (Lýsigögn)'!$C$42:$C$58,0))),""),IFERROR(IF(INDEX('Undirviðmiðalisti (Lýsigögn)'!H$6:H$41,MATCH($C183,'Undirviðmiðalisti (Lýsigögn)'!$C$6:$C$41,0))="","",INDEX('Undirviðmiðalisti (Lýsigögn)'!H$6:H$41,MATCH($C183,'Undirviðmiðalisti (Lýsigögn)'!$C$6:$C$41,0))),IFERROR(IF(INDEX('Undirviðmiðalisti (Lýsigögn)'!H$42:H$58,MATCH($C183,'Undirviðmiðalisti (Lýsigögn)'!$C$42:$C$58,0))="","",INDEX('Undirviðmiðalisti (Lýsigögn)'!H$42:H$58,MATCH($C183,'Undirviðmiðalisti (Lýsigögn)'!$C$42:$C$58,0))),""))))</f>
        <v/>
      </c>
      <c r="M183" s="16" t="str">
        <f aca="false">IF($C183="","",IF($G183="Einstaklingsbundið",IFERROR(IF(INDEX('Undirviðmiðalisti (Lýsigögn)'!I$42:I$58,MATCH($C183,'Undirviðmiðalisti (Lýsigögn)'!$C$42:$C$58,0))="","",INDEX('Undirviðmiðalisti (Lýsigögn)'!I$42:I$58,MATCH($C183,'Undirviðmiðalisti (Lýsigögn)'!$C$42:$C$58,0))),""),IFERROR(IF(INDEX('Undirviðmiðalisti (Lýsigögn)'!I$6:I$41,MATCH($C183,'Undirviðmiðalisti (Lýsigögn)'!$C$6:$C$41,0))="","",INDEX('Undirviðmiðalisti (Lýsigögn)'!I$6:I$41,MATCH($C183,'Undirviðmiðalisti (Lýsigögn)'!$C$6:$C$41,0))),IFERROR(IF(INDEX('Undirviðmiðalisti (Lýsigögn)'!I$42:I$58,MATCH($C183,'Undirviðmiðalisti (Lýsigögn)'!$C$42:$C$58,0))="","",INDEX('Undirviðmiðalisti (Lýsigögn)'!I$42:I$58,MATCH($C183,'Undirviðmiðalisti (Lýsigögn)'!$C$42:$C$58,0))),""))))</f>
        <v/>
      </c>
      <c r="N183" s="16" t="str">
        <f aca="false">IF($C183="","",IF($G183="Einstaklingsbundið",IFERROR(IF(INDEX('Undirviðmiðalisti (Lýsigögn)'!J$42:J$58,MATCH($C183,'Undirviðmiðalisti (Lýsigögn)'!$C$42:$C$58,0))="","",INDEX('Undirviðmiðalisti (Lýsigögn)'!J$42:J$58,MATCH($C183,'Undirviðmiðalisti (Lýsigögn)'!$C$42:$C$58,0))),""),IFERROR(IF(INDEX('Undirviðmiðalisti (Lýsigögn)'!J$6:J$41,MATCH($C183,'Undirviðmiðalisti (Lýsigögn)'!$C$6:$C$41,0))="","",INDEX('Undirviðmiðalisti (Lýsigögn)'!J$6:J$41,MATCH($C183,'Undirviðmiðalisti (Lýsigögn)'!$C$6:$C$41,0))),IFERROR(IF(INDEX('Undirviðmiðalisti (Lýsigögn)'!J$42:J$58,MATCH($C183,'Undirviðmiðalisti (Lýsigögn)'!$C$42:$C$58,0))="","",INDEX('Undirviðmiðalisti (Lýsigögn)'!J$42:J$58,MATCH($C183,'Undirviðmiðalisti (Lýsigögn)'!$C$42:$C$58,0))),""))))</f>
        <v/>
      </c>
      <c r="O183" s="16" t="str">
        <f aca="false">IF($C183="","",IF($G183="Einstaklingsbundið",IFERROR(IF(INDEX('Undirviðmiðalisti (Lýsigögn)'!K$42:K$58,MATCH($C183,'Undirviðmiðalisti (Lýsigögn)'!$C$42:$C$58,0))="","",INDEX('Undirviðmiðalisti (Lýsigögn)'!K$42:K$58,MATCH($C183,'Undirviðmiðalisti (Lýsigögn)'!$C$42:$C$58,0))),""),IFERROR(IF(INDEX('Undirviðmiðalisti (Lýsigögn)'!K$6:K$41,MATCH($C183,'Undirviðmiðalisti (Lýsigögn)'!$C$6:$C$41,0))="","",INDEX('Undirviðmiðalisti (Lýsigögn)'!K$6:K$41,MATCH($C183,'Undirviðmiðalisti (Lýsigögn)'!$C$6:$C$41,0))),IFERROR(IF(INDEX('Undirviðmiðalisti (Lýsigögn)'!K$42:K$58,MATCH($C183,'Undirviðmiðalisti (Lýsigögn)'!$C$42:$C$58,0))="","",INDEX('Undirviðmiðalisti (Lýsigögn)'!K$42:K$58,MATCH($C183,'Undirviðmiðalisti (Lýsigögn)'!$C$42:$C$58,0))),""))))</f>
        <v/>
      </c>
      <c r="P183" s="16" t="str">
        <f aca="false">IF($C183="","",IF($G183="Einstaklingsbundið",IFERROR(IF(INDEX('Undirviðmiðalisti (Lýsigögn)'!L$42:L$58,MATCH($C183,'Undirviðmiðalisti (Lýsigögn)'!$C$42:$C$58,0))="","",INDEX('Undirviðmiðalisti (Lýsigögn)'!L$42:L$58,MATCH($C183,'Undirviðmiðalisti (Lýsigögn)'!$C$42:$C$58,0))),""),IFERROR(IF(INDEX('Undirviðmiðalisti (Lýsigögn)'!L$6:L$41,MATCH($C183,'Undirviðmiðalisti (Lýsigögn)'!$C$6:$C$41,0))="","",INDEX('Undirviðmiðalisti (Lýsigögn)'!L$6:L$41,MATCH($C183,'Undirviðmiðalisti (Lýsigögn)'!$C$6:$C$41,0))),IFERROR(IF(INDEX('Undirviðmiðalisti (Lýsigögn)'!L$42:L$58,MATCH($C183,'Undirviðmiðalisti (Lýsigögn)'!$C$42:$C$58,0))="","",INDEX('Undirviðmiðalisti (Lýsigögn)'!L$42:L$58,MATCH($C183,'Undirviðmiðalisti (Lýsigögn)'!$C$42:$C$58,0))),""))))</f>
        <v/>
      </c>
      <c r="Q183" s="16" t="str">
        <f aca="false">IF($C183="","",IF($G183="Einstaklingsbundið",IFERROR(IF(INDEX('Undirviðmiðalisti (Lýsigögn)'!M$42:M$58,MATCH($C183,'Undirviðmiðalisti (Lýsigögn)'!$C$42:$C$58,0))="","",INDEX('Undirviðmiðalisti (Lýsigögn)'!M$42:M$58,MATCH($C183,'Undirviðmiðalisti (Lýsigögn)'!$C$42:$C$58,0))),""),IFERROR(IF(INDEX('Undirviðmiðalisti (Lýsigögn)'!M$6:M$41,MATCH($C183,'Undirviðmiðalisti (Lýsigögn)'!$C$6:$C$41,0))="","",INDEX('Undirviðmiðalisti (Lýsigögn)'!M$6:M$41,MATCH($C183,'Undirviðmiðalisti (Lýsigögn)'!$C$6:$C$41,0))),IFERROR(IF(INDEX('Undirviðmiðalisti (Lýsigögn)'!M$42:M$58,MATCH($C183,'Undirviðmiðalisti (Lýsigögn)'!$C$42:$C$58,0))="","",INDEX('Undirviðmiðalisti (Lýsigögn)'!M$42:M$58,MATCH($C183,'Undirviðmiðalisti (Lýsigögn)'!$C$42:$C$58,0))),""))))</f>
        <v/>
      </c>
    </row>
    <row r="184" customFormat="false" ht="15" hidden="false" customHeight="true" outlineLevel="0" collapsed="false">
      <c r="A184" s="22" t="str">
        <f aca="false">IF($B184="","",ROW()-5)</f>
        <v/>
      </c>
      <c r="B184" s="15"/>
      <c r="C184" s="15"/>
      <c r="D184" s="16" t="str">
        <f aca="false">IF($C184="","",IF($G184="Einstaklingsbundið",IFERROR(IF(INDEX('Undirviðmiðalisti (Lýsigögn)'!$D$42:$D$58,MATCH($C184,'Undirviðmiðalisti (Lýsigögn)'!$C$42:$C$58,0))="","",INDEX('Undirviðmiðalisti (Lýsigögn)'!$D$42:$D$58,MATCH($C184,'Undirviðmiðalisti (Lýsigögn)'!$C$42:$C$58,0))),""),IFERROR(IF(INDEX('Undirviðmiðalisti (Lýsigögn)'!$D$6:$D$41,MATCH($C184,'Undirviðmiðalisti (Lýsigögn)'!$C$6:$C$41,0))="","",INDEX('Undirviðmiðalisti (Lýsigögn)'!$D$6:$D$41,MATCH($C184,'Undirviðmiðalisti (Lýsigögn)'!$C$6:$C$41,0))),IFERROR(IF(INDEX('Undirviðmiðalisti (Lýsigögn)'!$D$42:$D$58,MATCH($C184,'Undirviðmiðalisti (Lýsigögn)'!$C$42:$C$58,0))="","",INDEX('Undirviðmiðalisti (Lýsigögn)'!$D$42:$D$58,MATCH($C184,'Undirviðmiðalisti (Lýsigögn)'!$C$42:$C$58,0))),""))))</f>
        <v/>
      </c>
      <c r="E184" s="14"/>
      <c r="F184" s="23" t="str">
        <f aca="false">IF($C184="","",IF($G184="Einstaklingsbundið",IFERROR(IF(INDEX('Undirviðmiðalisti (Lýsigögn)'!$E$42:$E$58,MATCH($C184,'Undirviðmiðalisti (Lýsigögn)'!$C$42:$C$58,0))="","",INDEX('Undirviðmiðalisti (Lýsigögn)'!$E$42:$E$58,MATCH($C184,'Undirviðmiðalisti (Lýsigögn)'!$C$42:$C$58,0))),""),IFERROR(IF(INDEX('Undirviðmiðalisti (Lýsigögn)'!$E$6:$E$41,MATCH($C184,'Undirviðmiðalisti (Lýsigögn)'!$C$6:$C$41,0))="","",INDEX('Undirviðmiðalisti (Lýsigögn)'!$E$6:$E$41,MATCH($C184,'Undirviðmiðalisti (Lýsigögn)'!$C$6:$C$41,0))),IFERROR(IF(INDEX('Undirviðmiðalisti (Lýsigögn)'!$E$42:$E$58,MATCH($C184,'Undirviðmiðalisti (Lýsigögn)'!$C$42:$C$58,0))="","",INDEX('Undirviðmiðalisti (Lýsigögn)'!$E$42:$E$58,MATCH($C184,'Undirviðmiðalisti (Lýsigögn)'!$C$42:$C$58,0))),""))))</f>
        <v/>
      </c>
      <c r="G184" s="24" t="str">
        <f aca="false">IFERROR(IF(B184="","",INDEX(Viðmið!$B$6:$B$10,MATCH(B184,Viðmið!$C$6:$C$10,0))),"")</f>
        <v/>
      </c>
      <c r="H184" s="25" t="str">
        <f aca="false">IF(OR(E184="",F184=""),"",E184*KVARDI)</f>
        <v/>
      </c>
      <c r="I184" s="26" t="str">
        <f aca="false">IF(B184="","",IF(ROUND(SUMIF($B$6:$B$205,B184,$E$6:$E$205),4)=ROUND(IFERROR(INDEX(Viðmið!$E$6:$E$10,MATCH(B184,Viðmið!$C$6:$C$10,0)),-1),4),"✓","✗"))</f>
        <v/>
      </c>
      <c r="J184" s="16" t="str">
        <f aca="false">IF($C184="","",IF($G184="Einstaklingsbundið",IFERROR(IF(INDEX('Undirviðmiðalisti (Lýsigögn)'!F$42:F$58,MATCH($C184,'Undirviðmiðalisti (Lýsigögn)'!$C$42:$C$58,0))="","",INDEX('Undirviðmiðalisti (Lýsigögn)'!F$42:F$58,MATCH($C184,'Undirviðmiðalisti (Lýsigögn)'!$C$42:$C$58,0))),""),IFERROR(IF(INDEX('Undirviðmiðalisti (Lýsigögn)'!F$6:F$41,MATCH($C184,'Undirviðmiðalisti (Lýsigögn)'!$C$6:$C$41,0))="","",INDEX('Undirviðmiðalisti (Lýsigögn)'!F$6:F$41,MATCH($C184,'Undirviðmiðalisti (Lýsigögn)'!$C$6:$C$41,0))),IFERROR(IF(INDEX('Undirviðmiðalisti (Lýsigögn)'!F$42:F$58,MATCH($C184,'Undirviðmiðalisti (Lýsigögn)'!$C$42:$C$58,0))="","",INDEX('Undirviðmiðalisti (Lýsigögn)'!F$42:F$58,MATCH($C184,'Undirviðmiðalisti (Lýsigögn)'!$C$42:$C$58,0))),""))))</f>
        <v/>
      </c>
      <c r="K184" s="16" t="str">
        <f aca="false">IF($C184="","",IF($G184="Einstaklingsbundið",IFERROR(IF(INDEX('Undirviðmiðalisti (Lýsigögn)'!G$42:G$58,MATCH($C184,'Undirviðmiðalisti (Lýsigögn)'!$C$42:$C$58,0))="","",INDEX('Undirviðmiðalisti (Lýsigögn)'!G$42:G$58,MATCH($C184,'Undirviðmiðalisti (Lýsigögn)'!$C$42:$C$58,0))),""),IFERROR(IF(INDEX('Undirviðmiðalisti (Lýsigögn)'!G$6:G$41,MATCH($C184,'Undirviðmiðalisti (Lýsigögn)'!$C$6:$C$41,0))="","",INDEX('Undirviðmiðalisti (Lýsigögn)'!G$6:G$41,MATCH($C184,'Undirviðmiðalisti (Lýsigögn)'!$C$6:$C$41,0))),IFERROR(IF(INDEX('Undirviðmiðalisti (Lýsigögn)'!G$42:G$58,MATCH($C184,'Undirviðmiðalisti (Lýsigögn)'!$C$42:$C$58,0))="","",INDEX('Undirviðmiðalisti (Lýsigögn)'!G$42:G$58,MATCH($C184,'Undirviðmiðalisti (Lýsigögn)'!$C$42:$C$58,0))),""))))</f>
        <v/>
      </c>
      <c r="L184" s="16" t="str">
        <f aca="false">IF($C184="","",IF($G184="Einstaklingsbundið",IFERROR(IF(INDEX('Undirviðmiðalisti (Lýsigögn)'!H$42:H$58,MATCH($C184,'Undirviðmiðalisti (Lýsigögn)'!$C$42:$C$58,0))="","",INDEX('Undirviðmiðalisti (Lýsigögn)'!H$42:H$58,MATCH($C184,'Undirviðmiðalisti (Lýsigögn)'!$C$42:$C$58,0))),""),IFERROR(IF(INDEX('Undirviðmiðalisti (Lýsigögn)'!H$6:H$41,MATCH($C184,'Undirviðmiðalisti (Lýsigögn)'!$C$6:$C$41,0))="","",INDEX('Undirviðmiðalisti (Lýsigögn)'!H$6:H$41,MATCH($C184,'Undirviðmiðalisti (Lýsigögn)'!$C$6:$C$41,0))),IFERROR(IF(INDEX('Undirviðmiðalisti (Lýsigögn)'!H$42:H$58,MATCH($C184,'Undirviðmiðalisti (Lýsigögn)'!$C$42:$C$58,0))="","",INDEX('Undirviðmiðalisti (Lýsigögn)'!H$42:H$58,MATCH($C184,'Undirviðmiðalisti (Lýsigögn)'!$C$42:$C$58,0))),""))))</f>
        <v/>
      </c>
      <c r="M184" s="16" t="str">
        <f aca="false">IF($C184="","",IF($G184="Einstaklingsbundið",IFERROR(IF(INDEX('Undirviðmiðalisti (Lýsigögn)'!I$42:I$58,MATCH($C184,'Undirviðmiðalisti (Lýsigögn)'!$C$42:$C$58,0))="","",INDEX('Undirviðmiðalisti (Lýsigögn)'!I$42:I$58,MATCH($C184,'Undirviðmiðalisti (Lýsigögn)'!$C$42:$C$58,0))),""),IFERROR(IF(INDEX('Undirviðmiðalisti (Lýsigögn)'!I$6:I$41,MATCH($C184,'Undirviðmiðalisti (Lýsigögn)'!$C$6:$C$41,0))="","",INDEX('Undirviðmiðalisti (Lýsigögn)'!I$6:I$41,MATCH($C184,'Undirviðmiðalisti (Lýsigögn)'!$C$6:$C$41,0))),IFERROR(IF(INDEX('Undirviðmiðalisti (Lýsigögn)'!I$42:I$58,MATCH($C184,'Undirviðmiðalisti (Lýsigögn)'!$C$42:$C$58,0))="","",INDEX('Undirviðmiðalisti (Lýsigögn)'!I$42:I$58,MATCH($C184,'Undirviðmiðalisti (Lýsigögn)'!$C$42:$C$58,0))),""))))</f>
        <v/>
      </c>
      <c r="N184" s="16" t="str">
        <f aca="false">IF($C184="","",IF($G184="Einstaklingsbundið",IFERROR(IF(INDEX('Undirviðmiðalisti (Lýsigögn)'!J$42:J$58,MATCH($C184,'Undirviðmiðalisti (Lýsigögn)'!$C$42:$C$58,0))="","",INDEX('Undirviðmiðalisti (Lýsigögn)'!J$42:J$58,MATCH($C184,'Undirviðmiðalisti (Lýsigögn)'!$C$42:$C$58,0))),""),IFERROR(IF(INDEX('Undirviðmiðalisti (Lýsigögn)'!J$6:J$41,MATCH($C184,'Undirviðmiðalisti (Lýsigögn)'!$C$6:$C$41,0))="","",INDEX('Undirviðmiðalisti (Lýsigögn)'!J$6:J$41,MATCH($C184,'Undirviðmiðalisti (Lýsigögn)'!$C$6:$C$41,0))),IFERROR(IF(INDEX('Undirviðmiðalisti (Lýsigögn)'!J$42:J$58,MATCH($C184,'Undirviðmiðalisti (Lýsigögn)'!$C$42:$C$58,0))="","",INDEX('Undirviðmiðalisti (Lýsigögn)'!J$42:J$58,MATCH($C184,'Undirviðmiðalisti (Lýsigögn)'!$C$42:$C$58,0))),""))))</f>
        <v/>
      </c>
      <c r="O184" s="16" t="str">
        <f aca="false">IF($C184="","",IF($G184="Einstaklingsbundið",IFERROR(IF(INDEX('Undirviðmiðalisti (Lýsigögn)'!K$42:K$58,MATCH($C184,'Undirviðmiðalisti (Lýsigögn)'!$C$42:$C$58,0))="","",INDEX('Undirviðmiðalisti (Lýsigögn)'!K$42:K$58,MATCH($C184,'Undirviðmiðalisti (Lýsigögn)'!$C$42:$C$58,0))),""),IFERROR(IF(INDEX('Undirviðmiðalisti (Lýsigögn)'!K$6:K$41,MATCH($C184,'Undirviðmiðalisti (Lýsigögn)'!$C$6:$C$41,0))="","",INDEX('Undirviðmiðalisti (Lýsigögn)'!K$6:K$41,MATCH($C184,'Undirviðmiðalisti (Lýsigögn)'!$C$6:$C$41,0))),IFERROR(IF(INDEX('Undirviðmiðalisti (Lýsigögn)'!K$42:K$58,MATCH($C184,'Undirviðmiðalisti (Lýsigögn)'!$C$42:$C$58,0))="","",INDEX('Undirviðmiðalisti (Lýsigögn)'!K$42:K$58,MATCH($C184,'Undirviðmiðalisti (Lýsigögn)'!$C$42:$C$58,0))),""))))</f>
        <v/>
      </c>
      <c r="P184" s="16" t="str">
        <f aca="false">IF($C184="","",IF($G184="Einstaklingsbundið",IFERROR(IF(INDEX('Undirviðmiðalisti (Lýsigögn)'!L$42:L$58,MATCH($C184,'Undirviðmiðalisti (Lýsigögn)'!$C$42:$C$58,0))="","",INDEX('Undirviðmiðalisti (Lýsigögn)'!L$42:L$58,MATCH($C184,'Undirviðmiðalisti (Lýsigögn)'!$C$42:$C$58,0))),""),IFERROR(IF(INDEX('Undirviðmiðalisti (Lýsigögn)'!L$6:L$41,MATCH($C184,'Undirviðmiðalisti (Lýsigögn)'!$C$6:$C$41,0))="","",INDEX('Undirviðmiðalisti (Lýsigögn)'!L$6:L$41,MATCH($C184,'Undirviðmiðalisti (Lýsigögn)'!$C$6:$C$41,0))),IFERROR(IF(INDEX('Undirviðmiðalisti (Lýsigögn)'!L$42:L$58,MATCH($C184,'Undirviðmiðalisti (Lýsigögn)'!$C$42:$C$58,0))="","",INDEX('Undirviðmiðalisti (Lýsigögn)'!L$42:L$58,MATCH($C184,'Undirviðmiðalisti (Lýsigögn)'!$C$42:$C$58,0))),""))))</f>
        <v/>
      </c>
      <c r="Q184" s="16" t="str">
        <f aca="false">IF($C184="","",IF($G184="Einstaklingsbundið",IFERROR(IF(INDEX('Undirviðmiðalisti (Lýsigögn)'!M$42:M$58,MATCH($C184,'Undirviðmiðalisti (Lýsigögn)'!$C$42:$C$58,0))="","",INDEX('Undirviðmiðalisti (Lýsigögn)'!M$42:M$58,MATCH($C184,'Undirviðmiðalisti (Lýsigögn)'!$C$42:$C$58,0))),""),IFERROR(IF(INDEX('Undirviðmiðalisti (Lýsigögn)'!M$6:M$41,MATCH($C184,'Undirviðmiðalisti (Lýsigögn)'!$C$6:$C$41,0))="","",INDEX('Undirviðmiðalisti (Lýsigögn)'!M$6:M$41,MATCH($C184,'Undirviðmiðalisti (Lýsigögn)'!$C$6:$C$41,0))),IFERROR(IF(INDEX('Undirviðmiðalisti (Lýsigögn)'!M$42:M$58,MATCH($C184,'Undirviðmiðalisti (Lýsigögn)'!$C$42:$C$58,0))="","",INDEX('Undirviðmiðalisti (Lýsigögn)'!M$42:M$58,MATCH($C184,'Undirviðmiðalisti (Lýsigögn)'!$C$42:$C$58,0))),""))))</f>
        <v/>
      </c>
    </row>
    <row r="185" customFormat="false" ht="15" hidden="false" customHeight="true" outlineLevel="0" collapsed="false">
      <c r="A185" s="22" t="str">
        <f aca="false">IF($B185="","",ROW()-5)</f>
        <v/>
      </c>
      <c r="B185" s="15"/>
      <c r="C185" s="15"/>
      <c r="D185" s="16" t="str">
        <f aca="false">IF($C185="","",IF($G185="Einstaklingsbundið",IFERROR(IF(INDEX('Undirviðmiðalisti (Lýsigögn)'!$D$42:$D$58,MATCH($C185,'Undirviðmiðalisti (Lýsigögn)'!$C$42:$C$58,0))="","",INDEX('Undirviðmiðalisti (Lýsigögn)'!$D$42:$D$58,MATCH($C185,'Undirviðmiðalisti (Lýsigögn)'!$C$42:$C$58,0))),""),IFERROR(IF(INDEX('Undirviðmiðalisti (Lýsigögn)'!$D$6:$D$41,MATCH($C185,'Undirviðmiðalisti (Lýsigögn)'!$C$6:$C$41,0))="","",INDEX('Undirviðmiðalisti (Lýsigögn)'!$D$6:$D$41,MATCH($C185,'Undirviðmiðalisti (Lýsigögn)'!$C$6:$C$41,0))),IFERROR(IF(INDEX('Undirviðmiðalisti (Lýsigögn)'!$D$42:$D$58,MATCH($C185,'Undirviðmiðalisti (Lýsigögn)'!$C$42:$C$58,0))="","",INDEX('Undirviðmiðalisti (Lýsigögn)'!$D$42:$D$58,MATCH($C185,'Undirviðmiðalisti (Lýsigögn)'!$C$42:$C$58,0))),""))))</f>
        <v/>
      </c>
      <c r="E185" s="14"/>
      <c r="F185" s="23" t="str">
        <f aca="false">IF($C185="","",IF($G185="Einstaklingsbundið",IFERROR(IF(INDEX('Undirviðmiðalisti (Lýsigögn)'!$E$42:$E$58,MATCH($C185,'Undirviðmiðalisti (Lýsigögn)'!$C$42:$C$58,0))="","",INDEX('Undirviðmiðalisti (Lýsigögn)'!$E$42:$E$58,MATCH($C185,'Undirviðmiðalisti (Lýsigögn)'!$C$42:$C$58,0))),""),IFERROR(IF(INDEX('Undirviðmiðalisti (Lýsigögn)'!$E$6:$E$41,MATCH($C185,'Undirviðmiðalisti (Lýsigögn)'!$C$6:$C$41,0))="","",INDEX('Undirviðmiðalisti (Lýsigögn)'!$E$6:$E$41,MATCH($C185,'Undirviðmiðalisti (Lýsigögn)'!$C$6:$C$41,0))),IFERROR(IF(INDEX('Undirviðmiðalisti (Lýsigögn)'!$E$42:$E$58,MATCH($C185,'Undirviðmiðalisti (Lýsigögn)'!$C$42:$C$58,0))="","",INDEX('Undirviðmiðalisti (Lýsigögn)'!$E$42:$E$58,MATCH($C185,'Undirviðmiðalisti (Lýsigögn)'!$C$42:$C$58,0))),""))))</f>
        <v/>
      </c>
      <c r="G185" s="24" t="str">
        <f aca="false">IFERROR(IF(B185="","",INDEX(Viðmið!$B$6:$B$10,MATCH(B185,Viðmið!$C$6:$C$10,0))),"")</f>
        <v/>
      </c>
      <c r="H185" s="25" t="str">
        <f aca="false">IF(OR(E185="",F185=""),"",E185*KVARDI)</f>
        <v/>
      </c>
      <c r="I185" s="26" t="str">
        <f aca="false">IF(B185="","",IF(ROUND(SUMIF($B$6:$B$205,B185,$E$6:$E$205),4)=ROUND(IFERROR(INDEX(Viðmið!$E$6:$E$10,MATCH(B185,Viðmið!$C$6:$C$10,0)),-1),4),"✓","✗"))</f>
        <v/>
      </c>
      <c r="J185" s="16" t="str">
        <f aca="false">IF($C185="","",IF($G185="Einstaklingsbundið",IFERROR(IF(INDEX('Undirviðmiðalisti (Lýsigögn)'!F$42:F$58,MATCH($C185,'Undirviðmiðalisti (Lýsigögn)'!$C$42:$C$58,0))="","",INDEX('Undirviðmiðalisti (Lýsigögn)'!F$42:F$58,MATCH($C185,'Undirviðmiðalisti (Lýsigögn)'!$C$42:$C$58,0))),""),IFERROR(IF(INDEX('Undirviðmiðalisti (Lýsigögn)'!F$6:F$41,MATCH($C185,'Undirviðmiðalisti (Lýsigögn)'!$C$6:$C$41,0))="","",INDEX('Undirviðmiðalisti (Lýsigögn)'!F$6:F$41,MATCH($C185,'Undirviðmiðalisti (Lýsigögn)'!$C$6:$C$41,0))),IFERROR(IF(INDEX('Undirviðmiðalisti (Lýsigögn)'!F$42:F$58,MATCH($C185,'Undirviðmiðalisti (Lýsigögn)'!$C$42:$C$58,0))="","",INDEX('Undirviðmiðalisti (Lýsigögn)'!F$42:F$58,MATCH($C185,'Undirviðmiðalisti (Lýsigögn)'!$C$42:$C$58,0))),""))))</f>
        <v/>
      </c>
      <c r="K185" s="16" t="str">
        <f aca="false">IF($C185="","",IF($G185="Einstaklingsbundið",IFERROR(IF(INDEX('Undirviðmiðalisti (Lýsigögn)'!G$42:G$58,MATCH($C185,'Undirviðmiðalisti (Lýsigögn)'!$C$42:$C$58,0))="","",INDEX('Undirviðmiðalisti (Lýsigögn)'!G$42:G$58,MATCH($C185,'Undirviðmiðalisti (Lýsigögn)'!$C$42:$C$58,0))),""),IFERROR(IF(INDEX('Undirviðmiðalisti (Lýsigögn)'!G$6:G$41,MATCH($C185,'Undirviðmiðalisti (Lýsigögn)'!$C$6:$C$41,0))="","",INDEX('Undirviðmiðalisti (Lýsigögn)'!G$6:G$41,MATCH($C185,'Undirviðmiðalisti (Lýsigögn)'!$C$6:$C$41,0))),IFERROR(IF(INDEX('Undirviðmiðalisti (Lýsigögn)'!G$42:G$58,MATCH($C185,'Undirviðmiðalisti (Lýsigögn)'!$C$42:$C$58,0))="","",INDEX('Undirviðmiðalisti (Lýsigögn)'!G$42:G$58,MATCH($C185,'Undirviðmiðalisti (Lýsigögn)'!$C$42:$C$58,0))),""))))</f>
        <v/>
      </c>
      <c r="L185" s="16" t="str">
        <f aca="false">IF($C185="","",IF($G185="Einstaklingsbundið",IFERROR(IF(INDEX('Undirviðmiðalisti (Lýsigögn)'!H$42:H$58,MATCH($C185,'Undirviðmiðalisti (Lýsigögn)'!$C$42:$C$58,0))="","",INDEX('Undirviðmiðalisti (Lýsigögn)'!H$42:H$58,MATCH($C185,'Undirviðmiðalisti (Lýsigögn)'!$C$42:$C$58,0))),""),IFERROR(IF(INDEX('Undirviðmiðalisti (Lýsigögn)'!H$6:H$41,MATCH($C185,'Undirviðmiðalisti (Lýsigögn)'!$C$6:$C$41,0))="","",INDEX('Undirviðmiðalisti (Lýsigögn)'!H$6:H$41,MATCH($C185,'Undirviðmiðalisti (Lýsigögn)'!$C$6:$C$41,0))),IFERROR(IF(INDEX('Undirviðmiðalisti (Lýsigögn)'!H$42:H$58,MATCH($C185,'Undirviðmiðalisti (Lýsigögn)'!$C$42:$C$58,0))="","",INDEX('Undirviðmiðalisti (Lýsigögn)'!H$42:H$58,MATCH($C185,'Undirviðmiðalisti (Lýsigögn)'!$C$42:$C$58,0))),""))))</f>
        <v/>
      </c>
      <c r="M185" s="16" t="str">
        <f aca="false">IF($C185="","",IF($G185="Einstaklingsbundið",IFERROR(IF(INDEX('Undirviðmiðalisti (Lýsigögn)'!I$42:I$58,MATCH($C185,'Undirviðmiðalisti (Lýsigögn)'!$C$42:$C$58,0))="","",INDEX('Undirviðmiðalisti (Lýsigögn)'!I$42:I$58,MATCH($C185,'Undirviðmiðalisti (Lýsigögn)'!$C$42:$C$58,0))),""),IFERROR(IF(INDEX('Undirviðmiðalisti (Lýsigögn)'!I$6:I$41,MATCH($C185,'Undirviðmiðalisti (Lýsigögn)'!$C$6:$C$41,0))="","",INDEX('Undirviðmiðalisti (Lýsigögn)'!I$6:I$41,MATCH($C185,'Undirviðmiðalisti (Lýsigögn)'!$C$6:$C$41,0))),IFERROR(IF(INDEX('Undirviðmiðalisti (Lýsigögn)'!I$42:I$58,MATCH($C185,'Undirviðmiðalisti (Lýsigögn)'!$C$42:$C$58,0))="","",INDEX('Undirviðmiðalisti (Lýsigögn)'!I$42:I$58,MATCH($C185,'Undirviðmiðalisti (Lýsigögn)'!$C$42:$C$58,0))),""))))</f>
        <v/>
      </c>
      <c r="N185" s="16" t="str">
        <f aca="false">IF($C185="","",IF($G185="Einstaklingsbundið",IFERROR(IF(INDEX('Undirviðmiðalisti (Lýsigögn)'!J$42:J$58,MATCH($C185,'Undirviðmiðalisti (Lýsigögn)'!$C$42:$C$58,0))="","",INDEX('Undirviðmiðalisti (Lýsigögn)'!J$42:J$58,MATCH($C185,'Undirviðmiðalisti (Lýsigögn)'!$C$42:$C$58,0))),""),IFERROR(IF(INDEX('Undirviðmiðalisti (Lýsigögn)'!J$6:J$41,MATCH($C185,'Undirviðmiðalisti (Lýsigögn)'!$C$6:$C$41,0))="","",INDEX('Undirviðmiðalisti (Lýsigögn)'!J$6:J$41,MATCH($C185,'Undirviðmiðalisti (Lýsigögn)'!$C$6:$C$41,0))),IFERROR(IF(INDEX('Undirviðmiðalisti (Lýsigögn)'!J$42:J$58,MATCH($C185,'Undirviðmiðalisti (Lýsigögn)'!$C$42:$C$58,0))="","",INDEX('Undirviðmiðalisti (Lýsigögn)'!J$42:J$58,MATCH($C185,'Undirviðmiðalisti (Lýsigögn)'!$C$42:$C$58,0))),""))))</f>
        <v/>
      </c>
      <c r="O185" s="16" t="str">
        <f aca="false">IF($C185="","",IF($G185="Einstaklingsbundið",IFERROR(IF(INDEX('Undirviðmiðalisti (Lýsigögn)'!K$42:K$58,MATCH($C185,'Undirviðmiðalisti (Lýsigögn)'!$C$42:$C$58,0))="","",INDEX('Undirviðmiðalisti (Lýsigögn)'!K$42:K$58,MATCH($C185,'Undirviðmiðalisti (Lýsigögn)'!$C$42:$C$58,0))),""),IFERROR(IF(INDEX('Undirviðmiðalisti (Lýsigögn)'!K$6:K$41,MATCH($C185,'Undirviðmiðalisti (Lýsigögn)'!$C$6:$C$41,0))="","",INDEX('Undirviðmiðalisti (Lýsigögn)'!K$6:K$41,MATCH($C185,'Undirviðmiðalisti (Lýsigögn)'!$C$6:$C$41,0))),IFERROR(IF(INDEX('Undirviðmiðalisti (Lýsigögn)'!K$42:K$58,MATCH($C185,'Undirviðmiðalisti (Lýsigögn)'!$C$42:$C$58,0))="","",INDEX('Undirviðmiðalisti (Lýsigögn)'!K$42:K$58,MATCH($C185,'Undirviðmiðalisti (Lýsigögn)'!$C$42:$C$58,0))),""))))</f>
        <v/>
      </c>
      <c r="P185" s="16" t="str">
        <f aca="false">IF($C185="","",IF($G185="Einstaklingsbundið",IFERROR(IF(INDEX('Undirviðmiðalisti (Lýsigögn)'!L$42:L$58,MATCH($C185,'Undirviðmiðalisti (Lýsigögn)'!$C$42:$C$58,0))="","",INDEX('Undirviðmiðalisti (Lýsigögn)'!L$42:L$58,MATCH($C185,'Undirviðmiðalisti (Lýsigögn)'!$C$42:$C$58,0))),""),IFERROR(IF(INDEX('Undirviðmiðalisti (Lýsigögn)'!L$6:L$41,MATCH($C185,'Undirviðmiðalisti (Lýsigögn)'!$C$6:$C$41,0))="","",INDEX('Undirviðmiðalisti (Lýsigögn)'!L$6:L$41,MATCH($C185,'Undirviðmiðalisti (Lýsigögn)'!$C$6:$C$41,0))),IFERROR(IF(INDEX('Undirviðmiðalisti (Lýsigögn)'!L$42:L$58,MATCH($C185,'Undirviðmiðalisti (Lýsigögn)'!$C$42:$C$58,0))="","",INDEX('Undirviðmiðalisti (Lýsigögn)'!L$42:L$58,MATCH($C185,'Undirviðmiðalisti (Lýsigögn)'!$C$42:$C$58,0))),""))))</f>
        <v/>
      </c>
      <c r="Q185" s="16" t="str">
        <f aca="false">IF($C185="","",IF($G185="Einstaklingsbundið",IFERROR(IF(INDEX('Undirviðmiðalisti (Lýsigögn)'!M$42:M$58,MATCH($C185,'Undirviðmiðalisti (Lýsigögn)'!$C$42:$C$58,0))="","",INDEX('Undirviðmiðalisti (Lýsigögn)'!M$42:M$58,MATCH($C185,'Undirviðmiðalisti (Lýsigögn)'!$C$42:$C$58,0))),""),IFERROR(IF(INDEX('Undirviðmiðalisti (Lýsigögn)'!M$6:M$41,MATCH($C185,'Undirviðmiðalisti (Lýsigögn)'!$C$6:$C$41,0))="","",INDEX('Undirviðmiðalisti (Lýsigögn)'!M$6:M$41,MATCH($C185,'Undirviðmiðalisti (Lýsigögn)'!$C$6:$C$41,0))),IFERROR(IF(INDEX('Undirviðmiðalisti (Lýsigögn)'!M$42:M$58,MATCH($C185,'Undirviðmiðalisti (Lýsigögn)'!$C$42:$C$58,0))="","",INDEX('Undirviðmiðalisti (Lýsigögn)'!M$42:M$58,MATCH($C185,'Undirviðmiðalisti (Lýsigögn)'!$C$42:$C$58,0))),""))))</f>
        <v/>
      </c>
    </row>
    <row r="186" customFormat="false" ht="15" hidden="false" customHeight="true" outlineLevel="0" collapsed="false">
      <c r="A186" s="22" t="str">
        <f aca="false">IF($B186="","",ROW()-5)</f>
        <v/>
      </c>
      <c r="B186" s="15"/>
      <c r="C186" s="15"/>
      <c r="D186" s="16" t="str">
        <f aca="false">IF($C186="","",IF($G186="Einstaklingsbundið",IFERROR(IF(INDEX('Undirviðmiðalisti (Lýsigögn)'!$D$42:$D$58,MATCH($C186,'Undirviðmiðalisti (Lýsigögn)'!$C$42:$C$58,0))="","",INDEX('Undirviðmiðalisti (Lýsigögn)'!$D$42:$D$58,MATCH($C186,'Undirviðmiðalisti (Lýsigögn)'!$C$42:$C$58,0))),""),IFERROR(IF(INDEX('Undirviðmiðalisti (Lýsigögn)'!$D$6:$D$41,MATCH($C186,'Undirviðmiðalisti (Lýsigögn)'!$C$6:$C$41,0))="","",INDEX('Undirviðmiðalisti (Lýsigögn)'!$D$6:$D$41,MATCH($C186,'Undirviðmiðalisti (Lýsigögn)'!$C$6:$C$41,0))),IFERROR(IF(INDEX('Undirviðmiðalisti (Lýsigögn)'!$D$42:$D$58,MATCH($C186,'Undirviðmiðalisti (Lýsigögn)'!$C$42:$C$58,0))="","",INDEX('Undirviðmiðalisti (Lýsigögn)'!$D$42:$D$58,MATCH($C186,'Undirviðmiðalisti (Lýsigögn)'!$C$42:$C$58,0))),""))))</f>
        <v/>
      </c>
      <c r="E186" s="14"/>
      <c r="F186" s="23" t="str">
        <f aca="false">IF($C186="","",IF($G186="Einstaklingsbundið",IFERROR(IF(INDEX('Undirviðmiðalisti (Lýsigögn)'!$E$42:$E$58,MATCH($C186,'Undirviðmiðalisti (Lýsigögn)'!$C$42:$C$58,0))="","",INDEX('Undirviðmiðalisti (Lýsigögn)'!$E$42:$E$58,MATCH($C186,'Undirviðmiðalisti (Lýsigögn)'!$C$42:$C$58,0))),""),IFERROR(IF(INDEX('Undirviðmiðalisti (Lýsigögn)'!$E$6:$E$41,MATCH($C186,'Undirviðmiðalisti (Lýsigögn)'!$C$6:$C$41,0))="","",INDEX('Undirviðmiðalisti (Lýsigögn)'!$E$6:$E$41,MATCH($C186,'Undirviðmiðalisti (Lýsigögn)'!$C$6:$C$41,0))),IFERROR(IF(INDEX('Undirviðmiðalisti (Lýsigögn)'!$E$42:$E$58,MATCH($C186,'Undirviðmiðalisti (Lýsigögn)'!$C$42:$C$58,0))="","",INDEX('Undirviðmiðalisti (Lýsigögn)'!$E$42:$E$58,MATCH($C186,'Undirviðmiðalisti (Lýsigögn)'!$C$42:$C$58,0))),""))))</f>
        <v/>
      </c>
      <c r="G186" s="24" t="str">
        <f aca="false">IFERROR(IF(B186="","",INDEX(Viðmið!$B$6:$B$10,MATCH(B186,Viðmið!$C$6:$C$10,0))),"")</f>
        <v/>
      </c>
      <c r="H186" s="25" t="str">
        <f aca="false">IF(OR(E186="",F186=""),"",E186*KVARDI)</f>
        <v/>
      </c>
      <c r="I186" s="26" t="str">
        <f aca="false">IF(B186="","",IF(ROUND(SUMIF($B$6:$B$205,B186,$E$6:$E$205),4)=ROUND(IFERROR(INDEX(Viðmið!$E$6:$E$10,MATCH(B186,Viðmið!$C$6:$C$10,0)),-1),4),"✓","✗"))</f>
        <v/>
      </c>
      <c r="J186" s="16" t="str">
        <f aca="false">IF($C186="","",IF($G186="Einstaklingsbundið",IFERROR(IF(INDEX('Undirviðmiðalisti (Lýsigögn)'!F$42:F$58,MATCH($C186,'Undirviðmiðalisti (Lýsigögn)'!$C$42:$C$58,0))="","",INDEX('Undirviðmiðalisti (Lýsigögn)'!F$42:F$58,MATCH($C186,'Undirviðmiðalisti (Lýsigögn)'!$C$42:$C$58,0))),""),IFERROR(IF(INDEX('Undirviðmiðalisti (Lýsigögn)'!F$6:F$41,MATCH($C186,'Undirviðmiðalisti (Lýsigögn)'!$C$6:$C$41,0))="","",INDEX('Undirviðmiðalisti (Lýsigögn)'!F$6:F$41,MATCH($C186,'Undirviðmiðalisti (Lýsigögn)'!$C$6:$C$41,0))),IFERROR(IF(INDEX('Undirviðmiðalisti (Lýsigögn)'!F$42:F$58,MATCH($C186,'Undirviðmiðalisti (Lýsigögn)'!$C$42:$C$58,0))="","",INDEX('Undirviðmiðalisti (Lýsigögn)'!F$42:F$58,MATCH($C186,'Undirviðmiðalisti (Lýsigögn)'!$C$42:$C$58,0))),""))))</f>
        <v/>
      </c>
      <c r="K186" s="16" t="str">
        <f aca="false">IF($C186="","",IF($G186="Einstaklingsbundið",IFERROR(IF(INDEX('Undirviðmiðalisti (Lýsigögn)'!G$42:G$58,MATCH($C186,'Undirviðmiðalisti (Lýsigögn)'!$C$42:$C$58,0))="","",INDEX('Undirviðmiðalisti (Lýsigögn)'!G$42:G$58,MATCH($C186,'Undirviðmiðalisti (Lýsigögn)'!$C$42:$C$58,0))),""),IFERROR(IF(INDEX('Undirviðmiðalisti (Lýsigögn)'!G$6:G$41,MATCH($C186,'Undirviðmiðalisti (Lýsigögn)'!$C$6:$C$41,0))="","",INDEX('Undirviðmiðalisti (Lýsigögn)'!G$6:G$41,MATCH($C186,'Undirviðmiðalisti (Lýsigögn)'!$C$6:$C$41,0))),IFERROR(IF(INDEX('Undirviðmiðalisti (Lýsigögn)'!G$42:G$58,MATCH($C186,'Undirviðmiðalisti (Lýsigögn)'!$C$42:$C$58,0))="","",INDEX('Undirviðmiðalisti (Lýsigögn)'!G$42:G$58,MATCH($C186,'Undirviðmiðalisti (Lýsigögn)'!$C$42:$C$58,0))),""))))</f>
        <v/>
      </c>
      <c r="L186" s="16" t="str">
        <f aca="false">IF($C186="","",IF($G186="Einstaklingsbundið",IFERROR(IF(INDEX('Undirviðmiðalisti (Lýsigögn)'!H$42:H$58,MATCH($C186,'Undirviðmiðalisti (Lýsigögn)'!$C$42:$C$58,0))="","",INDEX('Undirviðmiðalisti (Lýsigögn)'!H$42:H$58,MATCH($C186,'Undirviðmiðalisti (Lýsigögn)'!$C$42:$C$58,0))),""),IFERROR(IF(INDEX('Undirviðmiðalisti (Lýsigögn)'!H$6:H$41,MATCH($C186,'Undirviðmiðalisti (Lýsigögn)'!$C$6:$C$41,0))="","",INDEX('Undirviðmiðalisti (Lýsigögn)'!H$6:H$41,MATCH($C186,'Undirviðmiðalisti (Lýsigögn)'!$C$6:$C$41,0))),IFERROR(IF(INDEX('Undirviðmiðalisti (Lýsigögn)'!H$42:H$58,MATCH($C186,'Undirviðmiðalisti (Lýsigögn)'!$C$42:$C$58,0))="","",INDEX('Undirviðmiðalisti (Lýsigögn)'!H$42:H$58,MATCH($C186,'Undirviðmiðalisti (Lýsigögn)'!$C$42:$C$58,0))),""))))</f>
        <v/>
      </c>
      <c r="M186" s="16" t="str">
        <f aca="false">IF($C186="","",IF($G186="Einstaklingsbundið",IFERROR(IF(INDEX('Undirviðmiðalisti (Lýsigögn)'!I$42:I$58,MATCH($C186,'Undirviðmiðalisti (Lýsigögn)'!$C$42:$C$58,0))="","",INDEX('Undirviðmiðalisti (Lýsigögn)'!I$42:I$58,MATCH($C186,'Undirviðmiðalisti (Lýsigögn)'!$C$42:$C$58,0))),""),IFERROR(IF(INDEX('Undirviðmiðalisti (Lýsigögn)'!I$6:I$41,MATCH($C186,'Undirviðmiðalisti (Lýsigögn)'!$C$6:$C$41,0))="","",INDEX('Undirviðmiðalisti (Lýsigögn)'!I$6:I$41,MATCH($C186,'Undirviðmiðalisti (Lýsigögn)'!$C$6:$C$41,0))),IFERROR(IF(INDEX('Undirviðmiðalisti (Lýsigögn)'!I$42:I$58,MATCH($C186,'Undirviðmiðalisti (Lýsigögn)'!$C$42:$C$58,0))="","",INDEX('Undirviðmiðalisti (Lýsigögn)'!I$42:I$58,MATCH($C186,'Undirviðmiðalisti (Lýsigögn)'!$C$42:$C$58,0))),""))))</f>
        <v/>
      </c>
      <c r="N186" s="16" t="str">
        <f aca="false">IF($C186="","",IF($G186="Einstaklingsbundið",IFERROR(IF(INDEX('Undirviðmiðalisti (Lýsigögn)'!J$42:J$58,MATCH($C186,'Undirviðmiðalisti (Lýsigögn)'!$C$42:$C$58,0))="","",INDEX('Undirviðmiðalisti (Lýsigögn)'!J$42:J$58,MATCH($C186,'Undirviðmiðalisti (Lýsigögn)'!$C$42:$C$58,0))),""),IFERROR(IF(INDEX('Undirviðmiðalisti (Lýsigögn)'!J$6:J$41,MATCH($C186,'Undirviðmiðalisti (Lýsigögn)'!$C$6:$C$41,0))="","",INDEX('Undirviðmiðalisti (Lýsigögn)'!J$6:J$41,MATCH($C186,'Undirviðmiðalisti (Lýsigögn)'!$C$6:$C$41,0))),IFERROR(IF(INDEX('Undirviðmiðalisti (Lýsigögn)'!J$42:J$58,MATCH($C186,'Undirviðmiðalisti (Lýsigögn)'!$C$42:$C$58,0))="","",INDEX('Undirviðmiðalisti (Lýsigögn)'!J$42:J$58,MATCH($C186,'Undirviðmiðalisti (Lýsigögn)'!$C$42:$C$58,0))),""))))</f>
        <v/>
      </c>
      <c r="O186" s="16" t="str">
        <f aca="false">IF($C186="","",IF($G186="Einstaklingsbundið",IFERROR(IF(INDEX('Undirviðmiðalisti (Lýsigögn)'!K$42:K$58,MATCH($C186,'Undirviðmiðalisti (Lýsigögn)'!$C$42:$C$58,0))="","",INDEX('Undirviðmiðalisti (Lýsigögn)'!K$42:K$58,MATCH($C186,'Undirviðmiðalisti (Lýsigögn)'!$C$42:$C$58,0))),""),IFERROR(IF(INDEX('Undirviðmiðalisti (Lýsigögn)'!K$6:K$41,MATCH($C186,'Undirviðmiðalisti (Lýsigögn)'!$C$6:$C$41,0))="","",INDEX('Undirviðmiðalisti (Lýsigögn)'!K$6:K$41,MATCH($C186,'Undirviðmiðalisti (Lýsigögn)'!$C$6:$C$41,0))),IFERROR(IF(INDEX('Undirviðmiðalisti (Lýsigögn)'!K$42:K$58,MATCH($C186,'Undirviðmiðalisti (Lýsigögn)'!$C$42:$C$58,0))="","",INDEX('Undirviðmiðalisti (Lýsigögn)'!K$42:K$58,MATCH($C186,'Undirviðmiðalisti (Lýsigögn)'!$C$42:$C$58,0))),""))))</f>
        <v/>
      </c>
      <c r="P186" s="16" t="str">
        <f aca="false">IF($C186="","",IF($G186="Einstaklingsbundið",IFERROR(IF(INDEX('Undirviðmiðalisti (Lýsigögn)'!L$42:L$58,MATCH($C186,'Undirviðmiðalisti (Lýsigögn)'!$C$42:$C$58,0))="","",INDEX('Undirviðmiðalisti (Lýsigögn)'!L$42:L$58,MATCH($C186,'Undirviðmiðalisti (Lýsigögn)'!$C$42:$C$58,0))),""),IFERROR(IF(INDEX('Undirviðmiðalisti (Lýsigögn)'!L$6:L$41,MATCH($C186,'Undirviðmiðalisti (Lýsigögn)'!$C$6:$C$41,0))="","",INDEX('Undirviðmiðalisti (Lýsigögn)'!L$6:L$41,MATCH($C186,'Undirviðmiðalisti (Lýsigögn)'!$C$6:$C$41,0))),IFERROR(IF(INDEX('Undirviðmiðalisti (Lýsigögn)'!L$42:L$58,MATCH($C186,'Undirviðmiðalisti (Lýsigögn)'!$C$42:$C$58,0))="","",INDEX('Undirviðmiðalisti (Lýsigögn)'!L$42:L$58,MATCH($C186,'Undirviðmiðalisti (Lýsigögn)'!$C$42:$C$58,0))),""))))</f>
        <v/>
      </c>
      <c r="Q186" s="16" t="str">
        <f aca="false">IF($C186="","",IF($G186="Einstaklingsbundið",IFERROR(IF(INDEX('Undirviðmiðalisti (Lýsigögn)'!M$42:M$58,MATCH($C186,'Undirviðmiðalisti (Lýsigögn)'!$C$42:$C$58,0))="","",INDEX('Undirviðmiðalisti (Lýsigögn)'!M$42:M$58,MATCH($C186,'Undirviðmiðalisti (Lýsigögn)'!$C$42:$C$58,0))),""),IFERROR(IF(INDEX('Undirviðmiðalisti (Lýsigögn)'!M$6:M$41,MATCH($C186,'Undirviðmiðalisti (Lýsigögn)'!$C$6:$C$41,0))="","",INDEX('Undirviðmiðalisti (Lýsigögn)'!M$6:M$41,MATCH($C186,'Undirviðmiðalisti (Lýsigögn)'!$C$6:$C$41,0))),IFERROR(IF(INDEX('Undirviðmiðalisti (Lýsigögn)'!M$42:M$58,MATCH($C186,'Undirviðmiðalisti (Lýsigögn)'!$C$42:$C$58,0))="","",INDEX('Undirviðmiðalisti (Lýsigögn)'!M$42:M$58,MATCH($C186,'Undirviðmiðalisti (Lýsigögn)'!$C$42:$C$58,0))),""))))</f>
        <v/>
      </c>
    </row>
    <row r="187" customFormat="false" ht="15" hidden="false" customHeight="true" outlineLevel="0" collapsed="false">
      <c r="A187" s="22" t="str">
        <f aca="false">IF($B187="","",ROW()-5)</f>
        <v/>
      </c>
      <c r="B187" s="15"/>
      <c r="C187" s="15"/>
      <c r="D187" s="16" t="str">
        <f aca="false">IF($C187="","",IF($G187="Einstaklingsbundið",IFERROR(IF(INDEX('Undirviðmiðalisti (Lýsigögn)'!$D$42:$D$58,MATCH($C187,'Undirviðmiðalisti (Lýsigögn)'!$C$42:$C$58,0))="","",INDEX('Undirviðmiðalisti (Lýsigögn)'!$D$42:$D$58,MATCH($C187,'Undirviðmiðalisti (Lýsigögn)'!$C$42:$C$58,0))),""),IFERROR(IF(INDEX('Undirviðmiðalisti (Lýsigögn)'!$D$6:$D$41,MATCH($C187,'Undirviðmiðalisti (Lýsigögn)'!$C$6:$C$41,0))="","",INDEX('Undirviðmiðalisti (Lýsigögn)'!$D$6:$D$41,MATCH($C187,'Undirviðmiðalisti (Lýsigögn)'!$C$6:$C$41,0))),IFERROR(IF(INDEX('Undirviðmiðalisti (Lýsigögn)'!$D$42:$D$58,MATCH($C187,'Undirviðmiðalisti (Lýsigögn)'!$C$42:$C$58,0))="","",INDEX('Undirviðmiðalisti (Lýsigögn)'!$D$42:$D$58,MATCH($C187,'Undirviðmiðalisti (Lýsigögn)'!$C$42:$C$58,0))),""))))</f>
        <v/>
      </c>
      <c r="E187" s="14"/>
      <c r="F187" s="23" t="str">
        <f aca="false">IF($C187="","",IF($G187="Einstaklingsbundið",IFERROR(IF(INDEX('Undirviðmiðalisti (Lýsigögn)'!$E$42:$E$58,MATCH($C187,'Undirviðmiðalisti (Lýsigögn)'!$C$42:$C$58,0))="","",INDEX('Undirviðmiðalisti (Lýsigögn)'!$E$42:$E$58,MATCH($C187,'Undirviðmiðalisti (Lýsigögn)'!$C$42:$C$58,0))),""),IFERROR(IF(INDEX('Undirviðmiðalisti (Lýsigögn)'!$E$6:$E$41,MATCH($C187,'Undirviðmiðalisti (Lýsigögn)'!$C$6:$C$41,0))="","",INDEX('Undirviðmiðalisti (Lýsigögn)'!$E$6:$E$41,MATCH($C187,'Undirviðmiðalisti (Lýsigögn)'!$C$6:$C$41,0))),IFERROR(IF(INDEX('Undirviðmiðalisti (Lýsigögn)'!$E$42:$E$58,MATCH($C187,'Undirviðmiðalisti (Lýsigögn)'!$C$42:$C$58,0))="","",INDEX('Undirviðmiðalisti (Lýsigögn)'!$E$42:$E$58,MATCH($C187,'Undirviðmiðalisti (Lýsigögn)'!$C$42:$C$58,0))),""))))</f>
        <v/>
      </c>
      <c r="G187" s="24" t="str">
        <f aca="false">IFERROR(IF(B187="","",INDEX(Viðmið!$B$6:$B$10,MATCH(B187,Viðmið!$C$6:$C$10,0))),"")</f>
        <v/>
      </c>
      <c r="H187" s="25" t="str">
        <f aca="false">IF(OR(E187="",F187=""),"",E187*KVARDI)</f>
        <v/>
      </c>
      <c r="I187" s="26" t="str">
        <f aca="false">IF(B187="","",IF(ROUND(SUMIF($B$6:$B$205,B187,$E$6:$E$205),4)=ROUND(IFERROR(INDEX(Viðmið!$E$6:$E$10,MATCH(B187,Viðmið!$C$6:$C$10,0)),-1),4),"✓","✗"))</f>
        <v/>
      </c>
      <c r="J187" s="16" t="str">
        <f aca="false">IF($C187="","",IF($G187="Einstaklingsbundið",IFERROR(IF(INDEX('Undirviðmiðalisti (Lýsigögn)'!F$42:F$58,MATCH($C187,'Undirviðmiðalisti (Lýsigögn)'!$C$42:$C$58,0))="","",INDEX('Undirviðmiðalisti (Lýsigögn)'!F$42:F$58,MATCH($C187,'Undirviðmiðalisti (Lýsigögn)'!$C$42:$C$58,0))),""),IFERROR(IF(INDEX('Undirviðmiðalisti (Lýsigögn)'!F$6:F$41,MATCH($C187,'Undirviðmiðalisti (Lýsigögn)'!$C$6:$C$41,0))="","",INDEX('Undirviðmiðalisti (Lýsigögn)'!F$6:F$41,MATCH($C187,'Undirviðmiðalisti (Lýsigögn)'!$C$6:$C$41,0))),IFERROR(IF(INDEX('Undirviðmiðalisti (Lýsigögn)'!F$42:F$58,MATCH($C187,'Undirviðmiðalisti (Lýsigögn)'!$C$42:$C$58,0))="","",INDEX('Undirviðmiðalisti (Lýsigögn)'!F$42:F$58,MATCH($C187,'Undirviðmiðalisti (Lýsigögn)'!$C$42:$C$58,0))),""))))</f>
        <v/>
      </c>
      <c r="K187" s="16" t="str">
        <f aca="false">IF($C187="","",IF($G187="Einstaklingsbundið",IFERROR(IF(INDEX('Undirviðmiðalisti (Lýsigögn)'!G$42:G$58,MATCH($C187,'Undirviðmiðalisti (Lýsigögn)'!$C$42:$C$58,0))="","",INDEX('Undirviðmiðalisti (Lýsigögn)'!G$42:G$58,MATCH($C187,'Undirviðmiðalisti (Lýsigögn)'!$C$42:$C$58,0))),""),IFERROR(IF(INDEX('Undirviðmiðalisti (Lýsigögn)'!G$6:G$41,MATCH($C187,'Undirviðmiðalisti (Lýsigögn)'!$C$6:$C$41,0))="","",INDEX('Undirviðmiðalisti (Lýsigögn)'!G$6:G$41,MATCH($C187,'Undirviðmiðalisti (Lýsigögn)'!$C$6:$C$41,0))),IFERROR(IF(INDEX('Undirviðmiðalisti (Lýsigögn)'!G$42:G$58,MATCH($C187,'Undirviðmiðalisti (Lýsigögn)'!$C$42:$C$58,0))="","",INDEX('Undirviðmiðalisti (Lýsigögn)'!G$42:G$58,MATCH($C187,'Undirviðmiðalisti (Lýsigögn)'!$C$42:$C$58,0))),""))))</f>
        <v/>
      </c>
      <c r="L187" s="16" t="str">
        <f aca="false">IF($C187="","",IF($G187="Einstaklingsbundið",IFERROR(IF(INDEX('Undirviðmiðalisti (Lýsigögn)'!H$42:H$58,MATCH($C187,'Undirviðmiðalisti (Lýsigögn)'!$C$42:$C$58,0))="","",INDEX('Undirviðmiðalisti (Lýsigögn)'!H$42:H$58,MATCH($C187,'Undirviðmiðalisti (Lýsigögn)'!$C$42:$C$58,0))),""),IFERROR(IF(INDEX('Undirviðmiðalisti (Lýsigögn)'!H$6:H$41,MATCH($C187,'Undirviðmiðalisti (Lýsigögn)'!$C$6:$C$41,0))="","",INDEX('Undirviðmiðalisti (Lýsigögn)'!H$6:H$41,MATCH($C187,'Undirviðmiðalisti (Lýsigögn)'!$C$6:$C$41,0))),IFERROR(IF(INDEX('Undirviðmiðalisti (Lýsigögn)'!H$42:H$58,MATCH($C187,'Undirviðmiðalisti (Lýsigögn)'!$C$42:$C$58,0))="","",INDEX('Undirviðmiðalisti (Lýsigögn)'!H$42:H$58,MATCH($C187,'Undirviðmiðalisti (Lýsigögn)'!$C$42:$C$58,0))),""))))</f>
        <v/>
      </c>
      <c r="M187" s="16" t="str">
        <f aca="false">IF($C187="","",IF($G187="Einstaklingsbundið",IFERROR(IF(INDEX('Undirviðmiðalisti (Lýsigögn)'!I$42:I$58,MATCH($C187,'Undirviðmiðalisti (Lýsigögn)'!$C$42:$C$58,0))="","",INDEX('Undirviðmiðalisti (Lýsigögn)'!I$42:I$58,MATCH($C187,'Undirviðmiðalisti (Lýsigögn)'!$C$42:$C$58,0))),""),IFERROR(IF(INDEX('Undirviðmiðalisti (Lýsigögn)'!I$6:I$41,MATCH($C187,'Undirviðmiðalisti (Lýsigögn)'!$C$6:$C$41,0))="","",INDEX('Undirviðmiðalisti (Lýsigögn)'!I$6:I$41,MATCH($C187,'Undirviðmiðalisti (Lýsigögn)'!$C$6:$C$41,0))),IFERROR(IF(INDEX('Undirviðmiðalisti (Lýsigögn)'!I$42:I$58,MATCH($C187,'Undirviðmiðalisti (Lýsigögn)'!$C$42:$C$58,0))="","",INDEX('Undirviðmiðalisti (Lýsigögn)'!I$42:I$58,MATCH($C187,'Undirviðmiðalisti (Lýsigögn)'!$C$42:$C$58,0))),""))))</f>
        <v/>
      </c>
      <c r="N187" s="16" t="str">
        <f aca="false">IF($C187="","",IF($G187="Einstaklingsbundið",IFERROR(IF(INDEX('Undirviðmiðalisti (Lýsigögn)'!J$42:J$58,MATCH($C187,'Undirviðmiðalisti (Lýsigögn)'!$C$42:$C$58,0))="","",INDEX('Undirviðmiðalisti (Lýsigögn)'!J$42:J$58,MATCH($C187,'Undirviðmiðalisti (Lýsigögn)'!$C$42:$C$58,0))),""),IFERROR(IF(INDEX('Undirviðmiðalisti (Lýsigögn)'!J$6:J$41,MATCH($C187,'Undirviðmiðalisti (Lýsigögn)'!$C$6:$C$41,0))="","",INDEX('Undirviðmiðalisti (Lýsigögn)'!J$6:J$41,MATCH($C187,'Undirviðmiðalisti (Lýsigögn)'!$C$6:$C$41,0))),IFERROR(IF(INDEX('Undirviðmiðalisti (Lýsigögn)'!J$42:J$58,MATCH($C187,'Undirviðmiðalisti (Lýsigögn)'!$C$42:$C$58,0))="","",INDEX('Undirviðmiðalisti (Lýsigögn)'!J$42:J$58,MATCH($C187,'Undirviðmiðalisti (Lýsigögn)'!$C$42:$C$58,0))),""))))</f>
        <v/>
      </c>
      <c r="O187" s="16" t="str">
        <f aca="false">IF($C187="","",IF($G187="Einstaklingsbundið",IFERROR(IF(INDEX('Undirviðmiðalisti (Lýsigögn)'!K$42:K$58,MATCH($C187,'Undirviðmiðalisti (Lýsigögn)'!$C$42:$C$58,0))="","",INDEX('Undirviðmiðalisti (Lýsigögn)'!K$42:K$58,MATCH($C187,'Undirviðmiðalisti (Lýsigögn)'!$C$42:$C$58,0))),""),IFERROR(IF(INDEX('Undirviðmiðalisti (Lýsigögn)'!K$6:K$41,MATCH($C187,'Undirviðmiðalisti (Lýsigögn)'!$C$6:$C$41,0))="","",INDEX('Undirviðmiðalisti (Lýsigögn)'!K$6:K$41,MATCH($C187,'Undirviðmiðalisti (Lýsigögn)'!$C$6:$C$41,0))),IFERROR(IF(INDEX('Undirviðmiðalisti (Lýsigögn)'!K$42:K$58,MATCH($C187,'Undirviðmiðalisti (Lýsigögn)'!$C$42:$C$58,0))="","",INDEX('Undirviðmiðalisti (Lýsigögn)'!K$42:K$58,MATCH($C187,'Undirviðmiðalisti (Lýsigögn)'!$C$42:$C$58,0))),""))))</f>
        <v/>
      </c>
      <c r="P187" s="16" t="str">
        <f aca="false">IF($C187="","",IF($G187="Einstaklingsbundið",IFERROR(IF(INDEX('Undirviðmiðalisti (Lýsigögn)'!L$42:L$58,MATCH($C187,'Undirviðmiðalisti (Lýsigögn)'!$C$42:$C$58,0))="","",INDEX('Undirviðmiðalisti (Lýsigögn)'!L$42:L$58,MATCH($C187,'Undirviðmiðalisti (Lýsigögn)'!$C$42:$C$58,0))),""),IFERROR(IF(INDEX('Undirviðmiðalisti (Lýsigögn)'!L$6:L$41,MATCH($C187,'Undirviðmiðalisti (Lýsigögn)'!$C$6:$C$41,0))="","",INDEX('Undirviðmiðalisti (Lýsigögn)'!L$6:L$41,MATCH($C187,'Undirviðmiðalisti (Lýsigögn)'!$C$6:$C$41,0))),IFERROR(IF(INDEX('Undirviðmiðalisti (Lýsigögn)'!L$42:L$58,MATCH($C187,'Undirviðmiðalisti (Lýsigögn)'!$C$42:$C$58,0))="","",INDEX('Undirviðmiðalisti (Lýsigögn)'!L$42:L$58,MATCH($C187,'Undirviðmiðalisti (Lýsigögn)'!$C$42:$C$58,0))),""))))</f>
        <v/>
      </c>
      <c r="Q187" s="16" t="str">
        <f aca="false">IF($C187="","",IF($G187="Einstaklingsbundið",IFERROR(IF(INDEX('Undirviðmiðalisti (Lýsigögn)'!M$42:M$58,MATCH($C187,'Undirviðmiðalisti (Lýsigögn)'!$C$42:$C$58,0))="","",INDEX('Undirviðmiðalisti (Lýsigögn)'!M$42:M$58,MATCH($C187,'Undirviðmiðalisti (Lýsigögn)'!$C$42:$C$58,0))),""),IFERROR(IF(INDEX('Undirviðmiðalisti (Lýsigögn)'!M$6:M$41,MATCH($C187,'Undirviðmiðalisti (Lýsigögn)'!$C$6:$C$41,0))="","",INDEX('Undirviðmiðalisti (Lýsigögn)'!M$6:M$41,MATCH($C187,'Undirviðmiðalisti (Lýsigögn)'!$C$6:$C$41,0))),IFERROR(IF(INDEX('Undirviðmiðalisti (Lýsigögn)'!M$42:M$58,MATCH($C187,'Undirviðmiðalisti (Lýsigögn)'!$C$42:$C$58,0))="","",INDEX('Undirviðmiðalisti (Lýsigögn)'!M$42:M$58,MATCH($C187,'Undirviðmiðalisti (Lýsigögn)'!$C$42:$C$58,0))),""))))</f>
        <v/>
      </c>
    </row>
    <row r="188" customFormat="false" ht="15" hidden="false" customHeight="true" outlineLevel="0" collapsed="false">
      <c r="A188" s="22" t="str">
        <f aca="false">IF($B188="","",ROW()-5)</f>
        <v/>
      </c>
      <c r="B188" s="15"/>
      <c r="C188" s="15"/>
      <c r="D188" s="16" t="str">
        <f aca="false">IF($C188="","",IF($G188="Einstaklingsbundið",IFERROR(IF(INDEX('Undirviðmiðalisti (Lýsigögn)'!$D$42:$D$58,MATCH($C188,'Undirviðmiðalisti (Lýsigögn)'!$C$42:$C$58,0))="","",INDEX('Undirviðmiðalisti (Lýsigögn)'!$D$42:$D$58,MATCH($C188,'Undirviðmiðalisti (Lýsigögn)'!$C$42:$C$58,0))),""),IFERROR(IF(INDEX('Undirviðmiðalisti (Lýsigögn)'!$D$6:$D$41,MATCH($C188,'Undirviðmiðalisti (Lýsigögn)'!$C$6:$C$41,0))="","",INDEX('Undirviðmiðalisti (Lýsigögn)'!$D$6:$D$41,MATCH($C188,'Undirviðmiðalisti (Lýsigögn)'!$C$6:$C$41,0))),IFERROR(IF(INDEX('Undirviðmiðalisti (Lýsigögn)'!$D$42:$D$58,MATCH($C188,'Undirviðmiðalisti (Lýsigögn)'!$C$42:$C$58,0))="","",INDEX('Undirviðmiðalisti (Lýsigögn)'!$D$42:$D$58,MATCH($C188,'Undirviðmiðalisti (Lýsigögn)'!$C$42:$C$58,0))),""))))</f>
        <v/>
      </c>
      <c r="E188" s="14"/>
      <c r="F188" s="23" t="str">
        <f aca="false">IF($C188="","",IF($G188="Einstaklingsbundið",IFERROR(IF(INDEX('Undirviðmiðalisti (Lýsigögn)'!$E$42:$E$58,MATCH($C188,'Undirviðmiðalisti (Lýsigögn)'!$C$42:$C$58,0))="","",INDEX('Undirviðmiðalisti (Lýsigögn)'!$E$42:$E$58,MATCH($C188,'Undirviðmiðalisti (Lýsigögn)'!$C$42:$C$58,0))),""),IFERROR(IF(INDEX('Undirviðmiðalisti (Lýsigögn)'!$E$6:$E$41,MATCH($C188,'Undirviðmiðalisti (Lýsigögn)'!$C$6:$C$41,0))="","",INDEX('Undirviðmiðalisti (Lýsigögn)'!$E$6:$E$41,MATCH($C188,'Undirviðmiðalisti (Lýsigögn)'!$C$6:$C$41,0))),IFERROR(IF(INDEX('Undirviðmiðalisti (Lýsigögn)'!$E$42:$E$58,MATCH($C188,'Undirviðmiðalisti (Lýsigögn)'!$C$42:$C$58,0))="","",INDEX('Undirviðmiðalisti (Lýsigögn)'!$E$42:$E$58,MATCH($C188,'Undirviðmiðalisti (Lýsigögn)'!$C$42:$C$58,0))),""))))</f>
        <v/>
      </c>
      <c r="G188" s="24" t="str">
        <f aca="false">IFERROR(IF(B188="","",INDEX(Viðmið!$B$6:$B$10,MATCH(B188,Viðmið!$C$6:$C$10,0))),"")</f>
        <v/>
      </c>
      <c r="H188" s="25" t="str">
        <f aca="false">IF(OR(E188="",F188=""),"",E188*KVARDI)</f>
        <v/>
      </c>
      <c r="I188" s="26" t="str">
        <f aca="false">IF(B188="","",IF(ROUND(SUMIF($B$6:$B$205,B188,$E$6:$E$205),4)=ROUND(IFERROR(INDEX(Viðmið!$E$6:$E$10,MATCH(B188,Viðmið!$C$6:$C$10,0)),-1),4),"✓","✗"))</f>
        <v/>
      </c>
      <c r="J188" s="16" t="str">
        <f aca="false">IF($C188="","",IF($G188="Einstaklingsbundið",IFERROR(IF(INDEX('Undirviðmiðalisti (Lýsigögn)'!F$42:F$58,MATCH($C188,'Undirviðmiðalisti (Lýsigögn)'!$C$42:$C$58,0))="","",INDEX('Undirviðmiðalisti (Lýsigögn)'!F$42:F$58,MATCH($C188,'Undirviðmiðalisti (Lýsigögn)'!$C$42:$C$58,0))),""),IFERROR(IF(INDEX('Undirviðmiðalisti (Lýsigögn)'!F$6:F$41,MATCH($C188,'Undirviðmiðalisti (Lýsigögn)'!$C$6:$C$41,0))="","",INDEX('Undirviðmiðalisti (Lýsigögn)'!F$6:F$41,MATCH($C188,'Undirviðmiðalisti (Lýsigögn)'!$C$6:$C$41,0))),IFERROR(IF(INDEX('Undirviðmiðalisti (Lýsigögn)'!F$42:F$58,MATCH($C188,'Undirviðmiðalisti (Lýsigögn)'!$C$42:$C$58,0))="","",INDEX('Undirviðmiðalisti (Lýsigögn)'!F$42:F$58,MATCH($C188,'Undirviðmiðalisti (Lýsigögn)'!$C$42:$C$58,0))),""))))</f>
        <v/>
      </c>
      <c r="K188" s="16" t="str">
        <f aca="false">IF($C188="","",IF($G188="Einstaklingsbundið",IFERROR(IF(INDEX('Undirviðmiðalisti (Lýsigögn)'!G$42:G$58,MATCH($C188,'Undirviðmiðalisti (Lýsigögn)'!$C$42:$C$58,0))="","",INDEX('Undirviðmiðalisti (Lýsigögn)'!G$42:G$58,MATCH($C188,'Undirviðmiðalisti (Lýsigögn)'!$C$42:$C$58,0))),""),IFERROR(IF(INDEX('Undirviðmiðalisti (Lýsigögn)'!G$6:G$41,MATCH($C188,'Undirviðmiðalisti (Lýsigögn)'!$C$6:$C$41,0))="","",INDEX('Undirviðmiðalisti (Lýsigögn)'!G$6:G$41,MATCH($C188,'Undirviðmiðalisti (Lýsigögn)'!$C$6:$C$41,0))),IFERROR(IF(INDEX('Undirviðmiðalisti (Lýsigögn)'!G$42:G$58,MATCH($C188,'Undirviðmiðalisti (Lýsigögn)'!$C$42:$C$58,0))="","",INDEX('Undirviðmiðalisti (Lýsigögn)'!G$42:G$58,MATCH($C188,'Undirviðmiðalisti (Lýsigögn)'!$C$42:$C$58,0))),""))))</f>
        <v/>
      </c>
      <c r="L188" s="16" t="str">
        <f aca="false">IF($C188="","",IF($G188="Einstaklingsbundið",IFERROR(IF(INDEX('Undirviðmiðalisti (Lýsigögn)'!H$42:H$58,MATCH($C188,'Undirviðmiðalisti (Lýsigögn)'!$C$42:$C$58,0))="","",INDEX('Undirviðmiðalisti (Lýsigögn)'!H$42:H$58,MATCH($C188,'Undirviðmiðalisti (Lýsigögn)'!$C$42:$C$58,0))),""),IFERROR(IF(INDEX('Undirviðmiðalisti (Lýsigögn)'!H$6:H$41,MATCH($C188,'Undirviðmiðalisti (Lýsigögn)'!$C$6:$C$41,0))="","",INDEX('Undirviðmiðalisti (Lýsigögn)'!H$6:H$41,MATCH($C188,'Undirviðmiðalisti (Lýsigögn)'!$C$6:$C$41,0))),IFERROR(IF(INDEX('Undirviðmiðalisti (Lýsigögn)'!H$42:H$58,MATCH($C188,'Undirviðmiðalisti (Lýsigögn)'!$C$42:$C$58,0))="","",INDEX('Undirviðmiðalisti (Lýsigögn)'!H$42:H$58,MATCH($C188,'Undirviðmiðalisti (Lýsigögn)'!$C$42:$C$58,0))),""))))</f>
        <v/>
      </c>
      <c r="M188" s="16" t="str">
        <f aca="false">IF($C188="","",IF($G188="Einstaklingsbundið",IFERROR(IF(INDEX('Undirviðmiðalisti (Lýsigögn)'!I$42:I$58,MATCH($C188,'Undirviðmiðalisti (Lýsigögn)'!$C$42:$C$58,0))="","",INDEX('Undirviðmiðalisti (Lýsigögn)'!I$42:I$58,MATCH($C188,'Undirviðmiðalisti (Lýsigögn)'!$C$42:$C$58,0))),""),IFERROR(IF(INDEX('Undirviðmiðalisti (Lýsigögn)'!I$6:I$41,MATCH($C188,'Undirviðmiðalisti (Lýsigögn)'!$C$6:$C$41,0))="","",INDEX('Undirviðmiðalisti (Lýsigögn)'!I$6:I$41,MATCH($C188,'Undirviðmiðalisti (Lýsigögn)'!$C$6:$C$41,0))),IFERROR(IF(INDEX('Undirviðmiðalisti (Lýsigögn)'!I$42:I$58,MATCH($C188,'Undirviðmiðalisti (Lýsigögn)'!$C$42:$C$58,0))="","",INDEX('Undirviðmiðalisti (Lýsigögn)'!I$42:I$58,MATCH($C188,'Undirviðmiðalisti (Lýsigögn)'!$C$42:$C$58,0))),""))))</f>
        <v/>
      </c>
      <c r="N188" s="16" t="str">
        <f aca="false">IF($C188="","",IF($G188="Einstaklingsbundið",IFERROR(IF(INDEX('Undirviðmiðalisti (Lýsigögn)'!J$42:J$58,MATCH($C188,'Undirviðmiðalisti (Lýsigögn)'!$C$42:$C$58,0))="","",INDEX('Undirviðmiðalisti (Lýsigögn)'!J$42:J$58,MATCH($C188,'Undirviðmiðalisti (Lýsigögn)'!$C$42:$C$58,0))),""),IFERROR(IF(INDEX('Undirviðmiðalisti (Lýsigögn)'!J$6:J$41,MATCH($C188,'Undirviðmiðalisti (Lýsigögn)'!$C$6:$C$41,0))="","",INDEX('Undirviðmiðalisti (Lýsigögn)'!J$6:J$41,MATCH($C188,'Undirviðmiðalisti (Lýsigögn)'!$C$6:$C$41,0))),IFERROR(IF(INDEX('Undirviðmiðalisti (Lýsigögn)'!J$42:J$58,MATCH($C188,'Undirviðmiðalisti (Lýsigögn)'!$C$42:$C$58,0))="","",INDEX('Undirviðmiðalisti (Lýsigögn)'!J$42:J$58,MATCH($C188,'Undirviðmiðalisti (Lýsigögn)'!$C$42:$C$58,0))),""))))</f>
        <v/>
      </c>
      <c r="O188" s="16" t="str">
        <f aca="false">IF($C188="","",IF($G188="Einstaklingsbundið",IFERROR(IF(INDEX('Undirviðmiðalisti (Lýsigögn)'!K$42:K$58,MATCH($C188,'Undirviðmiðalisti (Lýsigögn)'!$C$42:$C$58,0))="","",INDEX('Undirviðmiðalisti (Lýsigögn)'!K$42:K$58,MATCH($C188,'Undirviðmiðalisti (Lýsigögn)'!$C$42:$C$58,0))),""),IFERROR(IF(INDEX('Undirviðmiðalisti (Lýsigögn)'!K$6:K$41,MATCH($C188,'Undirviðmiðalisti (Lýsigögn)'!$C$6:$C$41,0))="","",INDEX('Undirviðmiðalisti (Lýsigögn)'!K$6:K$41,MATCH($C188,'Undirviðmiðalisti (Lýsigögn)'!$C$6:$C$41,0))),IFERROR(IF(INDEX('Undirviðmiðalisti (Lýsigögn)'!K$42:K$58,MATCH($C188,'Undirviðmiðalisti (Lýsigögn)'!$C$42:$C$58,0))="","",INDEX('Undirviðmiðalisti (Lýsigögn)'!K$42:K$58,MATCH($C188,'Undirviðmiðalisti (Lýsigögn)'!$C$42:$C$58,0))),""))))</f>
        <v/>
      </c>
      <c r="P188" s="16" t="str">
        <f aca="false">IF($C188="","",IF($G188="Einstaklingsbundið",IFERROR(IF(INDEX('Undirviðmiðalisti (Lýsigögn)'!L$42:L$58,MATCH($C188,'Undirviðmiðalisti (Lýsigögn)'!$C$42:$C$58,0))="","",INDEX('Undirviðmiðalisti (Lýsigögn)'!L$42:L$58,MATCH($C188,'Undirviðmiðalisti (Lýsigögn)'!$C$42:$C$58,0))),""),IFERROR(IF(INDEX('Undirviðmiðalisti (Lýsigögn)'!L$6:L$41,MATCH($C188,'Undirviðmiðalisti (Lýsigögn)'!$C$6:$C$41,0))="","",INDEX('Undirviðmiðalisti (Lýsigögn)'!L$6:L$41,MATCH($C188,'Undirviðmiðalisti (Lýsigögn)'!$C$6:$C$41,0))),IFERROR(IF(INDEX('Undirviðmiðalisti (Lýsigögn)'!L$42:L$58,MATCH($C188,'Undirviðmiðalisti (Lýsigögn)'!$C$42:$C$58,0))="","",INDEX('Undirviðmiðalisti (Lýsigögn)'!L$42:L$58,MATCH($C188,'Undirviðmiðalisti (Lýsigögn)'!$C$42:$C$58,0))),""))))</f>
        <v/>
      </c>
      <c r="Q188" s="16" t="str">
        <f aca="false">IF($C188="","",IF($G188="Einstaklingsbundið",IFERROR(IF(INDEX('Undirviðmiðalisti (Lýsigögn)'!M$42:M$58,MATCH($C188,'Undirviðmiðalisti (Lýsigögn)'!$C$42:$C$58,0))="","",INDEX('Undirviðmiðalisti (Lýsigögn)'!M$42:M$58,MATCH($C188,'Undirviðmiðalisti (Lýsigögn)'!$C$42:$C$58,0))),""),IFERROR(IF(INDEX('Undirviðmiðalisti (Lýsigögn)'!M$6:M$41,MATCH($C188,'Undirviðmiðalisti (Lýsigögn)'!$C$6:$C$41,0))="","",INDEX('Undirviðmiðalisti (Lýsigögn)'!M$6:M$41,MATCH($C188,'Undirviðmiðalisti (Lýsigögn)'!$C$6:$C$41,0))),IFERROR(IF(INDEX('Undirviðmiðalisti (Lýsigögn)'!M$42:M$58,MATCH($C188,'Undirviðmiðalisti (Lýsigögn)'!$C$42:$C$58,0))="","",INDEX('Undirviðmiðalisti (Lýsigögn)'!M$42:M$58,MATCH($C188,'Undirviðmiðalisti (Lýsigögn)'!$C$42:$C$58,0))),""))))</f>
        <v/>
      </c>
    </row>
    <row r="189" customFormat="false" ht="15" hidden="false" customHeight="true" outlineLevel="0" collapsed="false">
      <c r="A189" s="22" t="str">
        <f aca="false">IF($B189="","",ROW()-5)</f>
        <v/>
      </c>
      <c r="B189" s="15"/>
      <c r="C189" s="15"/>
      <c r="D189" s="16" t="str">
        <f aca="false">IF($C189="","",IF($G189="Einstaklingsbundið",IFERROR(IF(INDEX('Undirviðmiðalisti (Lýsigögn)'!$D$42:$D$58,MATCH($C189,'Undirviðmiðalisti (Lýsigögn)'!$C$42:$C$58,0))="","",INDEX('Undirviðmiðalisti (Lýsigögn)'!$D$42:$D$58,MATCH($C189,'Undirviðmiðalisti (Lýsigögn)'!$C$42:$C$58,0))),""),IFERROR(IF(INDEX('Undirviðmiðalisti (Lýsigögn)'!$D$6:$D$41,MATCH($C189,'Undirviðmiðalisti (Lýsigögn)'!$C$6:$C$41,0))="","",INDEX('Undirviðmiðalisti (Lýsigögn)'!$D$6:$D$41,MATCH($C189,'Undirviðmiðalisti (Lýsigögn)'!$C$6:$C$41,0))),IFERROR(IF(INDEX('Undirviðmiðalisti (Lýsigögn)'!$D$42:$D$58,MATCH($C189,'Undirviðmiðalisti (Lýsigögn)'!$C$42:$C$58,0))="","",INDEX('Undirviðmiðalisti (Lýsigögn)'!$D$42:$D$58,MATCH($C189,'Undirviðmiðalisti (Lýsigögn)'!$C$42:$C$58,0))),""))))</f>
        <v/>
      </c>
      <c r="E189" s="14"/>
      <c r="F189" s="23" t="str">
        <f aca="false">IF($C189="","",IF($G189="Einstaklingsbundið",IFERROR(IF(INDEX('Undirviðmiðalisti (Lýsigögn)'!$E$42:$E$58,MATCH($C189,'Undirviðmiðalisti (Lýsigögn)'!$C$42:$C$58,0))="","",INDEX('Undirviðmiðalisti (Lýsigögn)'!$E$42:$E$58,MATCH($C189,'Undirviðmiðalisti (Lýsigögn)'!$C$42:$C$58,0))),""),IFERROR(IF(INDEX('Undirviðmiðalisti (Lýsigögn)'!$E$6:$E$41,MATCH($C189,'Undirviðmiðalisti (Lýsigögn)'!$C$6:$C$41,0))="","",INDEX('Undirviðmiðalisti (Lýsigögn)'!$E$6:$E$41,MATCH($C189,'Undirviðmiðalisti (Lýsigögn)'!$C$6:$C$41,0))),IFERROR(IF(INDEX('Undirviðmiðalisti (Lýsigögn)'!$E$42:$E$58,MATCH($C189,'Undirviðmiðalisti (Lýsigögn)'!$C$42:$C$58,0))="","",INDEX('Undirviðmiðalisti (Lýsigögn)'!$E$42:$E$58,MATCH($C189,'Undirviðmiðalisti (Lýsigögn)'!$C$42:$C$58,0))),""))))</f>
        <v/>
      </c>
      <c r="G189" s="24" t="str">
        <f aca="false">IFERROR(IF(B189="","",INDEX(Viðmið!$B$6:$B$10,MATCH(B189,Viðmið!$C$6:$C$10,0))),"")</f>
        <v/>
      </c>
      <c r="H189" s="25" t="str">
        <f aca="false">IF(OR(E189="",F189=""),"",E189*KVARDI)</f>
        <v/>
      </c>
      <c r="I189" s="26" t="str">
        <f aca="false">IF(B189="","",IF(ROUND(SUMIF($B$6:$B$205,B189,$E$6:$E$205),4)=ROUND(IFERROR(INDEX(Viðmið!$E$6:$E$10,MATCH(B189,Viðmið!$C$6:$C$10,0)),-1),4),"✓","✗"))</f>
        <v/>
      </c>
      <c r="J189" s="16" t="str">
        <f aca="false">IF($C189="","",IF($G189="Einstaklingsbundið",IFERROR(IF(INDEX('Undirviðmiðalisti (Lýsigögn)'!F$42:F$58,MATCH($C189,'Undirviðmiðalisti (Lýsigögn)'!$C$42:$C$58,0))="","",INDEX('Undirviðmiðalisti (Lýsigögn)'!F$42:F$58,MATCH($C189,'Undirviðmiðalisti (Lýsigögn)'!$C$42:$C$58,0))),""),IFERROR(IF(INDEX('Undirviðmiðalisti (Lýsigögn)'!F$6:F$41,MATCH($C189,'Undirviðmiðalisti (Lýsigögn)'!$C$6:$C$41,0))="","",INDEX('Undirviðmiðalisti (Lýsigögn)'!F$6:F$41,MATCH($C189,'Undirviðmiðalisti (Lýsigögn)'!$C$6:$C$41,0))),IFERROR(IF(INDEX('Undirviðmiðalisti (Lýsigögn)'!F$42:F$58,MATCH($C189,'Undirviðmiðalisti (Lýsigögn)'!$C$42:$C$58,0))="","",INDEX('Undirviðmiðalisti (Lýsigögn)'!F$42:F$58,MATCH($C189,'Undirviðmiðalisti (Lýsigögn)'!$C$42:$C$58,0))),""))))</f>
        <v/>
      </c>
      <c r="K189" s="16" t="str">
        <f aca="false">IF($C189="","",IF($G189="Einstaklingsbundið",IFERROR(IF(INDEX('Undirviðmiðalisti (Lýsigögn)'!G$42:G$58,MATCH($C189,'Undirviðmiðalisti (Lýsigögn)'!$C$42:$C$58,0))="","",INDEX('Undirviðmiðalisti (Lýsigögn)'!G$42:G$58,MATCH($C189,'Undirviðmiðalisti (Lýsigögn)'!$C$42:$C$58,0))),""),IFERROR(IF(INDEX('Undirviðmiðalisti (Lýsigögn)'!G$6:G$41,MATCH($C189,'Undirviðmiðalisti (Lýsigögn)'!$C$6:$C$41,0))="","",INDEX('Undirviðmiðalisti (Lýsigögn)'!G$6:G$41,MATCH($C189,'Undirviðmiðalisti (Lýsigögn)'!$C$6:$C$41,0))),IFERROR(IF(INDEX('Undirviðmiðalisti (Lýsigögn)'!G$42:G$58,MATCH($C189,'Undirviðmiðalisti (Lýsigögn)'!$C$42:$C$58,0))="","",INDEX('Undirviðmiðalisti (Lýsigögn)'!G$42:G$58,MATCH($C189,'Undirviðmiðalisti (Lýsigögn)'!$C$42:$C$58,0))),""))))</f>
        <v/>
      </c>
      <c r="L189" s="16" t="str">
        <f aca="false">IF($C189="","",IF($G189="Einstaklingsbundið",IFERROR(IF(INDEX('Undirviðmiðalisti (Lýsigögn)'!H$42:H$58,MATCH($C189,'Undirviðmiðalisti (Lýsigögn)'!$C$42:$C$58,0))="","",INDEX('Undirviðmiðalisti (Lýsigögn)'!H$42:H$58,MATCH($C189,'Undirviðmiðalisti (Lýsigögn)'!$C$42:$C$58,0))),""),IFERROR(IF(INDEX('Undirviðmiðalisti (Lýsigögn)'!H$6:H$41,MATCH($C189,'Undirviðmiðalisti (Lýsigögn)'!$C$6:$C$41,0))="","",INDEX('Undirviðmiðalisti (Lýsigögn)'!H$6:H$41,MATCH($C189,'Undirviðmiðalisti (Lýsigögn)'!$C$6:$C$41,0))),IFERROR(IF(INDEX('Undirviðmiðalisti (Lýsigögn)'!H$42:H$58,MATCH($C189,'Undirviðmiðalisti (Lýsigögn)'!$C$42:$C$58,0))="","",INDEX('Undirviðmiðalisti (Lýsigögn)'!H$42:H$58,MATCH($C189,'Undirviðmiðalisti (Lýsigögn)'!$C$42:$C$58,0))),""))))</f>
        <v/>
      </c>
      <c r="M189" s="16" t="str">
        <f aca="false">IF($C189="","",IF($G189="Einstaklingsbundið",IFERROR(IF(INDEX('Undirviðmiðalisti (Lýsigögn)'!I$42:I$58,MATCH($C189,'Undirviðmiðalisti (Lýsigögn)'!$C$42:$C$58,0))="","",INDEX('Undirviðmiðalisti (Lýsigögn)'!I$42:I$58,MATCH($C189,'Undirviðmiðalisti (Lýsigögn)'!$C$42:$C$58,0))),""),IFERROR(IF(INDEX('Undirviðmiðalisti (Lýsigögn)'!I$6:I$41,MATCH($C189,'Undirviðmiðalisti (Lýsigögn)'!$C$6:$C$41,0))="","",INDEX('Undirviðmiðalisti (Lýsigögn)'!I$6:I$41,MATCH($C189,'Undirviðmiðalisti (Lýsigögn)'!$C$6:$C$41,0))),IFERROR(IF(INDEX('Undirviðmiðalisti (Lýsigögn)'!I$42:I$58,MATCH($C189,'Undirviðmiðalisti (Lýsigögn)'!$C$42:$C$58,0))="","",INDEX('Undirviðmiðalisti (Lýsigögn)'!I$42:I$58,MATCH($C189,'Undirviðmiðalisti (Lýsigögn)'!$C$42:$C$58,0))),""))))</f>
        <v/>
      </c>
      <c r="N189" s="16" t="str">
        <f aca="false">IF($C189="","",IF($G189="Einstaklingsbundið",IFERROR(IF(INDEX('Undirviðmiðalisti (Lýsigögn)'!J$42:J$58,MATCH($C189,'Undirviðmiðalisti (Lýsigögn)'!$C$42:$C$58,0))="","",INDEX('Undirviðmiðalisti (Lýsigögn)'!J$42:J$58,MATCH($C189,'Undirviðmiðalisti (Lýsigögn)'!$C$42:$C$58,0))),""),IFERROR(IF(INDEX('Undirviðmiðalisti (Lýsigögn)'!J$6:J$41,MATCH($C189,'Undirviðmiðalisti (Lýsigögn)'!$C$6:$C$41,0))="","",INDEX('Undirviðmiðalisti (Lýsigögn)'!J$6:J$41,MATCH($C189,'Undirviðmiðalisti (Lýsigögn)'!$C$6:$C$41,0))),IFERROR(IF(INDEX('Undirviðmiðalisti (Lýsigögn)'!J$42:J$58,MATCH($C189,'Undirviðmiðalisti (Lýsigögn)'!$C$42:$C$58,0))="","",INDEX('Undirviðmiðalisti (Lýsigögn)'!J$42:J$58,MATCH($C189,'Undirviðmiðalisti (Lýsigögn)'!$C$42:$C$58,0))),""))))</f>
        <v/>
      </c>
      <c r="O189" s="16" t="str">
        <f aca="false">IF($C189="","",IF($G189="Einstaklingsbundið",IFERROR(IF(INDEX('Undirviðmiðalisti (Lýsigögn)'!K$42:K$58,MATCH($C189,'Undirviðmiðalisti (Lýsigögn)'!$C$42:$C$58,0))="","",INDEX('Undirviðmiðalisti (Lýsigögn)'!K$42:K$58,MATCH($C189,'Undirviðmiðalisti (Lýsigögn)'!$C$42:$C$58,0))),""),IFERROR(IF(INDEX('Undirviðmiðalisti (Lýsigögn)'!K$6:K$41,MATCH($C189,'Undirviðmiðalisti (Lýsigögn)'!$C$6:$C$41,0))="","",INDEX('Undirviðmiðalisti (Lýsigögn)'!K$6:K$41,MATCH($C189,'Undirviðmiðalisti (Lýsigögn)'!$C$6:$C$41,0))),IFERROR(IF(INDEX('Undirviðmiðalisti (Lýsigögn)'!K$42:K$58,MATCH($C189,'Undirviðmiðalisti (Lýsigögn)'!$C$42:$C$58,0))="","",INDEX('Undirviðmiðalisti (Lýsigögn)'!K$42:K$58,MATCH($C189,'Undirviðmiðalisti (Lýsigögn)'!$C$42:$C$58,0))),""))))</f>
        <v/>
      </c>
      <c r="P189" s="16" t="str">
        <f aca="false">IF($C189="","",IF($G189="Einstaklingsbundið",IFERROR(IF(INDEX('Undirviðmiðalisti (Lýsigögn)'!L$42:L$58,MATCH($C189,'Undirviðmiðalisti (Lýsigögn)'!$C$42:$C$58,0))="","",INDEX('Undirviðmiðalisti (Lýsigögn)'!L$42:L$58,MATCH($C189,'Undirviðmiðalisti (Lýsigögn)'!$C$42:$C$58,0))),""),IFERROR(IF(INDEX('Undirviðmiðalisti (Lýsigögn)'!L$6:L$41,MATCH($C189,'Undirviðmiðalisti (Lýsigögn)'!$C$6:$C$41,0))="","",INDEX('Undirviðmiðalisti (Lýsigögn)'!L$6:L$41,MATCH($C189,'Undirviðmiðalisti (Lýsigögn)'!$C$6:$C$41,0))),IFERROR(IF(INDEX('Undirviðmiðalisti (Lýsigögn)'!L$42:L$58,MATCH($C189,'Undirviðmiðalisti (Lýsigögn)'!$C$42:$C$58,0))="","",INDEX('Undirviðmiðalisti (Lýsigögn)'!L$42:L$58,MATCH($C189,'Undirviðmiðalisti (Lýsigögn)'!$C$42:$C$58,0))),""))))</f>
        <v/>
      </c>
      <c r="Q189" s="16" t="str">
        <f aca="false">IF($C189="","",IF($G189="Einstaklingsbundið",IFERROR(IF(INDEX('Undirviðmiðalisti (Lýsigögn)'!M$42:M$58,MATCH($C189,'Undirviðmiðalisti (Lýsigögn)'!$C$42:$C$58,0))="","",INDEX('Undirviðmiðalisti (Lýsigögn)'!M$42:M$58,MATCH($C189,'Undirviðmiðalisti (Lýsigögn)'!$C$42:$C$58,0))),""),IFERROR(IF(INDEX('Undirviðmiðalisti (Lýsigögn)'!M$6:M$41,MATCH($C189,'Undirviðmiðalisti (Lýsigögn)'!$C$6:$C$41,0))="","",INDEX('Undirviðmiðalisti (Lýsigögn)'!M$6:M$41,MATCH($C189,'Undirviðmiðalisti (Lýsigögn)'!$C$6:$C$41,0))),IFERROR(IF(INDEX('Undirviðmiðalisti (Lýsigögn)'!M$42:M$58,MATCH($C189,'Undirviðmiðalisti (Lýsigögn)'!$C$42:$C$58,0))="","",INDEX('Undirviðmiðalisti (Lýsigögn)'!M$42:M$58,MATCH($C189,'Undirviðmiðalisti (Lýsigögn)'!$C$42:$C$58,0))),""))))</f>
        <v/>
      </c>
    </row>
    <row r="190" customFormat="false" ht="15" hidden="false" customHeight="true" outlineLevel="0" collapsed="false">
      <c r="A190" s="22" t="str">
        <f aca="false">IF($B190="","",ROW()-5)</f>
        <v/>
      </c>
      <c r="B190" s="15"/>
      <c r="C190" s="15"/>
      <c r="D190" s="16" t="str">
        <f aca="false">IF($C190="","",IF($G190="Einstaklingsbundið",IFERROR(IF(INDEX('Undirviðmiðalisti (Lýsigögn)'!$D$42:$D$58,MATCH($C190,'Undirviðmiðalisti (Lýsigögn)'!$C$42:$C$58,0))="","",INDEX('Undirviðmiðalisti (Lýsigögn)'!$D$42:$D$58,MATCH($C190,'Undirviðmiðalisti (Lýsigögn)'!$C$42:$C$58,0))),""),IFERROR(IF(INDEX('Undirviðmiðalisti (Lýsigögn)'!$D$6:$D$41,MATCH($C190,'Undirviðmiðalisti (Lýsigögn)'!$C$6:$C$41,0))="","",INDEX('Undirviðmiðalisti (Lýsigögn)'!$D$6:$D$41,MATCH($C190,'Undirviðmiðalisti (Lýsigögn)'!$C$6:$C$41,0))),IFERROR(IF(INDEX('Undirviðmiðalisti (Lýsigögn)'!$D$42:$D$58,MATCH($C190,'Undirviðmiðalisti (Lýsigögn)'!$C$42:$C$58,0))="","",INDEX('Undirviðmiðalisti (Lýsigögn)'!$D$42:$D$58,MATCH($C190,'Undirviðmiðalisti (Lýsigögn)'!$C$42:$C$58,0))),""))))</f>
        <v/>
      </c>
      <c r="E190" s="14"/>
      <c r="F190" s="23" t="str">
        <f aca="false">IF($C190="","",IF($G190="Einstaklingsbundið",IFERROR(IF(INDEX('Undirviðmiðalisti (Lýsigögn)'!$E$42:$E$58,MATCH($C190,'Undirviðmiðalisti (Lýsigögn)'!$C$42:$C$58,0))="","",INDEX('Undirviðmiðalisti (Lýsigögn)'!$E$42:$E$58,MATCH($C190,'Undirviðmiðalisti (Lýsigögn)'!$C$42:$C$58,0))),""),IFERROR(IF(INDEX('Undirviðmiðalisti (Lýsigögn)'!$E$6:$E$41,MATCH($C190,'Undirviðmiðalisti (Lýsigögn)'!$C$6:$C$41,0))="","",INDEX('Undirviðmiðalisti (Lýsigögn)'!$E$6:$E$41,MATCH($C190,'Undirviðmiðalisti (Lýsigögn)'!$C$6:$C$41,0))),IFERROR(IF(INDEX('Undirviðmiðalisti (Lýsigögn)'!$E$42:$E$58,MATCH($C190,'Undirviðmiðalisti (Lýsigögn)'!$C$42:$C$58,0))="","",INDEX('Undirviðmiðalisti (Lýsigögn)'!$E$42:$E$58,MATCH($C190,'Undirviðmiðalisti (Lýsigögn)'!$C$42:$C$58,0))),""))))</f>
        <v/>
      </c>
      <c r="G190" s="24" t="str">
        <f aca="false">IFERROR(IF(B190="","",INDEX(Viðmið!$B$6:$B$10,MATCH(B190,Viðmið!$C$6:$C$10,0))),"")</f>
        <v/>
      </c>
      <c r="H190" s="25" t="str">
        <f aca="false">IF(OR(E190="",F190=""),"",E190*KVARDI)</f>
        <v/>
      </c>
      <c r="I190" s="26" t="str">
        <f aca="false">IF(B190="","",IF(ROUND(SUMIF($B$6:$B$205,B190,$E$6:$E$205),4)=ROUND(IFERROR(INDEX(Viðmið!$E$6:$E$10,MATCH(B190,Viðmið!$C$6:$C$10,0)),-1),4),"✓","✗"))</f>
        <v/>
      </c>
      <c r="J190" s="16" t="str">
        <f aca="false">IF($C190="","",IF($G190="Einstaklingsbundið",IFERROR(IF(INDEX('Undirviðmiðalisti (Lýsigögn)'!F$42:F$58,MATCH($C190,'Undirviðmiðalisti (Lýsigögn)'!$C$42:$C$58,0))="","",INDEX('Undirviðmiðalisti (Lýsigögn)'!F$42:F$58,MATCH($C190,'Undirviðmiðalisti (Lýsigögn)'!$C$42:$C$58,0))),""),IFERROR(IF(INDEX('Undirviðmiðalisti (Lýsigögn)'!F$6:F$41,MATCH($C190,'Undirviðmiðalisti (Lýsigögn)'!$C$6:$C$41,0))="","",INDEX('Undirviðmiðalisti (Lýsigögn)'!F$6:F$41,MATCH($C190,'Undirviðmiðalisti (Lýsigögn)'!$C$6:$C$41,0))),IFERROR(IF(INDEX('Undirviðmiðalisti (Lýsigögn)'!F$42:F$58,MATCH($C190,'Undirviðmiðalisti (Lýsigögn)'!$C$42:$C$58,0))="","",INDEX('Undirviðmiðalisti (Lýsigögn)'!F$42:F$58,MATCH($C190,'Undirviðmiðalisti (Lýsigögn)'!$C$42:$C$58,0))),""))))</f>
        <v/>
      </c>
      <c r="K190" s="16" t="str">
        <f aca="false">IF($C190="","",IF($G190="Einstaklingsbundið",IFERROR(IF(INDEX('Undirviðmiðalisti (Lýsigögn)'!G$42:G$58,MATCH($C190,'Undirviðmiðalisti (Lýsigögn)'!$C$42:$C$58,0))="","",INDEX('Undirviðmiðalisti (Lýsigögn)'!G$42:G$58,MATCH($C190,'Undirviðmiðalisti (Lýsigögn)'!$C$42:$C$58,0))),""),IFERROR(IF(INDEX('Undirviðmiðalisti (Lýsigögn)'!G$6:G$41,MATCH($C190,'Undirviðmiðalisti (Lýsigögn)'!$C$6:$C$41,0))="","",INDEX('Undirviðmiðalisti (Lýsigögn)'!G$6:G$41,MATCH($C190,'Undirviðmiðalisti (Lýsigögn)'!$C$6:$C$41,0))),IFERROR(IF(INDEX('Undirviðmiðalisti (Lýsigögn)'!G$42:G$58,MATCH($C190,'Undirviðmiðalisti (Lýsigögn)'!$C$42:$C$58,0))="","",INDEX('Undirviðmiðalisti (Lýsigögn)'!G$42:G$58,MATCH($C190,'Undirviðmiðalisti (Lýsigögn)'!$C$42:$C$58,0))),""))))</f>
        <v/>
      </c>
      <c r="L190" s="16" t="str">
        <f aca="false">IF($C190="","",IF($G190="Einstaklingsbundið",IFERROR(IF(INDEX('Undirviðmiðalisti (Lýsigögn)'!H$42:H$58,MATCH($C190,'Undirviðmiðalisti (Lýsigögn)'!$C$42:$C$58,0))="","",INDEX('Undirviðmiðalisti (Lýsigögn)'!H$42:H$58,MATCH($C190,'Undirviðmiðalisti (Lýsigögn)'!$C$42:$C$58,0))),""),IFERROR(IF(INDEX('Undirviðmiðalisti (Lýsigögn)'!H$6:H$41,MATCH($C190,'Undirviðmiðalisti (Lýsigögn)'!$C$6:$C$41,0))="","",INDEX('Undirviðmiðalisti (Lýsigögn)'!H$6:H$41,MATCH($C190,'Undirviðmiðalisti (Lýsigögn)'!$C$6:$C$41,0))),IFERROR(IF(INDEX('Undirviðmiðalisti (Lýsigögn)'!H$42:H$58,MATCH($C190,'Undirviðmiðalisti (Lýsigögn)'!$C$42:$C$58,0))="","",INDEX('Undirviðmiðalisti (Lýsigögn)'!H$42:H$58,MATCH($C190,'Undirviðmiðalisti (Lýsigögn)'!$C$42:$C$58,0))),""))))</f>
        <v/>
      </c>
      <c r="M190" s="16" t="str">
        <f aca="false">IF($C190="","",IF($G190="Einstaklingsbundið",IFERROR(IF(INDEX('Undirviðmiðalisti (Lýsigögn)'!I$42:I$58,MATCH($C190,'Undirviðmiðalisti (Lýsigögn)'!$C$42:$C$58,0))="","",INDEX('Undirviðmiðalisti (Lýsigögn)'!I$42:I$58,MATCH($C190,'Undirviðmiðalisti (Lýsigögn)'!$C$42:$C$58,0))),""),IFERROR(IF(INDEX('Undirviðmiðalisti (Lýsigögn)'!I$6:I$41,MATCH($C190,'Undirviðmiðalisti (Lýsigögn)'!$C$6:$C$41,0))="","",INDEX('Undirviðmiðalisti (Lýsigögn)'!I$6:I$41,MATCH($C190,'Undirviðmiðalisti (Lýsigögn)'!$C$6:$C$41,0))),IFERROR(IF(INDEX('Undirviðmiðalisti (Lýsigögn)'!I$42:I$58,MATCH($C190,'Undirviðmiðalisti (Lýsigögn)'!$C$42:$C$58,0))="","",INDEX('Undirviðmiðalisti (Lýsigögn)'!I$42:I$58,MATCH($C190,'Undirviðmiðalisti (Lýsigögn)'!$C$42:$C$58,0))),""))))</f>
        <v/>
      </c>
      <c r="N190" s="16" t="str">
        <f aca="false">IF($C190="","",IF($G190="Einstaklingsbundið",IFERROR(IF(INDEX('Undirviðmiðalisti (Lýsigögn)'!J$42:J$58,MATCH($C190,'Undirviðmiðalisti (Lýsigögn)'!$C$42:$C$58,0))="","",INDEX('Undirviðmiðalisti (Lýsigögn)'!J$42:J$58,MATCH($C190,'Undirviðmiðalisti (Lýsigögn)'!$C$42:$C$58,0))),""),IFERROR(IF(INDEX('Undirviðmiðalisti (Lýsigögn)'!J$6:J$41,MATCH($C190,'Undirviðmiðalisti (Lýsigögn)'!$C$6:$C$41,0))="","",INDEX('Undirviðmiðalisti (Lýsigögn)'!J$6:J$41,MATCH($C190,'Undirviðmiðalisti (Lýsigögn)'!$C$6:$C$41,0))),IFERROR(IF(INDEX('Undirviðmiðalisti (Lýsigögn)'!J$42:J$58,MATCH($C190,'Undirviðmiðalisti (Lýsigögn)'!$C$42:$C$58,0))="","",INDEX('Undirviðmiðalisti (Lýsigögn)'!J$42:J$58,MATCH($C190,'Undirviðmiðalisti (Lýsigögn)'!$C$42:$C$58,0))),""))))</f>
        <v/>
      </c>
      <c r="O190" s="16" t="str">
        <f aca="false">IF($C190="","",IF($G190="Einstaklingsbundið",IFERROR(IF(INDEX('Undirviðmiðalisti (Lýsigögn)'!K$42:K$58,MATCH($C190,'Undirviðmiðalisti (Lýsigögn)'!$C$42:$C$58,0))="","",INDEX('Undirviðmiðalisti (Lýsigögn)'!K$42:K$58,MATCH($C190,'Undirviðmiðalisti (Lýsigögn)'!$C$42:$C$58,0))),""),IFERROR(IF(INDEX('Undirviðmiðalisti (Lýsigögn)'!K$6:K$41,MATCH($C190,'Undirviðmiðalisti (Lýsigögn)'!$C$6:$C$41,0))="","",INDEX('Undirviðmiðalisti (Lýsigögn)'!K$6:K$41,MATCH($C190,'Undirviðmiðalisti (Lýsigögn)'!$C$6:$C$41,0))),IFERROR(IF(INDEX('Undirviðmiðalisti (Lýsigögn)'!K$42:K$58,MATCH($C190,'Undirviðmiðalisti (Lýsigögn)'!$C$42:$C$58,0))="","",INDEX('Undirviðmiðalisti (Lýsigögn)'!K$42:K$58,MATCH($C190,'Undirviðmiðalisti (Lýsigögn)'!$C$42:$C$58,0))),""))))</f>
        <v/>
      </c>
      <c r="P190" s="16" t="str">
        <f aca="false">IF($C190="","",IF($G190="Einstaklingsbundið",IFERROR(IF(INDEX('Undirviðmiðalisti (Lýsigögn)'!L$42:L$58,MATCH($C190,'Undirviðmiðalisti (Lýsigögn)'!$C$42:$C$58,0))="","",INDEX('Undirviðmiðalisti (Lýsigögn)'!L$42:L$58,MATCH($C190,'Undirviðmiðalisti (Lýsigögn)'!$C$42:$C$58,0))),""),IFERROR(IF(INDEX('Undirviðmiðalisti (Lýsigögn)'!L$6:L$41,MATCH($C190,'Undirviðmiðalisti (Lýsigögn)'!$C$6:$C$41,0))="","",INDEX('Undirviðmiðalisti (Lýsigögn)'!L$6:L$41,MATCH($C190,'Undirviðmiðalisti (Lýsigögn)'!$C$6:$C$41,0))),IFERROR(IF(INDEX('Undirviðmiðalisti (Lýsigögn)'!L$42:L$58,MATCH($C190,'Undirviðmiðalisti (Lýsigögn)'!$C$42:$C$58,0))="","",INDEX('Undirviðmiðalisti (Lýsigögn)'!L$42:L$58,MATCH($C190,'Undirviðmiðalisti (Lýsigögn)'!$C$42:$C$58,0))),""))))</f>
        <v/>
      </c>
      <c r="Q190" s="16" t="str">
        <f aca="false">IF($C190="","",IF($G190="Einstaklingsbundið",IFERROR(IF(INDEX('Undirviðmiðalisti (Lýsigögn)'!M$42:M$58,MATCH($C190,'Undirviðmiðalisti (Lýsigögn)'!$C$42:$C$58,0))="","",INDEX('Undirviðmiðalisti (Lýsigögn)'!M$42:M$58,MATCH($C190,'Undirviðmiðalisti (Lýsigögn)'!$C$42:$C$58,0))),""),IFERROR(IF(INDEX('Undirviðmiðalisti (Lýsigögn)'!M$6:M$41,MATCH($C190,'Undirviðmiðalisti (Lýsigögn)'!$C$6:$C$41,0))="","",INDEX('Undirviðmiðalisti (Lýsigögn)'!M$6:M$41,MATCH($C190,'Undirviðmiðalisti (Lýsigögn)'!$C$6:$C$41,0))),IFERROR(IF(INDEX('Undirviðmiðalisti (Lýsigögn)'!M$42:M$58,MATCH($C190,'Undirviðmiðalisti (Lýsigögn)'!$C$42:$C$58,0))="","",INDEX('Undirviðmiðalisti (Lýsigögn)'!M$42:M$58,MATCH($C190,'Undirviðmiðalisti (Lýsigögn)'!$C$42:$C$58,0))),""))))</f>
        <v/>
      </c>
    </row>
    <row r="191" customFormat="false" ht="15" hidden="false" customHeight="true" outlineLevel="0" collapsed="false">
      <c r="A191" s="22" t="str">
        <f aca="false">IF($B191="","",ROW()-5)</f>
        <v/>
      </c>
      <c r="B191" s="15"/>
      <c r="C191" s="15"/>
      <c r="D191" s="16" t="str">
        <f aca="false">IF($C191="","",IF($G191="Einstaklingsbundið",IFERROR(IF(INDEX('Undirviðmiðalisti (Lýsigögn)'!$D$42:$D$58,MATCH($C191,'Undirviðmiðalisti (Lýsigögn)'!$C$42:$C$58,0))="","",INDEX('Undirviðmiðalisti (Lýsigögn)'!$D$42:$D$58,MATCH($C191,'Undirviðmiðalisti (Lýsigögn)'!$C$42:$C$58,0))),""),IFERROR(IF(INDEX('Undirviðmiðalisti (Lýsigögn)'!$D$6:$D$41,MATCH($C191,'Undirviðmiðalisti (Lýsigögn)'!$C$6:$C$41,0))="","",INDEX('Undirviðmiðalisti (Lýsigögn)'!$D$6:$D$41,MATCH($C191,'Undirviðmiðalisti (Lýsigögn)'!$C$6:$C$41,0))),IFERROR(IF(INDEX('Undirviðmiðalisti (Lýsigögn)'!$D$42:$D$58,MATCH($C191,'Undirviðmiðalisti (Lýsigögn)'!$C$42:$C$58,0))="","",INDEX('Undirviðmiðalisti (Lýsigögn)'!$D$42:$D$58,MATCH($C191,'Undirviðmiðalisti (Lýsigögn)'!$C$42:$C$58,0))),""))))</f>
        <v/>
      </c>
      <c r="E191" s="14"/>
      <c r="F191" s="23" t="str">
        <f aca="false">IF($C191="","",IF($G191="Einstaklingsbundið",IFERROR(IF(INDEX('Undirviðmiðalisti (Lýsigögn)'!$E$42:$E$58,MATCH($C191,'Undirviðmiðalisti (Lýsigögn)'!$C$42:$C$58,0))="","",INDEX('Undirviðmiðalisti (Lýsigögn)'!$E$42:$E$58,MATCH($C191,'Undirviðmiðalisti (Lýsigögn)'!$C$42:$C$58,0))),""),IFERROR(IF(INDEX('Undirviðmiðalisti (Lýsigögn)'!$E$6:$E$41,MATCH($C191,'Undirviðmiðalisti (Lýsigögn)'!$C$6:$C$41,0))="","",INDEX('Undirviðmiðalisti (Lýsigögn)'!$E$6:$E$41,MATCH($C191,'Undirviðmiðalisti (Lýsigögn)'!$C$6:$C$41,0))),IFERROR(IF(INDEX('Undirviðmiðalisti (Lýsigögn)'!$E$42:$E$58,MATCH($C191,'Undirviðmiðalisti (Lýsigögn)'!$C$42:$C$58,0))="","",INDEX('Undirviðmiðalisti (Lýsigögn)'!$E$42:$E$58,MATCH($C191,'Undirviðmiðalisti (Lýsigögn)'!$C$42:$C$58,0))),""))))</f>
        <v/>
      </c>
      <c r="G191" s="24" t="str">
        <f aca="false">IFERROR(IF(B191="","",INDEX(Viðmið!$B$6:$B$10,MATCH(B191,Viðmið!$C$6:$C$10,0))),"")</f>
        <v/>
      </c>
      <c r="H191" s="25" t="str">
        <f aca="false">IF(OR(E191="",F191=""),"",E191*KVARDI)</f>
        <v/>
      </c>
      <c r="I191" s="26" t="str">
        <f aca="false">IF(B191="","",IF(ROUND(SUMIF($B$6:$B$205,B191,$E$6:$E$205),4)=ROUND(IFERROR(INDEX(Viðmið!$E$6:$E$10,MATCH(B191,Viðmið!$C$6:$C$10,0)),-1),4),"✓","✗"))</f>
        <v/>
      </c>
      <c r="J191" s="16" t="str">
        <f aca="false">IF($C191="","",IF($G191="Einstaklingsbundið",IFERROR(IF(INDEX('Undirviðmiðalisti (Lýsigögn)'!F$42:F$58,MATCH($C191,'Undirviðmiðalisti (Lýsigögn)'!$C$42:$C$58,0))="","",INDEX('Undirviðmiðalisti (Lýsigögn)'!F$42:F$58,MATCH($C191,'Undirviðmiðalisti (Lýsigögn)'!$C$42:$C$58,0))),""),IFERROR(IF(INDEX('Undirviðmiðalisti (Lýsigögn)'!F$6:F$41,MATCH($C191,'Undirviðmiðalisti (Lýsigögn)'!$C$6:$C$41,0))="","",INDEX('Undirviðmiðalisti (Lýsigögn)'!F$6:F$41,MATCH($C191,'Undirviðmiðalisti (Lýsigögn)'!$C$6:$C$41,0))),IFERROR(IF(INDEX('Undirviðmiðalisti (Lýsigögn)'!F$42:F$58,MATCH($C191,'Undirviðmiðalisti (Lýsigögn)'!$C$42:$C$58,0))="","",INDEX('Undirviðmiðalisti (Lýsigögn)'!F$42:F$58,MATCH($C191,'Undirviðmiðalisti (Lýsigögn)'!$C$42:$C$58,0))),""))))</f>
        <v/>
      </c>
      <c r="K191" s="16" t="str">
        <f aca="false">IF($C191="","",IF($G191="Einstaklingsbundið",IFERROR(IF(INDEX('Undirviðmiðalisti (Lýsigögn)'!G$42:G$58,MATCH($C191,'Undirviðmiðalisti (Lýsigögn)'!$C$42:$C$58,0))="","",INDEX('Undirviðmiðalisti (Lýsigögn)'!G$42:G$58,MATCH($C191,'Undirviðmiðalisti (Lýsigögn)'!$C$42:$C$58,0))),""),IFERROR(IF(INDEX('Undirviðmiðalisti (Lýsigögn)'!G$6:G$41,MATCH($C191,'Undirviðmiðalisti (Lýsigögn)'!$C$6:$C$41,0))="","",INDEX('Undirviðmiðalisti (Lýsigögn)'!G$6:G$41,MATCH($C191,'Undirviðmiðalisti (Lýsigögn)'!$C$6:$C$41,0))),IFERROR(IF(INDEX('Undirviðmiðalisti (Lýsigögn)'!G$42:G$58,MATCH($C191,'Undirviðmiðalisti (Lýsigögn)'!$C$42:$C$58,0))="","",INDEX('Undirviðmiðalisti (Lýsigögn)'!G$42:G$58,MATCH($C191,'Undirviðmiðalisti (Lýsigögn)'!$C$42:$C$58,0))),""))))</f>
        <v/>
      </c>
      <c r="L191" s="16" t="str">
        <f aca="false">IF($C191="","",IF($G191="Einstaklingsbundið",IFERROR(IF(INDEX('Undirviðmiðalisti (Lýsigögn)'!H$42:H$58,MATCH($C191,'Undirviðmiðalisti (Lýsigögn)'!$C$42:$C$58,0))="","",INDEX('Undirviðmiðalisti (Lýsigögn)'!H$42:H$58,MATCH($C191,'Undirviðmiðalisti (Lýsigögn)'!$C$42:$C$58,0))),""),IFERROR(IF(INDEX('Undirviðmiðalisti (Lýsigögn)'!H$6:H$41,MATCH($C191,'Undirviðmiðalisti (Lýsigögn)'!$C$6:$C$41,0))="","",INDEX('Undirviðmiðalisti (Lýsigögn)'!H$6:H$41,MATCH($C191,'Undirviðmiðalisti (Lýsigögn)'!$C$6:$C$41,0))),IFERROR(IF(INDEX('Undirviðmiðalisti (Lýsigögn)'!H$42:H$58,MATCH($C191,'Undirviðmiðalisti (Lýsigögn)'!$C$42:$C$58,0))="","",INDEX('Undirviðmiðalisti (Lýsigögn)'!H$42:H$58,MATCH($C191,'Undirviðmiðalisti (Lýsigögn)'!$C$42:$C$58,0))),""))))</f>
        <v/>
      </c>
      <c r="M191" s="16" t="str">
        <f aca="false">IF($C191="","",IF($G191="Einstaklingsbundið",IFERROR(IF(INDEX('Undirviðmiðalisti (Lýsigögn)'!I$42:I$58,MATCH($C191,'Undirviðmiðalisti (Lýsigögn)'!$C$42:$C$58,0))="","",INDEX('Undirviðmiðalisti (Lýsigögn)'!I$42:I$58,MATCH($C191,'Undirviðmiðalisti (Lýsigögn)'!$C$42:$C$58,0))),""),IFERROR(IF(INDEX('Undirviðmiðalisti (Lýsigögn)'!I$6:I$41,MATCH($C191,'Undirviðmiðalisti (Lýsigögn)'!$C$6:$C$41,0))="","",INDEX('Undirviðmiðalisti (Lýsigögn)'!I$6:I$41,MATCH($C191,'Undirviðmiðalisti (Lýsigögn)'!$C$6:$C$41,0))),IFERROR(IF(INDEX('Undirviðmiðalisti (Lýsigögn)'!I$42:I$58,MATCH($C191,'Undirviðmiðalisti (Lýsigögn)'!$C$42:$C$58,0))="","",INDEX('Undirviðmiðalisti (Lýsigögn)'!I$42:I$58,MATCH($C191,'Undirviðmiðalisti (Lýsigögn)'!$C$42:$C$58,0))),""))))</f>
        <v/>
      </c>
      <c r="N191" s="16" t="str">
        <f aca="false">IF($C191="","",IF($G191="Einstaklingsbundið",IFERROR(IF(INDEX('Undirviðmiðalisti (Lýsigögn)'!J$42:J$58,MATCH($C191,'Undirviðmiðalisti (Lýsigögn)'!$C$42:$C$58,0))="","",INDEX('Undirviðmiðalisti (Lýsigögn)'!J$42:J$58,MATCH($C191,'Undirviðmiðalisti (Lýsigögn)'!$C$42:$C$58,0))),""),IFERROR(IF(INDEX('Undirviðmiðalisti (Lýsigögn)'!J$6:J$41,MATCH($C191,'Undirviðmiðalisti (Lýsigögn)'!$C$6:$C$41,0))="","",INDEX('Undirviðmiðalisti (Lýsigögn)'!J$6:J$41,MATCH($C191,'Undirviðmiðalisti (Lýsigögn)'!$C$6:$C$41,0))),IFERROR(IF(INDEX('Undirviðmiðalisti (Lýsigögn)'!J$42:J$58,MATCH($C191,'Undirviðmiðalisti (Lýsigögn)'!$C$42:$C$58,0))="","",INDEX('Undirviðmiðalisti (Lýsigögn)'!J$42:J$58,MATCH($C191,'Undirviðmiðalisti (Lýsigögn)'!$C$42:$C$58,0))),""))))</f>
        <v/>
      </c>
      <c r="O191" s="16" t="str">
        <f aca="false">IF($C191="","",IF($G191="Einstaklingsbundið",IFERROR(IF(INDEX('Undirviðmiðalisti (Lýsigögn)'!K$42:K$58,MATCH($C191,'Undirviðmiðalisti (Lýsigögn)'!$C$42:$C$58,0))="","",INDEX('Undirviðmiðalisti (Lýsigögn)'!K$42:K$58,MATCH($C191,'Undirviðmiðalisti (Lýsigögn)'!$C$42:$C$58,0))),""),IFERROR(IF(INDEX('Undirviðmiðalisti (Lýsigögn)'!K$6:K$41,MATCH($C191,'Undirviðmiðalisti (Lýsigögn)'!$C$6:$C$41,0))="","",INDEX('Undirviðmiðalisti (Lýsigögn)'!K$6:K$41,MATCH($C191,'Undirviðmiðalisti (Lýsigögn)'!$C$6:$C$41,0))),IFERROR(IF(INDEX('Undirviðmiðalisti (Lýsigögn)'!K$42:K$58,MATCH($C191,'Undirviðmiðalisti (Lýsigögn)'!$C$42:$C$58,0))="","",INDEX('Undirviðmiðalisti (Lýsigögn)'!K$42:K$58,MATCH($C191,'Undirviðmiðalisti (Lýsigögn)'!$C$42:$C$58,0))),""))))</f>
        <v/>
      </c>
      <c r="P191" s="16" t="str">
        <f aca="false">IF($C191="","",IF($G191="Einstaklingsbundið",IFERROR(IF(INDEX('Undirviðmiðalisti (Lýsigögn)'!L$42:L$58,MATCH($C191,'Undirviðmiðalisti (Lýsigögn)'!$C$42:$C$58,0))="","",INDEX('Undirviðmiðalisti (Lýsigögn)'!L$42:L$58,MATCH($C191,'Undirviðmiðalisti (Lýsigögn)'!$C$42:$C$58,0))),""),IFERROR(IF(INDEX('Undirviðmiðalisti (Lýsigögn)'!L$6:L$41,MATCH($C191,'Undirviðmiðalisti (Lýsigögn)'!$C$6:$C$41,0))="","",INDEX('Undirviðmiðalisti (Lýsigögn)'!L$6:L$41,MATCH($C191,'Undirviðmiðalisti (Lýsigögn)'!$C$6:$C$41,0))),IFERROR(IF(INDEX('Undirviðmiðalisti (Lýsigögn)'!L$42:L$58,MATCH($C191,'Undirviðmiðalisti (Lýsigögn)'!$C$42:$C$58,0))="","",INDEX('Undirviðmiðalisti (Lýsigögn)'!L$42:L$58,MATCH($C191,'Undirviðmiðalisti (Lýsigögn)'!$C$42:$C$58,0))),""))))</f>
        <v/>
      </c>
      <c r="Q191" s="16" t="str">
        <f aca="false">IF($C191="","",IF($G191="Einstaklingsbundið",IFERROR(IF(INDEX('Undirviðmiðalisti (Lýsigögn)'!M$42:M$58,MATCH($C191,'Undirviðmiðalisti (Lýsigögn)'!$C$42:$C$58,0))="","",INDEX('Undirviðmiðalisti (Lýsigögn)'!M$42:M$58,MATCH($C191,'Undirviðmiðalisti (Lýsigögn)'!$C$42:$C$58,0))),""),IFERROR(IF(INDEX('Undirviðmiðalisti (Lýsigögn)'!M$6:M$41,MATCH($C191,'Undirviðmiðalisti (Lýsigögn)'!$C$6:$C$41,0))="","",INDEX('Undirviðmiðalisti (Lýsigögn)'!M$6:M$41,MATCH($C191,'Undirviðmiðalisti (Lýsigögn)'!$C$6:$C$41,0))),IFERROR(IF(INDEX('Undirviðmiðalisti (Lýsigögn)'!M$42:M$58,MATCH($C191,'Undirviðmiðalisti (Lýsigögn)'!$C$42:$C$58,0))="","",INDEX('Undirviðmiðalisti (Lýsigögn)'!M$42:M$58,MATCH($C191,'Undirviðmiðalisti (Lýsigögn)'!$C$42:$C$58,0))),""))))</f>
        <v/>
      </c>
    </row>
    <row r="192" customFormat="false" ht="15" hidden="false" customHeight="true" outlineLevel="0" collapsed="false">
      <c r="A192" s="22" t="str">
        <f aca="false">IF($B192="","",ROW()-5)</f>
        <v/>
      </c>
      <c r="B192" s="15"/>
      <c r="C192" s="15"/>
      <c r="D192" s="16" t="str">
        <f aca="false">IF($C192="","",IF($G192="Einstaklingsbundið",IFERROR(IF(INDEX('Undirviðmiðalisti (Lýsigögn)'!$D$42:$D$58,MATCH($C192,'Undirviðmiðalisti (Lýsigögn)'!$C$42:$C$58,0))="","",INDEX('Undirviðmiðalisti (Lýsigögn)'!$D$42:$D$58,MATCH($C192,'Undirviðmiðalisti (Lýsigögn)'!$C$42:$C$58,0))),""),IFERROR(IF(INDEX('Undirviðmiðalisti (Lýsigögn)'!$D$6:$D$41,MATCH($C192,'Undirviðmiðalisti (Lýsigögn)'!$C$6:$C$41,0))="","",INDEX('Undirviðmiðalisti (Lýsigögn)'!$D$6:$D$41,MATCH($C192,'Undirviðmiðalisti (Lýsigögn)'!$C$6:$C$41,0))),IFERROR(IF(INDEX('Undirviðmiðalisti (Lýsigögn)'!$D$42:$D$58,MATCH($C192,'Undirviðmiðalisti (Lýsigögn)'!$C$42:$C$58,0))="","",INDEX('Undirviðmiðalisti (Lýsigögn)'!$D$42:$D$58,MATCH($C192,'Undirviðmiðalisti (Lýsigögn)'!$C$42:$C$58,0))),""))))</f>
        <v/>
      </c>
      <c r="E192" s="14"/>
      <c r="F192" s="23" t="str">
        <f aca="false">IF($C192="","",IF($G192="Einstaklingsbundið",IFERROR(IF(INDEX('Undirviðmiðalisti (Lýsigögn)'!$E$42:$E$58,MATCH($C192,'Undirviðmiðalisti (Lýsigögn)'!$C$42:$C$58,0))="","",INDEX('Undirviðmiðalisti (Lýsigögn)'!$E$42:$E$58,MATCH($C192,'Undirviðmiðalisti (Lýsigögn)'!$C$42:$C$58,0))),""),IFERROR(IF(INDEX('Undirviðmiðalisti (Lýsigögn)'!$E$6:$E$41,MATCH($C192,'Undirviðmiðalisti (Lýsigögn)'!$C$6:$C$41,0))="","",INDEX('Undirviðmiðalisti (Lýsigögn)'!$E$6:$E$41,MATCH($C192,'Undirviðmiðalisti (Lýsigögn)'!$C$6:$C$41,0))),IFERROR(IF(INDEX('Undirviðmiðalisti (Lýsigögn)'!$E$42:$E$58,MATCH($C192,'Undirviðmiðalisti (Lýsigögn)'!$C$42:$C$58,0))="","",INDEX('Undirviðmiðalisti (Lýsigögn)'!$E$42:$E$58,MATCH($C192,'Undirviðmiðalisti (Lýsigögn)'!$C$42:$C$58,0))),""))))</f>
        <v/>
      </c>
      <c r="G192" s="24" t="str">
        <f aca="false">IFERROR(IF(B192="","",INDEX(Viðmið!$B$6:$B$10,MATCH(B192,Viðmið!$C$6:$C$10,0))),"")</f>
        <v/>
      </c>
      <c r="H192" s="25" t="str">
        <f aca="false">IF(OR(E192="",F192=""),"",E192*KVARDI)</f>
        <v/>
      </c>
      <c r="I192" s="26" t="str">
        <f aca="false">IF(B192="","",IF(ROUND(SUMIF($B$6:$B$205,B192,$E$6:$E$205),4)=ROUND(IFERROR(INDEX(Viðmið!$E$6:$E$10,MATCH(B192,Viðmið!$C$6:$C$10,0)),-1),4),"✓","✗"))</f>
        <v/>
      </c>
      <c r="J192" s="16" t="str">
        <f aca="false">IF($C192="","",IF($G192="Einstaklingsbundið",IFERROR(IF(INDEX('Undirviðmiðalisti (Lýsigögn)'!F$42:F$58,MATCH($C192,'Undirviðmiðalisti (Lýsigögn)'!$C$42:$C$58,0))="","",INDEX('Undirviðmiðalisti (Lýsigögn)'!F$42:F$58,MATCH($C192,'Undirviðmiðalisti (Lýsigögn)'!$C$42:$C$58,0))),""),IFERROR(IF(INDEX('Undirviðmiðalisti (Lýsigögn)'!F$6:F$41,MATCH($C192,'Undirviðmiðalisti (Lýsigögn)'!$C$6:$C$41,0))="","",INDEX('Undirviðmiðalisti (Lýsigögn)'!F$6:F$41,MATCH($C192,'Undirviðmiðalisti (Lýsigögn)'!$C$6:$C$41,0))),IFERROR(IF(INDEX('Undirviðmiðalisti (Lýsigögn)'!F$42:F$58,MATCH($C192,'Undirviðmiðalisti (Lýsigögn)'!$C$42:$C$58,0))="","",INDEX('Undirviðmiðalisti (Lýsigögn)'!F$42:F$58,MATCH($C192,'Undirviðmiðalisti (Lýsigögn)'!$C$42:$C$58,0))),""))))</f>
        <v/>
      </c>
      <c r="K192" s="16" t="str">
        <f aca="false">IF($C192="","",IF($G192="Einstaklingsbundið",IFERROR(IF(INDEX('Undirviðmiðalisti (Lýsigögn)'!G$42:G$58,MATCH($C192,'Undirviðmiðalisti (Lýsigögn)'!$C$42:$C$58,0))="","",INDEX('Undirviðmiðalisti (Lýsigögn)'!G$42:G$58,MATCH($C192,'Undirviðmiðalisti (Lýsigögn)'!$C$42:$C$58,0))),""),IFERROR(IF(INDEX('Undirviðmiðalisti (Lýsigögn)'!G$6:G$41,MATCH($C192,'Undirviðmiðalisti (Lýsigögn)'!$C$6:$C$41,0))="","",INDEX('Undirviðmiðalisti (Lýsigögn)'!G$6:G$41,MATCH($C192,'Undirviðmiðalisti (Lýsigögn)'!$C$6:$C$41,0))),IFERROR(IF(INDEX('Undirviðmiðalisti (Lýsigögn)'!G$42:G$58,MATCH($C192,'Undirviðmiðalisti (Lýsigögn)'!$C$42:$C$58,0))="","",INDEX('Undirviðmiðalisti (Lýsigögn)'!G$42:G$58,MATCH($C192,'Undirviðmiðalisti (Lýsigögn)'!$C$42:$C$58,0))),""))))</f>
        <v/>
      </c>
      <c r="L192" s="16" t="str">
        <f aca="false">IF($C192="","",IF($G192="Einstaklingsbundið",IFERROR(IF(INDEX('Undirviðmiðalisti (Lýsigögn)'!H$42:H$58,MATCH($C192,'Undirviðmiðalisti (Lýsigögn)'!$C$42:$C$58,0))="","",INDEX('Undirviðmiðalisti (Lýsigögn)'!H$42:H$58,MATCH($C192,'Undirviðmiðalisti (Lýsigögn)'!$C$42:$C$58,0))),""),IFERROR(IF(INDEX('Undirviðmiðalisti (Lýsigögn)'!H$6:H$41,MATCH($C192,'Undirviðmiðalisti (Lýsigögn)'!$C$6:$C$41,0))="","",INDEX('Undirviðmiðalisti (Lýsigögn)'!H$6:H$41,MATCH($C192,'Undirviðmiðalisti (Lýsigögn)'!$C$6:$C$41,0))),IFERROR(IF(INDEX('Undirviðmiðalisti (Lýsigögn)'!H$42:H$58,MATCH($C192,'Undirviðmiðalisti (Lýsigögn)'!$C$42:$C$58,0))="","",INDEX('Undirviðmiðalisti (Lýsigögn)'!H$42:H$58,MATCH($C192,'Undirviðmiðalisti (Lýsigögn)'!$C$42:$C$58,0))),""))))</f>
        <v/>
      </c>
      <c r="M192" s="16" t="str">
        <f aca="false">IF($C192="","",IF($G192="Einstaklingsbundið",IFERROR(IF(INDEX('Undirviðmiðalisti (Lýsigögn)'!I$42:I$58,MATCH($C192,'Undirviðmiðalisti (Lýsigögn)'!$C$42:$C$58,0))="","",INDEX('Undirviðmiðalisti (Lýsigögn)'!I$42:I$58,MATCH($C192,'Undirviðmiðalisti (Lýsigögn)'!$C$42:$C$58,0))),""),IFERROR(IF(INDEX('Undirviðmiðalisti (Lýsigögn)'!I$6:I$41,MATCH($C192,'Undirviðmiðalisti (Lýsigögn)'!$C$6:$C$41,0))="","",INDEX('Undirviðmiðalisti (Lýsigögn)'!I$6:I$41,MATCH($C192,'Undirviðmiðalisti (Lýsigögn)'!$C$6:$C$41,0))),IFERROR(IF(INDEX('Undirviðmiðalisti (Lýsigögn)'!I$42:I$58,MATCH($C192,'Undirviðmiðalisti (Lýsigögn)'!$C$42:$C$58,0))="","",INDEX('Undirviðmiðalisti (Lýsigögn)'!I$42:I$58,MATCH($C192,'Undirviðmiðalisti (Lýsigögn)'!$C$42:$C$58,0))),""))))</f>
        <v/>
      </c>
      <c r="N192" s="16" t="str">
        <f aca="false">IF($C192="","",IF($G192="Einstaklingsbundið",IFERROR(IF(INDEX('Undirviðmiðalisti (Lýsigögn)'!J$42:J$58,MATCH($C192,'Undirviðmiðalisti (Lýsigögn)'!$C$42:$C$58,0))="","",INDEX('Undirviðmiðalisti (Lýsigögn)'!J$42:J$58,MATCH($C192,'Undirviðmiðalisti (Lýsigögn)'!$C$42:$C$58,0))),""),IFERROR(IF(INDEX('Undirviðmiðalisti (Lýsigögn)'!J$6:J$41,MATCH($C192,'Undirviðmiðalisti (Lýsigögn)'!$C$6:$C$41,0))="","",INDEX('Undirviðmiðalisti (Lýsigögn)'!J$6:J$41,MATCH($C192,'Undirviðmiðalisti (Lýsigögn)'!$C$6:$C$41,0))),IFERROR(IF(INDEX('Undirviðmiðalisti (Lýsigögn)'!J$42:J$58,MATCH($C192,'Undirviðmiðalisti (Lýsigögn)'!$C$42:$C$58,0))="","",INDEX('Undirviðmiðalisti (Lýsigögn)'!J$42:J$58,MATCH($C192,'Undirviðmiðalisti (Lýsigögn)'!$C$42:$C$58,0))),""))))</f>
        <v/>
      </c>
      <c r="O192" s="16" t="str">
        <f aca="false">IF($C192="","",IF($G192="Einstaklingsbundið",IFERROR(IF(INDEX('Undirviðmiðalisti (Lýsigögn)'!K$42:K$58,MATCH($C192,'Undirviðmiðalisti (Lýsigögn)'!$C$42:$C$58,0))="","",INDEX('Undirviðmiðalisti (Lýsigögn)'!K$42:K$58,MATCH($C192,'Undirviðmiðalisti (Lýsigögn)'!$C$42:$C$58,0))),""),IFERROR(IF(INDEX('Undirviðmiðalisti (Lýsigögn)'!K$6:K$41,MATCH($C192,'Undirviðmiðalisti (Lýsigögn)'!$C$6:$C$41,0))="","",INDEX('Undirviðmiðalisti (Lýsigögn)'!K$6:K$41,MATCH($C192,'Undirviðmiðalisti (Lýsigögn)'!$C$6:$C$41,0))),IFERROR(IF(INDEX('Undirviðmiðalisti (Lýsigögn)'!K$42:K$58,MATCH($C192,'Undirviðmiðalisti (Lýsigögn)'!$C$42:$C$58,0))="","",INDEX('Undirviðmiðalisti (Lýsigögn)'!K$42:K$58,MATCH($C192,'Undirviðmiðalisti (Lýsigögn)'!$C$42:$C$58,0))),""))))</f>
        <v/>
      </c>
      <c r="P192" s="16" t="str">
        <f aca="false">IF($C192="","",IF($G192="Einstaklingsbundið",IFERROR(IF(INDEX('Undirviðmiðalisti (Lýsigögn)'!L$42:L$58,MATCH($C192,'Undirviðmiðalisti (Lýsigögn)'!$C$42:$C$58,0))="","",INDEX('Undirviðmiðalisti (Lýsigögn)'!L$42:L$58,MATCH($C192,'Undirviðmiðalisti (Lýsigögn)'!$C$42:$C$58,0))),""),IFERROR(IF(INDEX('Undirviðmiðalisti (Lýsigögn)'!L$6:L$41,MATCH($C192,'Undirviðmiðalisti (Lýsigögn)'!$C$6:$C$41,0))="","",INDEX('Undirviðmiðalisti (Lýsigögn)'!L$6:L$41,MATCH($C192,'Undirviðmiðalisti (Lýsigögn)'!$C$6:$C$41,0))),IFERROR(IF(INDEX('Undirviðmiðalisti (Lýsigögn)'!L$42:L$58,MATCH($C192,'Undirviðmiðalisti (Lýsigögn)'!$C$42:$C$58,0))="","",INDEX('Undirviðmiðalisti (Lýsigögn)'!L$42:L$58,MATCH($C192,'Undirviðmiðalisti (Lýsigögn)'!$C$42:$C$58,0))),""))))</f>
        <v/>
      </c>
      <c r="Q192" s="16" t="str">
        <f aca="false">IF($C192="","",IF($G192="Einstaklingsbundið",IFERROR(IF(INDEX('Undirviðmiðalisti (Lýsigögn)'!M$42:M$58,MATCH($C192,'Undirviðmiðalisti (Lýsigögn)'!$C$42:$C$58,0))="","",INDEX('Undirviðmiðalisti (Lýsigögn)'!M$42:M$58,MATCH($C192,'Undirviðmiðalisti (Lýsigögn)'!$C$42:$C$58,0))),""),IFERROR(IF(INDEX('Undirviðmiðalisti (Lýsigögn)'!M$6:M$41,MATCH($C192,'Undirviðmiðalisti (Lýsigögn)'!$C$6:$C$41,0))="","",INDEX('Undirviðmiðalisti (Lýsigögn)'!M$6:M$41,MATCH($C192,'Undirviðmiðalisti (Lýsigögn)'!$C$6:$C$41,0))),IFERROR(IF(INDEX('Undirviðmiðalisti (Lýsigögn)'!M$42:M$58,MATCH($C192,'Undirviðmiðalisti (Lýsigögn)'!$C$42:$C$58,0))="","",INDEX('Undirviðmiðalisti (Lýsigögn)'!M$42:M$58,MATCH($C192,'Undirviðmiðalisti (Lýsigögn)'!$C$42:$C$58,0))),""))))</f>
        <v/>
      </c>
    </row>
    <row r="193" customFormat="false" ht="15" hidden="false" customHeight="true" outlineLevel="0" collapsed="false">
      <c r="A193" s="22" t="str">
        <f aca="false">IF($B193="","",ROW()-5)</f>
        <v/>
      </c>
      <c r="B193" s="15"/>
      <c r="C193" s="15"/>
      <c r="D193" s="16" t="str">
        <f aca="false">IF($C193="","",IF($G193="Einstaklingsbundið",IFERROR(IF(INDEX('Undirviðmiðalisti (Lýsigögn)'!$D$42:$D$58,MATCH($C193,'Undirviðmiðalisti (Lýsigögn)'!$C$42:$C$58,0))="","",INDEX('Undirviðmiðalisti (Lýsigögn)'!$D$42:$D$58,MATCH($C193,'Undirviðmiðalisti (Lýsigögn)'!$C$42:$C$58,0))),""),IFERROR(IF(INDEX('Undirviðmiðalisti (Lýsigögn)'!$D$6:$D$41,MATCH($C193,'Undirviðmiðalisti (Lýsigögn)'!$C$6:$C$41,0))="","",INDEX('Undirviðmiðalisti (Lýsigögn)'!$D$6:$D$41,MATCH($C193,'Undirviðmiðalisti (Lýsigögn)'!$C$6:$C$41,0))),IFERROR(IF(INDEX('Undirviðmiðalisti (Lýsigögn)'!$D$42:$D$58,MATCH($C193,'Undirviðmiðalisti (Lýsigögn)'!$C$42:$C$58,0))="","",INDEX('Undirviðmiðalisti (Lýsigögn)'!$D$42:$D$58,MATCH($C193,'Undirviðmiðalisti (Lýsigögn)'!$C$42:$C$58,0))),""))))</f>
        <v/>
      </c>
      <c r="E193" s="14"/>
      <c r="F193" s="23" t="str">
        <f aca="false">IF($C193="","",IF($G193="Einstaklingsbundið",IFERROR(IF(INDEX('Undirviðmiðalisti (Lýsigögn)'!$E$42:$E$58,MATCH($C193,'Undirviðmiðalisti (Lýsigögn)'!$C$42:$C$58,0))="","",INDEX('Undirviðmiðalisti (Lýsigögn)'!$E$42:$E$58,MATCH($C193,'Undirviðmiðalisti (Lýsigögn)'!$C$42:$C$58,0))),""),IFERROR(IF(INDEX('Undirviðmiðalisti (Lýsigögn)'!$E$6:$E$41,MATCH($C193,'Undirviðmiðalisti (Lýsigögn)'!$C$6:$C$41,0))="","",INDEX('Undirviðmiðalisti (Lýsigögn)'!$E$6:$E$41,MATCH($C193,'Undirviðmiðalisti (Lýsigögn)'!$C$6:$C$41,0))),IFERROR(IF(INDEX('Undirviðmiðalisti (Lýsigögn)'!$E$42:$E$58,MATCH($C193,'Undirviðmiðalisti (Lýsigögn)'!$C$42:$C$58,0))="","",INDEX('Undirviðmiðalisti (Lýsigögn)'!$E$42:$E$58,MATCH($C193,'Undirviðmiðalisti (Lýsigögn)'!$C$42:$C$58,0))),""))))</f>
        <v/>
      </c>
      <c r="G193" s="24" t="str">
        <f aca="false">IFERROR(IF(B193="","",INDEX(Viðmið!$B$6:$B$10,MATCH(B193,Viðmið!$C$6:$C$10,0))),"")</f>
        <v/>
      </c>
      <c r="H193" s="25" t="str">
        <f aca="false">IF(OR(E193="",F193=""),"",E193*KVARDI)</f>
        <v/>
      </c>
      <c r="I193" s="26" t="str">
        <f aca="false">IF(B193="","",IF(ROUND(SUMIF($B$6:$B$205,B193,$E$6:$E$205),4)=ROUND(IFERROR(INDEX(Viðmið!$E$6:$E$10,MATCH(B193,Viðmið!$C$6:$C$10,0)),-1),4),"✓","✗"))</f>
        <v/>
      </c>
      <c r="J193" s="16" t="str">
        <f aca="false">IF($C193="","",IF($G193="Einstaklingsbundið",IFERROR(IF(INDEX('Undirviðmiðalisti (Lýsigögn)'!F$42:F$58,MATCH($C193,'Undirviðmiðalisti (Lýsigögn)'!$C$42:$C$58,0))="","",INDEX('Undirviðmiðalisti (Lýsigögn)'!F$42:F$58,MATCH($C193,'Undirviðmiðalisti (Lýsigögn)'!$C$42:$C$58,0))),""),IFERROR(IF(INDEX('Undirviðmiðalisti (Lýsigögn)'!F$6:F$41,MATCH($C193,'Undirviðmiðalisti (Lýsigögn)'!$C$6:$C$41,0))="","",INDEX('Undirviðmiðalisti (Lýsigögn)'!F$6:F$41,MATCH($C193,'Undirviðmiðalisti (Lýsigögn)'!$C$6:$C$41,0))),IFERROR(IF(INDEX('Undirviðmiðalisti (Lýsigögn)'!F$42:F$58,MATCH($C193,'Undirviðmiðalisti (Lýsigögn)'!$C$42:$C$58,0))="","",INDEX('Undirviðmiðalisti (Lýsigögn)'!F$42:F$58,MATCH($C193,'Undirviðmiðalisti (Lýsigögn)'!$C$42:$C$58,0))),""))))</f>
        <v/>
      </c>
      <c r="K193" s="16" t="str">
        <f aca="false">IF($C193="","",IF($G193="Einstaklingsbundið",IFERROR(IF(INDEX('Undirviðmiðalisti (Lýsigögn)'!G$42:G$58,MATCH($C193,'Undirviðmiðalisti (Lýsigögn)'!$C$42:$C$58,0))="","",INDEX('Undirviðmiðalisti (Lýsigögn)'!G$42:G$58,MATCH($C193,'Undirviðmiðalisti (Lýsigögn)'!$C$42:$C$58,0))),""),IFERROR(IF(INDEX('Undirviðmiðalisti (Lýsigögn)'!G$6:G$41,MATCH($C193,'Undirviðmiðalisti (Lýsigögn)'!$C$6:$C$41,0))="","",INDEX('Undirviðmiðalisti (Lýsigögn)'!G$6:G$41,MATCH($C193,'Undirviðmiðalisti (Lýsigögn)'!$C$6:$C$41,0))),IFERROR(IF(INDEX('Undirviðmiðalisti (Lýsigögn)'!G$42:G$58,MATCH($C193,'Undirviðmiðalisti (Lýsigögn)'!$C$42:$C$58,0))="","",INDEX('Undirviðmiðalisti (Lýsigögn)'!G$42:G$58,MATCH($C193,'Undirviðmiðalisti (Lýsigögn)'!$C$42:$C$58,0))),""))))</f>
        <v/>
      </c>
      <c r="L193" s="16" t="str">
        <f aca="false">IF($C193="","",IF($G193="Einstaklingsbundið",IFERROR(IF(INDEX('Undirviðmiðalisti (Lýsigögn)'!H$42:H$58,MATCH($C193,'Undirviðmiðalisti (Lýsigögn)'!$C$42:$C$58,0))="","",INDEX('Undirviðmiðalisti (Lýsigögn)'!H$42:H$58,MATCH($C193,'Undirviðmiðalisti (Lýsigögn)'!$C$42:$C$58,0))),""),IFERROR(IF(INDEX('Undirviðmiðalisti (Lýsigögn)'!H$6:H$41,MATCH($C193,'Undirviðmiðalisti (Lýsigögn)'!$C$6:$C$41,0))="","",INDEX('Undirviðmiðalisti (Lýsigögn)'!H$6:H$41,MATCH($C193,'Undirviðmiðalisti (Lýsigögn)'!$C$6:$C$41,0))),IFERROR(IF(INDEX('Undirviðmiðalisti (Lýsigögn)'!H$42:H$58,MATCH($C193,'Undirviðmiðalisti (Lýsigögn)'!$C$42:$C$58,0))="","",INDEX('Undirviðmiðalisti (Lýsigögn)'!H$42:H$58,MATCH($C193,'Undirviðmiðalisti (Lýsigögn)'!$C$42:$C$58,0))),""))))</f>
        <v/>
      </c>
      <c r="M193" s="16" t="str">
        <f aca="false">IF($C193="","",IF($G193="Einstaklingsbundið",IFERROR(IF(INDEX('Undirviðmiðalisti (Lýsigögn)'!I$42:I$58,MATCH($C193,'Undirviðmiðalisti (Lýsigögn)'!$C$42:$C$58,0))="","",INDEX('Undirviðmiðalisti (Lýsigögn)'!I$42:I$58,MATCH($C193,'Undirviðmiðalisti (Lýsigögn)'!$C$42:$C$58,0))),""),IFERROR(IF(INDEX('Undirviðmiðalisti (Lýsigögn)'!I$6:I$41,MATCH($C193,'Undirviðmiðalisti (Lýsigögn)'!$C$6:$C$41,0))="","",INDEX('Undirviðmiðalisti (Lýsigögn)'!I$6:I$41,MATCH($C193,'Undirviðmiðalisti (Lýsigögn)'!$C$6:$C$41,0))),IFERROR(IF(INDEX('Undirviðmiðalisti (Lýsigögn)'!I$42:I$58,MATCH($C193,'Undirviðmiðalisti (Lýsigögn)'!$C$42:$C$58,0))="","",INDEX('Undirviðmiðalisti (Lýsigögn)'!I$42:I$58,MATCH($C193,'Undirviðmiðalisti (Lýsigögn)'!$C$42:$C$58,0))),""))))</f>
        <v/>
      </c>
      <c r="N193" s="16" t="str">
        <f aca="false">IF($C193="","",IF($G193="Einstaklingsbundið",IFERROR(IF(INDEX('Undirviðmiðalisti (Lýsigögn)'!J$42:J$58,MATCH($C193,'Undirviðmiðalisti (Lýsigögn)'!$C$42:$C$58,0))="","",INDEX('Undirviðmiðalisti (Lýsigögn)'!J$42:J$58,MATCH($C193,'Undirviðmiðalisti (Lýsigögn)'!$C$42:$C$58,0))),""),IFERROR(IF(INDEX('Undirviðmiðalisti (Lýsigögn)'!J$6:J$41,MATCH($C193,'Undirviðmiðalisti (Lýsigögn)'!$C$6:$C$41,0))="","",INDEX('Undirviðmiðalisti (Lýsigögn)'!J$6:J$41,MATCH($C193,'Undirviðmiðalisti (Lýsigögn)'!$C$6:$C$41,0))),IFERROR(IF(INDEX('Undirviðmiðalisti (Lýsigögn)'!J$42:J$58,MATCH($C193,'Undirviðmiðalisti (Lýsigögn)'!$C$42:$C$58,0))="","",INDEX('Undirviðmiðalisti (Lýsigögn)'!J$42:J$58,MATCH($C193,'Undirviðmiðalisti (Lýsigögn)'!$C$42:$C$58,0))),""))))</f>
        <v/>
      </c>
      <c r="O193" s="16" t="str">
        <f aca="false">IF($C193="","",IF($G193="Einstaklingsbundið",IFERROR(IF(INDEX('Undirviðmiðalisti (Lýsigögn)'!K$42:K$58,MATCH($C193,'Undirviðmiðalisti (Lýsigögn)'!$C$42:$C$58,0))="","",INDEX('Undirviðmiðalisti (Lýsigögn)'!K$42:K$58,MATCH($C193,'Undirviðmiðalisti (Lýsigögn)'!$C$42:$C$58,0))),""),IFERROR(IF(INDEX('Undirviðmiðalisti (Lýsigögn)'!K$6:K$41,MATCH($C193,'Undirviðmiðalisti (Lýsigögn)'!$C$6:$C$41,0))="","",INDEX('Undirviðmiðalisti (Lýsigögn)'!K$6:K$41,MATCH($C193,'Undirviðmiðalisti (Lýsigögn)'!$C$6:$C$41,0))),IFERROR(IF(INDEX('Undirviðmiðalisti (Lýsigögn)'!K$42:K$58,MATCH($C193,'Undirviðmiðalisti (Lýsigögn)'!$C$42:$C$58,0))="","",INDEX('Undirviðmiðalisti (Lýsigögn)'!K$42:K$58,MATCH($C193,'Undirviðmiðalisti (Lýsigögn)'!$C$42:$C$58,0))),""))))</f>
        <v/>
      </c>
      <c r="P193" s="16" t="str">
        <f aca="false">IF($C193="","",IF($G193="Einstaklingsbundið",IFERROR(IF(INDEX('Undirviðmiðalisti (Lýsigögn)'!L$42:L$58,MATCH($C193,'Undirviðmiðalisti (Lýsigögn)'!$C$42:$C$58,0))="","",INDEX('Undirviðmiðalisti (Lýsigögn)'!L$42:L$58,MATCH($C193,'Undirviðmiðalisti (Lýsigögn)'!$C$42:$C$58,0))),""),IFERROR(IF(INDEX('Undirviðmiðalisti (Lýsigögn)'!L$6:L$41,MATCH($C193,'Undirviðmiðalisti (Lýsigögn)'!$C$6:$C$41,0))="","",INDEX('Undirviðmiðalisti (Lýsigögn)'!L$6:L$41,MATCH($C193,'Undirviðmiðalisti (Lýsigögn)'!$C$6:$C$41,0))),IFERROR(IF(INDEX('Undirviðmiðalisti (Lýsigögn)'!L$42:L$58,MATCH($C193,'Undirviðmiðalisti (Lýsigögn)'!$C$42:$C$58,0))="","",INDEX('Undirviðmiðalisti (Lýsigögn)'!L$42:L$58,MATCH($C193,'Undirviðmiðalisti (Lýsigögn)'!$C$42:$C$58,0))),""))))</f>
        <v/>
      </c>
      <c r="Q193" s="16" t="str">
        <f aca="false">IF($C193="","",IF($G193="Einstaklingsbundið",IFERROR(IF(INDEX('Undirviðmiðalisti (Lýsigögn)'!M$42:M$58,MATCH($C193,'Undirviðmiðalisti (Lýsigögn)'!$C$42:$C$58,0))="","",INDEX('Undirviðmiðalisti (Lýsigögn)'!M$42:M$58,MATCH($C193,'Undirviðmiðalisti (Lýsigögn)'!$C$42:$C$58,0))),""),IFERROR(IF(INDEX('Undirviðmiðalisti (Lýsigögn)'!M$6:M$41,MATCH($C193,'Undirviðmiðalisti (Lýsigögn)'!$C$6:$C$41,0))="","",INDEX('Undirviðmiðalisti (Lýsigögn)'!M$6:M$41,MATCH($C193,'Undirviðmiðalisti (Lýsigögn)'!$C$6:$C$41,0))),IFERROR(IF(INDEX('Undirviðmiðalisti (Lýsigögn)'!M$42:M$58,MATCH($C193,'Undirviðmiðalisti (Lýsigögn)'!$C$42:$C$58,0))="","",INDEX('Undirviðmiðalisti (Lýsigögn)'!M$42:M$58,MATCH($C193,'Undirviðmiðalisti (Lýsigögn)'!$C$42:$C$58,0))),""))))</f>
        <v/>
      </c>
    </row>
    <row r="194" customFormat="false" ht="15" hidden="false" customHeight="true" outlineLevel="0" collapsed="false">
      <c r="A194" s="22" t="str">
        <f aca="false">IF($B194="","",ROW()-5)</f>
        <v/>
      </c>
      <c r="B194" s="15"/>
      <c r="C194" s="15"/>
      <c r="D194" s="16" t="str">
        <f aca="false">IF($C194="","",IF($G194="Einstaklingsbundið",IFERROR(IF(INDEX('Undirviðmiðalisti (Lýsigögn)'!$D$42:$D$58,MATCH($C194,'Undirviðmiðalisti (Lýsigögn)'!$C$42:$C$58,0))="","",INDEX('Undirviðmiðalisti (Lýsigögn)'!$D$42:$D$58,MATCH($C194,'Undirviðmiðalisti (Lýsigögn)'!$C$42:$C$58,0))),""),IFERROR(IF(INDEX('Undirviðmiðalisti (Lýsigögn)'!$D$6:$D$41,MATCH($C194,'Undirviðmiðalisti (Lýsigögn)'!$C$6:$C$41,0))="","",INDEX('Undirviðmiðalisti (Lýsigögn)'!$D$6:$D$41,MATCH($C194,'Undirviðmiðalisti (Lýsigögn)'!$C$6:$C$41,0))),IFERROR(IF(INDEX('Undirviðmiðalisti (Lýsigögn)'!$D$42:$D$58,MATCH($C194,'Undirviðmiðalisti (Lýsigögn)'!$C$42:$C$58,0))="","",INDEX('Undirviðmiðalisti (Lýsigögn)'!$D$42:$D$58,MATCH($C194,'Undirviðmiðalisti (Lýsigögn)'!$C$42:$C$58,0))),""))))</f>
        <v/>
      </c>
      <c r="E194" s="14"/>
      <c r="F194" s="23" t="str">
        <f aca="false">IF($C194="","",IF($G194="Einstaklingsbundið",IFERROR(IF(INDEX('Undirviðmiðalisti (Lýsigögn)'!$E$42:$E$58,MATCH($C194,'Undirviðmiðalisti (Lýsigögn)'!$C$42:$C$58,0))="","",INDEX('Undirviðmiðalisti (Lýsigögn)'!$E$42:$E$58,MATCH($C194,'Undirviðmiðalisti (Lýsigögn)'!$C$42:$C$58,0))),""),IFERROR(IF(INDEX('Undirviðmiðalisti (Lýsigögn)'!$E$6:$E$41,MATCH($C194,'Undirviðmiðalisti (Lýsigögn)'!$C$6:$C$41,0))="","",INDEX('Undirviðmiðalisti (Lýsigögn)'!$E$6:$E$41,MATCH($C194,'Undirviðmiðalisti (Lýsigögn)'!$C$6:$C$41,0))),IFERROR(IF(INDEX('Undirviðmiðalisti (Lýsigögn)'!$E$42:$E$58,MATCH($C194,'Undirviðmiðalisti (Lýsigögn)'!$C$42:$C$58,0))="","",INDEX('Undirviðmiðalisti (Lýsigögn)'!$E$42:$E$58,MATCH($C194,'Undirviðmiðalisti (Lýsigögn)'!$C$42:$C$58,0))),""))))</f>
        <v/>
      </c>
      <c r="G194" s="24" t="str">
        <f aca="false">IFERROR(IF(B194="","",INDEX(Viðmið!$B$6:$B$10,MATCH(B194,Viðmið!$C$6:$C$10,0))),"")</f>
        <v/>
      </c>
      <c r="H194" s="25" t="str">
        <f aca="false">IF(OR(E194="",F194=""),"",E194*KVARDI)</f>
        <v/>
      </c>
      <c r="I194" s="26" t="str">
        <f aca="false">IF(B194="","",IF(ROUND(SUMIF($B$6:$B$205,B194,$E$6:$E$205),4)=ROUND(IFERROR(INDEX(Viðmið!$E$6:$E$10,MATCH(B194,Viðmið!$C$6:$C$10,0)),-1),4),"✓","✗"))</f>
        <v/>
      </c>
      <c r="J194" s="16" t="str">
        <f aca="false">IF($C194="","",IF($G194="Einstaklingsbundið",IFERROR(IF(INDEX('Undirviðmiðalisti (Lýsigögn)'!F$42:F$58,MATCH($C194,'Undirviðmiðalisti (Lýsigögn)'!$C$42:$C$58,0))="","",INDEX('Undirviðmiðalisti (Lýsigögn)'!F$42:F$58,MATCH($C194,'Undirviðmiðalisti (Lýsigögn)'!$C$42:$C$58,0))),""),IFERROR(IF(INDEX('Undirviðmiðalisti (Lýsigögn)'!F$6:F$41,MATCH($C194,'Undirviðmiðalisti (Lýsigögn)'!$C$6:$C$41,0))="","",INDEX('Undirviðmiðalisti (Lýsigögn)'!F$6:F$41,MATCH($C194,'Undirviðmiðalisti (Lýsigögn)'!$C$6:$C$41,0))),IFERROR(IF(INDEX('Undirviðmiðalisti (Lýsigögn)'!F$42:F$58,MATCH($C194,'Undirviðmiðalisti (Lýsigögn)'!$C$42:$C$58,0))="","",INDEX('Undirviðmiðalisti (Lýsigögn)'!F$42:F$58,MATCH($C194,'Undirviðmiðalisti (Lýsigögn)'!$C$42:$C$58,0))),""))))</f>
        <v/>
      </c>
      <c r="K194" s="16" t="str">
        <f aca="false">IF($C194="","",IF($G194="Einstaklingsbundið",IFERROR(IF(INDEX('Undirviðmiðalisti (Lýsigögn)'!G$42:G$58,MATCH($C194,'Undirviðmiðalisti (Lýsigögn)'!$C$42:$C$58,0))="","",INDEX('Undirviðmiðalisti (Lýsigögn)'!G$42:G$58,MATCH($C194,'Undirviðmiðalisti (Lýsigögn)'!$C$42:$C$58,0))),""),IFERROR(IF(INDEX('Undirviðmiðalisti (Lýsigögn)'!G$6:G$41,MATCH($C194,'Undirviðmiðalisti (Lýsigögn)'!$C$6:$C$41,0))="","",INDEX('Undirviðmiðalisti (Lýsigögn)'!G$6:G$41,MATCH($C194,'Undirviðmiðalisti (Lýsigögn)'!$C$6:$C$41,0))),IFERROR(IF(INDEX('Undirviðmiðalisti (Lýsigögn)'!G$42:G$58,MATCH($C194,'Undirviðmiðalisti (Lýsigögn)'!$C$42:$C$58,0))="","",INDEX('Undirviðmiðalisti (Lýsigögn)'!G$42:G$58,MATCH($C194,'Undirviðmiðalisti (Lýsigögn)'!$C$42:$C$58,0))),""))))</f>
        <v/>
      </c>
      <c r="L194" s="16" t="str">
        <f aca="false">IF($C194="","",IF($G194="Einstaklingsbundið",IFERROR(IF(INDEX('Undirviðmiðalisti (Lýsigögn)'!H$42:H$58,MATCH($C194,'Undirviðmiðalisti (Lýsigögn)'!$C$42:$C$58,0))="","",INDEX('Undirviðmiðalisti (Lýsigögn)'!H$42:H$58,MATCH($C194,'Undirviðmiðalisti (Lýsigögn)'!$C$42:$C$58,0))),""),IFERROR(IF(INDEX('Undirviðmiðalisti (Lýsigögn)'!H$6:H$41,MATCH($C194,'Undirviðmiðalisti (Lýsigögn)'!$C$6:$C$41,0))="","",INDEX('Undirviðmiðalisti (Lýsigögn)'!H$6:H$41,MATCH($C194,'Undirviðmiðalisti (Lýsigögn)'!$C$6:$C$41,0))),IFERROR(IF(INDEX('Undirviðmiðalisti (Lýsigögn)'!H$42:H$58,MATCH($C194,'Undirviðmiðalisti (Lýsigögn)'!$C$42:$C$58,0))="","",INDEX('Undirviðmiðalisti (Lýsigögn)'!H$42:H$58,MATCH($C194,'Undirviðmiðalisti (Lýsigögn)'!$C$42:$C$58,0))),""))))</f>
        <v/>
      </c>
      <c r="M194" s="16" t="str">
        <f aca="false">IF($C194="","",IF($G194="Einstaklingsbundið",IFERROR(IF(INDEX('Undirviðmiðalisti (Lýsigögn)'!I$42:I$58,MATCH($C194,'Undirviðmiðalisti (Lýsigögn)'!$C$42:$C$58,0))="","",INDEX('Undirviðmiðalisti (Lýsigögn)'!I$42:I$58,MATCH($C194,'Undirviðmiðalisti (Lýsigögn)'!$C$42:$C$58,0))),""),IFERROR(IF(INDEX('Undirviðmiðalisti (Lýsigögn)'!I$6:I$41,MATCH($C194,'Undirviðmiðalisti (Lýsigögn)'!$C$6:$C$41,0))="","",INDEX('Undirviðmiðalisti (Lýsigögn)'!I$6:I$41,MATCH($C194,'Undirviðmiðalisti (Lýsigögn)'!$C$6:$C$41,0))),IFERROR(IF(INDEX('Undirviðmiðalisti (Lýsigögn)'!I$42:I$58,MATCH($C194,'Undirviðmiðalisti (Lýsigögn)'!$C$42:$C$58,0))="","",INDEX('Undirviðmiðalisti (Lýsigögn)'!I$42:I$58,MATCH($C194,'Undirviðmiðalisti (Lýsigögn)'!$C$42:$C$58,0))),""))))</f>
        <v/>
      </c>
      <c r="N194" s="16" t="str">
        <f aca="false">IF($C194="","",IF($G194="Einstaklingsbundið",IFERROR(IF(INDEX('Undirviðmiðalisti (Lýsigögn)'!J$42:J$58,MATCH($C194,'Undirviðmiðalisti (Lýsigögn)'!$C$42:$C$58,0))="","",INDEX('Undirviðmiðalisti (Lýsigögn)'!J$42:J$58,MATCH($C194,'Undirviðmiðalisti (Lýsigögn)'!$C$42:$C$58,0))),""),IFERROR(IF(INDEX('Undirviðmiðalisti (Lýsigögn)'!J$6:J$41,MATCH($C194,'Undirviðmiðalisti (Lýsigögn)'!$C$6:$C$41,0))="","",INDEX('Undirviðmiðalisti (Lýsigögn)'!J$6:J$41,MATCH($C194,'Undirviðmiðalisti (Lýsigögn)'!$C$6:$C$41,0))),IFERROR(IF(INDEX('Undirviðmiðalisti (Lýsigögn)'!J$42:J$58,MATCH($C194,'Undirviðmiðalisti (Lýsigögn)'!$C$42:$C$58,0))="","",INDEX('Undirviðmiðalisti (Lýsigögn)'!J$42:J$58,MATCH($C194,'Undirviðmiðalisti (Lýsigögn)'!$C$42:$C$58,0))),""))))</f>
        <v/>
      </c>
      <c r="O194" s="16" t="str">
        <f aca="false">IF($C194="","",IF($G194="Einstaklingsbundið",IFERROR(IF(INDEX('Undirviðmiðalisti (Lýsigögn)'!K$42:K$58,MATCH($C194,'Undirviðmiðalisti (Lýsigögn)'!$C$42:$C$58,0))="","",INDEX('Undirviðmiðalisti (Lýsigögn)'!K$42:K$58,MATCH($C194,'Undirviðmiðalisti (Lýsigögn)'!$C$42:$C$58,0))),""),IFERROR(IF(INDEX('Undirviðmiðalisti (Lýsigögn)'!K$6:K$41,MATCH($C194,'Undirviðmiðalisti (Lýsigögn)'!$C$6:$C$41,0))="","",INDEX('Undirviðmiðalisti (Lýsigögn)'!K$6:K$41,MATCH($C194,'Undirviðmiðalisti (Lýsigögn)'!$C$6:$C$41,0))),IFERROR(IF(INDEX('Undirviðmiðalisti (Lýsigögn)'!K$42:K$58,MATCH($C194,'Undirviðmiðalisti (Lýsigögn)'!$C$42:$C$58,0))="","",INDEX('Undirviðmiðalisti (Lýsigögn)'!K$42:K$58,MATCH($C194,'Undirviðmiðalisti (Lýsigögn)'!$C$42:$C$58,0))),""))))</f>
        <v/>
      </c>
      <c r="P194" s="16" t="str">
        <f aca="false">IF($C194="","",IF($G194="Einstaklingsbundið",IFERROR(IF(INDEX('Undirviðmiðalisti (Lýsigögn)'!L$42:L$58,MATCH($C194,'Undirviðmiðalisti (Lýsigögn)'!$C$42:$C$58,0))="","",INDEX('Undirviðmiðalisti (Lýsigögn)'!L$42:L$58,MATCH($C194,'Undirviðmiðalisti (Lýsigögn)'!$C$42:$C$58,0))),""),IFERROR(IF(INDEX('Undirviðmiðalisti (Lýsigögn)'!L$6:L$41,MATCH($C194,'Undirviðmiðalisti (Lýsigögn)'!$C$6:$C$41,0))="","",INDEX('Undirviðmiðalisti (Lýsigögn)'!L$6:L$41,MATCH($C194,'Undirviðmiðalisti (Lýsigögn)'!$C$6:$C$41,0))),IFERROR(IF(INDEX('Undirviðmiðalisti (Lýsigögn)'!L$42:L$58,MATCH($C194,'Undirviðmiðalisti (Lýsigögn)'!$C$42:$C$58,0))="","",INDEX('Undirviðmiðalisti (Lýsigögn)'!L$42:L$58,MATCH($C194,'Undirviðmiðalisti (Lýsigögn)'!$C$42:$C$58,0))),""))))</f>
        <v/>
      </c>
      <c r="Q194" s="16" t="str">
        <f aca="false">IF($C194="","",IF($G194="Einstaklingsbundið",IFERROR(IF(INDEX('Undirviðmiðalisti (Lýsigögn)'!M$42:M$58,MATCH($C194,'Undirviðmiðalisti (Lýsigögn)'!$C$42:$C$58,0))="","",INDEX('Undirviðmiðalisti (Lýsigögn)'!M$42:M$58,MATCH($C194,'Undirviðmiðalisti (Lýsigögn)'!$C$42:$C$58,0))),""),IFERROR(IF(INDEX('Undirviðmiðalisti (Lýsigögn)'!M$6:M$41,MATCH($C194,'Undirviðmiðalisti (Lýsigögn)'!$C$6:$C$41,0))="","",INDEX('Undirviðmiðalisti (Lýsigögn)'!M$6:M$41,MATCH($C194,'Undirviðmiðalisti (Lýsigögn)'!$C$6:$C$41,0))),IFERROR(IF(INDEX('Undirviðmiðalisti (Lýsigögn)'!M$42:M$58,MATCH($C194,'Undirviðmiðalisti (Lýsigögn)'!$C$42:$C$58,0))="","",INDEX('Undirviðmiðalisti (Lýsigögn)'!M$42:M$58,MATCH($C194,'Undirviðmiðalisti (Lýsigögn)'!$C$42:$C$58,0))),""))))</f>
        <v/>
      </c>
    </row>
    <row r="195" customFormat="false" ht="15" hidden="false" customHeight="true" outlineLevel="0" collapsed="false">
      <c r="A195" s="22" t="str">
        <f aca="false">IF($B195="","",ROW()-5)</f>
        <v/>
      </c>
      <c r="B195" s="15"/>
      <c r="C195" s="15"/>
      <c r="D195" s="16" t="str">
        <f aca="false">IF($C195="","",IF($G195="Einstaklingsbundið",IFERROR(IF(INDEX('Undirviðmiðalisti (Lýsigögn)'!$D$42:$D$58,MATCH($C195,'Undirviðmiðalisti (Lýsigögn)'!$C$42:$C$58,0))="","",INDEX('Undirviðmiðalisti (Lýsigögn)'!$D$42:$D$58,MATCH($C195,'Undirviðmiðalisti (Lýsigögn)'!$C$42:$C$58,0))),""),IFERROR(IF(INDEX('Undirviðmiðalisti (Lýsigögn)'!$D$6:$D$41,MATCH($C195,'Undirviðmiðalisti (Lýsigögn)'!$C$6:$C$41,0))="","",INDEX('Undirviðmiðalisti (Lýsigögn)'!$D$6:$D$41,MATCH($C195,'Undirviðmiðalisti (Lýsigögn)'!$C$6:$C$41,0))),IFERROR(IF(INDEX('Undirviðmiðalisti (Lýsigögn)'!$D$42:$D$58,MATCH($C195,'Undirviðmiðalisti (Lýsigögn)'!$C$42:$C$58,0))="","",INDEX('Undirviðmiðalisti (Lýsigögn)'!$D$42:$D$58,MATCH($C195,'Undirviðmiðalisti (Lýsigögn)'!$C$42:$C$58,0))),""))))</f>
        <v/>
      </c>
      <c r="E195" s="14"/>
      <c r="F195" s="23" t="str">
        <f aca="false">IF($C195="","",IF($G195="Einstaklingsbundið",IFERROR(IF(INDEX('Undirviðmiðalisti (Lýsigögn)'!$E$42:$E$58,MATCH($C195,'Undirviðmiðalisti (Lýsigögn)'!$C$42:$C$58,0))="","",INDEX('Undirviðmiðalisti (Lýsigögn)'!$E$42:$E$58,MATCH($C195,'Undirviðmiðalisti (Lýsigögn)'!$C$42:$C$58,0))),""),IFERROR(IF(INDEX('Undirviðmiðalisti (Lýsigögn)'!$E$6:$E$41,MATCH($C195,'Undirviðmiðalisti (Lýsigögn)'!$C$6:$C$41,0))="","",INDEX('Undirviðmiðalisti (Lýsigögn)'!$E$6:$E$41,MATCH($C195,'Undirviðmiðalisti (Lýsigögn)'!$C$6:$C$41,0))),IFERROR(IF(INDEX('Undirviðmiðalisti (Lýsigögn)'!$E$42:$E$58,MATCH($C195,'Undirviðmiðalisti (Lýsigögn)'!$C$42:$C$58,0))="","",INDEX('Undirviðmiðalisti (Lýsigögn)'!$E$42:$E$58,MATCH($C195,'Undirviðmiðalisti (Lýsigögn)'!$C$42:$C$58,0))),""))))</f>
        <v/>
      </c>
      <c r="G195" s="24" t="str">
        <f aca="false">IFERROR(IF(B195="","",INDEX(Viðmið!$B$6:$B$10,MATCH(B195,Viðmið!$C$6:$C$10,0))),"")</f>
        <v/>
      </c>
      <c r="H195" s="25" t="str">
        <f aca="false">IF(OR(E195="",F195=""),"",E195*KVARDI)</f>
        <v/>
      </c>
      <c r="I195" s="26" t="str">
        <f aca="false">IF(B195="","",IF(ROUND(SUMIF($B$6:$B$205,B195,$E$6:$E$205),4)=ROUND(IFERROR(INDEX(Viðmið!$E$6:$E$10,MATCH(B195,Viðmið!$C$6:$C$10,0)),-1),4),"✓","✗"))</f>
        <v/>
      </c>
      <c r="J195" s="16" t="str">
        <f aca="false">IF($C195="","",IF($G195="Einstaklingsbundið",IFERROR(IF(INDEX('Undirviðmiðalisti (Lýsigögn)'!F$42:F$58,MATCH($C195,'Undirviðmiðalisti (Lýsigögn)'!$C$42:$C$58,0))="","",INDEX('Undirviðmiðalisti (Lýsigögn)'!F$42:F$58,MATCH($C195,'Undirviðmiðalisti (Lýsigögn)'!$C$42:$C$58,0))),""),IFERROR(IF(INDEX('Undirviðmiðalisti (Lýsigögn)'!F$6:F$41,MATCH($C195,'Undirviðmiðalisti (Lýsigögn)'!$C$6:$C$41,0))="","",INDEX('Undirviðmiðalisti (Lýsigögn)'!F$6:F$41,MATCH($C195,'Undirviðmiðalisti (Lýsigögn)'!$C$6:$C$41,0))),IFERROR(IF(INDEX('Undirviðmiðalisti (Lýsigögn)'!F$42:F$58,MATCH($C195,'Undirviðmiðalisti (Lýsigögn)'!$C$42:$C$58,0))="","",INDEX('Undirviðmiðalisti (Lýsigögn)'!F$42:F$58,MATCH($C195,'Undirviðmiðalisti (Lýsigögn)'!$C$42:$C$58,0))),""))))</f>
        <v/>
      </c>
      <c r="K195" s="16" t="str">
        <f aca="false">IF($C195="","",IF($G195="Einstaklingsbundið",IFERROR(IF(INDEX('Undirviðmiðalisti (Lýsigögn)'!G$42:G$58,MATCH($C195,'Undirviðmiðalisti (Lýsigögn)'!$C$42:$C$58,0))="","",INDEX('Undirviðmiðalisti (Lýsigögn)'!G$42:G$58,MATCH($C195,'Undirviðmiðalisti (Lýsigögn)'!$C$42:$C$58,0))),""),IFERROR(IF(INDEX('Undirviðmiðalisti (Lýsigögn)'!G$6:G$41,MATCH($C195,'Undirviðmiðalisti (Lýsigögn)'!$C$6:$C$41,0))="","",INDEX('Undirviðmiðalisti (Lýsigögn)'!G$6:G$41,MATCH($C195,'Undirviðmiðalisti (Lýsigögn)'!$C$6:$C$41,0))),IFERROR(IF(INDEX('Undirviðmiðalisti (Lýsigögn)'!G$42:G$58,MATCH($C195,'Undirviðmiðalisti (Lýsigögn)'!$C$42:$C$58,0))="","",INDEX('Undirviðmiðalisti (Lýsigögn)'!G$42:G$58,MATCH($C195,'Undirviðmiðalisti (Lýsigögn)'!$C$42:$C$58,0))),""))))</f>
        <v/>
      </c>
      <c r="L195" s="16" t="str">
        <f aca="false">IF($C195="","",IF($G195="Einstaklingsbundið",IFERROR(IF(INDEX('Undirviðmiðalisti (Lýsigögn)'!H$42:H$58,MATCH($C195,'Undirviðmiðalisti (Lýsigögn)'!$C$42:$C$58,0))="","",INDEX('Undirviðmiðalisti (Lýsigögn)'!H$42:H$58,MATCH($C195,'Undirviðmiðalisti (Lýsigögn)'!$C$42:$C$58,0))),""),IFERROR(IF(INDEX('Undirviðmiðalisti (Lýsigögn)'!H$6:H$41,MATCH($C195,'Undirviðmiðalisti (Lýsigögn)'!$C$6:$C$41,0))="","",INDEX('Undirviðmiðalisti (Lýsigögn)'!H$6:H$41,MATCH($C195,'Undirviðmiðalisti (Lýsigögn)'!$C$6:$C$41,0))),IFERROR(IF(INDEX('Undirviðmiðalisti (Lýsigögn)'!H$42:H$58,MATCH($C195,'Undirviðmiðalisti (Lýsigögn)'!$C$42:$C$58,0))="","",INDEX('Undirviðmiðalisti (Lýsigögn)'!H$42:H$58,MATCH($C195,'Undirviðmiðalisti (Lýsigögn)'!$C$42:$C$58,0))),""))))</f>
        <v/>
      </c>
      <c r="M195" s="16" t="str">
        <f aca="false">IF($C195="","",IF($G195="Einstaklingsbundið",IFERROR(IF(INDEX('Undirviðmiðalisti (Lýsigögn)'!I$42:I$58,MATCH($C195,'Undirviðmiðalisti (Lýsigögn)'!$C$42:$C$58,0))="","",INDEX('Undirviðmiðalisti (Lýsigögn)'!I$42:I$58,MATCH($C195,'Undirviðmiðalisti (Lýsigögn)'!$C$42:$C$58,0))),""),IFERROR(IF(INDEX('Undirviðmiðalisti (Lýsigögn)'!I$6:I$41,MATCH($C195,'Undirviðmiðalisti (Lýsigögn)'!$C$6:$C$41,0))="","",INDEX('Undirviðmiðalisti (Lýsigögn)'!I$6:I$41,MATCH($C195,'Undirviðmiðalisti (Lýsigögn)'!$C$6:$C$41,0))),IFERROR(IF(INDEX('Undirviðmiðalisti (Lýsigögn)'!I$42:I$58,MATCH($C195,'Undirviðmiðalisti (Lýsigögn)'!$C$42:$C$58,0))="","",INDEX('Undirviðmiðalisti (Lýsigögn)'!I$42:I$58,MATCH($C195,'Undirviðmiðalisti (Lýsigögn)'!$C$42:$C$58,0))),""))))</f>
        <v/>
      </c>
      <c r="N195" s="16" t="str">
        <f aca="false">IF($C195="","",IF($G195="Einstaklingsbundið",IFERROR(IF(INDEX('Undirviðmiðalisti (Lýsigögn)'!J$42:J$58,MATCH($C195,'Undirviðmiðalisti (Lýsigögn)'!$C$42:$C$58,0))="","",INDEX('Undirviðmiðalisti (Lýsigögn)'!J$42:J$58,MATCH($C195,'Undirviðmiðalisti (Lýsigögn)'!$C$42:$C$58,0))),""),IFERROR(IF(INDEX('Undirviðmiðalisti (Lýsigögn)'!J$6:J$41,MATCH($C195,'Undirviðmiðalisti (Lýsigögn)'!$C$6:$C$41,0))="","",INDEX('Undirviðmiðalisti (Lýsigögn)'!J$6:J$41,MATCH($C195,'Undirviðmiðalisti (Lýsigögn)'!$C$6:$C$41,0))),IFERROR(IF(INDEX('Undirviðmiðalisti (Lýsigögn)'!J$42:J$58,MATCH($C195,'Undirviðmiðalisti (Lýsigögn)'!$C$42:$C$58,0))="","",INDEX('Undirviðmiðalisti (Lýsigögn)'!J$42:J$58,MATCH($C195,'Undirviðmiðalisti (Lýsigögn)'!$C$42:$C$58,0))),""))))</f>
        <v/>
      </c>
      <c r="O195" s="16" t="str">
        <f aca="false">IF($C195="","",IF($G195="Einstaklingsbundið",IFERROR(IF(INDEX('Undirviðmiðalisti (Lýsigögn)'!K$42:K$58,MATCH($C195,'Undirviðmiðalisti (Lýsigögn)'!$C$42:$C$58,0))="","",INDEX('Undirviðmiðalisti (Lýsigögn)'!K$42:K$58,MATCH($C195,'Undirviðmiðalisti (Lýsigögn)'!$C$42:$C$58,0))),""),IFERROR(IF(INDEX('Undirviðmiðalisti (Lýsigögn)'!K$6:K$41,MATCH($C195,'Undirviðmiðalisti (Lýsigögn)'!$C$6:$C$41,0))="","",INDEX('Undirviðmiðalisti (Lýsigögn)'!K$6:K$41,MATCH($C195,'Undirviðmiðalisti (Lýsigögn)'!$C$6:$C$41,0))),IFERROR(IF(INDEX('Undirviðmiðalisti (Lýsigögn)'!K$42:K$58,MATCH($C195,'Undirviðmiðalisti (Lýsigögn)'!$C$42:$C$58,0))="","",INDEX('Undirviðmiðalisti (Lýsigögn)'!K$42:K$58,MATCH($C195,'Undirviðmiðalisti (Lýsigögn)'!$C$42:$C$58,0))),""))))</f>
        <v/>
      </c>
      <c r="P195" s="16" t="str">
        <f aca="false">IF($C195="","",IF($G195="Einstaklingsbundið",IFERROR(IF(INDEX('Undirviðmiðalisti (Lýsigögn)'!L$42:L$58,MATCH($C195,'Undirviðmiðalisti (Lýsigögn)'!$C$42:$C$58,0))="","",INDEX('Undirviðmiðalisti (Lýsigögn)'!L$42:L$58,MATCH($C195,'Undirviðmiðalisti (Lýsigögn)'!$C$42:$C$58,0))),""),IFERROR(IF(INDEX('Undirviðmiðalisti (Lýsigögn)'!L$6:L$41,MATCH($C195,'Undirviðmiðalisti (Lýsigögn)'!$C$6:$C$41,0))="","",INDEX('Undirviðmiðalisti (Lýsigögn)'!L$6:L$41,MATCH($C195,'Undirviðmiðalisti (Lýsigögn)'!$C$6:$C$41,0))),IFERROR(IF(INDEX('Undirviðmiðalisti (Lýsigögn)'!L$42:L$58,MATCH($C195,'Undirviðmiðalisti (Lýsigögn)'!$C$42:$C$58,0))="","",INDEX('Undirviðmiðalisti (Lýsigögn)'!L$42:L$58,MATCH($C195,'Undirviðmiðalisti (Lýsigögn)'!$C$42:$C$58,0))),""))))</f>
        <v/>
      </c>
      <c r="Q195" s="16" t="str">
        <f aca="false">IF($C195="","",IF($G195="Einstaklingsbundið",IFERROR(IF(INDEX('Undirviðmiðalisti (Lýsigögn)'!M$42:M$58,MATCH($C195,'Undirviðmiðalisti (Lýsigögn)'!$C$42:$C$58,0))="","",INDEX('Undirviðmiðalisti (Lýsigögn)'!M$42:M$58,MATCH($C195,'Undirviðmiðalisti (Lýsigögn)'!$C$42:$C$58,0))),""),IFERROR(IF(INDEX('Undirviðmiðalisti (Lýsigögn)'!M$6:M$41,MATCH($C195,'Undirviðmiðalisti (Lýsigögn)'!$C$6:$C$41,0))="","",INDEX('Undirviðmiðalisti (Lýsigögn)'!M$6:M$41,MATCH($C195,'Undirviðmiðalisti (Lýsigögn)'!$C$6:$C$41,0))),IFERROR(IF(INDEX('Undirviðmiðalisti (Lýsigögn)'!M$42:M$58,MATCH($C195,'Undirviðmiðalisti (Lýsigögn)'!$C$42:$C$58,0))="","",INDEX('Undirviðmiðalisti (Lýsigögn)'!M$42:M$58,MATCH($C195,'Undirviðmiðalisti (Lýsigögn)'!$C$42:$C$58,0))),""))))</f>
        <v/>
      </c>
    </row>
    <row r="196" customFormat="false" ht="15" hidden="false" customHeight="true" outlineLevel="0" collapsed="false">
      <c r="A196" s="22" t="str">
        <f aca="false">IF($B196="","",ROW()-5)</f>
        <v/>
      </c>
      <c r="B196" s="15"/>
      <c r="C196" s="15"/>
      <c r="D196" s="16" t="str">
        <f aca="false">IF($C196="","",IF($G196="Einstaklingsbundið",IFERROR(IF(INDEX('Undirviðmiðalisti (Lýsigögn)'!$D$42:$D$58,MATCH($C196,'Undirviðmiðalisti (Lýsigögn)'!$C$42:$C$58,0))="","",INDEX('Undirviðmiðalisti (Lýsigögn)'!$D$42:$D$58,MATCH($C196,'Undirviðmiðalisti (Lýsigögn)'!$C$42:$C$58,0))),""),IFERROR(IF(INDEX('Undirviðmiðalisti (Lýsigögn)'!$D$6:$D$41,MATCH($C196,'Undirviðmiðalisti (Lýsigögn)'!$C$6:$C$41,0))="","",INDEX('Undirviðmiðalisti (Lýsigögn)'!$D$6:$D$41,MATCH($C196,'Undirviðmiðalisti (Lýsigögn)'!$C$6:$C$41,0))),IFERROR(IF(INDEX('Undirviðmiðalisti (Lýsigögn)'!$D$42:$D$58,MATCH($C196,'Undirviðmiðalisti (Lýsigögn)'!$C$42:$C$58,0))="","",INDEX('Undirviðmiðalisti (Lýsigögn)'!$D$42:$D$58,MATCH($C196,'Undirviðmiðalisti (Lýsigögn)'!$C$42:$C$58,0))),""))))</f>
        <v/>
      </c>
      <c r="E196" s="14"/>
      <c r="F196" s="23" t="str">
        <f aca="false">IF($C196="","",IF($G196="Einstaklingsbundið",IFERROR(IF(INDEX('Undirviðmiðalisti (Lýsigögn)'!$E$42:$E$58,MATCH($C196,'Undirviðmiðalisti (Lýsigögn)'!$C$42:$C$58,0))="","",INDEX('Undirviðmiðalisti (Lýsigögn)'!$E$42:$E$58,MATCH($C196,'Undirviðmiðalisti (Lýsigögn)'!$C$42:$C$58,0))),""),IFERROR(IF(INDEX('Undirviðmiðalisti (Lýsigögn)'!$E$6:$E$41,MATCH($C196,'Undirviðmiðalisti (Lýsigögn)'!$C$6:$C$41,0))="","",INDEX('Undirviðmiðalisti (Lýsigögn)'!$E$6:$E$41,MATCH($C196,'Undirviðmiðalisti (Lýsigögn)'!$C$6:$C$41,0))),IFERROR(IF(INDEX('Undirviðmiðalisti (Lýsigögn)'!$E$42:$E$58,MATCH($C196,'Undirviðmiðalisti (Lýsigögn)'!$C$42:$C$58,0))="","",INDEX('Undirviðmiðalisti (Lýsigögn)'!$E$42:$E$58,MATCH($C196,'Undirviðmiðalisti (Lýsigögn)'!$C$42:$C$58,0))),""))))</f>
        <v/>
      </c>
      <c r="G196" s="24" t="str">
        <f aca="false">IFERROR(IF(B196="","",INDEX(Viðmið!$B$6:$B$10,MATCH(B196,Viðmið!$C$6:$C$10,0))),"")</f>
        <v/>
      </c>
      <c r="H196" s="25" t="str">
        <f aca="false">IF(OR(E196="",F196=""),"",E196*KVARDI)</f>
        <v/>
      </c>
      <c r="I196" s="26" t="str">
        <f aca="false">IF(B196="","",IF(ROUND(SUMIF($B$6:$B$205,B196,$E$6:$E$205),4)=ROUND(IFERROR(INDEX(Viðmið!$E$6:$E$10,MATCH(B196,Viðmið!$C$6:$C$10,0)),-1),4),"✓","✗"))</f>
        <v/>
      </c>
      <c r="J196" s="16" t="str">
        <f aca="false">IF($C196="","",IF($G196="Einstaklingsbundið",IFERROR(IF(INDEX('Undirviðmiðalisti (Lýsigögn)'!F$42:F$58,MATCH($C196,'Undirviðmiðalisti (Lýsigögn)'!$C$42:$C$58,0))="","",INDEX('Undirviðmiðalisti (Lýsigögn)'!F$42:F$58,MATCH($C196,'Undirviðmiðalisti (Lýsigögn)'!$C$42:$C$58,0))),""),IFERROR(IF(INDEX('Undirviðmiðalisti (Lýsigögn)'!F$6:F$41,MATCH($C196,'Undirviðmiðalisti (Lýsigögn)'!$C$6:$C$41,0))="","",INDEX('Undirviðmiðalisti (Lýsigögn)'!F$6:F$41,MATCH($C196,'Undirviðmiðalisti (Lýsigögn)'!$C$6:$C$41,0))),IFERROR(IF(INDEX('Undirviðmiðalisti (Lýsigögn)'!F$42:F$58,MATCH($C196,'Undirviðmiðalisti (Lýsigögn)'!$C$42:$C$58,0))="","",INDEX('Undirviðmiðalisti (Lýsigögn)'!F$42:F$58,MATCH($C196,'Undirviðmiðalisti (Lýsigögn)'!$C$42:$C$58,0))),""))))</f>
        <v/>
      </c>
      <c r="K196" s="16" t="str">
        <f aca="false">IF($C196="","",IF($G196="Einstaklingsbundið",IFERROR(IF(INDEX('Undirviðmiðalisti (Lýsigögn)'!G$42:G$58,MATCH($C196,'Undirviðmiðalisti (Lýsigögn)'!$C$42:$C$58,0))="","",INDEX('Undirviðmiðalisti (Lýsigögn)'!G$42:G$58,MATCH($C196,'Undirviðmiðalisti (Lýsigögn)'!$C$42:$C$58,0))),""),IFERROR(IF(INDEX('Undirviðmiðalisti (Lýsigögn)'!G$6:G$41,MATCH($C196,'Undirviðmiðalisti (Lýsigögn)'!$C$6:$C$41,0))="","",INDEX('Undirviðmiðalisti (Lýsigögn)'!G$6:G$41,MATCH($C196,'Undirviðmiðalisti (Lýsigögn)'!$C$6:$C$41,0))),IFERROR(IF(INDEX('Undirviðmiðalisti (Lýsigögn)'!G$42:G$58,MATCH($C196,'Undirviðmiðalisti (Lýsigögn)'!$C$42:$C$58,0))="","",INDEX('Undirviðmiðalisti (Lýsigögn)'!G$42:G$58,MATCH($C196,'Undirviðmiðalisti (Lýsigögn)'!$C$42:$C$58,0))),""))))</f>
        <v/>
      </c>
      <c r="L196" s="16" t="str">
        <f aca="false">IF($C196="","",IF($G196="Einstaklingsbundið",IFERROR(IF(INDEX('Undirviðmiðalisti (Lýsigögn)'!H$42:H$58,MATCH($C196,'Undirviðmiðalisti (Lýsigögn)'!$C$42:$C$58,0))="","",INDEX('Undirviðmiðalisti (Lýsigögn)'!H$42:H$58,MATCH($C196,'Undirviðmiðalisti (Lýsigögn)'!$C$42:$C$58,0))),""),IFERROR(IF(INDEX('Undirviðmiðalisti (Lýsigögn)'!H$6:H$41,MATCH($C196,'Undirviðmiðalisti (Lýsigögn)'!$C$6:$C$41,0))="","",INDEX('Undirviðmiðalisti (Lýsigögn)'!H$6:H$41,MATCH($C196,'Undirviðmiðalisti (Lýsigögn)'!$C$6:$C$41,0))),IFERROR(IF(INDEX('Undirviðmiðalisti (Lýsigögn)'!H$42:H$58,MATCH($C196,'Undirviðmiðalisti (Lýsigögn)'!$C$42:$C$58,0))="","",INDEX('Undirviðmiðalisti (Lýsigögn)'!H$42:H$58,MATCH($C196,'Undirviðmiðalisti (Lýsigögn)'!$C$42:$C$58,0))),""))))</f>
        <v/>
      </c>
      <c r="M196" s="16" t="str">
        <f aca="false">IF($C196="","",IF($G196="Einstaklingsbundið",IFERROR(IF(INDEX('Undirviðmiðalisti (Lýsigögn)'!I$42:I$58,MATCH($C196,'Undirviðmiðalisti (Lýsigögn)'!$C$42:$C$58,0))="","",INDEX('Undirviðmiðalisti (Lýsigögn)'!I$42:I$58,MATCH($C196,'Undirviðmiðalisti (Lýsigögn)'!$C$42:$C$58,0))),""),IFERROR(IF(INDEX('Undirviðmiðalisti (Lýsigögn)'!I$6:I$41,MATCH($C196,'Undirviðmiðalisti (Lýsigögn)'!$C$6:$C$41,0))="","",INDEX('Undirviðmiðalisti (Lýsigögn)'!I$6:I$41,MATCH($C196,'Undirviðmiðalisti (Lýsigögn)'!$C$6:$C$41,0))),IFERROR(IF(INDEX('Undirviðmiðalisti (Lýsigögn)'!I$42:I$58,MATCH($C196,'Undirviðmiðalisti (Lýsigögn)'!$C$42:$C$58,0))="","",INDEX('Undirviðmiðalisti (Lýsigögn)'!I$42:I$58,MATCH($C196,'Undirviðmiðalisti (Lýsigögn)'!$C$42:$C$58,0))),""))))</f>
        <v/>
      </c>
      <c r="N196" s="16" t="str">
        <f aca="false">IF($C196="","",IF($G196="Einstaklingsbundið",IFERROR(IF(INDEX('Undirviðmiðalisti (Lýsigögn)'!J$42:J$58,MATCH($C196,'Undirviðmiðalisti (Lýsigögn)'!$C$42:$C$58,0))="","",INDEX('Undirviðmiðalisti (Lýsigögn)'!J$42:J$58,MATCH($C196,'Undirviðmiðalisti (Lýsigögn)'!$C$42:$C$58,0))),""),IFERROR(IF(INDEX('Undirviðmiðalisti (Lýsigögn)'!J$6:J$41,MATCH($C196,'Undirviðmiðalisti (Lýsigögn)'!$C$6:$C$41,0))="","",INDEX('Undirviðmiðalisti (Lýsigögn)'!J$6:J$41,MATCH($C196,'Undirviðmiðalisti (Lýsigögn)'!$C$6:$C$41,0))),IFERROR(IF(INDEX('Undirviðmiðalisti (Lýsigögn)'!J$42:J$58,MATCH($C196,'Undirviðmiðalisti (Lýsigögn)'!$C$42:$C$58,0))="","",INDEX('Undirviðmiðalisti (Lýsigögn)'!J$42:J$58,MATCH($C196,'Undirviðmiðalisti (Lýsigögn)'!$C$42:$C$58,0))),""))))</f>
        <v/>
      </c>
      <c r="O196" s="16" t="str">
        <f aca="false">IF($C196="","",IF($G196="Einstaklingsbundið",IFERROR(IF(INDEX('Undirviðmiðalisti (Lýsigögn)'!K$42:K$58,MATCH($C196,'Undirviðmiðalisti (Lýsigögn)'!$C$42:$C$58,0))="","",INDEX('Undirviðmiðalisti (Lýsigögn)'!K$42:K$58,MATCH($C196,'Undirviðmiðalisti (Lýsigögn)'!$C$42:$C$58,0))),""),IFERROR(IF(INDEX('Undirviðmiðalisti (Lýsigögn)'!K$6:K$41,MATCH($C196,'Undirviðmiðalisti (Lýsigögn)'!$C$6:$C$41,0))="","",INDEX('Undirviðmiðalisti (Lýsigögn)'!K$6:K$41,MATCH($C196,'Undirviðmiðalisti (Lýsigögn)'!$C$6:$C$41,0))),IFERROR(IF(INDEX('Undirviðmiðalisti (Lýsigögn)'!K$42:K$58,MATCH($C196,'Undirviðmiðalisti (Lýsigögn)'!$C$42:$C$58,0))="","",INDEX('Undirviðmiðalisti (Lýsigögn)'!K$42:K$58,MATCH($C196,'Undirviðmiðalisti (Lýsigögn)'!$C$42:$C$58,0))),""))))</f>
        <v/>
      </c>
      <c r="P196" s="16" t="str">
        <f aca="false">IF($C196="","",IF($G196="Einstaklingsbundið",IFERROR(IF(INDEX('Undirviðmiðalisti (Lýsigögn)'!L$42:L$58,MATCH($C196,'Undirviðmiðalisti (Lýsigögn)'!$C$42:$C$58,0))="","",INDEX('Undirviðmiðalisti (Lýsigögn)'!L$42:L$58,MATCH($C196,'Undirviðmiðalisti (Lýsigögn)'!$C$42:$C$58,0))),""),IFERROR(IF(INDEX('Undirviðmiðalisti (Lýsigögn)'!L$6:L$41,MATCH($C196,'Undirviðmiðalisti (Lýsigögn)'!$C$6:$C$41,0))="","",INDEX('Undirviðmiðalisti (Lýsigögn)'!L$6:L$41,MATCH($C196,'Undirviðmiðalisti (Lýsigögn)'!$C$6:$C$41,0))),IFERROR(IF(INDEX('Undirviðmiðalisti (Lýsigögn)'!L$42:L$58,MATCH($C196,'Undirviðmiðalisti (Lýsigögn)'!$C$42:$C$58,0))="","",INDEX('Undirviðmiðalisti (Lýsigögn)'!L$42:L$58,MATCH($C196,'Undirviðmiðalisti (Lýsigögn)'!$C$42:$C$58,0))),""))))</f>
        <v/>
      </c>
      <c r="Q196" s="16" t="str">
        <f aca="false">IF($C196="","",IF($G196="Einstaklingsbundið",IFERROR(IF(INDEX('Undirviðmiðalisti (Lýsigögn)'!M$42:M$58,MATCH($C196,'Undirviðmiðalisti (Lýsigögn)'!$C$42:$C$58,0))="","",INDEX('Undirviðmiðalisti (Lýsigögn)'!M$42:M$58,MATCH($C196,'Undirviðmiðalisti (Lýsigögn)'!$C$42:$C$58,0))),""),IFERROR(IF(INDEX('Undirviðmiðalisti (Lýsigögn)'!M$6:M$41,MATCH($C196,'Undirviðmiðalisti (Lýsigögn)'!$C$6:$C$41,0))="","",INDEX('Undirviðmiðalisti (Lýsigögn)'!M$6:M$41,MATCH($C196,'Undirviðmiðalisti (Lýsigögn)'!$C$6:$C$41,0))),IFERROR(IF(INDEX('Undirviðmiðalisti (Lýsigögn)'!M$42:M$58,MATCH($C196,'Undirviðmiðalisti (Lýsigögn)'!$C$42:$C$58,0))="","",INDEX('Undirviðmiðalisti (Lýsigögn)'!M$42:M$58,MATCH($C196,'Undirviðmiðalisti (Lýsigögn)'!$C$42:$C$58,0))),""))))</f>
        <v/>
      </c>
    </row>
    <row r="197" customFormat="false" ht="15" hidden="false" customHeight="true" outlineLevel="0" collapsed="false">
      <c r="A197" s="22" t="str">
        <f aca="false">IF($B197="","",ROW()-5)</f>
        <v/>
      </c>
      <c r="B197" s="15"/>
      <c r="C197" s="15"/>
      <c r="D197" s="16" t="str">
        <f aca="false">IF($C197="","",IF($G197="Einstaklingsbundið",IFERROR(IF(INDEX('Undirviðmiðalisti (Lýsigögn)'!$D$42:$D$58,MATCH($C197,'Undirviðmiðalisti (Lýsigögn)'!$C$42:$C$58,0))="","",INDEX('Undirviðmiðalisti (Lýsigögn)'!$D$42:$D$58,MATCH($C197,'Undirviðmiðalisti (Lýsigögn)'!$C$42:$C$58,0))),""),IFERROR(IF(INDEX('Undirviðmiðalisti (Lýsigögn)'!$D$6:$D$41,MATCH($C197,'Undirviðmiðalisti (Lýsigögn)'!$C$6:$C$41,0))="","",INDEX('Undirviðmiðalisti (Lýsigögn)'!$D$6:$D$41,MATCH($C197,'Undirviðmiðalisti (Lýsigögn)'!$C$6:$C$41,0))),IFERROR(IF(INDEX('Undirviðmiðalisti (Lýsigögn)'!$D$42:$D$58,MATCH($C197,'Undirviðmiðalisti (Lýsigögn)'!$C$42:$C$58,0))="","",INDEX('Undirviðmiðalisti (Lýsigögn)'!$D$42:$D$58,MATCH($C197,'Undirviðmiðalisti (Lýsigögn)'!$C$42:$C$58,0))),""))))</f>
        <v/>
      </c>
      <c r="E197" s="14"/>
      <c r="F197" s="23" t="str">
        <f aca="false">IF($C197="","",IF($G197="Einstaklingsbundið",IFERROR(IF(INDEX('Undirviðmiðalisti (Lýsigögn)'!$E$42:$E$58,MATCH($C197,'Undirviðmiðalisti (Lýsigögn)'!$C$42:$C$58,0))="","",INDEX('Undirviðmiðalisti (Lýsigögn)'!$E$42:$E$58,MATCH($C197,'Undirviðmiðalisti (Lýsigögn)'!$C$42:$C$58,0))),""),IFERROR(IF(INDEX('Undirviðmiðalisti (Lýsigögn)'!$E$6:$E$41,MATCH($C197,'Undirviðmiðalisti (Lýsigögn)'!$C$6:$C$41,0))="","",INDEX('Undirviðmiðalisti (Lýsigögn)'!$E$6:$E$41,MATCH($C197,'Undirviðmiðalisti (Lýsigögn)'!$C$6:$C$41,0))),IFERROR(IF(INDEX('Undirviðmiðalisti (Lýsigögn)'!$E$42:$E$58,MATCH($C197,'Undirviðmiðalisti (Lýsigögn)'!$C$42:$C$58,0))="","",INDEX('Undirviðmiðalisti (Lýsigögn)'!$E$42:$E$58,MATCH($C197,'Undirviðmiðalisti (Lýsigögn)'!$C$42:$C$58,0))),""))))</f>
        <v/>
      </c>
      <c r="G197" s="24" t="str">
        <f aca="false">IFERROR(IF(B197="","",INDEX(Viðmið!$B$6:$B$10,MATCH(B197,Viðmið!$C$6:$C$10,0))),"")</f>
        <v/>
      </c>
      <c r="H197" s="25" t="str">
        <f aca="false">IF(OR(E197="",F197=""),"",E197*KVARDI)</f>
        <v/>
      </c>
      <c r="I197" s="26" t="str">
        <f aca="false">IF(B197="","",IF(ROUND(SUMIF($B$6:$B$205,B197,$E$6:$E$205),4)=ROUND(IFERROR(INDEX(Viðmið!$E$6:$E$10,MATCH(B197,Viðmið!$C$6:$C$10,0)),-1),4),"✓","✗"))</f>
        <v/>
      </c>
      <c r="J197" s="16" t="str">
        <f aca="false">IF($C197="","",IF($G197="Einstaklingsbundið",IFERROR(IF(INDEX('Undirviðmiðalisti (Lýsigögn)'!F$42:F$58,MATCH($C197,'Undirviðmiðalisti (Lýsigögn)'!$C$42:$C$58,0))="","",INDEX('Undirviðmiðalisti (Lýsigögn)'!F$42:F$58,MATCH($C197,'Undirviðmiðalisti (Lýsigögn)'!$C$42:$C$58,0))),""),IFERROR(IF(INDEX('Undirviðmiðalisti (Lýsigögn)'!F$6:F$41,MATCH($C197,'Undirviðmiðalisti (Lýsigögn)'!$C$6:$C$41,0))="","",INDEX('Undirviðmiðalisti (Lýsigögn)'!F$6:F$41,MATCH($C197,'Undirviðmiðalisti (Lýsigögn)'!$C$6:$C$41,0))),IFERROR(IF(INDEX('Undirviðmiðalisti (Lýsigögn)'!F$42:F$58,MATCH($C197,'Undirviðmiðalisti (Lýsigögn)'!$C$42:$C$58,0))="","",INDEX('Undirviðmiðalisti (Lýsigögn)'!F$42:F$58,MATCH($C197,'Undirviðmiðalisti (Lýsigögn)'!$C$42:$C$58,0))),""))))</f>
        <v/>
      </c>
      <c r="K197" s="16" t="str">
        <f aca="false">IF($C197="","",IF($G197="Einstaklingsbundið",IFERROR(IF(INDEX('Undirviðmiðalisti (Lýsigögn)'!G$42:G$58,MATCH($C197,'Undirviðmiðalisti (Lýsigögn)'!$C$42:$C$58,0))="","",INDEX('Undirviðmiðalisti (Lýsigögn)'!G$42:G$58,MATCH($C197,'Undirviðmiðalisti (Lýsigögn)'!$C$42:$C$58,0))),""),IFERROR(IF(INDEX('Undirviðmiðalisti (Lýsigögn)'!G$6:G$41,MATCH($C197,'Undirviðmiðalisti (Lýsigögn)'!$C$6:$C$41,0))="","",INDEX('Undirviðmiðalisti (Lýsigögn)'!G$6:G$41,MATCH($C197,'Undirviðmiðalisti (Lýsigögn)'!$C$6:$C$41,0))),IFERROR(IF(INDEX('Undirviðmiðalisti (Lýsigögn)'!G$42:G$58,MATCH($C197,'Undirviðmiðalisti (Lýsigögn)'!$C$42:$C$58,0))="","",INDEX('Undirviðmiðalisti (Lýsigögn)'!G$42:G$58,MATCH($C197,'Undirviðmiðalisti (Lýsigögn)'!$C$42:$C$58,0))),""))))</f>
        <v/>
      </c>
      <c r="L197" s="16" t="str">
        <f aca="false">IF($C197="","",IF($G197="Einstaklingsbundið",IFERROR(IF(INDEX('Undirviðmiðalisti (Lýsigögn)'!H$42:H$58,MATCH($C197,'Undirviðmiðalisti (Lýsigögn)'!$C$42:$C$58,0))="","",INDEX('Undirviðmiðalisti (Lýsigögn)'!H$42:H$58,MATCH($C197,'Undirviðmiðalisti (Lýsigögn)'!$C$42:$C$58,0))),""),IFERROR(IF(INDEX('Undirviðmiðalisti (Lýsigögn)'!H$6:H$41,MATCH($C197,'Undirviðmiðalisti (Lýsigögn)'!$C$6:$C$41,0))="","",INDEX('Undirviðmiðalisti (Lýsigögn)'!H$6:H$41,MATCH($C197,'Undirviðmiðalisti (Lýsigögn)'!$C$6:$C$41,0))),IFERROR(IF(INDEX('Undirviðmiðalisti (Lýsigögn)'!H$42:H$58,MATCH($C197,'Undirviðmiðalisti (Lýsigögn)'!$C$42:$C$58,0))="","",INDEX('Undirviðmiðalisti (Lýsigögn)'!H$42:H$58,MATCH($C197,'Undirviðmiðalisti (Lýsigögn)'!$C$42:$C$58,0))),""))))</f>
        <v/>
      </c>
      <c r="M197" s="16" t="str">
        <f aca="false">IF($C197="","",IF($G197="Einstaklingsbundið",IFERROR(IF(INDEX('Undirviðmiðalisti (Lýsigögn)'!I$42:I$58,MATCH($C197,'Undirviðmiðalisti (Lýsigögn)'!$C$42:$C$58,0))="","",INDEX('Undirviðmiðalisti (Lýsigögn)'!I$42:I$58,MATCH($C197,'Undirviðmiðalisti (Lýsigögn)'!$C$42:$C$58,0))),""),IFERROR(IF(INDEX('Undirviðmiðalisti (Lýsigögn)'!I$6:I$41,MATCH($C197,'Undirviðmiðalisti (Lýsigögn)'!$C$6:$C$41,0))="","",INDEX('Undirviðmiðalisti (Lýsigögn)'!I$6:I$41,MATCH($C197,'Undirviðmiðalisti (Lýsigögn)'!$C$6:$C$41,0))),IFERROR(IF(INDEX('Undirviðmiðalisti (Lýsigögn)'!I$42:I$58,MATCH($C197,'Undirviðmiðalisti (Lýsigögn)'!$C$42:$C$58,0))="","",INDEX('Undirviðmiðalisti (Lýsigögn)'!I$42:I$58,MATCH($C197,'Undirviðmiðalisti (Lýsigögn)'!$C$42:$C$58,0))),""))))</f>
        <v/>
      </c>
      <c r="N197" s="16" t="str">
        <f aca="false">IF($C197="","",IF($G197="Einstaklingsbundið",IFERROR(IF(INDEX('Undirviðmiðalisti (Lýsigögn)'!J$42:J$58,MATCH($C197,'Undirviðmiðalisti (Lýsigögn)'!$C$42:$C$58,0))="","",INDEX('Undirviðmiðalisti (Lýsigögn)'!J$42:J$58,MATCH($C197,'Undirviðmiðalisti (Lýsigögn)'!$C$42:$C$58,0))),""),IFERROR(IF(INDEX('Undirviðmiðalisti (Lýsigögn)'!J$6:J$41,MATCH($C197,'Undirviðmiðalisti (Lýsigögn)'!$C$6:$C$41,0))="","",INDEX('Undirviðmiðalisti (Lýsigögn)'!J$6:J$41,MATCH($C197,'Undirviðmiðalisti (Lýsigögn)'!$C$6:$C$41,0))),IFERROR(IF(INDEX('Undirviðmiðalisti (Lýsigögn)'!J$42:J$58,MATCH($C197,'Undirviðmiðalisti (Lýsigögn)'!$C$42:$C$58,0))="","",INDEX('Undirviðmiðalisti (Lýsigögn)'!J$42:J$58,MATCH($C197,'Undirviðmiðalisti (Lýsigögn)'!$C$42:$C$58,0))),""))))</f>
        <v/>
      </c>
      <c r="O197" s="16" t="str">
        <f aca="false">IF($C197="","",IF($G197="Einstaklingsbundið",IFERROR(IF(INDEX('Undirviðmiðalisti (Lýsigögn)'!K$42:K$58,MATCH($C197,'Undirviðmiðalisti (Lýsigögn)'!$C$42:$C$58,0))="","",INDEX('Undirviðmiðalisti (Lýsigögn)'!K$42:K$58,MATCH($C197,'Undirviðmiðalisti (Lýsigögn)'!$C$42:$C$58,0))),""),IFERROR(IF(INDEX('Undirviðmiðalisti (Lýsigögn)'!K$6:K$41,MATCH($C197,'Undirviðmiðalisti (Lýsigögn)'!$C$6:$C$41,0))="","",INDEX('Undirviðmiðalisti (Lýsigögn)'!K$6:K$41,MATCH($C197,'Undirviðmiðalisti (Lýsigögn)'!$C$6:$C$41,0))),IFERROR(IF(INDEX('Undirviðmiðalisti (Lýsigögn)'!K$42:K$58,MATCH($C197,'Undirviðmiðalisti (Lýsigögn)'!$C$42:$C$58,0))="","",INDEX('Undirviðmiðalisti (Lýsigögn)'!K$42:K$58,MATCH($C197,'Undirviðmiðalisti (Lýsigögn)'!$C$42:$C$58,0))),""))))</f>
        <v/>
      </c>
      <c r="P197" s="16" t="str">
        <f aca="false">IF($C197="","",IF($G197="Einstaklingsbundið",IFERROR(IF(INDEX('Undirviðmiðalisti (Lýsigögn)'!L$42:L$58,MATCH($C197,'Undirviðmiðalisti (Lýsigögn)'!$C$42:$C$58,0))="","",INDEX('Undirviðmiðalisti (Lýsigögn)'!L$42:L$58,MATCH($C197,'Undirviðmiðalisti (Lýsigögn)'!$C$42:$C$58,0))),""),IFERROR(IF(INDEX('Undirviðmiðalisti (Lýsigögn)'!L$6:L$41,MATCH($C197,'Undirviðmiðalisti (Lýsigögn)'!$C$6:$C$41,0))="","",INDEX('Undirviðmiðalisti (Lýsigögn)'!L$6:L$41,MATCH($C197,'Undirviðmiðalisti (Lýsigögn)'!$C$6:$C$41,0))),IFERROR(IF(INDEX('Undirviðmiðalisti (Lýsigögn)'!L$42:L$58,MATCH($C197,'Undirviðmiðalisti (Lýsigögn)'!$C$42:$C$58,0))="","",INDEX('Undirviðmiðalisti (Lýsigögn)'!L$42:L$58,MATCH($C197,'Undirviðmiðalisti (Lýsigögn)'!$C$42:$C$58,0))),""))))</f>
        <v/>
      </c>
      <c r="Q197" s="16" t="str">
        <f aca="false">IF($C197="","",IF($G197="Einstaklingsbundið",IFERROR(IF(INDEX('Undirviðmiðalisti (Lýsigögn)'!M$42:M$58,MATCH($C197,'Undirviðmiðalisti (Lýsigögn)'!$C$42:$C$58,0))="","",INDEX('Undirviðmiðalisti (Lýsigögn)'!M$42:M$58,MATCH($C197,'Undirviðmiðalisti (Lýsigögn)'!$C$42:$C$58,0))),""),IFERROR(IF(INDEX('Undirviðmiðalisti (Lýsigögn)'!M$6:M$41,MATCH($C197,'Undirviðmiðalisti (Lýsigögn)'!$C$6:$C$41,0))="","",INDEX('Undirviðmiðalisti (Lýsigögn)'!M$6:M$41,MATCH($C197,'Undirviðmiðalisti (Lýsigögn)'!$C$6:$C$41,0))),IFERROR(IF(INDEX('Undirviðmiðalisti (Lýsigögn)'!M$42:M$58,MATCH($C197,'Undirviðmiðalisti (Lýsigögn)'!$C$42:$C$58,0))="","",INDEX('Undirviðmiðalisti (Lýsigögn)'!M$42:M$58,MATCH($C197,'Undirviðmiðalisti (Lýsigögn)'!$C$42:$C$58,0))),""))))</f>
        <v/>
      </c>
    </row>
    <row r="198" customFormat="false" ht="15" hidden="false" customHeight="true" outlineLevel="0" collapsed="false">
      <c r="A198" s="22" t="str">
        <f aca="false">IF($B198="","",ROW()-5)</f>
        <v/>
      </c>
      <c r="B198" s="15"/>
      <c r="C198" s="15"/>
      <c r="D198" s="16" t="str">
        <f aca="false">IF($C198="","",IF($G198="Einstaklingsbundið",IFERROR(IF(INDEX('Undirviðmiðalisti (Lýsigögn)'!$D$42:$D$58,MATCH($C198,'Undirviðmiðalisti (Lýsigögn)'!$C$42:$C$58,0))="","",INDEX('Undirviðmiðalisti (Lýsigögn)'!$D$42:$D$58,MATCH($C198,'Undirviðmiðalisti (Lýsigögn)'!$C$42:$C$58,0))),""),IFERROR(IF(INDEX('Undirviðmiðalisti (Lýsigögn)'!$D$6:$D$41,MATCH($C198,'Undirviðmiðalisti (Lýsigögn)'!$C$6:$C$41,0))="","",INDEX('Undirviðmiðalisti (Lýsigögn)'!$D$6:$D$41,MATCH($C198,'Undirviðmiðalisti (Lýsigögn)'!$C$6:$C$41,0))),IFERROR(IF(INDEX('Undirviðmiðalisti (Lýsigögn)'!$D$42:$D$58,MATCH($C198,'Undirviðmiðalisti (Lýsigögn)'!$C$42:$C$58,0))="","",INDEX('Undirviðmiðalisti (Lýsigögn)'!$D$42:$D$58,MATCH($C198,'Undirviðmiðalisti (Lýsigögn)'!$C$42:$C$58,0))),""))))</f>
        <v/>
      </c>
      <c r="E198" s="14"/>
      <c r="F198" s="23" t="str">
        <f aca="false">IF($C198="","",IF($G198="Einstaklingsbundið",IFERROR(IF(INDEX('Undirviðmiðalisti (Lýsigögn)'!$E$42:$E$58,MATCH($C198,'Undirviðmiðalisti (Lýsigögn)'!$C$42:$C$58,0))="","",INDEX('Undirviðmiðalisti (Lýsigögn)'!$E$42:$E$58,MATCH($C198,'Undirviðmiðalisti (Lýsigögn)'!$C$42:$C$58,0))),""),IFERROR(IF(INDEX('Undirviðmiðalisti (Lýsigögn)'!$E$6:$E$41,MATCH($C198,'Undirviðmiðalisti (Lýsigögn)'!$C$6:$C$41,0))="","",INDEX('Undirviðmiðalisti (Lýsigögn)'!$E$6:$E$41,MATCH($C198,'Undirviðmiðalisti (Lýsigögn)'!$C$6:$C$41,0))),IFERROR(IF(INDEX('Undirviðmiðalisti (Lýsigögn)'!$E$42:$E$58,MATCH($C198,'Undirviðmiðalisti (Lýsigögn)'!$C$42:$C$58,0))="","",INDEX('Undirviðmiðalisti (Lýsigögn)'!$E$42:$E$58,MATCH($C198,'Undirviðmiðalisti (Lýsigögn)'!$C$42:$C$58,0))),""))))</f>
        <v/>
      </c>
      <c r="G198" s="24" t="str">
        <f aca="false">IFERROR(IF(B198="","",INDEX(Viðmið!$B$6:$B$10,MATCH(B198,Viðmið!$C$6:$C$10,0))),"")</f>
        <v/>
      </c>
      <c r="H198" s="25" t="str">
        <f aca="false">IF(OR(E198="",F198=""),"",E198*KVARDI)</f>
        <v/>
      </c>
      <c r="I198" s="26" t="str">
        <f aca="false">IF(B198="","",IF(ROUND(SUMIF($B$6:$B$205,B198,$E$6:$E$205),4)=ROUND(IFERROR(INDEX(Viðmið!$E$6:$E$10,MATCH(B198,Viðmið!$C$6:$C$10,0)),-1),4),"✓","✗"))</f>
        <v/>
      </c>
      <c r="J198" s="16" t="str">
        <f aca="false">IF($C198="","",IF($G198="Einstaklingsbundið",IFERROR(IF(INDEX('Undirviðmiðalisti (Lýsigögn)'!F$42:F$58,MATCH($C198,'Undirviðmiðalisti (Lýsigögn)'!$C$42:$C$58,0))="","",INDEX('Undirviðmiðalisti (Lýsigögn)'!F$42:F$58,MATCH($C198,'Undirviðmiðalisti (Lýsigögn)'!$C$42:$C$58,0))),""),IFERROR(IF(INDEX('Undirviðmiðalisti (Lýsigögn)'!F$6:F$41,MATCH($C198,'Undirviðmiðalisti (Lýsigögn)'!$C$6:$C$41,0))="","",INDEX('Undirviðmiðalisti (Lýsigögn)'!F$6:F$41,MATCH($C198,'Undirviðmiðalisti (Lýsigögn)'!$C$6:$C$41,0))),IFERROR(IF(INDEX('Undirviðmiðalisti (Lýsigögn)'!F$42:F$58,MATCH($C198,'Undirviðmiðalisti (Lýsigögn)'!$C$42:$C$58,0))="","",INDEX('Undirviðmiðalisti (Lýsigögn)'!F$42:F$58,MATCH($C198,'Undirviðmiðalisti (Lýsigögn)'!$C$42:$C$58,0))),""))))</f>
        <v/>
      </c>
      <c r="K198" s="16" t="str">
        <f aca="false">IF($C198="","",IF($G198="Einstaklingsbundið",IFERROR(IF(INDEX('Undirviðmiðalisti (Lýsigögn)'!G$42:G$58,MATCH($C198,'Undirviðmiðalisti (Lýsigögn)'!$C$42:$C$58,0))="","",INDEX('Undirviðmiðalisti (Lýsigögn)'!G$42:G$58,MATCH($C198,'Undirviðmiðalisti (Lýsigögn)'!$C$42:$C$58,0))),""),IFERROR(IF(INDEX('Undirviðmiðalisti (Lýsigögn)'!G$6:G$41,MATCH($C198,'Undirviðmiðalisti (Lýsigögn)'!$C$6:$C$41,0))="","",INDEX('Undirviðmiðalisti (Lýsigögn)'!G$6:G$41,MATCH($C198,'Undirviðmiðalisti (Lýsigögn)'!$C$6:$C$41,0))),IFERROR(IF(INDEX('Undirviðmiðalisti (Lýsigögn)'!G$42:G$58,MATCH($C198,'Undirviðmiðalisti (Lýsigögn)'!$C$42:$C$58,0))="","",INDEX('Undirviðmiðalisti (Lýsigögn)'!G$42:G$58,MATCH($C198,'Undirviðmiðalisti (Lýsigögn)'!$C$42:$C$58,0))),""))))</f>
        <v/>
      </c>
      <c r="L198" s="16" t="str">
        <f aca="false">IF($C198="","",IF($G198="Einstaklingsbundið",IFERROR(IF(INDEX('Undirviðmiðalisti (Lýsigögn)'!H$42:H$58,MATCH($C198,'Undirviðmiðalisti (Lýsigögn)'!$C$42:$C$58,0))="","",INDEX('Undirviðmiðalisti (Lýsigögn)'!H$42:H$58,MATCH($C198,'Undirviðmiðalisti (Lýsigögn)'!$C$42:$C$58,0))),""),IFERROR(IF(INDEX('Undirviðmiðalisti (Lýsigögn)'!H$6:H$41,MATCH($C198,'Undirviðmiðalisti (Lýsigögn)'!$C$6:$C$41,0))="","",INDEX('Undirviðmiðalisti (Lýsigögn)'!H$6:H$41,MATCH($C198,'Undirviðmiðalisti (Lýsigögn)'!$C$6:$C$41,0))),IFERROR(IF(INDEX('Undirviðmiðalisti (Lýsigögn)'!H$42:H$58,MATCH($C198,'Undirviðmiðalisti (Lýsigögn)'!$C$42:$C$58,0))="","",INDEX('Undirviðmiðalisti (Lýsigögn)'!H$42:H$58,MATCH($C198,'Undirviðmiðalisti (Lýsigögn)'!$C$42:$C$58,0))),""))))</f>
        <v/>
      </c>
      <c r="M198" s="16" t="str">
        <f aca="false">IF($C198="","",IF($G198="Einstaklingsbundið",IFERROR(IF(INDEX('Undirviðmiðalisti (Lýsigögn)'!I$42:I$58,MATCH($C198,'Undirviðmiðalisti (Lýsigögn)'!$C$42:$C$58,0))="","",INDEX('Undirviðmiðalisti (Lýsigögn)'!I$42:I$58,MATCH($C198,'Undirviðmiðalisti (Lýsigögn)'!$C$42:$C$58,0))),""),IFERROR(IF(INDEX('Undirviðmiðalisti (Lýsigögn)'!I$6:I$41,MATCH($C198,'Undirviðmiðalisti (Lýsigögn)'!$C$6:$C$41,0))="","",INDEX('Undirviðmiðalisti (Lýsigögn)'!I$6:I$41,MATCH($C198,'Undirviðmiðalisti (Lýsigögn)'!$C$6:$C$41,0))),IFERROR(IF(INDEX('Undirviðmiðalisti (Lýsigögn)'!I$42:I$58,MATCH($C198,'Undirviðmiðalisti (Lýsigögn)'!$C$42:$C$58,0))="","",INDEX('Undirviðmiðalisti (Lýsigögn)'!I$42:I$58,MATCH($C198,'Undirviðmiðalisti (Lýsigögn)'!$C$42:$C$58,0))),""))))</f>
        <v/>
      </c>
      <c r="N198" s="16" t="str">
        <f aca="false">IF($C198="","",IF($G198="Einstaklingsbundið",IFERROR(IF(INDEX('Undirviðmiðalisti (Lýsigögn)'!J$42:J$58,MATCH($C198,'Undirviðmiðalisti (Lýsigögn)'!$C$42:$C$58,0))="","",INDEX('Undirviðmiðalisti (Lýsigögn)'!J$42:J$58,MATCH($C198,'Undirviðmiðalisti (Lýsigögn)'!$C$42:$C$58,0))),""),IFERROR(IF(INDEX('Undirviðmiðalisti (Lýsigögn)'!J$6:J$41,MATCH($C198,'Undirviðmiðalisti (Lýsigögn)'!$C$6:$C$41,0))="","",INDEX('Undirviðmiðalisti (Lýsigögn)'!J$6:J$41,MATCH($C198,'Undirviðmiðalisti (Lýsigögn)'!$C$6:$C$41,0))),IFERROR(IF(INDEX('Undirviðmiðalisti (Lýsigögn)'!J$42:J$58,MATCH($C198,'Undirviðmiðalisti (Lýsigögn)'!$C$42:$C$58,0))="","",INDEX('Undirviðmiðalisti (Lýsigögn)'!J$42:J$58,MATCH($C198,'Undirviðmiðalisti (Lýsigögn)'!$C$42:$C$58,0))),""))))</f>
        <v/>
      </c>
      <c r="O198" s="16" t="str">
        <f aca="false">IF($C198="","",IF($G198="Einstaklingsbundið",IFERROR(IF(INDEX('Undirviðmiðalisti (Lýsigögn)'!K$42:K$58,MATCH($C198,'Undirviðmiðalisti (Lýsigögn)'!$C$42:$C$58,0))="","",INDEX('Undirviðmiðalisti (Lýsigögn)'!K$42:K$58,MATCH($C198,'Undirviðmiðalisti (Lýsigögn)'!$C$42:$C$58,0))),""),IFERROR(IF(INDEX('Undirviðmiðalisti (Lýsigögn)'!K$6:K$41,MATCH($C198,'Undirviðmiðalisti (Lýsigögn)'!$C$6:$C$41,0))="","",INDEX('Undirviðmiðalisti (Lýsigögn)'!K$6:K$41,MATCH($C198,'Undirviðmiðalisti (Lýsigögn)'!$C$6:$C$41,0))),IFERROR(IF(INDEX('Undirviðmiðalisti (Lýsigögn)'!K$42:K$58,MATCH($C198,'Undirviðmiðalisti (Lýsigögn)'!$C$42:$C$58,0))="","",INDEX('Undirviðmiðalisti (Lýsigögn)'!K$42:K$58,MATCH($C198,'Undirviðmiðalisti (Lýsigögn)'!$C$42:$C$58,0))),""))))</f>
        <v/>
      </c>
      <c r="P198" s="16" t="str">
        <f aca="false">IF($C198="","",IF($G198="Einstaklingsbundið",IFERROR(IF(INDEX('Undirviðmiðalisti (Lýsigögn)'!L$42:L$58,MATCH($C198,'Undirviðmiðalisti (Lýsigögn)'!$C$42:$C$58,0))="","",INDEX('Undirviðmiðalisti (Lýsigögn)'!L$42:L$58,MATCH($C198,'Undirviðmiðalisti (Lýsigögn)'!$C$42:$C$58,0))),""),IFERROR(IF(INDEX('Undirviðmiðalisti (Lýsigögn)'!L$6:L$41,MATCH($C198,'Undirviðmiðalisti (Lýsigögn)'!$C$6:$C$41,0))="","",INDEX('Undirviðmiðalisti (Lýsigögn)'!L$6:L$41,MATCH($C198,'Undirviðmiðalisti (Lýsigögn)'!$C$6:$C$41,0))),IFERROR(IF(INDEX('Undirviðmiðalisti (Lýsigögn)'!L$42:L$58,MATCH($C198,'Undirviðmiðalisti (Lýsigögn)'!$C$42:$C$58,0))="","",INDEX('Undirviðmiðalisti (Lýsigögn)'!L$42:L$58,MATCH($C198,'Undirviðmiðalisti (Lýsigögn)'!$C$42:$C$58,0))),""))))</f>
        <v/>
      </c>
      <c r="Q198" s="16" t="str">
        <f aca="false">IF($C198="","",IF($G198="Einstaklingsbundið",IFERROR(IF(INDEX('Undirviðmiðalisti (Lýsigögn)'!M$42:M$58,MATCH($C198,'Undirviðmiðalisti (Lýsigögn)'!$C$42:$C$58,0))="","",INDEX('Undirviðmiðalisti (Lýsigögn)'!M$42:M$58,MATCH($C198,'Undirviðmiðalisti (Lýsigögn)'!$C$42:$C$58,0))),""),IFERROR(IF(INDEX('Undirviðmiðalisti (Lýsigögn)'!M$6:M$41,MATCH($C198,'Undirviðmiðalisti (Lýsigögn)'!$C$6:$C$41,0))="","",INDEX('Undirviðmiðalisti (Lýsigögn)'!M$6:M$41,MATCH($C198,'Undirviðmiðalisti (Lýsigögn)'!$C$6:$C$41,0))),IFERROR(IF(INDEX('Undirviðmiðalisti (Lýsigögn)'!M$42:M$58,MATCH($C198,'Undirviðmiðalisti (Lýsigögn)'!$C$42:$C$58,0))="","",INDEX('Undirviðmiðalisti (Lýsigögn)'!M$42:M$58,MATCH($C198,'Undirviðmiðalisti (Lýsigögn)'!$C$42:$C$58,0))),""))))</f>
        <v/>
      </c>
    </row>
    <row r="199" customFormat="false" ht="15" hidden="false" customHeight="true" outlineLevel="0" collapsed="false">
      <c r="A199" s="22" t="str">
        <f aca="false">IF($B199="","",ROW()-5)</f>
        <v/>
      </c>
      <c r="B199" s="15"/>
      <c r="C199" s="15"/>
      <c r="D199" s="16" t="str">
        <f aca="false">IF($C199="","",IF($G199="Einstaklingsbundið",IFERROR(IF(INDEX('Undirviðmiðalisti (Lýsigögn)'!$D$42:$D$58,MATCH($C199,'Undirviðmiðalisti (Lýsigögn)'!$C$42:$C$58,0))="","",INDEX('Undirviðmiðalisti (Lýsigögn)'!$D$42:$D$58,MATCH($C199,'Undirviðmiðalisti (Lýsigögn)'!$C$42:$C$58,0))),""),IFERROR(IF(INDEX('Undirviðmiðalisti (Lýsigögn)'!$D$6:$D$41,MATCH($C199,'Undirviðmiðalisti (Lýsigögn)'!$C$6:$C$41,0))="","",INDEX('Undirviðmiðalisti (Lýsigögn)'!$D$6:$D$41,MATCH($C199,'Undirviðmiðalisti (Lýsigögn)'!$C$6:$C$41,0))),IFERROR(IF(INDEX('Undirviðmiðalisti (Lýsigögn)'!$D$42:$D$58,MATCH($C199,'Undirviðmiðalisti (Lýsigögn)'!$C$42:$C$58,0))="","",INDEX('Undirviðmiðalisti (Lýsigögn)'!$D$42:$D$58,MATCH($C199,'Undirviðmiðalisti (Lýsigögn)'!$C$42:$C$58,0))),""))))</f>
        <v/>
      </c>
      <c r="E199" s="14"/>
      <c r="F199" s="23" t="str">
        <f aca="false">IF($C199="","",IF($G199="Einstaklingsbundið",IFERROR(IF(INDEX('Undirviðmiðalisti (Lýsigögn)'!$E$42:$E$58,MATCH($C199,'Undirviðmiðalisti (Lýsigögn)'!$C$42:$C$58,0))="","",INDEX('Undirviðmiðalisti (Lýsigögn)'!$E$42:$E$58,MATCH($C199,'Undirviðmiðalisti (Lýsigögn)'!$C$42:$C$58,0))),""),IFERROR(IF(INDEX('Undirviðmiðalisti (Lýsigögn)'!$E$6:$E$41,MATCH($C199,'Undirviðmiðalisti (Lýsigögn)'!$C$6:$C$41,0))="","",INDEX('Undirviðmiðalisti (Lýsigögn)'!$E$6:$E$41,MATCH($C199,'Undirviðmiðalisti (Lýsigögn)'!$C$6:$C$41,0))),IFERROR(IF(INDEX('Undirviðmiðalisti (Lýsigögn)'!$E$42:$E$58,MATCH($C199,'Undirviðmiðalisti (Lýsigögn)'!$C$42:$C$58,0))="","",INDEX('Undirviðmiðalisti (Lýsigögn)'!$E$42:$E$58,MATCH($C199,'Undirviðmiðalisti (Lýsigögn)'!$C$42:$C$58,0))),""))))</f>
        <v/>
      </c>
      <c r="G199" s="24" t="str">
        <f aca="false">IFERROR(IF(B199="","",INDEX(Viðmið!$B$6:$B$10,MATCH(B199,Viðmið!$C$6:$C$10,0))),"")</f>
        <v/>
      </c>
      <c r="H199" s="25" t="str">
        <f aca="false">IF(OR(E199="",F199=""),"",E199*KVARDI)</f>
        <v/>
      </c>
      <c r="I199" s="26" t="str">
        <f aca="false">IF(B199="","",IF(ROUND(SUMIF($B$6:$B$205,B199,$E$6:$E$205),4)=ROUND(IFERROR(INDEX(Viðmið!$E$6:$E$10,MATCH(B199,Viðmið!$C$6:$C$10,0)),-1),4),"✓","✗"))</f>
        <v/>
      </c>
      <c r="J199" s="16" t="str">
        <f aca="false">IF($C199="","",IF($G199="Einstaklingsbundið",IFERROR(IF(INDEX('Undirviðmiðalisti (Lýsigögn)'!F$42:F$58,MATCH($C199,'Undirviðmiðalisti (Lýsigögn)'!$C$42:$C$58,0))="","",INDEX('Undirviðmiðalisti (Lýsigögn)'!F$42:F$58,MATCH($C199,'Undirviðmiðalisti (Lýsigögn)'!$C$42:$C$58,0))),""),IFERROR(IF(INDEX('Undirviðmiðalisti (Lýsigögn)'!F$6:F$41,MATCH($C199,'Undirviðmiðalisti (Lýsigögn)'!$C$6:$C$41,0))="","",INDEX('Undirviðmiðalisti (Lýsigögn)'!F$6:F$41,MATCH($C199,'Undirviðmiðalisti (Lýsigögn)'!$C$6:$C$41,0))),IFERROR(IF(INDEX('Undirviðmiðalisti (Lýsigögn)'!F$42:F$58,MATCH($C199,'Undirviðmiðalisti (Lýsigögn)'!$C$42:$C$58,0))="","",INDEX('Undirviðmiðalisti (Lýsigögn)'!F$42:F$58,MATCH($C199,'Undirviðmiðalisti (Lýsigögn)'!$C$42:$C$58,0))),""))))</f>
        <v/>
      </c>
      <c r="K199" s="16" t="str">
        <f aca="false">IF($C199="","",IF($G199="Einstaklingsbundið",IFERROR(IF(INDEX('Undirviðmiðalisti (Lýsigögn)'!G$42:G$58,MATCH($C199,'Undirviðmiðalisti (Lýsigögn)'!$C$42:$C$58,0))="","",INDEX('Undirviðmiðalisti (Lýsigögn)'!G$42:G$58,MATCH($C199,'Undirviðmiðalisti (Lýsigögn)'!$C$42:$C$58,0))),""),IFERROR(IF(INDEX('Undirviðmiðalisti (Lýsigögn)'!G$6:G$41,MATCH($C199,'Undirviðmiðalisti (Lýsigögn)'!$C$6:$C$41,0))="","",INDEX('Undirviðmiðalisti (Lýsigögn)'!G$6:G$41,MATCH($C199,'Undirviðmiðalisti (Lýsigögn)'!$C$6:$C$41,0))),IFERROR(IF(INDEX('Undirviðmiðalisti (Lýsigögn)'!G$42:G$58,MATCH($C199,'Undirviðmiðalisti (Lýsigögn)'!$C$42:$C$58,0))="","",INDEX('Undirviðmiðalisti (Lýsigögn)'!G$42:G$58,MATCH($C199,'Undirviðmiðalisti (Lýsigögn)'!$C$42:$C$58,0))),""))))</f>
        <v/>
      </c>
      <c r="L199" s="16" t="str">
        <f aca="false">IF($C199="","",IF($G199="Einstaklingsbundið",IFERROR(IF(INDEX('Undirviðmiðalisti (Lýsigögn)'!H$42:H$58,MATCH($C199,'Undirviðmiðalisti (Lýsigögn)'!$C$42:$C$58,0))="","",INDEX('Undirviðmiðalisti (Lýsigögn)'!H$42:H$58,MATCH($C199,'Undirviðmiðalisti (Lýsigögn)'!$C$42:$C$58,0))),""),IFERROR(IF(INDEX('Undirviðmiðalisti (Lýsigögn)'!H$6:H$41,MATCH($C199,'Undirviðmiðalisti (Lýsigögn)'!$C$6:$C$41,0))="","",INDEX('Undirviðmiðalisti (Lýsigögn)'!H$6:H$41,MATCH($C199,'Undirviðmiðalisti (Lýsigögn)'!$C$6:$C$41,0))),IFERROR(IF(INDEX('Undirviðmiðalisti (Lýsigögn)'!H$42:H$58,MATCH($C199,'Undirviðmiðalisti (Lýsigögn)'!$C$42:$C$58,0))="","",INDEX('Undirviðmiðalisti (Lýsigögn)'!H$42:H$58,MATCH($C199,'Undirviðmiðalisti (Lýsigögn)'!$C$42:$C$58,0))),""))))</f>
        <v/>
      </c>
      <c r="M199" s="16" t="str">
        <f aca="false">IF($C199="","",IF($G199="Einstaklingsbundið",IFERROR(IF(INDEX('Undirviðmiðalisti (Lýsigögn)'!I$42:I$58,MATCH($C199,'Undirviðmiðalisti (Lýsigögn)'!$C$42:$C$58,0))="","",INDEX('Undirviðmiðalisti (Lýsigögn)'!I$42:I$58,MATCH($C199,'Undirviðmiðalisti (Lýsigögn)'!$C$42:$C$58,0))),""),IFERROR(IF(INDEX('Undirviðmiðalisti (Lýsigögn)'!I$6:I$41,MATCH($C199,'Undirviðmiðalisti (Lýsigögn)'!$C$6:$C$41,0))="","",INDEX('Undirviðmiðalisti (Lýsigögn)'!I$6:I$41,MATCH($C199,'Undirviðmiðalisti (Lýsigögn)'!$C$6:$C$41,0))),IFERROR(IF(INDEX('Undirviðmiðalisti (Lýsigögn)'!I$42:I$58,MATCH($C199,'Undirviðmiðalisti (Lýsigögn)'!$C$42:$C$58,0))="","",INDEX('Undirviðmiðalisti (Lýsigögn)'!I$42:I$58,MATCH($C199,'Undirviðmiðalisti (Lýsigögn)'!$C$42:$C$58,0))),""))))</f>
        <v/>
      </c>
      <c r="N199" s="16" t="str">
        <f aca="false">IF($C199="","",IF($G199="Einstaklingsbundið",IFERROR(IF(INDEX('Undirviðmiðalisti (Lýsigögn)'!J$42:J$58,MATCH($C199,'Undirviðmiðalisti (Lýsigögn)'!$C$42:$C$58,0))="","",INDEX('Undirviðmiðalisti (Lýsigögn)'!J$42:J$58,MATCH($C199,'Undirviðmiðalisti (Lýsigögn)'!$C$42:$C$58,0))),""),IFERROR(IF(INDEX('Undirviðmiðalisti (Lýsigögn)'!J$6:J$41,MATCH($C199,'Undirviðmiðalisti (Lýsigögn)'!$C$6:$C$41,0))="","",INDEX('Undirviðmiðalisti (Lýsigögn)'!J$6:J$41,MATCH($C199,'Undirviðmiðalisti (Lýsigögn)'!$C$6:$C$41,0))),IFERROR(IF(INDEX('Undirviðmiðalisti (Lýsigögn)'!J$42:J$58,MATCH($C199,'Undirviðmiðalisti (Lýsigögn)'!$C$42:$C$58,0))="","",INDEX('Undirviðmiðalisti (Lýsigögn)'!J$42:J$58,MATCH($C199,'Undirviðmiðalisti (Lýsigögn)'!$C$42:$C$58,0))),""))))</f>
        <v/>
      </c>
      <c r="O199" s="16" t="str">
        <f aca="false">IF($C199="","",IF($G199="Einstaklingsbundið",IFERROR(IF(INDEX('Undirviðmiðalisti (Lýsigögn)'!K$42:K$58,MATCH($C199,'Undirviðmiðalisti (Lýsigögn)'!$C$42:$C$58,0))="","",INDEX('Undirviðmiðalisti (Lýsigögn)'!K$42:K$58,MATCH($C199,'Undirviðmiðalisti (Lýsigögn)'!$C$42:$C$58,0))),""),IFERROR(IF(INDEX('Undirviðmiðalisti (Lýsigögn)'!K$6:K$41,MATCH($C199,'Undirviðmiðalisti (Lýsigögn)'!$C$6:$C$41,0))="","",INDEX('Undirviðmiðalisti (Lýsigögn)'!K$6:K$41,MATCH($C199,'Undirviðmiðalisti (Lýsigögn)'!$C$6:$C$41,0))),IFERROR(IF(INDEX('Undirviðmiðalisti (Lýsigögn)'!K$42:K$58,MATCH($C199,'Undirviðmiðalisti (Lýsigögn)'!$C$42:$C$58,0))="","",INDEX('Undirviðmiðalisti (Lýsigögn)'!K$42:K$58,MATCH($C199,'Undirviðmiðalisti (Lýsigögn)'!$C$42:$C$58,0))),""))))</f>
        <v/>
      </c>
      <c r="P199" s="16" t="str">
        <f aca="false">IF($C199="","",IF($G199="Einstaklingsbundið",IFERROR(IF(INDEX('Undirviðmiðalisti (Lýsigögn)'!L$42:L$58,MATCH($C199,'Undirviðmiðalisti (Lýsigögn)'!$C$42:$C$58,0))="","",INDEX('Undirviðmiðalisti (Lýsigögn)'!L$42:L$58,MATCH($C199,'Undirviðmiðalisti (Lýsigögn)'!$C$42:$C$58,0))),""),IFERROR(IF(INDEX('Undirviðmiðalisti (Lýsigögn)'!L$6:L$41,MATCH($C199,'Undirviðmiðalisti (Lýsigögn)'!$C$6:$C$41,0))="","",INDEX('Undirviðmiðalisti (Lýsigögn)'!L$6:L$41,MATCH($C199,'Undirviðmiðalisti (Lýsigögn)'!$C$6:$C$41,0))),IFERROR(IF(INDEX('Undirviðmiðalisti (Lýsigögn)'!L$42:L$58,MATCH($C199,'Undirviðmiðalisti (Lýsigögn)'!$C$42:$C$58,0))="","",INDEX('Undirviðmiðalisti (Lýsigögn)'!L$42:L$58,MATCH($C199,'Undirviðmiðalisti (Lýsigögn)'!$C$42:$C$58,0))),""))))</f>
        <v/>
      </c>
      <c r="Q199" s="16" t="str">
        <f aca="false">IF($C199="","",IF($G199="Einstaklingsbundið",IFERROR(IF(INDEX('Undirviðmiðalisti (Lýsigögn)'!M$42:M$58,MATCH($C199,'Undirviðmiðalisti (Lýsigögn)'!$C$42:$C$58,0))="","",INDEX('Undirviðmiðalisti (Lýsigögn)'!M$42:M$58,MATCH($C199,'Undirviðmiðalisti (Lýsigögn)'!$C$42:$C$58,0))),""),IFERROR(IF(INDEX('Undirviðmiðalisti (Lýsigögn)'!M$6:M$41,MATCH($C199,'Undirviðmiðalisti (Lýsigögn)'!$C$6:$C$41,0))="","",INDEX('Undirviðmiðalisti (Lýsigögn)'!M$6:M$41,MATCH($C199,'Undirviðmiðalisti (Lýsigögn)'!$C$6:$C$41,0))),IFERROR(IF(INDEX('Undirviðmiðalisti (Lýsigögn)'!M$42:M$58,MATCH($C199,'Undirviðmiðalisti (Lýsigögn)'!$C$42:$C$58,0))="","",INDEX('Undirviðmiðalisti (Lýsigögn)'!M$42:M$58,MATCH($C199,'Undirviðmiðalisti (Lýsigögn)'!$C$42:$C$58,0))),""))))</f>
        <v/>
      </c>
    </row>
    <row r="200" customFormat="false" ht="15" hidden="false" customHeight="true" outlineLevel="0" collapsed="false">
      <c r="A200" s="22" t="str">
        <f aca="false">IF($B200="","",ROW()-5)</f>
        <v/>
      </c>
      <c r="B200" s="15"/>
      <c r="C200" s="15"/>
      <c r="D200" s="16" t="str">
        <f aca="false">IF($C200="","",IF($G200="Einstaklingsbundið",IFERROR(IF(INDEX('Undirviðmiðalisti (Lýsigögn)'!$D$42:$D$58,MATCH($C200,'Undirviðmiðalisti (Lýsigögn)'!$C$42:$C$58,0))="","",INDEX('Undirviðmiðalisti (Lýsigögn)'!$D$42:$D$58,MATCH($C200,'Undirviðmiðalisti (Lýsigögn)'!$C$42:$C$58,0))),""),IFERROR(IF(INDEX('Undirviðmiðalisti (Lýsigögn)'!$D$6:$D$41,MATCH($C200,'Undirviðmiðalisti (Lýsigögn)'!$C$6:$C$41,0))="","",INDEX('Undirviðmiðalisti (Lýsigögn)'!$D$6:$D$41,MATCH($C200,'Undirviðmiðalisti (Lýsigögn)'!$C$6:$C$41,0))),IFERROR(IF(INDEX('Undirviðmiðalisti (Lýsigögn)'!$D$42:$D$58,MATCH($C200,'Undirviðmiðalisti (Lýsigögn)'!$C$42:$C$58,0))="","",INDEX('Undirviðmiðalisti (Lýsigögn)'!$D$42:$D$58,MATCH($C200,'Undirviðmiðalisti (Lýsigögn)'!$C$42:$C$58,0))),""))))</f>
        <v/>
      </c>
      <c r="E200" s="14"/>
      <c r="F200" s="23" t="str">
        <f aca="false">IF($C200="","",IF($G200="Einstaklingsbundið",IFERROR(IF(INDEX('Undirviðmiðalisti (Lýsigögn)'!$E$42:$E$58,MATCH($C200,'Undirviðmiðalisti (Lýsigögn)'!$C$42:$C$58,0))="","",INDEX('Undirviðmiðalisti (Lýsigögn)'!$E$42:$E$58,MATCH($C200,'Undirviðmiðalisti (Lýsigögn)'!$C$42:$C$58,0))),""),IFERROR(IF(INDEX('Undirviðmiðalisti (Lýsigögn)'!$E$6:$E$41,MATCH($C200,'Undirviðmiðalisti (Lýsigögn)'!$C$6:$C$41,0))="","",INDEX('Undirviðmiðalisti (Lýsigögn)'!$E$6:$E$41,MATCH($C200,'Undirviðmiðalisti (Lýsigögn)'!$C$6:$C$41,0))),IFERROR(IF(INDEX('Undirviðmiðalisti (Lýsigögn)'!$E$42:$E$58,MATCH($C200,'Undirviðmiðalisti (Lýsigögn)'!$C$42:$C$58,0))="","",INDEX('Undirviðmiðalisti (Lýsigögn)'!$E$42:$E$58,MATCH($C200,'Undirviðmiðalisti (Lýsigögn)'!$C$42:$C$58,0))),""))))</f>
        <v/>
      </c>
      <c r="G200" s="24" t="str">
        <f aca="false">IFERROR(IF(B200="","",INDEX(Viðmið!$B$6:$B$10,MATCH(B200,Viðmið!$C$6:$C$10,0))),"")</f>
        <v/>
      </c>
      <c r="H200" s="25" t="str">
        <f aca="false">IF(OR(E200="",F200=""),"",E200*KVARDI)</f>
        <v/>
      </c>
      <c r="I200" s="26" t="str">
        <f aca="false">IF(B200="","",IF(ROUND(SUMIF($B$6:$B$205,B200,$E$6:$E$205),4)=ROUND(IFERROR(INDEX(Viðmið!$E$6:$E$10,MATCH(B200,Viðmið!$C$6:$C$10,0)),-1),4),"✓","✗"))</f>
        <v/>
      </c>
      <c r="J200" s="16" t="str">
        <f aca="false">IF($C200="","",IF($G200="Einstaklingsbundið",IFERROR(IF(INDEX('Undirviðmiðalisti (Lýsigögn)'!F$42:F$58,MATCH($C200,'Undirviðmiðalisti (Lýsigögn)'!$C$42:$C$58,0))="","",INDEX('Undirviðmiðalisti (Lýsigögn)'!F$42:F$58,MATCH($C200,'Undirviðmiðalisti (Lýsigögn)'!$C$42:$C$58,0))),""),IFERROR(IF(INDEX('Undirviðmiðalisti (Lýsigögn)'!F$6:F$41,MATCH($C200,'Undirviðmiðalisti (Lýsigögn)'!$C$6:$C$41,0))="","",INDEX('Undirviðmiðalisti (Lýsigögn)'!F$6:F$41,MATCH($C200,'Undirviðmiðalisti (Lýsigögn)'!$C$6:$C$41,0))),IFERROR(IF(INDEX('Undirviðmiðalisti (Lýsigögn)'!F$42:F$58,MATCH($C200,'Undirviðmiðalisti (Lýsigögn)'!$C$42:$C$58,0))="","",INDEX('Undirviðmiðalisti (Lýsigögn)'!F$42:F$58,MATCH($C200,'Undirviðmiðalisti (Lýsigögn)'!$C$42:$C$58,0))),""))))</f>
        <v/>
      </c>
      <c r="K200" s="16" t="str">
        <f aca="false">IF($C200="","",IF($G200="Einstaklingsbundið",IFERROR(IF(INDEX('Undirviðmiðalisti (Lýsigögn)'!G$42:G$58,MATCH($C200,'Undirviðmiðalisti (Lýsigögn)'!$C$42:$C$58,0))="","",INDEX('Undirviðmiðalisti (Lýsigögn)'!G$42:G$58,MATCH($C200,'Undirviðmiðalisti (Lýsigögn)'!$C$42:$C$58,0))),""),IFERROR(IF(INDEX('Undirviðmiðalisti (Lýsigögn)'!G$6:G$41,MATCH($C200,'Undirviðmiðalisti (Lýsigögn)'!$C$6:$C$41,0))="","",INDEX('Undirviðmiðalisti (Lýsigögn)'!G$6:G$41,MATCH($C200,'Undirviðmiðalisti (Lýsigögn)'!$C$6:$C$41,0))),IFERROR(IF(INDEX('Undirviðmiðalisti (Lýsigögn)'!G$42:G$58,MATCH($C200,'Undirviðmiðalisti (Lýsigögn)'!$C$42:$C$58,0))="","",INDEX('Undirviðmiðalisti (Lýsigögn)'!G$42:G$58,MATCH($C200,'Undirviðmiðalisti (Lýsigögn)'!$C$42:$C$58,0))),""))))</f>
        <v/>
      </c>
      <c r="L200" s="16" t="str">
        <f aca="false">IF($C200="","",IF($G200="Einstaklingsbundið",IFERROR(IF(INDEX('Undirviðmiðalisti (Lýsigögn)'!H$42:H$58,MATCH($C200,'Undirviðmiðalisti (Lýsigögn)'!$C$42:$C$58,0))="","",INDEX('Undirviðmiðalisti (Lýsigögn)'!H$42:H$58,MATCH($C200,'Undirviðmiðalisti (Lýsigögn)'!$C$42:$C$58,0))),""),IFERROR(IF(INDEX('Undirviðmiðalisti (Lýsigögn)'!H$6:H$41,MATCH($C200,'Undirviðmiðalisti (Lýsigögn)'!$C$6:$C$41,0))="","",INDEX('Undirviðmiðalisti (Lýsigögn)'!H$6:H$41,MATCH($C200,'Undirviðmiðalisti (Lýsigögn)'!$C$6:$C$41,0))),IFERROR(IF(INDEX('Undirviðmiðalisti (Lýsigögn)'!H$42:H$58,MATCH($C200,'Undirviðmiðalisti (Lýsigögn)'!$C$42:$C$58,0))="","",INDEX('Undirviðmiðalisti (Lýsigögn)'!H$42:H$58,MATCH($C200,'Undirviðmiðalisti (Lýsigögn)'!$C$42:$C$58,0))),""))))</f>
        <v/>
      </c>
      <c r="M200" s="16" t="str">
        <f aca="false">IF($C200="","",IF($G200="Einstaklingsbundið",IFERROR(IF(INDEX('Undirviðmiðalisti (Lýsigögn)'!I$42:I$58,MATCH($C200,'Undirviðmiðalisti (Lýsigögn)'!$C$42:$C$58,0))="","",INDEX('Undirviðmiðalisti (Lýsigögn)'!I$42:I$58,MATCH($C200,'Undirviðmiðalisti (Lýsigögn)'!$C$42:$C$58,0))),""),IFERROR(IF(INDEX('Undirviðmiðalisti (Lýsigögn)'!I$6:I$41,MATCH($C200,'Undirviðmiðalisti (Lýsigögn)'!$C$6:$C$41,0))="","",INDEX('Undirviðmiðalisti (Lýsigögn)'!I$6:I$41,MATCH($C200,'Undirviðmiðalisti (Lýsigögn)'!$C$6:$C$41,0))),IFERROR(IF(INDEX('Undirviðmiðalisti (Lýsigögn)'!I$42:I$58,MATCH($C200,'Undirviðmiðalisti (Lýsigögn)'!$C$42:$C$58,0))="","",INDEX('Undirviðmiðalisti (Lýsigögn)'!I$42:I$58,MATCH($C200,'Undirviðmiðalisti (Lýsigögn)'!$C$42:$C$58,0))),""))))</f>
        <v/>
      </c>
      <c r="N200" s="16" t="str">
        <f aca="false">IF($C200="","",IF($G200="Einstaklingsbundið",IFERROR(IF(INDEX('Undirviðmiðalisti (Lýsigögn)'!J$42:J$58,MATCH($C200,'Undirviðmiðalisti (Lýsigögn)'!$C$42:$C$58,0))="","",INDEX('Undirviðmiðalisti (Lýsigögn)'!J$42:J$58,MATCH($C200,'Undirviðmiðalisti (Lýsigögn)'!$C$42:$C$58,0))),""),IFERROR(IF(INDEX('Undirviðmiðalisti (Lýsigögn)'!J$6:J$41,MATCH($C200,'Undirviðmiðalisti (Lýsigögn)'!$C$6:$C$41,0))="","",INDEX('Undirviðmiðalisti (Lýsigögn)'!J$6:J$41,MATCH($C200,'Undirviðmiðalisti (Lýsigögn)'!$C$6:$C$41,0))),IFERROR(IF(INDEX('Undirviðmiðalisti (Lýsigögn)'!J$42:J$58,MATCH($C200,'Undirviðmiðalisti (Lýsigögn)'!$C$42:$C$58,0))="","",INDEX('Undirviðmiðalisti (Lýsigögn)'!J$42:J$58,MATCH($C200,'Undirviðmiðalisti (Lýsigögn)'!$C$42:$C$58,0))),""))))</f>
        <v/>
      </c>
      <c r="O200" s="16" t="str">
        <f aca="false">IF($C200="","",IF($G200="Einstaklingsbundið",IFERROR(IF(INDEX('Undirviðmiðalisti (Lýsigögn)'!K$42:K$58,MATCH($C200,'Undirviðmiðalisti (Lýsigögn)'!$C$42:$C$58,0))="","",INDEX('Undirviðmiðalisti (Lýsigögn)'!K$42:K$58,MATCH($C200,'Undirviðmiðalisti (Lýsigögn)'!$C$42:$C$58,0))),""),IFERROR(IF(INDEX('Undirviðmiðalisti (Lýsigögn)'!K$6:K$41,MATCH($C200,'Undirviðmiðalisti (Lýsigögn)'!$C$6:$C$41,0))="","",INDEX('Undirviðmiðalisti (Lýsigögn)'!K$6:K$41,MATCH($C200,'Undirviðmiðalisti (Lýsigögn)'!$C$6:$C$41,0))),IFERROR(IF(INDEX('Undirviðmiðalisti (Lýsigögn)'!K$42:K$58,MATCH($C200,'Undirviðmiðalisti (Lýsigögn)'!$C$42:$C$58,0))="","",INDEX('Undirviðmiðalisti (Lýsigögn)'!K$42:K$58,MATCH($C200,'Undirviðmiðalisti (Lýsigögn)'!$C$42:$C$58,0))),""))))</f>
        <v/>
      </c>
      <c r="P200" s="16" t="str">
        <f aca="false">IF($C200="","",IF($G200="Einstaklingsbundið",IFERROR(IF(INDEX('Undirviðmiðalisti (Lýsigögn)'!L$42:L$58,MATCH($C200,'Undirviðmiðalisti (Lýsigögn)'!$C$42:$C$58,0))="","",INDEX('Undirviðmiðalisti (Lýsigögn)'!L$42:L$58,MATCH($C200,'Undirviðmiðalisti (Lýsigögn)'!$C$42:$C$58,0))),""),IFERROR(IF(INDEX('Undirviðmiðalisti (Lýsigögn)'!L$6:L$41,MATCH($C200,'Undirviðmiðalisti (Lýsigögn)'!$C$6:$C$41,0))="","",INDEX('Undirviðmiðalisti (Lýsigögn)'!L$6:L$41,MATCH($C200,'Undirviðmiðalisti (Lýsigögn)'!$C$6:$C$41,0))),IFERROR(IF(INDEX('Undirviðmiðalisti (Lýsigögn)'!L$42:L$58,MATCH($C200,'Undirviðmiðalisti (Lýsigögn)'!$C$42:$C$58,0))="","",INDEX('Undirviðmiðalisti (Lýsigögn)'!L$42:L$58,MATCH($C200,'Undirviðmiðalisti (Lýsigögn)'!$C$42:$C$58,0))),""))))</f>
        <v/>
      </c>
      <c r="Q200" s="16" t="str">
        <f aca="false">IF($C200="","",IF($G200="Einstaklingsbundið",IFERROR(IF(INDEX('Undirviðmiðalisti (Lýsigögn)'!M$42:M$58,MATCH($C200,'Undirviðmiðalisti (Lýsigögn)'!$C$42:$C$58,0))="","",INDEX('Undirviðmiðalisti (Lýsigögn)'!M$42:M$58,MATCH($C200,'Undirviðmiðalisti (Lýsigögn)'!$C$42:$C$58,0))),""),IFERROR(IF(INDEX('Undirviðmiðalisti (Lýsigögn)'!M$6:M$41,MATCH($C200,'Undirviðmiðalisti (Lýsigögn)'!$C$6:$C$41,0))="","",INDEX('Undirviðmiðalisti (Lýsigögn)'!M$6:M$41,MATCH($C200,'Undirviðmiðalisti (Lýsigögn)'!$C$6:$C$41,0))),IFERROR(IF(INDEX('Undirviðmiðalisti (Lýsigögn)'!M$42:M$58,MATCH($C200,'Undirviðmiðalisti (Lýsigögn)'!$C$42:$C$58,0))="","",INDEX('Undirviðmiðalisti (Lýsigögn)'!M$42:M$58,MATCH($C200,'Undirviðmiðalisti (Lýsigögn)'!$C$42:$C$58,0))),""))))</f>
        <v/>
      </c>
    </row>
    <row r="201" customFormat="false" ht="15" hidden="false" customHeight="true" outlineLevel="0" collapsed="false">
      <c r="A201" s="22" t="str">
        <f aca="false">IF($B201="","",ROW()-5)</f>
        <v/>
      </c>
      <c r="B201" s="15"/>
      <c r="C201" s="15"/>
      <c r="D201" s="16" t="str">
        <f aca="false">IF($C201="","",IF($G201="Einstaklingsbundið",IFERROR(IF(INDEX('Undirviðmiðalisti (Lýsigögn)'!$D$42:$D$58,MATCH($C201,'Undirviðmiðalisti (Lýsigögn)'!$C$42:$C$58,0))="","",INDEX('Undirviðmiðalisti (Lýsigögn)'!$D$42:$D$58,MATCH($C201,'Undirviðmiðalisti (Lýsigögn)'!$C$42:$C$58,0))),""),IFERROR(IF(INDEX('Undirviðmiðalisti (Lýsigögn)'!$D$6:$D$41,MATCH($C201,'Undirviðmiðalisti (Lýsigögn)'!$C$6:$C$41,0))="","",INDEX('Undirviðmiðalisti (Lýsigögn)'!$D$6:$D$41,MATCH($C201,'Undirviðmiðalisti (Lýsigögn)'!$C$6:$C$41,0))),IFERROR(IF(INDEX('Undirviðmiðalisti (Lýsigögn)'!$D$42:$D$58,MATCH($C201,'Undirviðmiðalisti (Lýsigögn)'!$C$42:$C$58,0))="","",INDEX('Undirviðmiðalisti (Lýsigögn)'!$D$42:$D$58,MATCH($C201,'Undirviðmiðalisti (Lýsigögn)'!$C$42:$C$58,0))),""))))</f>
        <v/>
      </c>
      <c r="E201" s="14"/>
      <c r="F201" s="23" t="str">
        <f aca="false">IF($C201="","",IF($G201="Einstaklingsbundið",IFERROR(IF(INDEX('Undirviðmiðalisti (Lýsigögn)'!$E$42:$E$58,MATCH($C201,'Undirviðmiðalisti (Lýsigögn)'!$C$42:$C$58,0))="","",INDEX('Undirviðmiðalisti (Lýsigögn)'!$E$42:$E$58,MATCH($C201,'Undirviðmiðalisti (Lýsigögn)'!$C$42:$C$58,0))),""),IFERROR(IF(INDEX('Undirviðmiðalisti (Lýsigögn)'!$E$6:$E$41,MATCH($C201,'Undirviðmiðalisti (Lýsigögn)'!$C$6:$C$41,0))="","",INDEX('Undirviðmiðalisti (Lýsigögn)'!$E$6:$E$41,MATCH($C201,'Undirviðmiðalisti (Lýsigögn)'!$C$6:$C$41,0))),IFERROR(IF(INDEX('Undirviðmiðalisti (Lýsigögn)'!$E$42:$E$58,MATCH($C201,'Undirviðmiðalisti (Lýsigögn)'!$C$42:$C$58,0))="","",INDEX('Undirviðmiðalisti (Lýsigögn)'!$E$42:$E$58,MATCH($C201,'Undirviðmiðalisti (Lýsigögn)'!$C$42:$C$58,0))),""))))</f>
        <v/>
      </c>
      <c r="G201" s="24" t="str">
        <f aca="false">IFERROR(IF(B201="","",INDEX(Viðmið!$B$6:$B$10,MATCH(B201,Viðmið!$C$6:$C$10,0))),"")</f>
        <v/>
      </c>
      <c r="H201" s="25" t="str">
        <f aca="false">IF(OR(E201="",F201=""),"",E201*KVARDI)</f>
        <v/>
      </c>
      <c r="I201" s="26" t="str">
        <f aca="false">IF(B201="","",IF(ROUND(SUMIF($B$6:$B$205,B201,$E$6:$E$205),4)=ROUND(IFERROR(INDEX(Viðmið!$E$6:$E$10,MATCH(B201,Viðmið!$C$6:$C$10,0)),-1),4),"✓","✗"))</f>
        <v/>
      </c>
      <c r="J201" s="16" t="str">
        <f aca="false">IF($C201="","",IF($G201="Einstaklingsbundið",IFERROR(IF(INDEX('Undirviðmiðalisti (Lýsigögn)'!F$42:F$58,MATCH($C201,'Undirviðmiðalisti (Lýsigögn)'!$C$42:$C$58,0))="","",INDEX('Undirviðmiðalisti (Lýsigögn)'!F$42:F$58,MATCH($C201,'Undirviðmiðalisti (Lýsigögn)'!$C$42:$C$58,0))),""),IFERROR(IF(INDEX('Undirviðmiðalisti (Lýsigögn)'!F$6:F$41,MATCH($C201,'Undirviðmiðalisti (Lýsigögn)'!$C$6:$C$41,0))="","",INDEX('Undirviðmiðalisti (Lýsigögn)'!F$6:F$41,MATCH($C201,'Undirviðmiðalisti (Lýsigögn)'!$C$6:$C$41,0))),IFERROR(IF(INDEX('Undirviðmiðalisti (Lýsigögn)'!F$42:F$58,MATCH($C201,'Undirviðmiðalisti (Lýsigögn)'!$C$42:$C$58,0))="","",INDEX('Undirviðmiðalisti (Lýsigögn)'!F$42:F$58,MATCH($C201,'Undirviðmiðalisti (Lýsigögn)'!$C$42:$C$58,0))),""))))</f>
        <v/>
      </c>
      <c r="K201" s="16" t="str">
        <f aca="false">IF($C201="","",IF($G201="Einstaklingsbundið",IFERROR(IF(INDEX('Undirviðmiðalisti (Lýsigögn)'!G$42:G$58,MATCH($C201,'Undirviðmiðalisti (Lýsigögn)'!$C$42:$C$58,0))="","",INDEX('Undirviðmiðalisti (Lýsigögn)'!G$42:G$58,MATCH($C201,'Undirviðmiðalisti (Lýsigögn)'!$C$42:$C$58,0))),""),IFERROR(IF(INDEX('Undirviðmiðalisti (Lýsigögn)'!G$6:G$41,MATCH($C201,'Undirviðmiðalisti (Lýsigögn)'!$C$6:$C$41,0))="","",INDEX('Undirviðmiðalisti (Lýsigögn)'!G$6:G$41,MATCH($C201,'Undirviðmiðalisti (Lýsigögn)'!$C$6:$C$41,0))),IFERROR(IF(INDEX('Undirviðmiðalisti (Lýsigögn)'!G$42:G$58,MATCH($C201,'Undirviðmiðalisti (Lýsigögn)'!$C$42:$C$58,0))="","",INDEX('Undirviðmiðalisti (Lýsigögn)'!G$42:G$58,MATCH($C201,'Undirviðmiðalisti (Lýsigögn)'!$C$42:$C$58,0))),""))))</f>
        <v/>
      </c>
      <c r="L201" s="16" t="str">
        <f aca="false">IF($C201="","",IF($G201="Einstaklingsbundið",IFERROR(IF(INDEX('Undirviðmiðalisti (Lýsigögn)'!H$42:H$58,MATCH($C201,'Undirviðmiðalisti (Lýsigögn)'!$C$42:$C$58,0))="","",INDEX('Undirviðmiðalisti (Lýsigögn)'!H$42:H$58,MATCH($C201,'Undirviðmiðalisti (Lýsigögn)'!$C$42:$C$58,0))),""),IFERROR(IF(INDEX('Undirviðmiðalisti (Lýsigögn)'!H$6:H$41,MATCH($C201,'Undirviðmiðalisti (Lýsigögn)'!$C$6:$C$41,0))="","",INDEX('Undirviðmiðalisti (Lýsigögn)'!H$6:H$41,MATCH($C201,'Undirviðmiðalisti (Lýsigögn)'!$C$6:$C$41,0))),IFERROR(IF(INDEX('Undirviðmiðalisti (Lýsigögn)'!H$42:H$58,MATCH($C201,'Undirviðmiðalisti (Lýsigögn)'!$C$42:$C$58,0))="","",INDEX('Undirviðmiðalisti (Lýsigögn)'!H$42:H$58,MATCH($C201,'Undirviðmiðalisti (Lýsigögn)'!$C$42:$C$58,0))),""))))</f>
        <v/>
      </c>
      <c r="M201" s="16" t="str">
        <f aca="false">IF($C201="","",IF($G201="Einstaklingsbundið",IFERROR(IF(INDEX('Undirviðmiðalisti (Lýsigögn)'!I$42:I$58,MATCH($C201,'Undirviðmiðalisti (Lýsigögn)'!$C$42:$C$58,0))="","",INDEX('Undirviðmiðalisti (Lýsigögn)'!I$42:I$58,MATCH($C201,'Undirviðmiðalisti (Lýsigögn)'!$C$42:$C$58,0))),""),IFERROR(IF(INDEX('Undirviðmiðalisti (Lýsigögn)'!I$6:I$41,MATCH($C201,'Undirviðmiðalisti (Lýsigögn)'!$C$6:$C$41,0))="","",INDEX('Undirviðmiðalisti (Lýsigögn)'!I$6:I$41,MATCH($C201,'Undirviðmiðalisti (Lýsigögn)'!$C$6:$C$41,0))),IFERROR(IF(INDEX('Undirviðmiðalisti (Lýsigögn)'!I$42:I$58,MATCH($C201,'Undirviðmiðalisti (Lýsigögn)'!$C$42:$C$58,0))="","",INDEX('Undirviðmiðalisti (Lýsigögn)'!I$42:I$58,MATCH($C201,'Undirviðmiðalisti (Lýsigögn)'!$C$42:$C$58,0))),""))))</f>
        <v/>
      </c>
      <c r="N201" s="16" t="str">
        <f aca="false">IF($C201="","",IF($G201="Einstaklingsbundið",IFERROR(IF(INDEX('Undirviðmiðalisti (Lýsigögn)'!J$42:J$58,MATCH($C201,'Undirviðmiðalisti (Lýsigögn)'!$C$42:$C$58,0))="","",INDEX('Undirviðmiðalisti (Lýsigögn)'!J$42:J$58,MATCH($C201,'Undirviðmiðalisti (Lýsigögn)'!$C$42:$C$58,0))),""),IFERROR(IF(INDEX('Undirviðmiðalisti (Lýsigögn)'!J$6:J$41,MATCH($C201,'Undirviðmiðalisti (Lýsigögn)'!$C$6:$C$41,0))="","",INDEX('Undirviðmiðalisti (Lýsigögn)'!J$6:J$41,MATCH($C201,'Undirviðmiðalisti (Lýsigögn)'!$C$6:$C$41,0))),IFERROR(IF(INDEX('Undirviðmiðalisti (Lýsigögn)'!J$42:J$58,MATCH($C201,'Undirviðmiðalisti (Lýsigögn)'!$C$42:$C$58,0))="","",INDEX('Undirviðmiðalisti (Lýsigögn)'!J$42:J$58,MATCH($C201,'Undirviðmiðalisti (Lýsigögn)'!$C$42:$C$58,0))),""))))</f>
        <v/>
      </c>
      <c r="O201" s="16" t="str">
        <f aca="false">IF($C201="","",IF($G201="Einstaklingsbundið",IFERROR(IF(INDEX('Undirviðmiðalisti (Lýsigögn)'!K$42:K$58,MATCH($C201,'Undirviðmiðalisti (Lýsigögn)'!$C$42:$C$58,0))="","",INDEX('Undirviðmiðalisti (Lýsigögn)'!K$42:K$58,MATCH($C201,'Undirviðmiðalisti (Lýsigögn)'!$C$42:$C$58,0))),""),IFERROR(IF(INDEX('Undirviðmiðalisti (Lýsigögn)'!K$6:K$41,MATCH($C201,'Undirviðmiðalisti (Lýsigögn)'!$C$6:$C$41,0))="","",INDEX('Undirviðmiðalisti (Lýsigögn)'!K$6:K$41,MATCH($C201,'Undirviðmiðalisti (Lýsigögn)'!$C$6:$C$41,0))),IFERROR(IF(INDEX('Undirviðmiðalisti (Lýsigögn)'!K$42:K$58,MATCH($C201,'Undirviðmiðalisti (Lýsigögn)'!$C$42:$C$58,0))="","",INDEX('Undirviðmiðalisti (Lýsigögn)'!K$42:K$58,MATCH($C201,'Undirviðmiðalisti (Lýsigögn)'!$C$42:$C$58,0))),""))))</f>
        <v/>
      </c>
      <c r="P201" s="16" t="str">
        <f aca="false">IF($C201="","",IF($G201="Einstaklingsbundið",IFERROR(IF(INDEX('Undirviðmiðalisti (Lýsigögn)'!L$42:L$58,MATCH($C201,'Undirviðmiðalisti (Lýsigögn)'!$C$42:$C$58,0))="","",INDEX('Undirviðmiðalisti (Lýsigögn)'!L$42:L$58,MATCH($C201,'Undirviðmiðalisti (Lýsigögn)'!$C$42:$C$58,0))),""),IFERROR(IF(INDEX('Undirviðmiðalisti (Lýsigögn)'!L$6:L$41,MATCH($C201,'Undirviðmiðalisti (Lýsigögn)'!$C$6:$C$41,0))="","",INDEX('Undirviðmiðalisti (Lýsigögn)'!L$6:L$41,MATCH($C201,'Undirviðmiðalisti (Lýsigögn)'!$C$6:$C$41,0))),IFERROR(IF(INDEX('Undirviðmiðalisti (Lýsigögn)'!L$42:L$58,MATCH($C201,'Undirviðmiðalisti (Lýsigögn)'!$C$42:$C$58,0))="","",INDEX('Undirviðmiðalisti (Lýsigögn)'!L$42:L$58,MATCH($C201,'Undirviðmiðalisti (Lýsigögn)'!$C$42:$C$58,0))),""))))</f>
        <v/>
      </c>
      <c r="Q201" s="16" t="str">
        <f aca="false">IF($C201="","",IF($G201="Einstaklingsbundið",IFERROR(IF(INDEX('Undirviðmiðalisti (Lýsigögn)'!M$42:M$58,MATCH($C201,'Undirviðmiðalisti (Lýsigögn)'!$C$42:$C$58,0))="","",INDEX('Undirviðmiðalisti (Lýsigögn)'!M$42:M$58,MATCH($C201,'Undirviðmiðalisti (Lýsigögn)'!$C$42:$C$58,0))),""),IFERROR(IF(INDEX('Undirviðmiðalisti (Lýsigögn)'!M$6:M$41,MATCH($C201,'Undirviðmiðalisti (Lýsigögn)'!$C$6:$C$41,0))="","",INDEX('Undirviðmiðalisti (Lýsigögn)'!M$6:M$41,MATCH($C201,'Undirviðmiðalisti (Lýsigögn)'!$C$6:$C$41,0))),IFERROR(IF(INDEX('Undirviðmiðalisti (Lýsigögn)'!M$42:M$58,MATCH($C201,'Undirviðmiðalisti (Lýsigögn)'!$C$42:$C$58,0))="","",INDEX('Undirviðmiðalisti (Lýsigögn)'!M$42:M$58,MATCH($C201,'Undirviðmiðalisti (Lýsigögn)'!$C$42:$C$58,0))),""))))</f>
        <v/>
      </c>
    </row>
    <row r="202" customFormat="false" ht="15" hidden="false" customHeight="true" outlineLevel="0" collapsed="false">
      <c r="A202" s="22" t="str">
        <f aca="false">IF($B202="","",ROW()-5)</f>
        <v/>
      </c>
      <c r="B202" s="15"/>
      <c r="C202" s="15"/>
      <c r="D202" s="16" t="str">
        <f aca="false">IF($C202="","",IF($G202="Einstaklingsbundið",IFERROR(IF(INDEX('Undirviðmiðalisti (Lýsigögn)'!$D$42:$D$58,MATCH($C202,'Undirviðmiðalisti (Lýsigögn)'!$C$42:$C$58,0))="","",INDEX('Undirviðmiðalisti (Lýsigögn)'!$D$42:$D$58,MATCH($C202,'Undirviðmiðalisti (Lýsigögn)'!$C$42:$C$58,0))),""),IFERROR(IF(INDEX('Undirviðmiðalisti (Lýsigögn)'!$D$6:$D$41,MATCH($C202,'Undirviðmiðalisti (Lýsigögn)'!$C$6:$C$41,0))="","",INDEX('Undirviðmiðalisti (Lýsigögn)'!$D$6:$D$41,MATCH($C202,'Undirviðmiðalisti (Lýsigögn)'!$C$6:$C$41,0))),IFERROR(IF(INDEX('Undirviðmiðalisti (Lýsigögn)'!$D$42:$D$58,MATCH($C202,'Undirviðmiðalisti (Lýsigögn)'!$C$42:$C$58,0))="","",INDEX('Undirviðmiðalisti (Lýsigögn)'!$D$42:$D$58,MATCH($C202,'Undirviðmiðalisti (Lýsigögn)'!$C$42:$C$58,0))),""))))</f>
        <v/>
      </c>
      <c r="E202" s="14"/>
      <c r="F202" s="23" t="str">
        <f aca="false">IF($C202="","",IF($G202="Einstaklingsbundið",IFERROR(IF(INDEX('Undirviðmiðalisti (Lýsigögn)'!$E$42:$E$58,MATCH($C202,'Undirviðmiðalisti (Lýsigögn)'!$C$42:$C$58,0))="","",INDEX('Undirviðmiðalisti (Lýsigögn)'!$E$42:$E$58,MATCH($C202,'Undirviðmiðalisti (Lýsigögn)'!$C$42:$C$58,0))),""),IFERROR(IF(INDEX('Undirviðmiðalisti (Lýsigögn)'!$E$6:$E$41,MATCH($C202,'Undirviðmiðalisti (Lýsigögn)'!$C$6:$C$41,0))="","",INDEX('Undirviðmiðalisti (Lýsigögn)'!$E$6:$E$41,MATCH($C202,'Undirviðmiðalisti (Lýsigögn)'!$C$6:$C$41,0))),IFERROR(IF(INDEX('Undirviðmiðalisti (Lýsigögn)'!$E$42:$E$58,MATCH($C202,'Undirviðmiðalisti (Lýsigögn)'!$C$42:$C$58,0))="","",INDEX('Undirviðmiðalisti (Lýsigögn)'!$E$42:$E$58,MATCH($C202,'Undirviðmiðalisti (Lýsigögn)'!$C$42:$C$58,0))),""))))</f>
        <v/>
      </c>
      <c r="G202" s="24" t="str">
        <f aca="false">IFERROR(IF(B202="","",INDEX(Viðmið!$B$6:$B$10,MATCH(B202,Viðmið!$C$6:$C$10,0))),"")</f>
        <v/>
      </c>
      <c r="H202" s="25" t="str">
        <f aca="false">IF(OR(E202="",F202=""),"",E202*KVARDI)</f>
        <v/>
      </c>
      <c r="I202" s="26" t="str">
        <f aca="false">IF(B202="","",IF(ROUND(SUMIF($B$6:$B$205,B202,$E$6:$E$205),4)=ROUND(IFERROR(INDEX(Viðmið!$E$6:$E$10,MATCH(B202,Viðmið!$C$6:$C$10,0)),-1),4),"✓","✗"))</f>
        <v/>
      </c>
      <c r="J202" s="16" t="str">
        <f aca="false">IF($C202="","",IF($G202="Einstaklingsbundið",IFERROR(IF(INDEX('Undirviðmiðalisti (Lýsigögn)'!F$42:F$58,MATCH($C202,'Undirviðmiðalisti (Lýsigögn)'!$C$42:$C$58,0))="","",INDEX('Undirviðmiðalisti (Lýsigögn)'!F$42:F$58,MATCH($C202,'Undirviðmiðalisti (Lýsigögn)'!$C$42:$C$58,0))),""),IFERROR(IF(INDEX('Undirviðmiðalisti (Lýsigögn)'!F$6:F$41,MATCH($C202,'Undirviðmiðalisti (Lýsigögn)'!$C$6:$C$41,0))="","",INDEX('Undirviðmiðalisti (Lýsigögn)'!F$6:F$41,MATCH($C202,'Undirviðmiðalisti (Lýsigögn)'!$C$6:$C$41,0))),IFERROR(IF(INDEX('Undirviðmiðalisti (Lýsigögn)'!F$42:F$58,MATCH($C202,'Undirviðmiðalisti (Lýsigögn)'!$C$42:$C$58,0))="","",INDEX('Undirviðmiðalisti (Lýsigögn)'!F$42:F$58,MATCH($C202,'Undirviðmiðalisti (Lýsigögn)'!$C$42:$C$58,0))),""))))</f>
        <v/>
      </c>
      <c r="K202" s="16" t="str">
        <f aca="false">IF($C202="","",IF($G202="Einstaklingsbundið",IFERROR(IF(INDEX('Undirviðmiðalisti (Lýsigögn)'!G$42:G$58,MATCH($C202,'Undirviðmiðalisti (Lýsigögn)'!$C$42:$C$58,0))="","",INDEX('Undirviðmiðalisti (Lýsigögn)'!G$42:G$58,MATCH($C202,'Undirviðmiðalisti (Lýsigögn)'!$C$42:$C$58,0))),""),IFERROR(IF(INDEX('Undirviðmiðalisti (Lýsigögn)'!G$6:G$41,MATCH($C202,'Undirviðmiðalisti (Lýsigögn)'!$C$6:$C$41,0))="","",INDEX('Undirviðmiðalisti (Lýsigögn)'!G$6:G$41,MATCH($C202,'Undirviðmiðalisti (Lýsigögn)'!$C$6:$C$41,0))),IFERROR(IF(INDEX('Undirviðmiðalisti (Lýsigögn)'!G$42:G$58,MATCH($C202,'Undirviðmiðalisti (Lýsigögn)'!$C$42:$C$58,0))="","",INDEX('Undirviðmiðalisti (Lýsigögn)'!G$42:G$58,MATCH($C202,'Undirviðmiðalisti (Lýsigögn)'!$C$42:$C$58,0))),""))))</f>
        <v/>
      </c>
      <c r="L202" s="16" t="str">
        <f aca="false">IF($C202="","",IF($G202="Einstaklingsbundið",IFERROR(IF(INDEX('Undirviðmiðalisti (Lýsigögn)'!H$42:H$58,MATCH($C202,'Undirviðmiðalisti (Lýsigögn)'!$C$42:$C$58,0))="","",INDEX('Undirviðmiðalisti (Lýsigögn)'!H$42:H$58,MATCH($C202,'Undirviðmiðalisti (Lýsigögn)'!$C$42:$C$58,0))),""),IFERROR(IF(INDEX('Undirviðmiðalisti (Lýsigögn)'!H$6:H$41,MATCH($C202,'Undirviðmiðalisti (Lýsigögn)'!$C$6:$C$41,0))="","",INDEX('Undirviðmiðalisti (Lýsigögn)'!H$6:H$41,MATCH($C202,'Undirviðmiðalisti (Lýsigögn)'!$C$6:$C$41,0))),IFERROR(IF(INDEX('Undirviðmiðalisti (Lýsigögn)'!H$42:H$58,MATCH($C202,'Undirviðmiðalisti (Lýsigögn)'!$C$42:$C$58,0))="","",INDEX('Undirviðmiðalisti (Lýsigögn)'!H$42:H$58,MATCH($C202,'Undirviðmiðalisti (Lýsigögn)'!$C$42:$C$58,0))),""))))</f>
        <v/>
      </c>
      <c r="M202" s="16" t="str">
        <f aca="false">IF($C202="","",IF($G202="Einstaklingsbundið",IFERROR(IF(INDEX('Undirviðmiðalisti (Lýsigögn)'!I$42:I$58,MATCH($C202,'Undirviðmiðalisti (Lýsigögn)'!$C$42:$C$58,0))="","",INDEX('Undirviðmiðalisti (Lýsigögn)'!I$42:I$58,MATCH($C202,'Undirviðmiðalisti (Lýsigögn)'!$C$42:$C$58,0))),""),IFERROR(IF(INDEX('Undirviðmiðalisti (Lýsigögn)'!I$6:I$41,MATCH($C202,'Undirviðmiðalisti (Lýsigögn)'!$C$6:$C$41,0))="","",INDEX('Undirviðmiðalisti (Lýsigögn)'!I$6:I$41,MATCH($C202,'Undirviðmiðalisti (Lýsigögn)'!$C$6:$C$41,0))),IFERROR(IF(INDEX('Undirviðmiðalisti (Lýsigögn)'!I$42:I$58,MATCH($C202,'Undirviðmiðalisti (Lýsigögn)'!$C$42:$C$58,0))="","",INDEX('Undirviðmiðalisti (Lýsigögn)'!I$42:I$58,MATCH($C202,'Undirviðmiðalisti (Lýsigögn)'!$C$42:$C$58,0))),""))))</f>
        <v/>
      </c>
      <c r="N202" s="16" t="str">
        <f aca="false">IF($C202="","",IF($G202="Einstaklingsbundið",IFERROR(IF(INDEX('Undirviðmiðalisti (Lýsigögn)'!J$42:J$58,MATCH($C202,'Undirviðmiðalisti (Lýsigögn)'!$C$42:$C$58,0))="","",INDEX('Undirviðmiðalisti (Lýsigögn)'!J$42:J$58,MATCH($C202,'Undirviðmiðalisti (Lýsigögn)'!$C$42:$C$58,0))),""),IFERROR(IF(INDEX('Undirviðmiðalisti (Lýsigögn)'!J$6:J$41,MATCH($C202,'Undirviðmiðalisti (Lýsigögn)'!$C$6:$C$41,0))="","",INDEX('Undirviðmiðalisti (Lýsigögn)'!J$6:J$41,MATCH($C202,'Undirviðmiðalisti (Lýsigögn)'!$C$6:$C$41,0))),IFERROR(IF(INDEX('Undirviðmiðalisti (Lýsigögn)'!J$42:J$58,MATCH($C202,'Undirviðmiðalisti (Lýsigögn)'!$C$42:$C$58,0))="","",INDEX('Undirviðmiðalisti (Lýsigögn)'!J$42:J$58,MATCH($C202,'Undirviðmiðalisti (Lýsigögn)'!$C$42:$C$58,0))),""))))</f>
        <v/>
      </c>
      <c r="O202" s="16" t="str">
        <f aca="false">IF($C202="","",IF($G202="Einstaklingsbundið",IFERROR(IF(INDEX('Undirviðmiðalisti (Lýsigögn)'!K$42:K$58,MATCH($C202,'Undirviðmiðalisti (Lýsigögn)'!$C$42:$C$58,0))="","",INDEX('Undirviðmiðalisti (Lýsigögn)'!K$42:K$58,MATCH($C202,'Undirviðmiðalisti (Lýsigögn)'!$C$42:$C$58,0))),""),IFERROR(IF(INDEX('Undirviðmiðalisti (Lýsigögn)'!K$6:K$41,MATCH($C202,'Undirviðmiðalisti (Lýsigögn)'!$C$6:$C$41,0))="","",INDEX('Undirviðmiðalisti (Lýsigögn)'!K$6:K$41,MATCH($C202,'Undirviðmiðalisti (Lýsigögn)'!$C$6:$C$41,0))),IFERROR(IF(INDEX('Undirviðmiðalisti (Lýsigögn)'!K$42:K$58,MATCH($C202,'Undirviðmiðalisti (Lýsigögn)'!$C$42:$C$58,0))="","",INDEX('Undirviðmiðalisti (Lýsigögn)'!K$42:K$58,MATCH($C202,'Undirviðmiðalisti (Lýsigögn)'!$C$42:$C$58,0))),""))))</f>
        <v/>
      </c>
      <c r="P202" s="16" t="str">
        <f aca="false">IF($C202="","",IF($G202="Einstaklingsbundið",IFERROR(IF(INDEX('Undirviðmiðalisti (Lýsigögn)'!L$42:L$58,MATCH($C202,'Undirviðmiðalisti (Lýsigögn)'!$C$42:$C$58,0))="","",INDEX('Undirviðmiðalisti (Lýsigögn)'!L$42:L$58,MATCH($C202,'Undirviðmiðalisti (Lýsigögn)'!$C$42:$C$58,0))),""),IFERROR(IF(INDEX('Undirviðmiðalisti (Lýsigögn)'!L$6:L$41,MATCH($C202,'Undirviðmiðalisti (Lýsigögn)'!$C$6:$C$41,0))="","",INDEX('Undirviðmiðalisti (Lýsigögn)'!L$6:L$41,MATCH($C202,'Undirviðmiðalisti (Lýsigögn)'!$C$6:$C$41,0))),IFERROR(IF(INDEX('Undirviðmiðalisti (Lýsigögn)'!L$42:L$58,MATCH($C202,'Undirviðmiðalisti (Lýsigögn)'!$C$42:$C$58,0))="","",INDEX('Undirviðmiðalisti (Lýsigögn)'!L$42:L$58,MATCH($C202,'Undirviðmiðalisti (Lýsigögn)'!$C$42:$C$58,0))),""))))</f>
        <v/>
      </c>
      <c r="Q202" s="16" t="str">
        <f aca="false">IF($C202="","",IF($G202="Einstaklingsbundið",IFERROR(IF(INDEX('Undirviðmiðalisti (Lýsigögn)'!M$42:M$58,MATCH($C202,'Undirviðmiðalisti (Lýsigögn)'!$C$42:$C$58,0))="","",INDEX('Undirviðmiðalisti (Lýsigögn)'!M$42:M$58,MATCH($C202,'Undirviðmiðalisti (Lýsigögn)'!$C$42:$C$58,0))),""),IFERROR(IF(INDEX('Undirviðmiðalisti (Lýsigögn)'!M$6:M$41,MATCH($C202,'Undirviðmiðalisti (Lýsigögn)'!$C$6:$C$41,0))="","",INDEX('Undirviðmiðalisti (Lýsigögn)'!M$6:M$41,MATCH($C202,'Undirviðmiðalisti (Lýsigögn)'!$C$6:$C$41,0))),IFERROR(IF(INDEX('Undirviðmiðalisti (Lýsigögn)'!M$42:M$58,MATCH($C202,'Undirviðmiðalisti (Lýsigögn)'!$C$42:$C$58,0))="","",INDEX('Undirviðmiðalisti (Lýsigögn)'!M$42:M$58,MATCH($C202,'Undirviðmiðalisti (Lýsigögn)'!$C$42:$C$58,0))),""))))</f>
        <v/>
      </c>
    </row>
    <row r="203" customFormat="false" ht="15" hidden="false" customHeight="true" outlineLevel="0" collapsed="false">
      <c r="A203" s="22" t="str">
        <f aca="false">IF($B203="","",ROW()-5)</f>
        <v/>
      </c>
      <c r="B203" s="15"/>
      <c r="C203" s="15"/>
      <c r="D203" s="16" t="str">
        <f aca="false">IF($C203="","",IF($G203="Einstaklingsbundið",IFERROR(IF(INDEX('Undirviðmiðalisti (Lýsigögn)'!$D$42:$D$58,MATCH($C203,'Undirviðmiðalisti (Lýsigögn)'!$C$42:$C$58,0))="","",INDEX('Undirviðmiðalisti (Lýsigögn)'!$D$42:$D$58,MATCH($C203,'Undirviðmiðalisti (Lýsigögn)'!$C$42:$C$58,0))),""),IFERROR(IF(INDEX('Undirviðmiðalisti (Lýsigögn)'!$D$6:$D$41,MATCH($C203,'Undirviðmiðalisti (Lýsigögn)'!$C$6:$C$41,0))="","",INDEX('Undirviðmiðalisti (Lýsigögn)'!$D$6:$D$41,MATCH($C203,'Undirviðmiðalisti (Lýsigögn)'!$C$6:$C$41,0))),IFERROR(IF(INDEX('Undirviðmiðalisti (Lýsigögn)'!$D$42:$D$58,MATCH($C203,'Undirviðmiðalisti (Lýsigögn)'!$C$42:$C$58,0))="","",INDEX('Undirviðmiðalisti (Lýsigögn)'!$D$42:$D$58,MATCH($C203,'Undirviðmiðalisti (Lýsigögn)'!$C$42:$C$58,0))),""))))</f>
        <v/>
      </c>
      <c r="E203" s="14"/>
      <c r="F203" s="23" t="str">
        <f aca="false">IF($C203="","",IF($G203="Einstaklingsbundið",IFERROR(IF(INDEX('Undirviðmiðalisti (Lýsigögn)'!$E$42:$E$58,MATCH($C203,'Undirviðmiðalisti (Lýsigögn)'!$C$42:$C$58,0))="","",INDEX('Undirviðmiðalisti (Lýsigögn)'!$E$42:$E$58,MATCH($C203,'Undirviðmiðalisti (Lýsigögn)'!$C$42:$C$58,0))),""),IFERROR(IF(INDEX('Undirviðmiðalisti (Lýsigögn)'!$E$6:$E$41,MATCH($C203,'Undirviðmiðalisti (Lýsigögn)'!$C$6:$C$41,0))="","",INDEX('Undirviðmiðalisti (Lýsigögn)'!$E$6:$E$41,MATCH($C203,'Undirviðmiðalisti (Lýsigögn)'!$C$6:$C$41,0))),IFERROR(IF(INDEX('Undirviðmiðalisti (Lýsigögn)'!$E$42:$E$58,MATCH($C203,'Undirviðmiðalisti (Lýsigögn)'!$C$42:$C$58,0))="","",INDEX('Undirviðmiðalisti (Lýsigögn)'!$E$42:$E$58,MATCH($C203,'Undirviðmiðalisti (Lýsigögn)'!$C$42:$C$58,0))),""))))</f>
        <v/>
      </c>
      <c r="G203" s="24" t="str">
        <f aca="false">IFERROR(IF(B203="","",INDEX(Viðmið!$B$6:$B$10,MATCH(B203,Viðmið!$C$6:$C$10,0))),"")</f>
        <v/>
      </c>
      <c r="H203" s="25" t="str">
        <f aca="false">IF(OR(E203="",F203=""),"",E203*KVARDI)</f>
        <v/>
      </c>
      <c r="I203" s="26" t="str">
        <f aca="false">IF(B203="","",IF(ROUND(SUMIF($B$6:$B$205,B203,$E$6:$E$205),4)=ROUND(IFERROR(INDEX(Viðmið!$E$6:$E$10,MATCH(B203,Viðmið!$C$6:$C$10,0)),-1),4),"✓","✗"))</f>
        <v/>
      </c>
      <c r="J203" s="16" t="str">
        <f aca="false">IF($C203="","",IF($G203="Einstaklingsbundið",IFERROR(IF(INDEX('Undirviðmiðalisti (Lýsigögn)'!F$42:F$58,MATCH($C203,'Undirviðmiðalisti (Lýsigögn)'!$C$42:$C$58,0))="","",INDEX('Undirviðmiðalisti (Lýsigögn)'!F$42:F$58,MATCH($C203,'Undirviðmiðalisti (Lýsigögn)'!$C$42:$C$58,0))),""),IFERROR(IF(INDEX('Undirviðmiðalisti (Lýsigögn)'!F$6:F$41,MATCH($C203,'Undirviðmiðalisti (Lýsigögn)'!$C$6:$C$41,0))="","",INDEX('Undirviðmiðalisti (Lýsigögn)'!F$6:F$41,MATCH($C203,'Undirviðmiðalisti (Lýsigögn)'!$C$6:$C$41,0))),IFERROR(IF(INDEX('Undirviðmiðalisti (Lýsigögn)'!F$42:F$58,MATCH($C203,'Undirviðmiðalisti (Lýsigögn)'!$C$42:$C$58,0))="","",INDEX('Undirviðmiðalisti (Lýsigögn)'!F$42:F$58,MATCH($C203,'Undirviðmiðalisti (Lýsigögn)'!$C$42:$C$58,0))),""))))</f>
        <v/>
      </c>
      <c r="K203" s="16" t="str">
        <f aca="false">IF($C203="","",IF($G203="Einstaklingsbundið",IFERROR(IF(INDEX('Undirviðmiðalisti (Lýsigögn)'!G$42:G$58,MATCH($C203,'Undirviðmiðalisti (Lýsigögn)'!$C$42:$C$58,0))="","",INDEX('Undirviðmiðalisti (Lýsigögn)'!G$42:G$58,MATCH($C203,'Undirviðmiðalisti (Lýsigögn)'!$C$42:$C$58,0))),""),IFERROR(IF(INDEX('Undirviðmiðalisti (Lýsigögn)'!G$6:G$41,MATCH($C203,'Undirviðmiðalisti (Lýsigögn)'!$C$6:$C$41,0))="","",INDEX('Undirviðmiðalisti (Lýsigögn)'!G$6:G$41,MATCH($C203,'Undirviðmiðalisti (Lýsigögn)'!$C$6:$C$41,0))),IFERROR(IF(INDEX('Undirviðmiðalisti (Lýsigögn)'!G$42:G$58,MATCH($C203,'Undirviðmiðalisti (Lýsigögn)'!$C$42:$C$58,0))="","",INDEX('Undirviðmiðalisti (Lýsigögn)'!G$42:G$58,MATCH($C203,'Undirviðmiðalisti (Lýsigögn)'!$C$42:$C$58,0))),""))))</f>
        <v/>
      </c>
      <c r="L203" s="16" t="str">
        <f aca="false">IF($C203="","",IF($G203="Einstaklingsbundið",IFERROR(IF(INDEX('Undirviðmiðalisti (Lýsigögn)'!H$42:H$58,MATCH($C203,'Undirviðmiðalisti (Lýsigögn)'!$C$42:$C$58,0))="","",INDEX('Undirviðmiðalisti (Lýsigögn)'!H$42:H$58,MATCH($C203,'Undirviðmiðalisti (Lýsigögn)'!$C$42:$C$58,0))),""),IFERROR(IF(INDEX('Undirviðmiðalisti (Lýsigögn)'!H$6:H$41,MATCH($C203,'Undirviðmiðalisti (Lýsigögn)'!$C$6:$C$41,0))="","",INDEX('Undirviðmiðalisti (Lýsigögn)'!H$6:H$41,MATCH($C203,'Undirviðmiðalisti (Lýsigögn)'!$C$6:$C$41,0))),IFERROR(IF(INDEX('Undirviðmiðalisti (Lýsigögn)'!H$42:H$58,MATCH($C203,'Undirviðmiðalisti (Lýsigögn)'!$C$42:$C$58,0))="","",INDEX('Undirviðmiðalisti (Lýsigögn)'!H$42:H$58,MATCH($C203,'Undirviðmiðalisti (Lýsigögn)'!$C$42:$C$58,0))),""))))</f>
        <v/>
      </c>
      <c r="M203" s="16" t="str">
        <f aca="false">IF($C203="","",IF($G203="Einstaklingsbundið",IFERROR(IF(INDEX('Undirviðmiðalisti (Lýsigögn)'!I$42:I$58,MATCH($C203,'Undirviðmiðalisti (Lýsigögn)'!$C$42:$C$58,0))="","",INDEX('Undirviðmiðalisti (Lýsigögn)'!I$42:I$58,MATCH($C203,'Undirviðmiðalisti (Lýsigögn)'!$C$42:$C$58,0))),""),IFERROR(IF(INDEX('Undirviðmiðalisti (Lýsigögn)'!I$6:I$41,MATCH($C203,'Undirviðmiðalisti (Lýsigögn)'!$C$6:$C$41,0))="","",INDEX('Undirviðmiðalisti (Lýsigögn)'!I$6:I$41,MATCH($C203,'Undirviðmiðalisti (Lýsigögn)'!$C$6:$C$41,0))),IFERROR(IF(INDEX('Undirviðmiðalisti (Lýsigögn)'!I$42:I$58,MATCH($C203,'Undirviðmiðalisti (Lýsigögn)'!$C$42:$C$58,0))="","",INDEX('Undirviðmiðalisti (Lýsigögn)'!I$42:I$58,MATCH($C203,'Undirviðmiðalisti (Lýsigögn)'!$C$42:$C$58,0))),""))))</f>
        <v/>
      </c>
      <c r="N203" s="16" t="str">
        <f aca="false">IF($C203="","",IF($G203="Einstaklingsbundið",IFERROR(IF(INDEX('Undirviðmiðalisti (Lýsigögn)'!J$42:J$58,MATCH($C203,'Undirviðmiðalisti (Lýsigögn)'!$C$42:$C$58,0))="","",INDEX('Undirviðmiðalisti (Lýsigögn)'!J$42:J$58,MATCH($C203,'Undirviðmiðalisti (Lýsigögn)'!$C$42:$C$58,0))),""),IFERROR(IF(INDEX('Undirviðmiðalisti (Lýsigögn)'!J$6:J$41,MATCH($C203,'Undirviðmiðalisti (Lýsigögn)'!$C$6:$C$41,0))="","",INDEX('Undirviðmiðalisti (Lýsigögn)'!J$6:J$41,MATCH($C203,'Undirviðmiðalisti (Lýsigögn)'!$C$6:$C$41,0))),IFERROR(IF(INDEX('Undirviðmiðalisti (Lýsigögn)'!J$42:J$58,MATCH($C203,'Undirviðmiðalisti (Lýsigögn)'!$C$42:$C$58,0))="","",INDEX('Undirviðmiðalisti (Lýsigögn)'!J$42:J$58,MATCH($C203,'Undirviðmiðalisti (Lýsigögn)'!$C$42:$C$58,0))),""))))</f>
        <v/>
      </c>
      <c r="O203" s="16" t="str">
        <f aca="false">IF($C203="","",IF($G203="Einstaklingsbundið",IFERROR(IF(INDEX('Undirviðmiðalisti (Lýsigögn)'!K$42:K$58,MATCH($C203,'Undirviðmiðalisti (Lýsigögn)'!$C$42:$C$58,0))="","",INDEX('Undirviðmiðalisti (Lýsigögn)'!K$42:K$58,MATCH($C203,'Undirviðmiðalisti (Lýsigögn)'!$C$42:$C$58,0))),""),IFERROR(IF(INDEX('Undirviðmiðalisti (Lýsigögn)'!K$6:K$41,MATCH($C203,'Undirviðmiðalisti (Lýsigögn)'!$C$6:$C$41,0))="","",INDEX('Undirviðmiðalisti (Lýsigögn)'!K$6:K$41,MATCH($C203,'Undirviðmiðalisti (Lýsigögn)'!$C$6:$C$41,0))),IFERROR(IF(INDEX('Undirviðmiðalisti (Lýsigögn)'!K$42:K$58,MATCH($C203,'Undirviðmiðalisti (Lýsigögn)'!$C$42:$C$58,0))="","",INDEX('Undirviðmiðalisti (Lýsigögn)'!K$42:K$58,MATCH($C203,'Undirviðmiðalisti (Lýsigögn)'!$C$42:$C$58,0))),""))))</f>
        <v/>
      </c>
      <c r="P203" s="16" t="str">
        <f aca="false">IF($C203="","",IF($G203="Einstaklingsbundið",IFERROR(IF(INDEX('Undirviðmiðalisti (Lýsigögn)'!L$42:L$58,MATCH($C203,'Undirviðmiðalisti (Lýsigögn)'!$C$42:$C$58,0))="","",INDEX('Undirviðmiðalisti (Lýsigögn)'!L$42:L$58,MATCH($C203,'Undirviðmiðalisti (Lýsigögn)'!$C$42:$C$58,0))),""),IFERROR(IF(INDEX('Undirviðmiðalisti (Lýsigögn)'!L$6:L$41,MATCH($C203,'Undirviðmiðalisti (Lýsigögn)'!$C$6:$C$41,0))="","",INDEX('Undirviðmiðalisti (Lýsigögn)'!L$6:L$41,MATCH($C203,'Undirviðmiðalisti (Lýsigögn)'!$C$6:$C$41,0))),IFERROR(IF(INDEX('Undirviðmiðalisti (Lýsigögn)'!L$42:L$58,MATCH($C203,'Undirviðmiðalisti (Lýsigögn)'!$C$42:$C$58,0))="","",INDEX('Undirviðmiðalisti (Lýsigögn)'!L$42:L$58,MATCH($C203,'Undirviðmiðalisti (Lýsigögn)'!$C$42:$C$58,0))),""))))</f>
        <v/>
      </c>
      <c r="Q203" s="16" t="str">
        <f aca="false">IF($C203="","",IF($G203="Einstaklingsbundið",IFERROR(IF(INDEX('Undirviðmiðalisti (Lýsigögn)'!M$42:M$58,MATCH($C203,'Undirviðmiðalisti (Lýsigögn)'!$C$42:$C$58,0))="","",INDEX('Undirviðmiðalisti (Lýsigögn)'!M$42:M$58,MATCH($C203,'Undirviðmiðalisti (Lýsigögn)'!$C$42:$C$58,0))),""),IFERROR(IF(INDEX('Undirviðmiðalisti (Lýsigögn)'!M$6:M$41,MATCH($C203,'Undirviðmiðalisti (Lýsigögn)'!$C$6:$C$41,0))="","",INDEX('Undirviðmiðalisti (Lýsigögn)'!M$6:M$41,MATCH($C203,'Undirviðmiðalisti (Lýsigögn)'!$C$6:$C$41,0))),IFERROR(IF(INDEX('Undirviðmiðalisti (Lýsigögn)'!M$42:M$58,MATCH($C203,'Undirviðmiðalisti (Lýsigögn)'!$C$42:$C$58,0))="","",INDEX('Undirviðmiðalisti (Lýsigögn)'!M$42:M$58,MATCH($C203,'Undirviðmiðalisti (Lýsigögn)'!$C$42:$C$58,0))),""))))</f>
        <v/>
      </c>
    </row>
    <row r="204" customFormat="false" ht="15" hidden="false" customHeight="true" outlineLevel="0" collapsed="false">
      <c r="A204" s="22" t="str">
        <f aca="false">IF($B204="","",ROW()-5)</f>
        <v/>
      </c>
      <c r="B204" s="15"/>
      <c r="C204" s="15"/>
      <c r="D204" s="16" t="str">
        <f aca="false">IF($C204="","",IF($G204="Einstaklingsbundið",IFERROR(IF(INDEX('Undirviðmiðalisti (Lýsigögn)'!$D$42:$D$58,MATCH($C204,'Undirviðmiðalisti (Lýsigögn)'!$C$42:$C$58,0))="","",INDEX('Undirviðmiðalisti (Lýsigögn)'!$D$42:$D$58,MATCH($C204,'Undirviðmiðalisti (Lýsigögn)'!$C$42:$C$58,0))),""),IFERROR(IF(INDEX('Undirviðmiðalisti (Lýsigögn)'!$D$6:$D$41,MATCH($C204,'Undirviðmiðalisti (Lýsigögn)'!$C$6:$C$41,0))="","",INDEX('Undirviðmiðalisti (Lýsigögn)'!$D$6:$D$41,MATCH($C204,'Undirviðmiðalisti (Lýsigögn)'!$C$6:$C$41,0))),IFERROR(IF(INDEX('Undirviðmiðalisti (Lýsigögn)'!$D$42:$D$58,MATCH($C204,'Undirviðmiðalisti (Lýsigögn)'!$C$42:$C$58,0))="","",INDEX('Undirviðmiðalisti (Lýsigögn)'!$D$42:$D$58,MATCH($C204,'Undirviðmiðalisti (Lýsigögn)'!$C$42:$C$58,0))),""))))</f>
        <v/>
      </c>
      <c r="E204" s="14"/>
      <c r="F204" s="23" t="str">
        <f aca="false">IF($C204="","",IF($G204="Einstaklingsbundið",IFERROR(IF(INDEX('Undirviðmiðalisti (Lýsigögn)'!$E$42:$E$58,MATCH($C204,'Undirviðmiðalisti (Lýsigögn)'!$C$42:$C$58,0))="","",INDEX('Undirviðmiðalisti (Lýsigögn)'!$E$42:$E$58,MATCH($C204,'Undirviðmiðalisti (Lýsigögn)'!$C$42:$C$58,0))),""),IFERROR(IF(INDEX('Undirviðmiðalisti (Lýsigögn)'!$E$6:$E$41,MATCH($C204,'Undirviðmiðalisti (Lýsigögn)'!$C$6:$C$41,0))="","",INDEX('Undirviðmiðalisti (Lýsigögn)'!$E$6:$E$41,MATCH($C204,'Undirviðmiðalisti (Lýsigögn)'!$C$6:$C$41,0))),IFERROR(IF(INDEX('Undirviðmiðalisti (Lýsigögn)'!$E$42:$E$58,MATCH($C204,'Undirviðmiðalisti (Lýsigögn)'!$C$42:$C$58,0))="","",INDEX('Undirviðmiðalisti (Lýsigögn)'!$E$42:$E$58,MATCH($C204,'Undirviðmiðalisti (Lýsigögn)'!$C$42:$C$58,0))),""))))</f>
        <v/>
      </c>
      <c r="G204" s="24" t="str">
        <f aca="false">IFERROR(IF(B204="","",INDEX(Viðmið!$B$6:$B$10,MATCH(B204,Viðmið!$C$6:$C$10,0))),"")</f>
        <v/>
      </c>
      <c r="H204" s="25" t="str">
        <f aca="false">IF(OR(E204="",F204=""),"",E204*KVARDI)</f>
        <v/>
      </c>
      <c r="I204" s="26" t="str">
        <f aca="false">IF(B204="","",IF(ROUND(SUMIF($B$6:$B$205,B204,$E$6:$E$205),4)=ROUND(IFERROR(INDEX(Viðmið!$E$6:$E$10,MATCH(B204,Viðmið!$C$6:$C$10,0)),-1),4),"✓","✗"))</f>
        <v/>
      </c>
      <c r="J204" s="16" t="str">
        <f aca="false">IF($C204="","",IF($G204="Einstaklingsbundið",IFERROR(IF(INDEX('Undirviðmiðalisti (Lýsigögn)'!F$42:F$58,MATCH($C204,'Undirviðmiðalisti (Lýsigögn)'!$C$42:$C$58,0))="","",INDEX('Undirviðmiðalisti (Lýsigögn)'!F$42:F$58,MATCH($C204,'Undirviðmiðalisti (Lýsigögn)'!$C$42:$C$58,0))),""),IFERROR(IF(INDEX('Undirviðmiðalisti (Lýsigögn)'!F$6:F$41,MATCH($C204,'Undirviðmiðalisti (Lýsigögn)'!$C$6:$C$41,0))="","",INDEX('Undirviðmiðalisti (Lýsigögn)'!F$6:F$41,MATCH($C204,'Undirviðmiðalisti (Lýsigögn)'!$C$6:$C$41,0))),IFERROR(IF(INDEX('Undirviðmiðalisti (Lýsigögn)'!F$42:F$58,MATCH($C204,'Undirviðmiðalisti (Lýsigögn)'!$C$42:$C$58,0))="","",INDEX('Undirviðmiðalisti (Lýsigögn)'!F$42:F$58,MATCH($C204,'Undirviðmiðalisti (Lýsigögn)'!$C$42:$C$58,0))),""))))</f>
        <v/>
      </c>
      <c r="K204" s="16" t="str">
        <f aca="false">IF($C204="","",IF($G204="Einstaklingsbundið",IFERROR(IF(INDEX('Undirviðmiðalisti (Lýsigögn)'!G$42:G$58,MATCH($C204,'Undirviðmiðalisti (Lýsigögn)'!$C$42:$C$58,0))="","",INDEX('Undirviðmiðalisti (Lýsigögn)'!G$42:G$58,MATCH($C204,'Undirviðmiðalisti (Lýsigögn)'!$C$42:$C$58,0))),""),IFERROR(IF(INDEX('Undirviðmiðalisti (Lýsigögn)'!G$6:G$41,MATCH($C204,'Undirviðmiðalisti (Lýsigögn)'!$C$6:$C$41,0))="","",INDEX('Undirviðmiðalisti (Lýsigögn)'!G$6:G$41,MATCH($C204,'Undirviðmiðalisti (Lýsigögn)'!$C$6:$C$41,0))),IFERROR(IF(INDEX('Undirviðmiðalisti (Lýsigögn)'!G$42:G$58,MATCH($C204,'Undirviðmiðalisti (Lýsigögn)'!$C$42:$C$58,0))="","",INDEX('Undirviðmiðalisti (Lýsigögn)'!G$42:G$58,MATCH($C204,'Undirviðmiðalisti (Lýsigögn)'!$C$42:$C$58,0))),""))))</f>
        <v/>
      </c>
      <c r="L204" s="16" t="str">
        <f aca="false">IF($C204="","",IF($G204="Einstaklingsbundið",IFERROR(IF(INDEX('Undirviðmiðalisti (Lýsigögn)'!H$42:H$58,MATCH($C204,'Undirviðmiðalisti (Lýsigögn)'!$C$42:$C$58,0))="","",INDEX('Undirviðmiðalisti (Lýsigögn)'!H$42:H$58,MATCH($C204,'Undirviðmiðalisti (Lýsigögn)'!$C$42:$C$58,0))),""),IFERROR(IF(INDEX('Undirviðmiðalisti (Lýsigögn)'!H$6:H$41,MATCH($C204,'Undirviðmiðalisti (Lýsigögn)'!$C$6:$C$41,0))="","",INDEX('Undirviðmiðalisti (Lýsigögn)'!H$6:H$41,MATCH($C204,'Undirviðmiðalisti (Lýsigögn)'!$C$6:$C$41,0))),IFERROR(IF(INDEX('Undirviðmiðalisti (Lýsigögn)'!H$42:H$58,MATCH($C204,'Undirviðmiðalisti (Lýsigögn)'!$C$42:$C$58,0))="","",INDEX('Undirviðmiðalisti (Lýsigögn)'!H$42:H$58,MATCH($C204,'Undirviðmiðalisti (Lýsigögn)'!$C$42:$C$58,0))),""))))</f>
        <v/>
      </c>
      <c r="M204" s="16" t="str">
        <f aca="false">IF($C204="","",IF($G204="Einstaklingsbundið",IFERROR(IF(INDEX('Undirviðmiðalisti (Lýsigögn)'!I$42:I$58,MATCH($C204,'Undirviðmiðalisti (Lýsigögn)'!$C$42:$C$58,0))="","",INDEX('Undirviðmiðalisti (Lýsigögn)'!I$42:I$58,MATCH($C204,'Undirviðmiðalisti (Lýsigögn)'!$C$42:$C$58,0))),""),IFERROR(IF(INDEX('Undirviðmiðalisti (Lýsigögn)'!I$6:I$41,MATCH($C204,'Undirviðmiðalisti (Lýsigögn)'!$C$6:$C$41,0))="","",INDEX('Undirviðmiðalisti (Lýsigögn)'!I$6:I$41,MATCH($C204,'Undirviðmiðalisti (Lýsigögn)'!$C$6:$C$41,0))),IFERROR(IF(INDEX('Undirviðmiðalisti (Lýsigögn)'!I$42:I$58,MATCH($C204,'Undirviðmiðalisti (Lýsigögn)'!$C$42:$C$58,0))="","",INDEX('Undirviðmiðalisti (Lýsigögn)'!I$42:I$58,MATCH($C204,'Undirviðmiðalisti (Lýsigögn)'!$C$42:$C$58,0))),""))))</f>
        <v/>
      </c>
      <c r="N204" s="16" t="str">
        <f aca="false">IF($C204="","",IF($G204="Einstaklingsbundið",IFERROR(IF(INDEX('Undirviðmiðalisti (Lýsigögn)'!J$42:J$58,MATCH($C204,'Undirviðmiðalisti (Lýsigögn)'!$C$42:$C$58,0))="","",INDEX('Undirviðmiðalisti (Lýsigögn)'!J$42:J$58,MATCH($C204,'Undirviðmiðalisti (Lýsigögn)'!$C$42:$C$58,0))),""),IFERROR(IF(INDEX('Undirviðmiðalisti (Lýsigögn)'!J$6:J$41,MATCH($C204,'Undirviðmiðalisti (Lýsigögn)'!$C$6:$C$41,0))="","",INDEX('Undirviðmiðalisti (Lýsigögn)'!J$6:J$41,MATCH($C204,'Undirviðmiðalisti (Lýsigögn)'!$C$6:$C$41,0))),IFERROR(IF(INDEX('Undirviðmiðalisti (Lýsigögn)'!J$42:J$58,MATCH($C204,'Undirviðmiðalisti (Lýsigögn)'!$C$42:$C$58,0))="","",INDEX('Undirviðmiðalisti (Lýsigögn)'!J$42:J$58,MATCH($C204,'Undirviðmiðalisti (Lýsigögn)'!$C$42:$C$58,0))),""))))</f>
        <v/>
      </c>
      <c r="O204" s="16" t="str">
        <f aca="false">IF($C204="","",IF($G204="Einstaklingsbundið",IFERROR(IF(INDEX('Undirviðmiðalisti (Lýsigögn)'!K$42:K$58,MATCH($C204,'Undirviðmiðalisti (Lýsigögn)'!$C$42:$C$58,0))="","",INDEX('Undirviðmiðalisti (Lýsigögn)'!K$42:K$58,MATCH($C204,'Undirviðmiðalisti (Lýsigögn)'!$C$42:$C$58,0))),""),IFERROR(IF(INDEX('Undirviðmiðalisti (Lýsigögn)'!K$6:K$41,MATCH($C204,'Undirviðmiðalisti (Lýsigögn)'!$C$6:$C$41,0))="","",INDEX('Undirviðmiðalisti (Lýsigögn)'!K$6:K$41,MATCH($C204,'Undirviðmiðalisti (Lýsigögn)'!$C$6:$C$41,0))),IFERROR(IF(INDEX('Undirviðmiðalisti (Lýsigögn)'!K$42:K$58,MATCH($C204,'Undirviðmiðalisti (Lýsigögn)'!$C$42:$C$58,0))="","",INDEX('Undirviðmiðalisti (Lýsigögn)'!K$42:K$58,MATCH($C204,'Undirviðmiðalisti (Lýsigögn)'!$C$42:$C$58,0))),""))))</f>
        <v/>
      </c>
      <c r="P204" s="16" t="str">
        <f aca="false">IF($C204="","",IF($G204="Einstaklingsbundið",IFERROR(IF(INDEX('Undirviðmiðalisti (Lýsigögn)'!L$42:L$58,MATCH($C204,'Undirviðmiðalisti (Lýsigögn)'!$C$42:$C$58,0))="","",INDEX('Undirviðmiðalisti (Lýsigögn)'!L$42:L$58,MATCH($C204,'Undirviðmiðalisti (Lýsigögn)'!$C$42:$C$58,0))),""),IFERROR(IF(INDEX('Undirviðmiðalisti (Lýsigögn)'!L$6:L$41,MATCH($C204,'Undirviðmiðalisti (Lýsigögn)'!$C$6:$C$41,0))="","",INDEX('Undirviðmiðalisti (Lýsigögn)'!L$6:L$41,MATCH($C204,'Undirviðmiðalisti (Lýsigögn)'!$C$6:$C$41,0))),IFERROR(IF(INDEX('Undirviðmiðalisti (Lýsigögn)'!L$42:L$58,MATCH($C204,'Undirviðmiðalisti (Lýsigögn)'!$C$42:$C$58,0))="","",INDEX('Undirviðmiðalisti (Lýsigögn)'!L$42:L$58,MATCH($C204,'Undirviðmiðalisti (Lýsigögn)'!$C$42:$C$58,0))),""))))</f>
        <v/>
      </c>
      <c r="Q204" s="16" t="str">
        <f aca="false">IF($C204="","",IF($G204="Einstaklingsbundið",IFERROR(IF(INDEX('Undirviðmiðalisti (Lýsigögn)'!M$42:M$58,MATCH($C204,'Undirviðmiðalisti (Lýsigögn)'!$C$42:$C$58,0))="","",INDEX('Undirviðmiðalisti (Lýsigögn)'!M$42:M$58,MATCH($C204,'Undirviðmiðalisti (Lýsigögn)'!$C$42:$C$58,0))),""),IFERROR(IF(INDEX('Undirviðmiðalisti (Lýsigögn)'!M$6:M$41,MATCH($C204,'Undirviðmiðalisti (Lýsigögn)'!$C$6:$C$41,0))="","",INDEX('Undirviðmiðalisti (Lýsigögn)'!M$6:M$41,MATCH($C204,'Undirviðmiðalisti (Lýsigögn)'!$C$6:$C$41,0))),IFERROR(IF(INDEX('Undirviðmiðalisti (Lýsigögn)'!M$42:M$58,MATCH($C204,'Undirviðmiðalisti (Lýsigögn)'!$C$42:$C$58,0))="","",INDEX('Undirviðmiðalisti (Lýsigögn)'!M$42:M$58,MATCH($C204,'Undirviðmiðalisti (Lýsigögn)'!$C$42:$C$58,0))),""))))</f>
        <v/>
      </c>
    </row>
    <row r="205" customFormat="false" ht="15" hidden="false" customHeight="true" outlineLevel="0" collapsed="false">
      <c r="A205" s="22" t="str">
        <f aca="false">IF($B205="","",ROW()-5)</f>
        <v/>
      </c>
      <c r="B205" s="15"/>
      <c r="C205" s="15"/>
      <c r="D205" s="16" t="str">
        <f aca="false">IF($C205="","",IF($G205="Einstaklingsbundið",IFERROR(IF(INDEX('Undirviðmiðalisti (Lýsigögn)'!$D$42:$D$58,MATCH($C205,'Undirviðmiðalisti (Lýsigögn)'!$C$42:$C$58,0))="","",INDEX('Undirviðmiðalisti (Lýsigögn)'!$D$42:$D$58,MATCH($C205,'Undirviðmiðalisti (Lýsigögn)'!$C$42:$C$58,0))),""),IFERROR(IF(INDEX('Undirviðmiðalisti (Lýsigögn)'!$D$6:$D$41,MATCH($C205,'Undirviðmiðalisti (Lýsigögn)'!$C$6:$C$41,0))="","",INDEX('Undirviðmiðalisti (Lýsigögn)'!$D$6:$D$41,MATCH($C205,'Undirviðmiðalisti (Lýsigögn)'!$C$6:$C$41,0))),IFERROR(IF(INDEX('Undirviðmiðalisti (Lýsigögn)'!$D$42:$D$58,MATCH($C205,'Undirviðmiðalisti (Lýsigögn)'!$C$42:$C$58,0))="","",INDEX('Undirviðmiðalisti (Lýsigögn)'!$D$42:$D$58,MATCH($C205,'Undirviðmiðalisti (Lýsigögn)'!$C$42:$C$58,0))),""))))</f>
        <v/>
      </c>
      <c r="E205" s="14"/>
      <c r="F205" s="23" t="str">
        <f aca="false">IF($C205="","",IF($G205="Einstaklingsbundið",IFERROR(IF(INDEX('Undirviðmiðalisti (Lýsigögn)'!$E$42:$E$58,MATCH($C205,'Undirviðmiðalisti (Lýsigögn)'!$C$42:$C$58,0))="","",INDEX('Undirviðmiðalisti (Lýsigögn)'!$E$42:$E$58,MATCH($C205,'Undirviðmiðalisti (Lýsigögn)'!$C$42:$C$58,0))),""),IFERROR(IF(INDEX('Undirviðmiðalisti (Lýsigögn)'!$E$6:$E$41,MATCH($C205,'Undirviðmiðalisti (Lýsigögn)'!$C$6:$C$41,0))="","",INDEX('Undirviðmiðalisti (Lýsigögn)'!$E$6:$E$41,MATCH($C205,'Undirviðmiðalisti (Lýsigögn)'!$C$6:$C$41,0))),IFERROR(IF(INDEX('Undirviðmiðalisti (Lýsigögn)'!$E$42:$E$58,MATCH($C205,'Undirviðmiðalisti (Lýsigögn)'!$C$42:$C$58,0))="","",INDEX('Undirviðmiðalisti (Lýsigögn)'!$E$42:$E$58,MATCH($C205,'Undirviðmiðalisti (Lýsigögn)'!$C$42:$C$58,0))),""))))</f>
        <v/>
      </c>
      <c r="G205" s="24" t="str">
        <f aca="false">IFERROR(IF(B205="","",INDEX(Viðmið!$B$6:$B$10,MATCH(B205,Viðmið!$C$6:$C$10,0))),"")</f>
        <v/>
      </c>
      <c r="H205" s="25" t="str">
        <f aca="false">IF(OR(E205="",F205=""),"",E205*KVARDI)</f>
        <v/>
      </c>
      <c r="I205" s="26" t="str">
        <f aca="false">IF(B205="","",IF(ROUND(SUMIF($B$6:$B$205,B205,$E$6:$E$205),4)=ROUND(IFERROR(INDEX(Viðmið!$E$6:$E$10,MATCH(B205,Viðmið!$C$6:$C$10,0)),-1),4),"✓","✗"))</f>
        <v/>
      </c>
      <c r="J205" s="16" t="str">
        <f aca="false">IF($C205="","",IF($G205="Einstaklingsbundið",IFERROR(IF(INDEX('Undirviðmiðalisti (Lýsigögn)'!F$42:F$58,MATCH($C205,'Undirviðmiðalisti (Lýsigögn)'!$C$42:$C$58,0))="","",INDEX('Undirviðmiðalisti (Lýsigögn)'!F$42:F$58,MATCH($C205,'Undirviðmiðalisti (Lýsigögn)'!$C$42:$C$58,0))),""),IFERROR(IF(INDEX('Undirviðmiðalisti (Lýsigögn)'!F$6:F$41,MATCH($C205,'Undirviðmiðalisti (Lýsigögn)'!$C$6:$C$41,0))="","",INDEX('Undirviðmiðalisti (Lýsigögn)'!F$6:F$41,MATCH($C205,'Undirviðmiðalisti (Lýsigögn)'!$C$6:$C$41,0))),IFERROR(IF(INDEX('Undirviðmiðalisti (Lýsigögn)'!F$42:F$58,MATCH($C205,'Undirviðmiðalisti (Lýsigögn)'!$C$42:$C$58,0))="","",INDEX('Undirviðmiðalisti (Lýsigögn)'!F$42:F$58,MATCH($C205,'Undirviðmiðalisti (Lýsigögn)'!$C$42:$C$58,0))),""))))</f>
        <v/>
      </c>
      <c r="K205" s="16" t="str">
        <f aca="false">IF($C205="","",IF($G205="Einstaklingsbundið",IFERROR(IF(INDEX('Undirviðmiðalisti (Lýsigögn)'!G$42:G$58,MATCH($C205,'Undirviðmiðalisti (Lýsigögn)'!$C$42:$C$58,0))="","",INDEX('Undirviðmiðalisti (Lýsigögn)'!G$42:G$58,MATCH($C205,'Undirviðmiðalisti (Lýsigögn)'!$C$42:$C$58,0))),""),IFERROR(IF(INDEX('Undirviðmiðalisti (Lýsigögn)'!G$6:G$41,MATCH($C205,'Undirviðmiðalisti (Lýsigögn)'!$C$6:$C$41,0))="","",INDEX('Undirviðmiðalisti (Lýsigögn)'!G$6:G$41,MATCH($C205,'Undirviðmiðalisti (Lýsigögn)'!$C$6:$C$41,0))),IFERROR(IF(INDEX('Undirviðmiðalisti (Lýsigögn)'!G$42:G$58,MATCH($C205,'Undirviðmiðalisti (Lýsigögn)'!$C$42:$C$58,0))="","",INDEX('Undirviðmiðalisti (Lýsigögn)'!G$42:G$58,MATCH($C205,'Undirviðmiðalisti (Lýsigögn)'!$C$42:$C$58,0))),""))))</f>
        <v/>
      </c>
      <c r="L205" s="16" t="str">
        <f aca="false">IF($C205="","",IF($G205="Einstaklingsbundið",IFERROR(IF(INDEX('Undirviðmiðalisti (Lýsigögn)'!H$42:H$58,MATCH($C205,'Undirviðmiðalisti (Lýsigögn)'!$C$42:$C$58,0))="","",INDEX('Undirviðmiðalisti (Lýsigögn)'!H$42:H$58,MATCH($C205,'Undirviðmiðalisti (Lýsigögn)'!$C$42:$C$58,0))),""),IFERROR(IF(INDEX('Undirviðmiðalisti (Lýsigögn)'!H$6:H$41,MATCH($C205,'Undirviðmiðalisti (Lýsigögn)'!$C$6:$C$41,0))="","",INDEX('Undirviðmiðalisti (Lýsigögn)'!H$6:H$41,MATCH($C205,'Undirviðmiðalisti (Lýsigögn)'!$C$6:$C$41,0))),IFERROR(IF(INDEX('Undirviðmiðalisti (Lýsigögn)'!H$42:H$58,MATCH($C205,'Undirviðmiðalisti (Lýsigögn)'!$C$42:$C$58,0))="","",INDEX('Undirviðmiðalisti (Lýsigögn)'!H$42:H$58,MATCH($C205,'Undirviðmiðalisti (Lýsigögn)'!$C$42:$C$58,0))),""))))</f>
        <v/>
      </c>
      <c r="M205" s="16" t="str">
        <f aca="false">IF($C205="","",IF($G205="Einstaklingsbundið",IFERROR(IF(INDEX('Undirviðmiðalisti (Lýsigögn)'!I$42:I$58,MATCH($C205,'Undirviðmiðalisti (Lýsigögn)'!$C$42:$C$58,0))="","",INDEX('Undirviðmiðalisti (Lýsigögn)'!I$42:I$58,MATCH($C205,'Undirviðmiðalisti (Lýsigögn)'!$C$42:$C$58,0))),""),IFERROR(IF(INDEX('Undirviðmiðalisti (Lýsigögn)'!I$6:I$41,MATCH($C205,'Undirviðmiðalisti (Lýsigögn)'!$C$6:$C$41,0))="","",INDEX('Undirviðmiðalisti (Lýsigögn)'!I$6:I$41,MATCH($C205,'Undirviðmiðalisti (Lýsigögn)'!$C$6:$C$41,0))),IFERROR(IF(INDEX('Undirviðmiðalisti (Lýsigögn)'!I$42:I$58,MATCH($C205,'Undirviðmiðalisti (Lýsigögn)'!$C$42:$C$58,0))="","",INDEX('Undirviðmiðalisti (Lýsigögn)'!I$42:I$58,MATCH($C205,'Undirviðmiðalisti (Lýsigögn)'!$C$42:$C$58,0))),""))))</f>
        <v/>
      </c>
      <c r="N205" s="16" t="str">
        <f aca="false">IF($C205="","",IF($G205="Einstaklingsbundið",IFERROR(IF(INDEX('Undirviðmiðalisti (Lýsigögn)'!J$42:J$58,MATCH($C205,'Undirviðmiðalisti (Lýsigögn)'!$C$42:$C$58,0))="","",INDEX('Undirviðmiðalisti (Lýsigögn)'!J$42:J$58,MATCH($C205,'Undirviðmiðalisti (Lýsigögn)'!$C$42:$C$58,0))),""),IFERROR(IF(INDEX('Undirviðmiðalisti (Lýsigögn)'!J$6:J$41,MATCH($C205,'Undirviðmiðalisti (Lýsigögn)'!$C$6:$C$41,0))="","",INDEX('Undirviðmiðalisti (Lýsigögn)'!J$6:J$41,MATCH($C205,'Undirviðmiðalisti (Lýsigögn)'!$C$6:$C$41,0))),IFERROR(IF(INDEX('Undirviðmiðalisti (Lýsigögn)'!J$42:J$58,MATCH($C205,'Undirviðmiðalisti (Lýsigögn)'!$C$42:$C$58,0))="","",INDEX('Undirviðmiðalisti (Lýsigögn)'!J$42:J$58,MATCH($C205,'Undirviðmiðalisti (Lýsigögn)'!$C$42:$C$58,0))),""))))</f>
        <v/>
      </c>
      <c r="O205" s="16" t="str">
        <f aca="false">IF($C205="","",IF($G205="Einstaklingsbundið",IFERROR(IF(INDEX('Undirviðmiðalisti (Lýsigögn)'!K$42:K$58,MATCH($C205,'Undirviðmiðalisti (Lýsigögn)'!$C$42:$C$58,0))="","",INDEX('Undirviðmiðalisti (Lýsigögn)'!K$42:K$58,MATCH($C205,'Undirviðmiðalisti (Lýsigögn)'!$C$42:$C$58,0))),""),IFERROR(IF(INDEX('Undirviðmiðalisti (Lýsigögn)'!K$6:K$41,MATCH($C205,'Undirviðmiðalisti (Lýsigögn)'!$C$6:$C$41,0))="","",INDEX('Undirviðmiðalisti (Lýsigögn)'!K$6:K$41,MATCH($C205,'Undirviðmiðalisti (Lýsigögn)'!$C$6:$C$41,0))),IFERROR(IF(INDEX('Undirviðmiðalisti (Lýsigögn)'!K$42:K$58,MATCH($C205,'Undirviðmiðalisti (Lýsigögn)'!$C$42:$C$58,0))="","",INDEX('Undirviðmiðalisti (Lýsigögn)'!K$42:K$58,MATCH($C205,'Undirviðmiðalisti (Lýsigögn)'!$C$42:$C$58,0))),""))))</f>
        <v/>
      </c>
      <c r="P205" s="16" t="str">
        <f aca="false">IF($C205="","",IF($G205="Einstaklingsbundið",IFERROR(IF(INDEX('Undirviðmiðalisti (Lýsigögn)'!L$42:L$58,MATCH($C205,'Undirviðmiðalisti (Lýsigögn)'!$C$42:$C$58,0))="","",INDEX('Undirviðmiðalisti (Lýsigögn)'!L$42:L$58,MATCH($C205,'Undirviðmiðalisti (Lýsigögn)'!$C$42:$C$58,0))),""),IFERROR(IF(INDEX('Undirviðmiðalisti (Lýsigögn)'!L$6:L$41,MATCH($C205,'Undirviðmiðalisti (Lýsigögn)'!$C$6:$C$41,0))="","",INDEX('Undirviðmiðalisti (Lýsigögn)'!L$6:L$41,MATCH($C205,'Undirviðmiðalisti (Lýsigögn)'!$C$6:$C$41,0))),IFERROR(IF(INDEX('Undirviðmiðalisti (Lýsigögn)'!L$42:L$58,MATCH($C205,'Undirviðmiðalisti (Lýsigögn)'!$C$42:$C$58,0))="","",INDEX('Undirviðmiðalisti (Lýsigögn)'!L$42:L$58,MATCH($C205,'Undirviðmiðalisti (Lýsigögn)'!$C$42:$C$58,0))),""))))</f>
        <v/>
      </c>
      <c r="Q205" s="16" t="str">
        <f aca="false">IF($C205="","",IF($G205="Einstaklingsbundið",IFERROR(IF(INDEX('Undirviðmiðalisti (Lýsigögn)'!M$42:M$58,MATCH($C205,'Undirviðmiðalisti (Lýsigögn)'!$C$42:$C$58,0))="","",INDEX('Undirviðmiðalisti (Lýsigögn)'!M$42:M$58,MATCH($C205,'Undirviðmiðalisti (Lýsigögn)'!$C$42:$C$58,0))),""),IFERROR(IF(INDEX('Undirviðmiðalisti (Lýsigögn)'!M$6:M$41,MATCH($C205,'Undirviðmiðalisti (Lýsigögn)'!$C$6:$C$41,0))="","",INDEX('Undirviðmiðalisti (Lýsigögn)'!M$6:M$41,MATCH($C205,'Undirviðmiðalisti (Lýsigögn)'!$C$6:$C$41,0))),IFERROR(IF(INDEX('Undirviðmiðalisti (Lýsigögn)'!M$42:M$58,MATCH($C205,'Undirviðmiðalisti (Lýsigögn)'!$C$42:$C$58,0))="","",INDEX('Undirviðmiðalisti (Lýsigögn)'!M$42:M$58,MATCH($C205,'Undirviðmiðalisti (Lýsigögn)'!$C$42:$C$58,0))),""))))</f>
        <v/>
      </c>
    </row>
  </sheetData>
  <mergeCells count="2">
    <mergeCell ref="B2:F2"/>
    <mergeCell ref="B3:Q3"/>
  </mergeCells>
  <conditionalFormatting sqref="J6:J205">
    <cfRule type="expression" priority="2" aboveAverage="0" equalAverage="0" bottom="0" percent="0" rank="0" text="" dxfId="2">
      <formula>AND($F6&lt;&gt;"",$F6&lt;1)</formula>
    </cfRule>
  </conditionalFormatting>
  <conditionalFormatting sqref="K6:K205">
    <cfRule type="expression" priority="3" aboveAverage="0" equalAverage="0" bottom="0" percent="0" rank="0" text="" dxfId="2">
      <formula>AND($F6&lt;&gt;"",$F6&lt;2)</formula>
    </cfRule>
  </conditionalFormatting>
  <conditionalFormatting sqref="L6:L205">
    <cfRule type="expression" priority="4" aboveAverage="0" equalAverage="0" bottom="0" percent="0" rank="0" text="" dxfId="2">
      <formula>AND($F6&lt;&gt;"",$F6&lt;3)</formula>
    </cfRule>
  </conditionalFormatting>
  <conditionalFormatting sqref="M6:M205">
    <cfRule type="expression" priority="5" aboveAverage="0" equalAverage="0" bottom="0" percent="0" rank="0" text="" dxfId="2">
      <formula>AND($F6&lt;&gt;"",$F6&lt;4)</formula>
    </cfRule>
  </conditionalFormatting>
  <conditionalFormatting sqref="N6:N205">
    <cfRule type="expression" priority="6" aboveAverage="0" equalAverage="0" bottom="0" percent="0" rank="0" text="" dxfId="2">
      <formula>AND($F6&lt;&gt;"",$F6&lt;5)</formula>
    </cfRule>
  </conditionalFormatting>
  <conditionalFormatting sqref="O6:O205">
    <cfRule type="expression" priority="7" aboveAverage="0" equalAverage="0" bottom="0" percent="0" rank="0" text="" dxfId="2">
      <formula>AND($F6&lt;&gt;"",$F6&lt;6)</formula>
    </cfRule>
  </conditionalFormatting>
  <conditionalFormatting sqref="P6:P205">
    <cfRule type="expression" priority="8" aboveAverage="0" equalAverage="0" bottom="0" percent="0" rank="0" text="" dxfId="2">
      <formula>AND($F6&lt;&gt;"",$F6&lt;7)</formula>
    </cfRule>
  </conditionalFormatting>
  <conditionalFormatting sqref="Q6:Q205">
    <cfRule type="expression" priority="9" aboveAverage="0" equalAverage="0" bottom="0" percent="0" rank="0" text="" dxfId="2">
      <formula>AND($F6&lt;&gt;"",$F6&lt;8)</formula>
    </cfRule>
  </conditionalFormatting>
  <conditionalFormatting sqref="R6:R205">
    <cfRule type="expression" priority="10" aboveAverage="0" equalAverage="0" bottom="0" percent="0" rank="0" text="" dxfId="2">
      <formula>AND($F6&lt;&gt;"",$F6&lt;9)</formula>
    </cfRule>
  </conditionalFormatting>
  <conditionalFormatting sqref="S6:S205">
    <cfRule type="expression" priority="11" aboveAverage="0" equalAverage="0" bottom="0" percent="0" rank="0" text="" dxfId="2">
      <formula>AND($F6&lt;&gt;"",$F6&lt;10)</formula>
    </cfRule>
  </conditionalFormatting>
  <conditionalFormatting sqref="I6:I205">
    <cfRule type="expression" priority="12" aboveAverage="0" equalAverage="0" bottom="0" percent="0" rank="0" text="" dxfId="1">
      <formula>I6="✗"</formula>
    </cfRule>
    <cfRule type="expression" priority="13" aboveAverage="0" equalAverage="0" bottom="0" percent="0" rank="0" text="" dxfId="0">
      <formula>I6="✓"</formula>
    </cfRule>
  </conditionalFormatting>
  <dataValidations count="4">
    <dataValidation allowBlank="true" error="Veldu viðmið úr listanum á Viðmið flipanum." errorStyle="stop" errorTitle="Ógilt foreldra-viðmið" operator="between" showDropDown="false" showErrorMessage="true" showInputMessage="false" sqref="B6:B205" type="list">
      <formula1>Viðmið!$C$6:$C$10</formula1>
      <formula2>0</formula2>
    </dataValidation>
    <dataValidation allowBlank="true" error="Fjöldi þrepa verður að vera heil tala milli 2 og 8." errorStyle="stop" errorTitle="Ógildur fjöldi þrepa" operator="between" showDropDown="false" showErrorMessage="true" showInputMessage="false" sqref="F6:F205" type="whole">
      <formula1>2</formula1>
      <formula2>8</formula2>
    </dataValidation>
    <dataValidation allowBlank="true" error="Vægi verður að vera á bilinu 0–100%." errorStyle="stop" errorTitle="Ógilt vægi" operator="between" showDropDown="false" showErrorMessage="true" showInputMessage="false" sqref="E6:E205" type="decimal">
      <formula1>0</formula1>
      <formula2>100</formula2>
    </dataValidation>
    <dataValidation allowBlank="true" errorStyle="stop" operator="between" showDropDown="false" showErrorMessage="false" showInputMessage="false" sqref="C6:C205" type="list">
      <formula1>'Undirviðmiðalisti (Lýsigögn)'!$C$6:$C$58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88157"/>
    <pageSetUpPr fitToPage="false"/>
  </sheetPr>
  <dimension ref="A2:S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7" min="6" style="1" width="18"/>
    <col collapsed="false" customWidth="true" hidden="false" outlineLevel="0" max="8" min="8" style="1" width="15"/>
    <col collapsed="false" customWidth="true" hidden="false" outlineLevel="0" max="9" min="9" style="1" width="16"/>
    <col collapsed="false" customWidth="true" hidden="false" outlineLevel="0" max="10" min="10" style="1" width="18"/>
    <col collapsed="false" customWidth="true" hidden="false" outlineLevel="0" max="13" min="11" style="1" width="22"/>
    <col collapsed="false" customWidth="true" hidden="false" outlineLevel="0" max="14" min="14" style="1" width="16"/>
    <col collapsed="false" customWidth="true" hidden="false" outlineLevel="0" max="15" min="15" style="1" width="22"/>
    <col collapsed="false" customWidth="true" hidden="false" outlineLevel="0" max="17" min="16" style="1" width="16"/>
    <col collapsed="false" customWidth="true" hidden="false" outlineLevel="0" max="19" min="18" style="1" width="20"/>
  </cols>
  <sheetData>
    <row r="2" customFormat="false" ht="19.5" hidden="false" customHeight="true" outlineLevel="0" collapsed="false">
      <c r="B2" s="10" t="s">
        <v>7</v>
      </c>
      <c r="C2" s="10"/>
      <c r="D2" s="10"/>
    </row>
    <row r="3" customFormat="false" ht="15" hidden="false" customHeight="true" outlineLevel="0" collapsed="false">
      <c r="B3" s="11" t="s">
        <v>111</v>
      </c>
      <c r="C3" s="11"/>
      <c r="D3" s="11"/>
      <c r="E3" s="11"/>
      <c r="F3" s="11"/>
      <c r="G3" s="11"/>
      <c r="H3" s="11"/>
      <c r="I3" s="11"/>
      <c r="J3" s="11"/>
      <c r="K3" s="11"/>
      <c r="L3" s="11"/>
      <c r="M3" s="11"/>
      <c r="N3" s="11"/>
      <c r="O3" s="11"/>
      <c r="P3" s="11"/>
      <c r="Q3" s="11"/>
      <c r="R3" s="11"/>
      <c r="S3" s="11"/>
    </row>
    <row r="5" customFormat="false" ht="39.75" hidden="false" customHeight="true" outlineLevel="0" collapsed="false">
      <c r="A5" s="12" t="s">
        <v>96</v>
      </c>
      <c r="B5" s="12" t="s">
        <v>51</v>
      </c>
      <c r="C5" s="12" t="s">
        <v>112</v>
      </c>
      <c r="D5" s="12" t="s">
        <v>113</v>
      </c>
      <c r="E5" s="12" t="s">
        <v>114</v>
      </c>
      <c r="F5" s="12" t="s">
        <v>116</v>
      </c>
      <c r="G5" s="12" t="s">
        <v>117</v>
      </c>
      <c r="H5" s="12" t="s">
        <v>46</v>
      </c>
      <c r="I5" s="12" t="s">
        <v>118</v>
      </c>
      <c r="J5" s="12" t="s">
        <v>119</v>
      </c>
      <c r="K5" s="12" t="s">
        <v>120</v>
      </c>
      <c r="L5" s="12" t="s">
        <v>121</v>
      </c>
      <c r="M5" s="12" t="s">
        <v>122</v>
      </c>
      <c r="N5" s="12" t="s">
        <v>123</v>
      </c>
      <c r="O5" s="12" t="s">
        <v>124</v>
      </c>
      <c r="P5" s="12" t="s">
        <v>125</v>
      </c>
      <c r="Q5" s="12" t="s">
        <v>126</v>
      </c>
      <c r="R5" s="12" t="s">
        <v>127</v>
      </c>
      <c r="S5" s="12" t="s">
        <v>128</v>
      </c>
    </row>
    <row r="6" customFormat="false" ht="15" hidden="false" customHeight="true" outlineLevel="0" collapsed="false">
      <c r="A6" s="22" t="n">
        <f aca="false">ROW()-5</f>
        <v>1</v>
      </c>
      <c r="B6" s="15"/>
      <c r="C6" s="15"/>
      <c r="D6" s="15"/>
      <c r="E6" s="27"/>
      <c r="F6" s="15"/>
      <c r="G6" s="15"/>
      <c r="H6" s="28"/>
      <c r="I6" s="29"/>
      <c r="J6" s="29"/>
      <c r="K6" s="29"/>
      <c r="L6" s="29"/>
      <c r="M6" s="29"/>
      <c r="N6" s="29"/>
      <c r="O6" s="29"/>
      <c r="P6" s="30" t="str">
        <f aca="false">IF(COUNT(J6:K6)=0,"",SUM(J6:K6))</f>
        <v/>
      </c>
      <c r="Q6" s="30" t="str">
        <f aca="false">IF(COUNT(L6:O6)=0,"",SUM(L6:O6))</f>
        <v/>
      </c>
      <c r="R6" s="30" t="str">
        <f aca="false">IF(OR($E6="",$E6=0,$I6=""),"",ROUND($I6/$E6,0))</f>
        <v/>
      </c>
      <c r="S6" s="30" t="str">
        <f aca="false">IF(OR($E6="",$E6=0,$I6=""),"",ROUND(($I6+IF($P6="",0,$P6)+IF($Q6="",0,$Q6))/$E6,0))</f>
        <v/>
      </c>
    </row>
    <row r="7" customFormat="false" ht="15" hidden="false" customHeight="true" outlineLevel="0" collapsed="false">
      <c r="A7" s="22" t="n">
        <f aca="false">ROW()-5</f>
        <v>2</v>
      </c>
      <c r="B7" s="15"/>
      <c r="C7" s="15"/>
      <c r="D7" s="15"/>
      <c r="E7" s="27"/>
      <c r="F7" s="15"/>
      <c r="G7" s="15"/>
      <c r="H7" s="28"/>
      <c r="I7" s="29"/>
      <c r="J7" s="29"/>
      <c r="K7" s="29"/>
      <c r="L7" s="29"/>
      <c r="M7" s="29"/>
      <c r="N7" s="29"/>
      <c r="O7" s="29"/>
      <c r="P7" s="30" t="str">
        <f aca="false">IF(COUNT(J7:K7)=0,"",SUM(J7:K7))</f>
        <v/>
      </c>
      <c r="Q7" s="30" t="str">
        <f aca="false">IF(COUNT(L7:O7)=0,"",SUM(L7:O7))</f>
        <v/>
      </c>
      <c r="R7" s="30" t="str">
        <f aca="false">IF(OR($E7="",$E7=0,$I7=""),"",ROUND($I7/$E7,0))</f>
        <v/>
      </c>
      <c r="S7" s="30" t="str">
        <f aca="false">IF(OR($E7="",$E7=0,$I7=""),"",ROUND(($I7+IF($P7="",0,$P7)+IF($Q7="",0,$Q7))/$E7,0))</f>
        <v/>
      </c>
    </row>
    <row r="8" customFormat="false" ht="15" hidden="false" customHeight="true" outlineLevel="0" collapsed="false">
      <c r="A8" s="22" t="n">
        <f aca="false">ROW()-5</f>
        <v>3</v>
      </c>
      <c r="B8" s="15"/>
      <c r="C8" s="15"/>
      <c r="D8" s="15"/>
      <c r="E8" s="27"/>
      <c r="F8" s="15"/>
      <c r="G8" s="15"/>
      <c r="H8" s="28"/>
      <c r="I8" s="29"/>
      <c r="J8" s="29"/>
      <c r="K8" s="29"/>
      <c r="L8" s="29"/>
      <c r="M8" s="29"/>
      <c r="N8" s="29"/>
      <c r="O8" s="29"/>
      <c r="P8" s="30" t="str">
        <f aca="false">IF(COUNT(J8:K8)=0,"",SUM(J8:K8))</f>
        <v/>
      </c>
      <c r="Q8" s="30" t="str">
        <f aca="false">IF(COUNT(L8:O8)=0,"",SUM(L8:O8))</f>
        <v/>
      </c>
      <c r="R8" s="30" t="str">
        <f aca="false">IF(OR($E8="",$E8=0,$I8=""),"",ROUND($I8/$E8,0))</f>
        <v/>
      </c>
      <c r="S8" s="30" t="str">
        <f aca="false">IF(OR($E8="",$E8=0,$I8=""),"",ROUND(($I8+IF($P8="",0,$P8)+IF($Q8="",0,$Q8))/$E8,0))</f>
        <v/>
      </c>
    </row>
    <row r="9" customFormat="false" ht="15" hidden="false" customHeight="true" outlineLevel="0" collapsed="false">
      <c r="A9" s="22" t="n">
        <f aca="false">ROW()-5</f>
        <v>4</v>
      </c>
      <c r="B9" s="15"/>
      <c r="C9" s="15"/>
      <c r="D9" s="15"/>
      <c r="E9" s="27"/>
      <c r="F9" s="15"/>
      <c r="G9" s="15"/>
      <c r="H9" s="28"/>
      <c r="I9" s="29"/>
      <c r="J9" s="29"/>
      <c r="K9" s="29"/>
      <c r="L9" s="29"/>
      <c r="M9" s="29"/>
      <c r="N9" s="29"/>
      <c r="O9" s="29"/>
      <c r="P9" s="30" t="str">
        <f aca="false">IF(COUNT(J9:K9)=0,"",SUM(J9:K9))</f>
        <v/>
      </c>
      <c r="Q9" s="30" t="str">
        <f aca="false">IF(COUNT(L9:O9)=0,"",SUM(L9:O9))</f>
        <v/>
      </c>
      <c r="R9" s="30" t="str">
        <f aca="false">IF(OR($E9="",$E9=0,$I9=""),"",ROUND($I9/$E9,0))</f>
        <v/>
      </c>
      <c r="S9" s="30" t="str">
        <f aca="false">IF(OR($E9="",$E9=0,$I9=""),"",ROUND(($I9+IF($P9="",0,$P9)+IF($Q9="",0,$Q9))/$E9,0))</f>
        <v/>
      </c>
    </row>
    <row r="10" customFormat="false" ht="15" hidden="false" customHeight="true" outlineLevel="0" collapsed="false">
      <c r="A10" s="22" t="n">
        <f aca="false">ROW()-5</f>
        <v>5</v>
      </c>
      <c r="B10" s="15"/>
      <c r="C10" s="15"/>
      <c r="D10" s="15"/>
      <c r="E10" s="27"/>
      <c r="F10" s="15"/>
      <c r="G10" s="15"/>
      <c r="H10" s="28"/>
      <c r="I10" s="29"/>
      <c r="J10" s="29"/>
      <c r="K10" s="29"/>
      <c r="L10" s="29"/>
      <c r="M10" s="29"/>
      <c r="N10" s="29"/>
      <c r="O10" s="29"/>
      <c r="P10" s="30" t="str">
        <f aca="false">IF(COUNT(J10:K10)=0,"",SUM(J10:K10))</f>
        <v/>
      </c>
      <c r="Q10" s="30" t="str">
        <f aca="false">IF(COUNT(L10:O10)=0,"",SUM(L10:O10))</f>
        <v/>
      </c>
      <c r="R10" s="30" t="str">
        <f aca="false">IF(OR($E10="",$E10=0,$I10=""),"",ROUND($I10/$E10,0))</f>
        <v/>
      </c>
      <c r="S10" s="30" t="str">
        <f aca="false">IF(OR($E10="",$E10=0,$I10=""),"",ROUND(($I10+IF($P10="",0,$P10)+IF($Q10="",0,$Q10))/$E10,0))</f>
        <v/>
      </c>
    </row>
    <row r="11" customFormat="false" ht="15" hidden="false" customHeight="true" outlineLevel="0" collapsed="false">
      <c r="A11" s="22" t="n">
        <f aca="false">ROW()-5</f>
        <v>6</v>
      </c>
      <c r="B11" s="15"/>
      <c r="C11" s="15"/>
      <c r="D11" s="15"/>
      <c r="E11" s="27"/>
      <c r="F11" s="15"/>
      <c r="G11" s="15"/>
      <c r="H11" s="28"/>
      <c r="I11" s="29"/>
      <c r="J11" s="29"/>
      <c r="K11" s="29"/>
      <c r="L11" s="29"/>
      <c r="M11" s="29"/>
      <c r="N11" s="29"/>
      <c r="O11" s="29"/>
      <c r="P11" s="30" t="str">
        <f aca="false">IF(COUNT(J11:K11)=0,"",SUM(J11:K11))</f>
        <v/>
      </c>
      <c r="Q11" s="30" t="str">
        <f aca="false">IF(COUNT(L11:O11)=0,"",SUM(L11:O11))</f>
        <v/>
      </c>
      <c r="R11" s="30" t="str">
        <f aca="false">IF(OR($E11="",$E11=0,$I11=""),"",ROUND($I11/$E11,0))</f>
        <v/>
      </c>
      <c r="S11" s="30" t="str">
        <f aca="false">IF(OR($E11="",$E11=0,$I11=""),"",ROUND(($I11+IF($P11="",0,$P11)+IF($Q11="",0,$Q11))/$E11,0))</f>
        <v/>
      </c>
    </row>
    <row r="12" customFormat="false" ht="15" hidden="false" customHeight="true" outlineLevel="0" collapsed="false">
      <c r="A12" s="22" t="n">
        <f aca="false">ROW()-5</f>
        <v>7</v>
      </c>
      <c r="B12" s="15"/>
      <c r="C12" s="15"/>
      <c r="D12" s="15"/>
      <c r="E12" s="27"/>
      <c r="F12" s="15"/>
      <c r="G12" s="15"/>
      <c r="H12" s="28"/>
      <c r="I12" s="29"/>
      <c r="J12" s="29"/>
      <c r="K12" s="29"/>
      <c r="L12" s="29"/>
      <c r="M12" s="29"/>
      <c r="N12" s="29"/>
      <c r="O12" s="29"/>
      <c r="P12" s="30" t="str">
        <f aca="false">IF(COUNT(J12:K12)=0,"",SUM(J12:K12))</f>
        <v/>
      </c>
      <c r="Q12" s="30" t="str">
        <f aca="false">IF(COUNT(L12:O12)=0,"",SUM(L12:O12))</f>
        <v/>
      </c>
      <c r="R12" s="30" t="str">
        <f aca="false">IF(OR($E12="",$E12=0,$I12=""),"",ROUND($I12/$E12,0))</f>
        <v/>
      </c>
      <c r="S12" s="30" t="str">
        <f aca="false">IF(OR($E12="",$E12=0,$I12=""),"",ROUND(($I12+IF($P12="",0,$P12)+IF($Q12="",0,$Q12))/$E12,0))</f>
        <v/>
      </c>
    </row>
    <row r="13" customFormat="false" ht="15" hidden="false" customHeight="true" outlineLevel="0" collapsed="false">
      <c r="A13" s="22" t="n">
        <f aca="false">ROW()-5</f>
        <v>8</v>
      </c>
      <c r="B13" s="15"/>
      <c r="C13" s="15"/>
      <c r="D13" s="15"/>
      <c r="E13" s="27"/>
      <c r="F13" s="15"/>
      <c r="G13" s="15"/>
      <c r="H13" s="28"/>
      <c r="I13" s="29"/>
      <c r="J13" s="29"/>
      <c r="K13" s="29"/>
      <c r="L13" s="29"/>
      <c r="M13" s="29"/>
      <c r="N13" s="29"/>
      <c r="O13" s="29"/>
      <c r="P13" s="30" t="str">
        <f aca="false">IF(COUNT(J13:K13)=0,"",SUM(J13:K13))</f>
        <v/>
      </c>
      <c r="Q13" s="30" t="str">
        <f aca="false">IF(COUNT(L13:O13)=0,"",SUM(L13:O13))</f>
        <v/>
      </c>
      <c r="R13" s="30" t="str">
        <f aca="false">IF(OR($E13="",$E13=0,$I13=""),"",ROUND($I13/$E13,0))</f>
        <v/>
      </c>
      <c r="S13" s="30" t="str">
        <f aca="false">IF(OR($E13="",$E13=0,$I13=""),"",ROUND(($I13+IF($P13="",0,$P13)+IF($Q13="",0,$Q13))/$E13,0))</f>
        <v/>
      </c>
    </row>
    <row r="14" customFormat="false" ht="15" hidden="false" customHeight="true" outlineLevel="0" collapsed="false">
      <c r="A14" s="22" t="n">
        <f aca="false">ROW()-5</f>
        <v>9</v>
      </c>
      <c r="B14" s="15"/>
      <c r="C14" s="15"/>
      <c r="D14" s="15"/>
      <c r="E14" s="27"/>
      <c r="F14" s="15"/>
      <c r="G14" s="15"/>
      <c r="H14" s="28"/>
      <c r="I14" s="29"/>
      <c r="J14" s="29"/>
      <c r="K14" s="29"/>
      <c r="L14" s="29"/>
      <c r="M14" s="29"/>
      <c r="N14" s="29"/>
      <c r="O14" s="29"/>
      <c r="P14" s="30" t="str">
        <f aca="false">IF(COUNT(J14:K14)=0,"",SUM(J14:K14))</f>
        <v/>
      </c>
      <c r="Q14" s="30" t="str">
        <f aca="false">IF(COUNT(L14:O14)=0,"",SUM(L14:O14))</f>
        <v/>
      </c>
      <c r="R14" s="30" t="str">
        <f aca="false">IF(OR($E14="",$E14=0,$I14=""),"",ROUND($I14/$E14,0))</f>
        <v/>
      </c>
      <c r="S14" s="30" t="str">
        <f aca="false">IF(OR($E14="",$E14=0,$I14=""),"",ROUND(($I14+IF($P14="",0,$P14)+IF($Q14="",0,$Q14))/$E14,0))</f>
        <v/>
      </c>
    </row>
    <row r="15" customFormat="false" ht="15" hidden="false" customHeight="true" outlineLevel="0" collapsed="false">
      <c r="A15" s="22" t="n">
        <f aca="false">ROW()-5</f>
        <v>10</v>
      </c>
      <c r="B15" s="15"/>
      <c r="C15" s="15"/>
      <c r="D15" s="15"/>
      <c r="E15" s="27"/>
      <c r="F15" s="15"/>
      <c r="G15" s="15"/>
      <c r="H15" s="28"/>
      <c r="I15" s="29"/>
      <c r="J15" s="29"/>
      <c r="K15" s="29"/>
      <c r="L15" s="29"/>
      <c r="M15" s="29"/>
      <c r="N15" s="29"/>
      <c r="O15" s="29"/>
      <c r="P15" s="30" t="str">
        <f aca="false">IF(COUNT(J15:K15)=0,"",SUM(J15:K15))</f>
        <v/>
      </c>
      <c r="Q15" s="30" t="str">
        <f aca="false">IF(COUNT(L15:O15)=0,"",SUM(L15:O15))</f>
        <v/>
      </c>
      <c r="R15" s="30" t="str">
        <f aca="false">IF(OR($E15="",$E15=0,$I15=""),"",ROUND($I15/$E15,0))</f>
        <v/>
      </c>
      <c r="S15" s="30" t="str">
        <f aca="false">IF(OR($E15="",$E15=0,$I15=""),"",ROUND(($I15+IF($P15="",0,$P15)+IF($Q15="",0,$Q15))/$E15,0))</f>
        <v/>
      </c>
    </row>
    <row r="16" customFormat="false" ht="15" hidden="false" customHeight="true" outlineLevel="0" collapsed="false">
      <c r="A16" s="22" t="n">
        <f aca="false">ROW()-5</f>
        <v>11</v>
      </c>
      <c r="B16" s="15"/>
      <c r="C16" s="15"/>
      <c r="D16" s="15"/>
      <c r="E16" s="27"/>
      <c r="F16" s="15"/>
      <c r="G16" s="15"/>
      <c r="H16" s="28"/>
      <c r="I16" s="29"/>
      <c r="J16" s="29"/>
      <c r="K16" s="29"/>
      <c r="L16" s="29"/>
      <c r="M16" s="29"/>
      <c r="N16" s="29"/>
      <c r="O16" s="29"/>
      <c r="P16" s="30" t="str">
        <f aca="false">IF(COUNT(J16:K16)=0,"",SUM(J16:K16))</f>
        <v/>
      </c>
      <c r="Q16" s="30" t="str">
        <f aca="false">IF(COUNT(L16:O16)=0,"",SUM(L16:O16))</f>
        <v/>
      </c>
      <c r="R16" s="30" t="str">
        <f aca="false">IF(OR($E16="",$E16=0,$I16=""),"",ROUND($I16/$E16,0))</f>
        <v/>
      </c>
      <c r="S16" s="30" t="str">
        <f aca="false">IF(OR($E16="",$E16=0,$I16=""),"",ROUND(($I16+IF($P16="",0,$P16)+IF($Q16="",0,$Q16))/$E16,0))</f>
        <v/>
      </c>
    </row>
    <row r="17" customFormat="false" ht="15" hidden="false" customHeight="true" outlineLevel="0" collapsed="false">
      <c r="A17" s="22" t="n">
        <f aca="false">ROW()-5</f>
        <v>12</v>
      </c>
      <c r="B17" s="15"/>
      <c r="C17" s="15"/>
      <c r="D17" s="15"/>
      <c r="E17" s="27"/>
      <c r="F17" s="15"/>
      <c r="G17" s="15"/>
      <c r="H17" s="28"/>
      <c r="I17" s="29"/>
      <c r="J17" s="29"/>
      <c r="K17" s="29"/>
      <c r="L17" s="29"/>
      <c r="M17" s="29"/>
      <c r="N17" s="29"/>
      <c r="O17" s="29"/>
      <c r="P17" s="30" t="str">
        <f aca="false">IF(COUNT(J17:K17)=0,"",SUM(J17:K17))</f>
        <v/>
      </c>
      <c r="Q17" s="30" t="str">
        <f aca="false">IF(COUNT(L17:O17)=0,"",SUM(L17:O17))</f>
        <v/>
      </c>
      <c r="R17" s="30" t="str">
        <f aca="false">IF(OR($E17="",$E17=0,$I17=""),"",ROUND($I17/$E17,0))</f>
        <v/>
      </c>
      <c r="S17" s="30" t="str">
        <f aca="false">IF(OR($E17="",$E17=0,$I17=""),"",ROUND(($I17+IF($P17="",0,$P17)+IF($Q17="",0,$Q17))/$E17,0))</f>
        <v/>
      </c>
    </row>
    <row r="18" customFormat="false" ht="15" hidden="false" customHeight="true" outlineLevel="0" collapsed="false">
      <c r="A18" s="22" t="n">
        <f aca="false">ROW()-5</f>
        <v>13</v>
      </c>
      <c r="B18" s="15"/>
      <c r="C18" s="15"/>
      <c r="D18" s="15"/>
      <c r="E18" s="27"/>
      <c r="F18" s="15"/>
      <c r="G18" s="15"/>
      <c r="H18" s="28"/>
      <c r="I18" s="29"/>
      <c r="J18" s="29"/>
      <c r="K18" s="29"/>
      <c r="L18" s="29"/>
      <c r="M18" s="29"/>
      <c r="N18" s="29"/>
      <c r="O18" s="29"/>
      <c r="P18" s="30" t="str">
        <f aca="false">IF(COUNT(J18:K18)=0,"",SUM(J18:K18))</f>
        <v/>
      </c>
      <c r="Q18" s="30" t="str">
        <f aca="false">IF(COUNT(L18:O18)=0,"",SUM(L18:O18))</f>
        <v/>
      </c>
      <c r="R18" s="30" t="str">
        <f aca="false">IF(OR($E18="",$E18=0,$I18=""),"",ROUND($I18/$E18,0))</f>
        <v/>
      </c>
      <c r="S18" s="30" t="str">
        <f aca="false">IF(OR($E18="",$E18=0,$I18=""),"",ROUND(($I18+IF($P18="",0,$P18)+IF($Q18="",0,$Q18))/$E18,0))</f>
        <v/>
      </c>
    </row>
    <row r="19" customFormat="false" ht="15" hidden="false" customHeight="true" outlineLevel="0" collapsed="false">
      <c r="A19" s="22" t="n">
        <f aca="false">ROW()-5</f>
        <v>14</v>
      </c>
      <c r="B19" s="15"/>
      <c r="C19" s="15"/>
      <c r="D19" s="15"/>
      <c r="E19" s="27"/>
      <c r="F19" s="15"/>
      <c r="G19" s="15"/>
      <c r="H19" s="28"/>
      <c r="I19" s="29"/>
      <c r="J19" s="29"/>
      <c r="K19" s="29"/>
      <c r="L19" s="29"/>
      <c r="M19" s="29"/>
      <c r="N19" s="29"/>
      <c r="O19" s="29"/>
      <c r="P19" s="30" t="str">
        <f aca="false">IF(COUNT(J19:K19)=0,"",SUM(J19:K19))</f>
        <v/>
      </c>
      <c r="Q19" s="30" t="str">
        <f aca="false">IF(COUNT(L19:O19)=0,"",SUM(L19:O19))</f>
        <v/>
      </c>
      <c r="R19" s="30" t="str">
        <f aca="false">IF(OR($E19="",$E19=0,$I19=""),"",ROUND($I19/$E19,0))</f>
        <v/>
      </c>
      <c r="S19" s="30" t="str">
        <f aca="false">IF(OR($E19="",$E19=0,$I19=""),"",ROUND(($I19+IF($P19="",0,$P19)+IF($Q19="",0,$Q19))/$E19,0))</f>
        <v/>
      </c>
    </row>
    <row r="20" customFormat="false" ht="15" hidden="false" customHeight="true" outlineLevel="0" collapsed="false">
      <c r="A20" s="22" t="n">
        <f aca="false">ROW()-5</f>
        <v>15</v>
      </c>
      <c r="B20" s="15"/>
      <c r="C20" s="15"/>
      <c r="D20" s="15"/>
      <c r="E20" s="27"/>
      <c r="F20" s="15"/>
      <c r="G20" s="15"/>
      <c r="H20" s="28"/>
      <c r="I20" s="29"/>
      <c r="J20" s="29"/>
      <c r="K20" s="29"/>
      <c r="L20" s="29"/>
      <c r="M20" s="29"/>
      <c r="N20" s="29"/>
      <c r="O20" s="29"/>
      <c r="P20" s="30" t="str">
        <f aca="false">IF(COUNT(J20:K20)=0,"",SUM(J20:K20))</f>
        <v/>
      </c>
      <c r="Q20" s="30" t="str">
        <f aca="false">IF(COUNT(L20:O20)=0,"",SUM(L20:O20))</f>
        <v/>
      </c>
      <c r="R20" s="30" t="str">
        <f aca="false">IF(OR($E20="",$E20=0,$I20=""),"",ROUND($I20/$E20,0))</f>
        <v/>
      </c>
      <c r="S20" s="30" t="str">
        <f aca="false">IF(OR($E20="",$E20=0,$I20=""),"",ROUND(($I20+IF($P20="",0,$P20)+IF($Q20="",0,$Q20))/$E20,0))</f>
        <v/>
      </c>
    </row>
    <row r="21" customFormat="false" ht="15" hidden="false" customHeight="true" outlineLevel="0" collapsed="false">
      <c r="A21" s="22" t="n">
        <f aca="false">ROW()-5</f>
        <v>16</v>
      </c>
      <c r="B21" s="15"/>
      <c r="C21" s="15"/>
      <c r="D21" s="15"/>
      <c r="E21" s="27"/>
      <c r="F21" s="15"/>
      <c r="G21" s="15"/>
      <c r="H21" s="28"/>
      <c r="I21" s="29"/>
      <c r="J21" s="29"/>
      <c r="K21" s="29"/>
      <c r="L21" s="29"/>
      <c r="M21" s="29"/>
      <c r="N21" s="29"/>
      <c r="O21" s="29"/>
      <c r="P21" s="30" t="str">
        <f aca="false">IF(COUNT(J21:K21)=0,"",SUM(J21:K21))</f>
        <v/>
      </c>
      <c r="Q21" s="30" t="str">
        <f aca="false">IF(COUNT(L21:O21)=0,"",SUM(L21:O21))</f>
        <v/>
      </c>
      <c r="R21" s="30" t="str">
        <f aca="false">IF(OR($E21="",$E21=0,$I21=""),"",ROUND($I21/$E21,0))</f>
        <v/>
      </c>
      <c r="S21" s="30" t="str">
        <f aca="false">IF(OR($E21="",$E21=0,$I21=""),"",ROUND(($I21+IF($P21="",0,$P21)+IF($Q21="",0,$Q21))/$E21,0))</f>
        <v/>
      </c>
    </row>
    <row r="22" customFormat="false" ht="15" hidden="false" customHeight="true" outlineLevel="0" collapsed="false">
      <c r="A22" s="22" t="n">
        <f aca="false">ROW()-5</f>
        <v>17</v>
      </c>
      <c r="B22" s="15"/>
      <c r="C22" s="15"/>
      <c r="D22" s="15"/>
      <c r="E22" s="27"/>
      <c r="F22" s="15"/>
      <c r="G22" s="15"/>
      <c r="H22" s="28"/>
      <c r="I22" s="29"/>
      <c r="J22" s="29"/>
      <c r="K22" s="29"/>
      <c r="L22" s="29"/>
      <c r="M22" s="29"/>
      <c r="N22" s="29"/>
      <c r="O22" s="29"/>
      <c r="P22" s="30" t="str">
        <f aca="false">IF(COUNT(J22:K22)=0,"",SUM(J22:K22))</f>
        <v/>
      </c>
      <c r="Q22" s="30" t="str">
        <f aca="false">IF(COUNT(L22:O22)=0,"",SUM(L22:O22))</f>
        <v/>
      </c>
      <c r="R22" s="30" t="str">
        <f aca="false">IF(OR($E22="",$E22=0,$I22=""),"",ROUND($I22/$E22,0))</f>
        <v/>
      </c>
      <c r="S22" s="30" t="str">
        <f aca="false">IF(OR($E22="",$E22=0,$I22=""),"",ROUND(($I22+IF($P22="",0,$P22)+IF($Q22="",0,$Q22))/$E22,0))</f>
        <v/>
      </c>
    </row>
    <row r="23" customFormat="false" ht="15" hidden="false" customHeight="true" outlineLevel="0" collapsed="false">
      <c r="A23" s="22" t="n">
        <f aca="false">ROW()-5</f>
        <v>18</v>
      </c>
      <c r="B23" s="15"/>
      <c r="C23" s="15"/>
      <c r="D23" s="15"/>
      <c r="E23" s="27"/>
      <c r="F23" s="15"/>
      <c r="G23" s="15"/>
      <c r="H23" s="28"/>
      <c r="I23" s="29"/>
      <c r="J23" s="29"/>
      <c r="K23" s="29"/>
      <c r="L23" s="29"/>
      <c r="M23" s="29"/>
      <c r="N23" s="29"/>
      <c r="O23" s="29"/>
      <c r="P23" s="30" t="str">
        <f aca="false">IF(COUNT(J23:K23)=0,"",SUM(J23:K23))</f>
        <v/>
      </c>
      <c r="Q23" s="30" t="str">
        <f aca="false">IF(COUNT(L23:O23)=0,"",SUM(L23:O23))</f>
        <v/>
      </c>
      <c r="R23" s="30" t="str">
        <f aca="false">IF(OR($E23="",$E23=0,$I23=""),"",ROUND($I23/$E23,0))</f>
        <v/>
      </c>
      <c r="S23" s="30" t="str">
        <f aca="false">IF(OR($E23="",$E23=0,$I23=""),"",ROUND(($I23+IF($P23="",0,$P23)+IF($Q23="",0,$Q23))/$E23,0))</f>
        <v/>
      </c>
    </row>
    <row r="24" customFormat="false" ht="15" hidden="false" customHeight="true" outlineLevel="0" collapsed="false">
      <c r="A24" s="22" t="n">
        <f aca="false">ROW()-5</f>
        <v>19</v>
      </c>
      <c r="B24" s="15"/>
      <c r="C24" s="15"/>
      <c r="D24" s="15"/>
      <c r="E24" s="27"/>
      <c r="F24" s="15"/>
      <c r="G24" s="15"/>
      <c r="H24" s="28"/>
      <c r="I24" s="29"/>
      <c r="J24" s="29"/>
      <c r="K24" s="29"/>
      <c r="L24" s="29"/>
      <c r="M24" s="29"/>
      <c r="N24" s="29"/>
      <c r="O24" s="29"/>
      <c r="P24" s="30" t="str">
        <f aca="false">IF(COUNT(J24:K24)=0,"",SUM(J24:K24))</f>
        <v/>
      </c>
      <c r="Q24" s="30" t="str">
        <f aca="false">IF(COUNT(L24:O24)=0,"",SUM(L24:O24))</f>
        <v/>
      </c>
      <c r="R24" s="30" t="str">
        <f aca="false">IF(OR($E24="",$E24=0,$I24=""),"",ROUND($I24/$E24,0))</f>
        <v/>
      </c>
      <c r="S24" s="30" t="str">
        <f aca="false">IF(OR($E24="",$E24=0,$I24=""),"",ROUND(($I24+IF($P24="",0,$P24)+IF($Q24="",0,$Q24))/$E24,0))</f>
        <v/>
      </c>
    </row>
    <row r="25" customFormat="false" ht="15" hidden="false" customHeight="true" outlineLevel="0" collapsed="false">
      <c r="A25" s="22" t="n">
        <f aca="false">ROW()-5</f>
        <v>20</v>
      </c>
      <c r="B25" s="15"/>
      <c r="C25" s="15"/>
      <c r="D25" s="15"/>
      <c r="E25" s="27"/>
      <c r="F25" s="15"/>
      <c r="G25" s="15"/>
      <c r="H25" s="28"/>
      <c r="I25" s="29"/>
      <c r="J25" s="29"/>
      <c r="K25" s="29"/>
      <c r="L25" s="29"/>
      <c r="M25" s="29"/>
      <c r="N25" s="29"/>
      <c r="O25" s="29"/>
      <c r="P25" s="30" t="str">
        <f aca="false">IF(COUNT(J25:K25)=0,"",SUM(J25:K25))</f>
        <v/>
      </c>
      <c r="Q25" s="30" t="str">
        <f aca="false">IF(COUNT(L25:O25)=0,"",SUM(L25:O25))</f>
        <v/>
      </c>
      <c r="R25" s="30" t="str">
        <f aca="false">IF(OR($E25="",$E25=0,$I25=""),"",ROUND($I25/$E25,0))</f>
        <v/>
      </c>
      <c r="S25" s="30" t="str">
        <f aca="false">IF(OR($E25="",$E25=0,$I25=""),"",ROUND(($I25+IF($P25="",0,$P25)+IF($Q25="",0,$Q25))/$E25,0))</f>
        <v/>
      </c>
    </row>
    <row r="26" customFormat="false" ht="15" hidden="false" customHeight="true" outlineLevel="0" collapsed="false">
      <c r="A26" s="22" t="n">
        <f aca="false">ROW()-5</f>
        <v>21</v>
      </c>
      <c r="B26" s="15"/>
      <c r="C26" s="15"/>
      <c r="D26" s="15"/>
      <c r="E26" s="27"/>
      <c r="F26" s="15"/>
      <c r="G26" s="15"/>
      <c r="H26" s="28"/>
      <c r="I26" s="29"/>
      <c r="J26" s="29"/>
      <c r="K26" s="29"/>
      <c r="L26" s="29"/>
      <c r="M26" s="29"/>
      <c r="N26" s="29"/>
      <c r="O26" s="29"/>
      <c r="P26" s="30" t="str">
        <f aca="false">IF(COUNT(J26:K26)=0,"",SUM(J26:K26))</f>
        <v/>
      </c>
      <c r="Q26" s="30" t="str">
        <f aca="false">IF(COUNT(L26:O26)=0,"",SUM(L26:O26))</f>
        <v/>
      </c>
      <c r="R26" s="30" t="str">
        <f aca="false">IF(OR($E26="",$E26=0,$I26=""),"",ROUND($I26/$E26,0))</f>
        <v/>
      </c>
      <c r="S26" s="30" t="str">
        <f aca="false">IF(OR($E26="",$E26=0,$I26=""),"",ROUND(($I26+IF($P26="",0,$P26)+IF($Q26="",0,$Q26))/$E26,0))</f>
        <v/>
      </c>
    </row>
    <row r="27" customFormat="false" ht="15" hidden="false" customHeight="true" outlineLevel="0" collapsed="false">
      <c r="A27" s="22" t="n">
        <f aca="false">ROW()-5</f>
        <v>22</v>
      </c>
      <c r="B27" s="15"/>
      <c r="C27" s="15"/>
      <c r="D27" s="15"/>
      <c r="E27" s="27"/>
      <c r="F27" s="15"/>
      <c r="G27" s="15"/>
      <c r="H27" s="28"/>
      <c r="I27" s="29"/>
      <c r="J27" s="29"/>
      <c r="K27" s="29"/>
      <c r="L27" s="29"/>
      <c r="M27" s="29"/>
      <c r="N27" s="29"/>
      <c r="O27" s="29"/>
      <c r="P27" s="30" t="str">
        <f aca="false">IF(COUNT(J27:K27)=0,"",SUM(J27:K27))</f>
        <v/>
      </c>
      <c r="Q27" s="30" t="str">
        <f aca="false">IF(COUNT(L27:O27)=0,"",SUM(L27:O27))</f>
        <v/>
      </c>
      <c r="R27" s="30" t="str">
        <f aca="false">IF(OR($E27="",$E27=0,$I27=""),"",ROUND($I27/$E27,0))</f>
        <v/>
      </c>
      <c r="S27" s="30" t="str">
        <f aca="false">IF(OR($E27="",$E27=0,$I27=""),"",ROUND(($I27+IF($P27="",0,$P27)+IF($Q27="",0,$Q27))/$E27,0))</f>
        <v/>
      </c>
    </row>
    <row r="28" customFormat="false" ht="15" hidden="false" customHeight="true" outlineLevel="0" collapsed="false">
      <c r="A28" s="22" t="n">
        <f aca="false">ROW()-5</f>
        <v>23</v>
      </c>
      <c r="B28" s="15"/>
      <c r="C28" s="15"/>
      <c r="D28" s="15"/>
      <c r="E28" s="27"/>
      <c r="F28" s="15"/>
      <c r="G28" s="15"/>
      <c r="H28" s="28"/>
      <c r="I28" s="29"/>
      <c r="J28" s="29"/>
      <c r="K28" s="29"/>
      <c r="L28" s="29"/>
      <c r="M28" s="29"/>
      <c r="N28" s="29"/>
      <c r="O28" s="29"/>
      <c r="P28" s="30" t="str">
        <f aca="false">IF(COUNT(J28:K28)=0,"",SUM(J28:K28))</f>
        <v/>
      </c>
      <c r="Q28" s="30" t="str">
        <f aca="false">IF(COUNT(L28:O28)=0,"",SUM(L28:O28))</f>
        <v/>
      </c>
      <c r="R28" s="30" t="str">
        <f aca="false">IF(OR($E28="",$E28=0,$I28=""),"",ROUND($I28/$E28,0))</f>
        <v/>
      </c>
      <c r="S28" s="30" t="str">
        <f aca="false">IF(OR($E28="",$E28=0,$I28=""),"",ROUND(($I28+IF($P28="",0,$P28)+IF($Q28="",0,$Q28))/$E28,0))</f>
        <v/>
      </c>
    </row>
    <row r="29" customFormat="false" ht="15" hidden="false" customHeight="true" outlineLevel="0" collapsed="false">
      <c r="A29" s="22" t="n">
        <f aca="false">ROW()-5</f>
        <v>24</v>
      </c>
      <c r="B29" s="15"/>
      <c r="C29" s="15"/>
      <c r="D29" s="15"/>
      <c r="E29" s="27"/>
      <c r="F29" s="15"/>
      <c r="G29" s="15"/>
      <c r="H29" s="28"/>
      <c r="I29" s="29"/>
      <c r="J29" s="29"/>
      <c r="K29" s="29"/>
      <c r="L29" s="29"/>
      <c r="M29" s="29"/>
      <c r="N29" s="29"/>
      <c r="O29" s="29"/>
      <c r="P29" s="30" t="str">
        <f aca="false">IF(COUNT(J29:K29)=0,"",SUM(J29:K29))</f>
        <v/>
      </c>
      <c r="Q29" s="30" t="str">
        <f aca="false">IF(COUNT(L29:O29)=0,"",SUM(L29:O29))</f>
        <v/>
      </c>
      <c r="R29" s="30" t="str">
        <f aca="false">IF(OR($E29="",$E29=0,$I29=""),"",ROUND($I29/$E29,0))</f>
        <v/>
      </c>
      <c r="S29" s="30" t="str">
        <f aca="false">IF(OR($E29="",$E29=0,$I29=""),"",ROUND(($I29+IF($P29="",0,$P29)+IF($Q29="",0,$Q29))/$E29,0))</f>
        <v/>
      </c>
    </row>
    <row r="30" customFormat="false" ht="15" hidden="false" customHeight="true" outlineLevel="0" collapsed="false">
      <c r="A30" s="22" t="n">
        <f aca="false">ROW()-5</f>
        <v>25</v>
      </c>
      <c r="B30" s="15"/>
      <c r="C30" s="15"/>
      <c r="D30" s="15"/>
      <c r="E30" s="27"/>
      <c r="F30" s="15"/>
      <c r="G30" s="15"/>
      <c r="H30" s="28"/>
      <c r="I30" s="29"/>
      <c r="J30" s="29"/>
      <c r="K30" s="29"/>
      <c r="L30" s="29"/>
      <c r="M30" s="29"/>
      <c r="N30" s="29"/>
      <c r="O30" s="29"/>
      <c r="P30" s="30" t="str">
        <f aca="false">IF(COUNT(J30:K30)=0,"",SUM(J30:K30))</f>
        <v/>
      </c>
      <c r="Q30" s="30" t="str">
        <f aca="false">IF(COUNT(L30:O30)=0,"",SUM(L30:O30))</f>
        <v/>
      </c>
      <c r="R30" s="30" t="str">
        <f aca="false">IF(OR($E30="",$E30=0,$I30=""),"",ROUND($I30/$E30,0))</f>
        <v/>
      </c>
      <c r="S30" s="30" t="str">
        <f aca="false">IF(OR($E30="",$E30=0,$I30=""),"",ROUND(($I30+IF($P30="",0,$P30)+IF($Q30="",0,$Q30))/$E30,0))</f>
        <v/>
      </c>
    </row>
    <row r="31" customFormat="false" ht="15" hidden="false" customHeight="true" outlineLevel="0" collapsed="false">
      <c r="A31" s="22" t="n">
        <f aca="false">ROW()-5</f>
        <v>26</v>
      </c>
      <c r="B31" s="15"/>
      <c r="C31" s="15"/>
      <c r="D31" s="15"/>
      <c r="E31" s="27"/>
      <c r="F31" s="15"/>
      <c r="G31" s="15"/>
      <c r="H31" s="28"/>
      <c r="I31" s="29"/>
      <c r="J31" s="29"/>
      <c r="K31" s="29"/>
      <c r="L31" s="29"/>
      <c r="M31" s="29"/>
      <c r="N31" s="29"/>
      <c r="O31" s="29"/>
      <c r="P31" s="30" t="str">
        <f aca="false">IF(COUNT(J31:K31)=0,"",SUM(J31:K31))</f>
        <v/>
      </c>
      <c r="Q31" s="30" t="str">
        <f aca="false">IF(COUNT(L31:O31)=0,"",SUM(L31:O31))</f>
        <v/>
      </c>
      <c r="R31" s="30" t="str">
        <f aca="false">IF(OR($E31="",$E31=0,$I31=""),"",ROUND($I31/$E31,0))</f>
        <v/>
      </c>
      <c r="S31" s="30" t="str">
        <f aca="false">IF(OR($E31="",$E31=0,$I31=""),"",ROUND(($I31+IF($P31="",0,$P31)+IF($Q31="",0,$Q31))/$E31,0))</f>
        <v/>
      </c>
    </row>
    <row r="32" customFormat="false" ht="15" hidden="false" customHeight="true" outlineLevel="0" collapsed="false">
      <c r="A32" s="22" t="n">
        <f aca="false">ROW()-5</f>
        <v>27</v>
      </c>
      <c r="B32" s="15"/>
      <c r="C32" s="15"/>
      <c r="D32" s="15"/>
      <c r="E32" s="27"/>
      <c r="F32" s="15"/>
      <c r="G32" s="15"/>
      <c r="H32" s="28"/>
      <c r="I32" s="29"/>
      <c r="J32" s="29"/>
      <c r="K32" s="29"/>
      <c r="L32" s="29"/>
      <c r="M32" s="29"/>
      <c r="N32" s="29"/>
      <c r="O32" s="29"/>
      <c r="P32" s="30" t="str">
        <f aca="false">IF(COUNT(J32:K32)=0,"",SUM(J32:K32))</f>
        <v/>
      </c>
      <c r="Q32" s="30" t="str">
        <f aca="false">IF(COUNT(L32:O32)=0,"",SUM(L32:O32))</f>
        <v/>
      </c>
      <c r="R32" s="30" t="str">
        <f aca="false">IF(OR($E32="",$E32=0,$I32=""),"",ROUND($I32/$E32,0))</f>
        <v/>
      </c>
      <c r="S32" s="30" t="str">
        <f aca="false">IF(OR($E32="",$E32=0,$I32=""),"",ROUND(($I32+IF($P32="",0,$P32)+IF($Q32="",0,$Q32))/$E32,0))</f>
        <v/>
      </c>
    </row>
    <row r="33" customFormat="false" ht="15" hidden="false" customHeight="true" outlineLevel="0" collapsed="false">
      <c r="A33" s="22" t="n">
        <f aca="false">ROW()-5</f>
        <v>28</v>
      </c>
      <c r="B33" s="15"/>
      <c r="C33" s="15"/>
      <c r="D33" s="15"/>
      <c r="E33" s="27"/>
      <c r="F33" s="15"/>
      <c r="G33" s="15"/>
      <c r="H33" s="28"/>
      <c r="I33" s="29"/>
      <c r="J33" s="29"/>
      <c r="K33" s="29"/>
      <c r="L33" s="29"/>
      <c r="M33" s="29"/>
      <c r="N33" s="29"/>
      <c r="O33" s="29"/>
      <c r="P33" s="30" t="str">
        <f aca="false">IF(COUNT(J33:K33)=0,"",SUM(J33:K33))</f>
        <v/>
      </c>
      <c r="Q33" s="30" t="str">
        <f aca="false">IF(COUNT(L33:O33)=0,"",SUM(L33:O33))</f>
        <v/>
      </c>
      <c r="R33" s="30" t="str">
        <f aca="false">IF(OR($E33="",$E33=0,$I33=""),"",ROUND($I33/$E33,0))</f>
        <v/>
      </c>
      <c r="S33" s="30" t="str">
        <f aca="false">IF(OR($E33="",$E33=0,$I33=""),"",ROUND(($I33+IF($P33="",0,$P33)+IF($Q33="",0,$Q33))/$E33,0))</f>
        <v/>
      </c>
    </row>
    <row r="34" customFormat="false" ht="15" hidden="false" customHeight="true" outlineLevel="0" collapsed="false">
      <c r="A34" s="22" t="n">
        <f aca="false">ROW()-5</f>
        <v>29</v>
      </c>
      <c r="B34" s="15"/>
      <c r="C34" s="15"/>
      <c r="D34" s="15"/>
      <c r="E34" s="27"/>
      <c r="F34" s="15"/>
      <c r="G34" s="15"/>
      <c r="H34" s="28"/>
      <c r="I34" s="29"/>
      <c r="J34" s="29"/>
      <c r="K34" s="29"/>
      <c r="L34" s="29"/>
      <c r="M34" s="29"/>
      <c r="N34" s="29"/>
      <c r="O34" s="29"/>
      <c r="P34" s="30" t="str">
        <f aca="false">IF(COUNT(J34:K34)=0,"",SUM(J34:K34))</f>
        <v/>
      </c>
      <c r="Q34" s="30" t="str">
        <f aca="false">IF(COUNT(L34:O34)=0,"",SUM(L34:O34))</f>
        <v/>
      </c>
      <c r="R34" s="30" t="str">
        <f aca="false">IF(OR($E34="",$E34=0,$I34=""),"",ROUND($I34/$E34,0))</f>
        <v/>
      </c>
      <c r="S34" s="30" t="str">
        <f aca="false">IF(OR($E34="",$E34=0,$I34=""),"",ROUND(($I34+IF($P34="",0,$P34)+IF($Q34="",0,$Q34))/$E34,0))</f>
        <v/>
      </c>
    </row>
    <row r="35" customFormat="false" ht="15" hidden="false" customHeight="true" outlineLevel="0" collapsed="false">
      <c r="A35" s="22" t="n">
        <f aca="false">ROW()-5</f>
        <v>30</v>
      </c>
      <c r="B35" s="15"/>
      <c r="C35" s="15"/>
      <c r="D35" s="15"/>
      <c r="E35" s="27"/>
      <c r="F35" s="15"/>
      <c r="G35" s="15"/>
      <c r="H35" s="28"/>
      <c r="I35" s="29"/>
      <c r="J35" s="29"/>
      <c r="K35" s="29"/>
      <c r="L35" s="29"/>
      <c r="M35" s="29"/>
      <c r="N35" s="29"/>
      <c r="O35" s="29"/>
      <c r="P35" s="30" t="str">
        <f aca="false">IF(COUNT(J35:K35)=0,"",SUM(J35:K35))</f>
        <v/>
      </c>
      <c r="Q35" s="30" t="str">
        <f aca="false">IF(COUNT(L35:O35)=0,"",SUM(L35:O35))</f>
        <v/>
      </c>
      <c r="R35" s="30" t="str">
        <f aca="false">IF(OR($E35="",$E35=0,$I35=""),"",ROUND($I35/$E35,0))</f>
        <v/>
      </c>
      <c r="S35" s="30" t="str">
        <f aca="false">IF(OR($E35="",$E35=0,$I35=""),"",ROUND(($I35+IF($P35="",0,$P35)+IF($Q35="",0,$Q35))/$E35,0))</f>
        <v/>
      </c>
    </row>
    <row r="36" customFormat="false" ht="15" hidden="false" customHeight="true" outlineLevel="0" collapsed="false">
      <c r="A36" s="22" t="n">
        <f aca="false">ROW()-5</f>
        <v>31</v>
      </c>
      <c r="B36" s="15"/>
      <c r="C36" s="15"/>
      <c r="D36" s="15"/>
      <c r="E36" s="27"/>
      <c r="F36" s="15"/>
      <c r="G36" s="15"/>
      <c r="H36" s="28"/>
      <c r="I36" s="29"/>
      <c r="J36" s="29"/>
      <c r="K36" s="29"/>
      <c r="L36" s="29"/>
      <c r="M36" s="29"/>
      <c r="N36" s="29"/>
      <c r="O36" s="29"/>
      <c r="P36" s="30" t="str">
        <f aca="false">IF(COUNT(J36:K36)=0,"",SUM(J36:K36))</f>
        <v/>
      </c>
      <c r="Q36" s="30" t="str">
        <f aca="false">IF(COUNT(L36:O36)=0,"",SUM(L36:O36))</f>
        <v/>
      </c>
      <c r="R36" s="30" t="str">
        <f aca="false">IF(OR($E36="",$E36=0,$I36=""),"",ROUND($I36/$E36,0))</f>
        <v/>
      </c>
      <c r="S36" s="30" t="str">
        <f aca="false">IF(OR($E36="",$E36=0,$I36=""),"",ROUND(($I36+IF($P36="",0,$P36)+IF($Q36="",0,$Q36))/$E36,0))</f>
        <v/>
      </c>
    </row>
    <row r="37" customFormat="false" ht="15" hidden="false" customHeight="true" outlineLevel="0" collapsed="false">
      <c r="A37" s="22" t="n">
        <f aca="false">ROW()-5</f>
        <v>32</v>
      </c>
      <c r="B37" s="15"/>
      <c r="C37" s="15"/>
      <c r="D37" s="15"/>
      <c r="E37" s="27"/>
      <c r="F37" s="15"/>
      <c r="G37" s="15"/>
      <c r="H37" s="28"/>
      <c r="I37" s="29"/>
      <c r="J37" s="29"/>
      <c r="K37" s="29"/>
      <c r="L37" s="29"/>
      <c r="M37" s="29"/>
      <c r="N37" s="29"/>
      <c r="O37" s="29"/>
      <c r="P37" s="30" t="str">
        <f aca="false">IF(COUNT(J37:K37)=0,"",SUM(J37:K37))</f>
        <v/>
      </c>
      <c r="Q37" s="30" t="str">
        <f aca="false">IF(COUNT(L37:O37)=0,"",SUM(L37:O37))</f>
        <v/>
      </c>
      <c r="R37" s="30" t="str">
        <f aca="false">IF(OR($E37="",$E37=0,$I37=""),"",ROUND($I37/$E37,0))</f>
        <v/>
      </c>
      <c r="S37" s="30" t="str">
        <f aca="false">IF(OR($E37="",$E37=0,$I37=""),"",ROUND(($I37+IF($P37="",0,$P37)+IF($Q37="",0,$Q37))/$E37,0))</f>
        <v/>
      </c>
    </row>
    <row r="38" customFormat="false" ht="15" hidden="false" customHeight="true" outlineLevel="0" collapsed="false">
      <c r="A38" s="22" t="n">
        <f aca="false">ROW()-5</f>
        <v>33</v>
      </c>
      <c r="B38" s="15"/>
      <c r="C38" s="15"/>
      <c r="D38" s="15"/>
      <c r="E38" s="27"/>
      <c r="F38" s="15"/>
      <c r="G38" s="15"/>
      <c r="H38" s="28"/>
      <c r="I38" s="29"/>
      <c r="J38" s="29"/>
      <c r="K38" s="29"/>
      <c r="L38" s="29"/>
      <c r="M38" s="29"/>
      <c r="N38" s="29"/>
      <c r="O38" s="29"/>
      <c r="P38" s="30" t="str">
        <f aca="false">IF(COUNT(J38:K38)=0,"",SUM(J38:K38))</f>
        <v/>
      </c>
      <c r="Q38" s="30" t="str">
        <f aca="false">IF(COUNT(L38:O38)=0,"",SUM(L38:O38))</f>
        <v/>
      </c>
      <c r="R38" s="30" t="str">
        <f aca="false">IF(OR($E38="",$E38=0,$I38=""),"",ROUND($I38/$E38,0))</f>
        <v/>
      </c>
      <c r="S38" s="30" t="str">
        <f aca="false">IF(OR($E38="",$E38=0,$I38=""),"",ROUND(($I38+IF($P38="",0,$P38)+IF($Q38="",0,$Q38))/$E38,0))</f>
        <v/>
      </c>
    </row>
    <row r="39" customFormat="false" ht="15" hidden="false" customHeight="true" outlineLevel="0" collapsed="false">
      <c r="A39" s="22" t="n">
        <f aca="false">ROW()-5</f>
        <v>34</v>
      </c>
      <c r="B39" s="15"/>
      <c r="C39" s="15"/>
      <c r="D39" s="15"/>
      <c r="E39" s="27"/>
      <c r="F39" s="15"/>
      <c r="G39" s="15"/>
      <c r="H39" s="28"/>
      <c r="I39" s="29"/>
      <c r="J39" s="29"/>
      <c r="K39" s="29"/>
      <c r="L39" s="29"/>
      <c r="M39" s="29"/>
      <c r="N39" s="29"/>
      <c r="O39" s="29"/>
      <c r="P39" s="30" t="str">
        <f aca="false">IF(COUNT(J39:K39)=0,"",SUM(J39:K39))</f>
        <v/>
      </c>
      <c r="Q39" s="30" t="str">
        <f aca="false">IF(COUNT(L39:O39)=0,"",SUM(L39:O39))</f>
        <v/>
      </c>
      <c r="R39" s="30" t="str">
        <f aca="false">IF(OR($E39="",$E39=0,$I39=""),"",ROUND($I39/$E39,0))</f>
        <v/>
      </c>
      <c r="S39" s="30" t="str">
        <f aca="false">IF(OR($E39="",$E39=0,$I39=""),"",ROUND(($I39+IF($P39="",0,$P39)+IF($Q39="",0,$Q39))/$E39,0))</f>
        <v/>
      </c>
    </row>
    <row r="40" customFormat="false" ht="15" hidden="false" customHeight="true" outlineLevel="0" collapsed="false">
      <c r="A40" s="22" t="n">
        <f aca="false">ROW()-5</f>
        <v>35</v>
      </c>
      <c r="B40" s="15"/>
      <c r="C40" s="15"/>
      <c r="D40" s="15"/>
      <c r="E40" s="27"/>
      <c r="F40" s="15"/>
      <c r="G40" s="15"/>
      <c r="H40" s="28"/>
      <c r="I40" s="29"/>
      <c r="J40" s="29"/>
      <c r="K40" s="29"/>
      <c r="L40" s="29"/>
      <c r="M40" s="29"/>
      <c r="N40" s="29"/>
      <c r="O40" s="29"/>
      <c r="P40" s="30" t="str">
        <f aca="false">IF(COUNT(J40:K40)=0,"",SUM(J40:K40))</f>
        <v/>
      </c>
      <c r="Q40" s="30" t="str">
        <f aca="false">IF(COUNT(L40:O40)=0,"",SUM(L40:O40))</f>
        <v/>
      </c>
      <c r="R40" s="30" t="str">
        <f aca="false">IF(OR($E40="",$E40=0,$I40=""),"",ROUND($I40/$E40,0))</f>
        <v/>
      </c>
      <c r="S40" s="30" t="str">
        <f aca="false">IF(OR($E40="",$E40=0,$I40=""),"",ROUND(($I40+IF($P40="",0,$P40)+IF($Q40="",0,$Q40))/$E40,0))</f>
        <v/>
      </c>
    </row>
    <row r="41" customFormat="false" ht="15" hidden="false" customHeight="true" outlineLevel="0" collapsed="false">
      <c r="A41" s="22" t="n">
        <f aca="false">ROW()-5</f>
        <v>36</v>
      </c>
      <c r="B41" s="15"/>
      <c r="C41" s="15"/>
      <c r="D41" s="15"/>
      <c r="E41" s="27"/>
      <c r="F41" s="15"/>
      <c r="G41" s="15"/>
      <c r="H41" s="28"/>
      <c r="I41" s="29"/>
      <c r="J41" s="29"/>
      <c r="K41" s="29"/>
      <c r="L41" s="29"/>
      <c r="M41" s="29"/>
      <c r="N41" s="29"/>
      <c r="O41" s="29"/>
      <c r="P41" s="30" t="str">
        <f aca="false">IF(COUNT(J41:K41)=0,"",SUM(J41:K41))</f>
        <v/>
      </c>
      <c r="Q41" s="30" t="str">
        <f aca="false">IF(COUNT(L41:O41)=0,"",SUM(L41:O41))</f>
        <v/>
      </c>
      <c r="R41" s="30" t="str">
        <f aca="false">IF(OR($E41="",$E41=0,$I41=""),"",ROUND($I41/$E41,0))</f>
        <v/>
      </c>
      <c r="S41" s="30" t="str">
        <f aca="false">IF(OR($E41="",$E41=0,$I41=""),"",ROUND(($I41+IF($P41="",0,$P41)+IF($Q41="",0,$Q41))/$E41,0))</f>
        <v/>
      </c>
    </row>
    <row r="42" customFormat="false" ht="15" hidden="false" customHeight="true" outlineLevel="0" collapsed="false">
      <c r="A42" s="22" t="n">
        <f aca="false">ROW()-5</f>
        <v>37</v>
      </c>
      <c r="B42" s="15"/>
      <c r="C42" s="15"/>
      <c r="D42" s="15"/>
      <c r="E42" s="27"/>
      <c r="F42" s="15"/>
      <c r="G42" s="15"/>
      <c r="H42" s="28"/>
      <c r="I42" s="29"/>
      <c r="J42" s="29"/>
      <c r="K42" s="29"/>
      <c r="L42" s="29"/>
      <c r="M42" s="29"/>
      <c r="N42" s="29"/>
      <c r="O42" s="29"/>
      <c r="P42" s="30" t="str">
        <f aca="false">IF(COUNT(J42:K42)=0,"",SUM(J42:K42))</f>
        <v/>
      </c>
      <c r="Q42" s="30" t="str">
        <f aca="false">IF(COUNT(L42:O42)=0,"",SUM(L42:O42))</f>
        <v/>
      </c>
      <c r="R42" s="30" t="str">
        <f aca="false">IF(OR($E42="",$E42=0,$I42=""),"",ROUND($I42/$E42,0))</f>
        <v/>
      </c>
      <c r="S42" s="30" t="str">
        <f aca="false">IF(OR($E42="",$E42=0,$I42=""),"",ROUND(($I42+IF($P42="",0,$P42)+IF($Q42="",0,$Q42))/$E42,0))</f>
        <v/>
      </c>
    </row>
    <row r="43" customFormat="false" ht="15" hidden="false" customHeight="true" outlineLevel="0" collapsed="false">
      <c r="A43" s="22" t="n">
        <f aca="false">ROW()-5</f>
        <v>38</v>
      </c>
      <c r="B43" s="15"/>
      <c r="C43" s="15"/>
      <c r="D43" s="15"/>
      <c r="E43" s="27"/>
      <c r="F43" s="15"/>
      <c r="G43" s="15"/>
      <c r="H43" s="28"/>
      <c r="I43" s="29"/>
      <c r="J43" s="29"/>
      <c r="K43" s="29"/>
      <c r="L43" s="29"/>
      <c r="M43" s="29"/>
      <c r="N43" s="29"/>
      <c r="O43" s="29"/>
      <c r="P43" s="30" t="str">
        <f aca="false">IF(COUNT(J43:K43)=0,"",SUM(J43:K43))</f>
        <v/>
      </c>
      <c r="Q43" s="30" t="str">
        <f aca="false">IF(COUNT(L43:O43)=0,"",SUM(L43:O43))</f>
        <v/>
      </c>
      <c r="R43" s="30" t="str">
        <f aca="false">IF(OR($E43="",$E43=0,$I43=""),"",ROUND($I43/$E43,0))</f>
        <v/>
      </c>
      <c r="S43" s="30" t="str">
        <f aca="false">IF(OR($E43="",$E43=0,$I43=""),"",ROUND(($I43+IF($P43="",0,$P43)+IF($Q43="",0,$Q43))/$E43,0))</f>
        <v/>
      </c>
    </row>
    <row r="44" customFormat="false" ht="15" hidden="false" customHeight="true" outlineLevel="0" collapsed="false">
      <c r="A44" s="22" t="n">
        <f aca="false">ROW()-5</f>
        <v>39</v>
      </c>
      <c r="B44" s="15"/>
      <c r="C44" s="15"/>
      <c r="D44" s="15"/>
      <c r="E44" s="27"/>
      <c r="F44" s="15"/>
      <c r="G44" s="15"/>
      <c r="H44" s="28"/>
      <c r="I44" s="29"/>
      <c r="J44" s="29"/>
      <c r="K44" s="29"/>
      <c r="L44" s="29"/>
      <c r="M44" s="29"/>
      <c r="N44" s="29"/>
      <c r="O44" s="29"/>
      <c r="P44" s="30" t="str">
        <f aca="false">IF(COUNT(J44:K44)=0,"",SUM(J44:K44))</f>
        <v/>
      </c>
      <c r="Q44" s="30" t="str">
        <f aca="false">IF(COUNT(L44:O44)=0,"",SUM(L44:O44))</f>
        <v/>
      </c>
      <c r="R44" s="30" t="str">
        <f aca="false">IF(OR($E44="",$E44=0,$I44=""),"",ROUND($I44/$E44,0))</f>
        <v/>
      </c>
      <c r="S44" s="30" t="str">
        <f aca="false">IF(OR($E44="",$E44=0,$I44=""),"",ROUND(($I44+IF($P44="",0,$P44)+IF($Q44="",0,$Q44))/$E44,0))</f>
        <v/>
      </c>
    </row>
    <row r="45" customFormat="false" ht="15" hidden="false" customHeight="true" outlineLevel="0" collapsed="false">
      <c r="A45" s="22" t="n">
        <f aca="false">ROW()-5</f>
        <v>40</v>
      </c>
      <c r="B45" s="15"/>
      <c r="C45" s="15"/>
      <c r="D45" s="15"/>
      <c r="E45" s="27"/>
      <c r="F45" s="15"/>
      <c r="G45" s="15"/>
      <c r="H45" s="28"/>
      <c r="I45" s="29"/>
      <c r="J45" s="29"/>
      <c r="K45" s="29"/>
      <c r="L45" s="29"/>
      <c r="M45" s="29"/>
      <c r="N45" s="29"/>
      <c r="O45" s="29"/>
      <c r="P45" s="30" t="str">
        <f aca="false">IF(COUNT(J45:K45)=0,"",SUM(J45:K45))</f>
        <v/>
      </c>
      <c r="Q45" s="30" t="str">
        <f aca="false">IF(COUNT(L45:O45)=0,"",SUM(L45:O45))</f>
        <v/>
      </c>
      <c r="R45" s="30" t="str">
        <f aca="false">IF(OR($E45="",$E45=0,$I45=""),"",ROUND($I45/$E45,0))</f>
        <v/>
      </c>
      <c r="S45" s="30" t="str">
        <f aca="false">IF(OR($E45="",$E45=0,$I45=""),"",ROUND(($I45+IF($P45="",0,$P45)+IF($Q45="",0,$Q45))/$E45,0))</f>
        <v/>
      </c>
    </row>
    <row r="46" customFormat="false" ht="15" hidden="false" customHeight="true" outlineLevel="0" collapsed="false">
      <c r="A46" s="22" t="n">
        <f aca="false">ROW()-5</f>
        <v>41</v>
      </c>
      <c r="B46" s="15"/>
      <c r="C46" s="15"/>
      <c r="D46" s="15"/>
      <c r="E46" s="27"/>
      <c r="F46" s="15"/>
      <c r="G46" s="15"/>
      <c r="H46" s="28"/>
      <c r="I46" s="29"/>
      <c r="J46" s="29"/>
      <c r="K46" s="29"/>
      <c r="L46" s="29"/>
      <c r="M46" s="29"/>
      <c r="N46" s="29"/>
      <c r="O46" s="29"/>
      <c r="P46" s="30" t="str">
        <f aca="false">IF(COUNT(J46:K46)=0,"",SUM(J46:K46))</f>
        <v/>
      </c>
      <c r="Q46" s="30" t="str">
        <f aca="false">IF(COUNT(L46:O46)=0,"",SUM(L46:O46))</f>
        <v/>
      </c>
      <c r="R46" s="30" t="str">
        <f aca="false">IF(OR($E46="",$E46=0,$I46=""),"",ROUND($I46/$E46,0))</f>
        <v/>
      </c>
      <c r="S46" s="30" t="str">
        <f aca="false">IF(OR($E46="",$E46=0,$I46=""),"",ROUND(($I46+IF($P46="",0,$P46)+IF($Q46="",0,$Q46))/$E46,0))</f>
        <v/>
      </c>
    </row>
    <row r="47" customFormat="false" ht="15" hidden="false" customHeight="true" outlineLevel="0" collapsed="false">
      <c r="A47" s="22" t="n">
        <f aca="false">ROW()-5</f>
        <v>42</v>
      </c>
      <c r="B47" s="15"/>
      <c r="C47" s="15"/>
      <c r="D47" s="15"/>
      <c r="E47" s="27"/>
      <c r="F47" s="15"/>
      <c r="G47" s="15"/>
      <c r="H47" s="28"/>
      <c r="I47" s="29"/>
      <c r="J47" s="29"/>
      <c r="K47" s="29"/>
      <c r="L47" s="29"/>
      <c r="M47" s="29"/>
      <c r="N47" s="29"/>
      <c r="O47" s="29"/>
      <c r="P47" s="30" t="str">
        <f aca="false">IF(COUNT(J47:K47)=0,"",SUM(J47:K47))</f>
        <v/>
      </c>
      <c r="Q47" s="30" t="str">
        <f aca="false">IF(COUNT(L47:O47)=0,"",SUM(L47:O47))</f>
        <v/>
      </c>
      <c r="R47" s="30" t="str">
        <f aca="false">IF(OR($E47="",$E47=0,$I47=""),"",ROUND($I47/$E47,0))</f>
        <v/>
      </c>
      <c r="S47" s="30" t="str">
        <f aca="false">IF(OR($E47="",$E47=0,$I47=""),"",ROUND(($I47+IF($P47="",0,$P47)+IF($Q47="",0,$Q47))/$E47,0))</f>
        <v/>
      </c>
    </row>
    <row r="48" customFormat="false" ht="15" hidden="false" customHeight="true" outlineLevel="0" collapsed="false">
      <c r="A48" s="22" t="n">
        <f aca="false">ROW()-5</f>
        <v>43</v>
      </c>
      <c r="B48" s="15"/>
      <c r="C48" s="15"/>
      <c r="D48" s="15"/>
      <c r="E48" s="27"/>
      <c r="F48" s="15"/>
      <c r="G48" s="15"/>
      <c r="H48" s="28"/>
      <c r="I48" s="29"/>
      <c r="J48" s="29"/>
      <c r="K48" s="29"/>
      <c r="L48" s="29"/>
      <c r="M48" s="29"/>
      <c r="N48" s="29"/>
      <c r="O48" s="29"/>
      <c r="P48" s="30" t="str">
        <f aca="false">IF(COUNT(J48:K48)=0,"",SUM(J48:K48))</f>
        <v/>
      </c>
      <c r="Q48" s="30" t="str">
        <f aca="false">IF(COUNT(L48:O48)=0,"",SUM(L48:O48))</f>
        <v/>
      </c>
      <c r="R48" s="30" t="str">
        <f aca="false">IF(OR($E48="",$E48=0,$I48=""),"",ROUND($I48/$E48,0))</f>
        <v/>
      </c>
      <c r="S48" s="30" t="str">
        <f aca="false">IF(OR($E48="",$E48=0,$I48=""),"",ROUND(($I48+IF($P48="",0,$P48)+IF($Q48="",0,$Q48))/$E48,0))</f>
        <v/>
      </c>
    </row>
    <row r="49" customFormat="false" ht="15" hidden="false" customHeight="true" outlineLevel="0" collapsed="false">
      <c r="A49" s="22" t="n">
        <f aca="false">ROW()-5</f>
        <v>44</v>
      </c>
      <c r="B49" s="15"/>
      <c r="C49" s="15"/>
      <c r="D49" s="15"/>
      <c r="E49" s="27"/>
      <c r="F49" s="15"/>
      <c r="G49" s="15"/>
      <c r="H49" s="28"/>
      <c r="I49" s="29"/>
      <c r="J49" s="29"/>
      <c r="K49" s="29"/>
      <c r="L49" s="29"/>
      <c r="M49" s="29"/>
      <c r="N49" s="29"/>
      <c r="O49" s="29"/>
      <c r="P49" s="30" t="str">
        <f aca="false">IF(COUNT(J49:K49)=0,"",SUM(J49:K49))</f>
        <v/>
      </c>
      <c r="Q49" s="30" t="str">
        <f aca="false">IF(COUNT(L49:O49)=0,"",SUM(L49:O49))</f>
        <v/>
      </c>
      <c r="R49" s="30" t="str">
        <f aca="false">IF(OR($E49="",$E49=0,$I49=""),"",ROUND($I49/$E49,0))</f>
        <v/>
      </c>
      <c r="S49" s="30" t="str">
        <f aca="false">IF(OR($E49="",$E49=0,$I49=""),"",ROUND(($I49+IF($P49="",0,$P49)+IF($Q49="",0,$Q49))/$E49,0))</f>
        <v/>
      </c>
    </row>
    <row r="50" customFormat="false" ht="15" hidden="false" customHeight="true" outlineLevel="0" collapsed="false">
      <c r="A50" s="22" t="n">
        <f aca="false">ROW()-5</f>
        <v>45</v>
      </c>
      <c r="B50" s="15"/>
      <c r="C50" s="15"/>
      <c r="D50" s="15"/>
      <c r="E50" s="27"/>
      <c r="F50" s="15"/>
      <c r="G50" s="15"/>
      <c r="H50" s="28"/>
      <c r="I50" s="29"/>
      <c r="J50" s="29"/>
      <c r="K50" s="29"/>
      <c r="L50" s="29"/>
      <c r="M50" s="29"/>
      <c r="N50" s="29"/>
      <c r="O50" s="29"/>
      <c r="P50" s="30" t="str">
        <f aca="false">IF(COUNT(J50:K50)=0,"",SUM(J50:K50))</f>
        <v/>
      </c>
      <c r="Q50" s="30" t="str">
        <f aca="false">IF(COUNT(L50:O50)=0,"",SUM(L50:O50))</f>
        <v/>
      </c>
      <c r="R50" s="30" t="str">
        <f aca="false">IF(OR($E50="",$E50=0,$I50=""),"",ROUND($I50/$E50,0))</f>
        <v/>
      </c>
      <c r="S50" s="30" t="str">
        <f aca="false">IF(OR($E50="",$E50=0,$I50=""),"",ROUND(($I50+IF($P50="",0,$P50)+IF($Q50="",0,$Q50))/$E50,0))</f>
        <v/>
      </c>
    </row>
    <row r="51" customFormat="false" ht="15" hidden="false" customHeight="true" outlineLevel="0" collapsed="false">
      <c r="A51" s="22" t="n">
        <f aca="false">ROW()-5</f>
        <v>46</v>
      </c>
      <c r="B51" s="15"/>
      <c r="C51" s="15"/>
      <c r="D51" s="15"/>
      <c r="E51" s="27"/>
      <c r="F51" s="15"/>
      <c r="G51" s="15"/>
      <c r="H51" s="28"/>
      <c r="I51" s="29"/>
      <c r="J51" s="29"/>
      <c r="K51" s="29"/>
      <c r="L51" s="29"/>
      <c r="M51" s="29"/>
      <c r="N51" s="29"/>
      <c r="O51" s="29"/>
      <c r="P51" s="30" t="str">
        <f aca="false">IF(COUNT(J51:K51)=0,"",SUM(J51:K51))</f>
        <v/>
      </c>
      <c r="Q51" s="30" t="str">
        <f aca="false">IF(COUNT(L51:O51)=0,"",SUM(L51:O51))</f>
        <v/>
      </c>
      <c r="R51" s="30" t="str">
        <f aca="false">IF(OR($E51="",$E51=0,$I51=""),"",ROUND($I51/$E51,0))</f>
        <v/>
      </c>
      <c r="S51" s="30" t="str">
        <f aca="false">IF(OR($E51="",$E51=0,$I51=""),"",ROUND(($I51+IF($P51="",0,$P51)+IF($Q51="",0,$Q51))/$E51,0))</f>
        <v/>
      </c>
    </row>
    <row r="52" customFormat="false" ht="15" hidden="false" customHeight="true" outlineLevel="0" collapsed="false">
      <c r="A52" s="22" t="n">
        <f aca="false">ROW()-5</f>
        <v>47</v>
      </c>
      <c r="B52" s="15"/>
      <c r="C52" s="15"/>
      <c r="D52" s="15"/>
      <c r="E52" s="27"/>
      <c r="F52" s="15"/>
      <c r="G52" s="15"/>
      <c r="H52" s="28"/>
      <c r="I52" s="29"/>
      <c r="J52" s="29"/>
      <c r="K52" s="29"/>
      <c r="L52" s="29"/>
      <c r="M52" s="29"/>
      <c r="N52" s="29"/>
      <c r="O52" s="29"/>
      <c r="P52" s="30" t="str">
        <f aca="false">IF(COUNT(J52:K52)=0,"",SUM(J52:K52))</f>
        <v/>
      </c>
      <c r="Q52" s="30" t="str">
        <f aca="false">IF(COUNT(L52:O52)=0,"",SUM(L52:O52))</f>
        <v/>
      </c>
      <c r="R52" s="30" t="str">
        <f aca="false">IF(OR($E52="",$E52=0,$I52=""),"",ROUND($I52/$E52,0))</f>
        <v/>
      </c>
      <c r="S52" s="30" t="str">
        <f aca="false">IF(OR($E52="",$E52=0,$I52=""),"",ROUND(($I52+IF($P52="",0,$P52)+IF($Q52="",0,$Q52))/$E52,0))</f>
        <v/>
      </c>
    </row>
    <row r="53" customFormat="false" ht="15" hidden="false" customHeight="true" outlineLevel="0" collapsed="false">
      <c r="A53" s="22" t="n">
        <f aca="false">ROW()-5</f>
        <v>48</v>
      </c>
      <c r="B53" s="15"/>
      <c r="C53" s="15"/>
      <c r="D53" s="15"/>
      <c r="E53" s="27"/>
      <c r="F53" s="15"/>
      <c r="G53" s="15"/>
      <c r="H53" s="28"/>
      <c r="I53" s="29"/>
      <c r="J53" s="29"/>
      <c r="K53" s="29"/>
      <c r="L53" s="29"/>
      <c r="M53" s="29"/>
      <c r="N53" s="29"/>
      <c r="O53" s="29"/>
      <c r="P53" s="30" t="str">
        <f aca="false">IF(COUNT(J53:K53)=0,"",SUM(J53:K53))</f>
        <v/>
      </c>
      <c r="Q53" s="30" t="str">
        <f aca="false">IF(COUNT(L53:O53)=0,"",SUM(L53:O53))</f>
        <v/>
      </c>
      <c r="R53" s="30" t="str">
        <f aca="false">IF(OR($E53="",$E53=0,$I53=""),"",ROUND($I53/$E53,0))</f>
        <v/>
      </c>
      <c r="S53" s="30" t="str">
        <f aca="false">IF(OR($E53="",$E53=0,$I53=""),"",ROUND(($I53+IF($P53="",0,$P53)+IF($Q53="",0,$Q53))/$E53,0))</f>
        <v/>
      </c>
    </row>
    <row r="54" customFormat="false" ht="15" hidden="false" customHeight="true" outlineLevel="0" collapsed="false">
      <c r="A54" s="22" t="n">
        <f aca="false">ROW()-5</f>
        <v>49</v>
      </c>
      <c r="B54" s="15"/>
      <c r="C54" s="15"/>
      <c r="D54" s="15"/>
      <c r="E54" s="27"/>
      <c r="F54" s="15"/>
      <c r="G54" s="15"/>
      <c r="H54" s="28"/>
      <c r="I54" s="29"/>
      <c r="J54" s="29"/>
      <c r="K54" s="29"/>
      <c r="L54" s="29"/>
      <c r="M54" s="29"/>
      <c r="N54" s="29"/>
      <c r="O54" s="29"/>
      <c r="P54" s="30" t="str">
        <f aca="false">IF(COUNT(J54:K54)=0,"",SUM(J54:K54))</f>
        <v/>
      </c>
      <c r="Q54" s="30" t="str">
        <f aca="false">IF(COUNT(L54:O54)=0,"",SUM(L54:O54))</f>
        <v/>
      </c>
      <c r="R54" s="30" t="str">
        <f aca="false">IF(OR($E54="",$E54=0,$I54=""),"",ROUND($I54/$E54,0))</f>
        <v/>
      </c>
      <c r="S54" s="30" t="str">
        <f aca="false">IF(OR($E54="",$E54=0,$I54=""),"",ROUND(($I54+IF($P54="",0,$P54)+IF($Q54="",0,$Q54))/$E54,0))</f>
        <v/>
      </c>
    </row>
    <row r="55" customFormat="false" ht="15" hidden="false" customHeight="true" outlineLevel="0" collapsed="false">
      <c r="A55" s="22" t="n">
        <f aca="false">ROW()-5</f>
        <v>50</v>
      </c>
      <c r="B55" s="15"/>
      <c r="C55" s="15"/>
      <c r="D55" s="15"/>
      <c r="E55" s="27"/>
      <c r="F55" s="15"/>
      <c r="G55" s="15"/>
      <c r="H55" s="28"/>
      <c r="I55" s="29"/>
      <c r="J55" s="29"/>
      <c r="K55" s="29"/>
      <c r="L55" s="29"/>
      <c r="M55" s="29"/>
      <c r="N55" s="29"/>
      <c r="O55" s="29"/>
      <c r="P55" s="30" t="str">
        <f aca="false">IF(COUNT(J55:K55)=0,"",SUM(J55:K55))</f>
        <v/>
      </c>
      <c r="Q55" s="30" t="str">
        <f aca="false">IF(COUNT(L55:O55)=0,"",SUM(L55:O55))</f>
        <v/>
      </c>
      <c r="R55" s="30" t="str">
        <f aca="false">IF(OR($E55="",$E55=0,$I55=""),"",ROUND($I55/$E55,0))</f>
        <v/>
      </c>
      <c r="S55" s="30" t="str">
        <f aca="false">IF(OR($E55="",$E55=0,$I55=""),"",ROUND(($I55+IF($P55="",0,$P55)+IF($Q55="",0,$Q55))/$E55,0))</f>
        <v/>
      </c>
    </row>
  </sheetData>
  <mergeCells count="2">
    <mergeCell ref="B2:D2"/>
    <mergeCell ref="B3:S3"/>
  </mergeCells>
  <dataValidations count="2">
    <dataValidation allowBlank="true" error="Veldu úr listanum." errorStyle="stop" errorTitle="Ógilt kyn" operator="between" showDropDown="false" showErrorMessage="true" showInputMessage="false" sqref="D6:D1055" type="list">
      <formula1>"Karl,Kona,Hlutlaust"</formula1>
      <formula2>0</formula2>
    </dataValidation>
    <dataValidation allowBlank="true" error="Starfshlutfall er á bilinu 0–1 (1 = 100%, 0,55 = 55%)." errorStyle="stop" errorTitle="Ógilt starfshlutfall" operator="between" showDropDown="false" showErrorMessage="true" showInputMessage="false" sqref="E6:E1055"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Z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0" topLeftCell="G11" activePane="bottomRight" state="frozen"/>
      <selection pane="topLeft" activeCell="A1" activeCellId="0" sqref="A1"/>
      <selection pane="topRight" activeCell="G1" activeCellId="0" sqref="G1"/>
      <selection pane="bottomLeft" activeCell="A11" activeCellId="0" sqref="A11"/>
      <selection pane="bottomRight" activeCell="A1" activeCellId="0" sqref="A1"/>
    </sheetView>
  </sheetViews>
  <sheetFormatPr defaultColWidth="8.6796875" defaultRowHeight="15" zeroHeight="false" outlineLevelRow="1" outlineLevelCol="0"/>
  <cols>
    <col collapsed="false" customWidth="true" hidden="false" outlineLevel="0" max="2" min="2" style="1" width="24"/>
    <col collapsed="false" customWidth="true" hidden="false" outlineLevel="0" max="3" min="3" style="1" width="14"/>
    <col collapsed="false" customWidth="true" hidden="true" outlineLevel="0" max="6" min="4" style="1" width="2"/>
    <col collapsed="false" customWidth="true" hidden="false" outlineLevel="0" max="7" min="7" style="1" width="10"/>
    <col collapsed="false" customWidth="true" hidden="false" outlineLevel="0" max="8" min="8" style="1" width="13"/>
    <col collapsed="false" customWidth="true" hidden="false" outlineLevel="0" max="9" min="9" style="1" width="10"/>
    <col collapsed="false" customWidth="true" hidden="false" outlineLevel="0" max="10" min="10" style="1" width="13"/>
    <col collapsed="false" customWidth="true" hidden="false" outlineLevel="0" max="11" min="11" style="1" width="10"/>
    <col collapsed="false" customWidth="true" hidden="false" outlineLevel="0" max="12" min="12" style="1" width="13"/>
    <col collapsed="false" customWidth="true" hidden="false" outlineLevel="0" max="13" min="13" style="1" width="10"/>
    <col collapsed="false" customWidth="true" hidden="false" outlineLevel="0" max="14" min="14" style="1" width="13"/>
    <col collapsed="false" customWidth="true" hidden="false" outlineLevel="0" max="15" min="15" style="1" width="10"/>
    <col collapsed="false" customWidth="true" hidden="false" outlineLevel="0" max="16" min="16" style="1" width="13"/>
    <col collapsed="false" customWidth="true" hidden="false" outlineLevel="0" max="17" min="17" style="1" width="10"/>
    <col collapsed="false" customWidth="true" hidden="false" outlineLevel="0" max="18" min="18" style="1" width="13"/>
    <col collapsed="false" customWidth="true" hidden="false" outlineLevel="0" max="19" min="19" style="1" width="10"/>
    <col collapsed="false" customWidth="true" hidden="false" outlineLevel="0" max="20" min="20" style="1" width="13"/>
    <col collapsed="false" customWidth="true" hidden="false" outlineLevel="0" max="21" min="21" style="1" width="10"/>
    <col collapsed="false" customWidth="true" hidden="false" outlineLevel="0" max="22" min="22" style="1" width="13"/>
    <col collapsed="false" customWidth="true" hidden="false" outlineLevel="0" max="23" min="23" style="1" width="10"/>
    <col collapsed="false" customWidth="true" hidden="false" outlineLevel="0" max="24" min="24" style="1" width="13"/>
    <col collapsed="false" customWidth="true" hidden="false" outlineLevel="0" max="25" min="25" style="1" width="10"/>
    <col collapsed="false" customWidth="true" hidden="false" outlineLevel="0" max="26" min="26" style="1" width="13"/>
    <col collapsed="false" customWidth="true" hidden="false" outlineLevel="0" max="27" min="27" style="1" width="10"/>
    <col collapsed="false" customWidth="true" hidden="false" outlineLevel="0" max="28" min="28" style="1" width="13"/>
    <col collapsed="false" customWidth="true" hidden="false" outlineLevel="0" max="29" min="29" style="1" width="10"/>
    <col collapsed="false" customWidth="true" hidden="false" outlineLevel="0" max="30" min="30" style="1" width="13"/>
    <col collapsed="false" customWidth="true" hidden="false" outlineLevel="0" max="31" min="31" style="1" width="10"/>
    <col collapsed="false" customWidth="true" hidden="false" outlineLevel="0" max="32" min="32" style="1" width="13"/>
    <col collapsed="false" customWidth="true" hidden="false" outlineLevel="0" max="33" min="33" style="1" width="10"/>
    <col collapsed="false" customWidth="true" hidden="false" outlineLevel="0" max="34" min="34" style="1" width="13"/>
    <col collapsed="false" customWidth="true" hidden="false" outlineLevel="0" max="35" min="35" style="1" width="10"/>
    <col collapsed="false" customWidth="true" hidden="false" outlineLevel="0" max="36" min="36" style="1" width="13"/>
    <col collapsed="false" customWidth="true" hidden="false" outlineLevel="0" max="37" min="37" style="1" width="10"/>
    <col collapsed="false" customWidth="true" hidden="false" outlineLevel="0" max="38" min="38" style="1" width="13"/>
    <col collapsed="false" customWidth="true" hidden="false" outlineLevel="0" max="39" min="39" style="1" width="10"/>
    <col collapsed="false" customWidth="true" hidden="false" outlineLevel="0" max="40" min="40" style="1" width="13"/>
    <col collapsed="false" customWidth="true" hidden="false" outlineLevel="0" max="41" min="41" style="1" width="10"/>
    <col collapsed="false" customWidth="true" hidden="false" outlineLevel="0" max="42" min="42" style="1" width="13"/>
    <col collapsed="false" customWidth="true" hidden="false" outlineLevel="0" max="43" min="43" style="1" width="10"/>
    <col collapsed="false" customWidth="true" hidden="false" outlineLevel="0" max="44" min="44" style="1" width="13"/>
    <col collapsed="false" customWidth="true" hidden="false" outlineLevel="0" max="45" min="45" style="1" width="10"/>
    <col collapsed="false" customWidth="true" hidden="false" outlineLevel="0" max="46" min="46" style="1" width="13"/>
    <col collapsed="false" customWidth="true" hidden="false" outlineLevel="0" max="47" min="47" style="1" width="10"/>
    <col collapsed="false" customWidth="true" hidden="false" outlineLevel="0" max="48" min="48" style="1" width="13"/>
    <col collapsed="false" customWidth="true" hidden="false" outlineLevel="0" max="49" min="49" style="1" width="10"/>
    <col collapsed="false" customWidth="true" hidden="false" outlineLevel="0" max="50" min="50" style="1" width="13"/>
    <col collapsed="false" customWidth="true" hidden="false" outlineLevel="0" max="51" min="51" style="1" width="10"/>
    <col collapsed="false" customWidth="true" hidden="false" outlineLevel="0" max="52" min="52" style="1" width="13"/>
    <col collapsed="false" customWidth="true" hidden="false" outlineLevel="0" max="53" min="53" style="1" width="10"/>
    <col collapsed="false" customWidth="true" hidden="false" outlineLevel="0" max="54" min="54" style="1" width="13"/>
    <col collapsed="false" customWidth="true" hidden="false" outlineLevel="0" max="55" min="55" style="1" width="10"/>
    <col collapsed="false" customWidth="true" hidden="false" outlineLevel="0" max="56" min="56" style="1" width="13"/>
    <col collapsed="false" customWidth="true" hidden="false" outlineLevel="0" max="57" min="57" style="1" width="10"/>
    <col collapsed="false" customWidth="true" hidden="false" outlineLevel="0" max="58" min="58" style="1" width="13"/>
    <col collapsed="false" customWidth="true" hidden="false" outlineLevel="0" max="59" min="59" style="1" width="10"/>
    <col collapsed="false" customWidth="true" hidden="false" outlineLevel="0" max="60" min="60" style="1" width="13"/>
    <col collapsed="false" customWidth="true" hidden="false" outlineLevel="0" max="61" min="61" style="1" width="10"/>
    <col collapsed="false" customWidth="true" hidden="false" outlineLevel="0" max="62" min="62" style="1" width="13"/>
    <col collapsed="false" customWidth="true" hidden="false" outlineLevel="0" max="63" min="63" style="1" width="10"/>
    <col collapsed="false" customWidth="true" hidden="false" outlineLevel="0" max="64" min="64" style="1" width="13"/>
    <col collapsed="false" customWidth="true" hidden="false" outlineLevel="0" max="65" min="65" style="1" width="10"/>
    <col collapsed="false" customWidth="true" hidden="false" outlineLevel="0" max="66" min="66" style="1" width="13"/>
    <col collapsed="false" customWidth="true" hidden="false" outlineLevel="0" max="67" min="67" style="1" width="10"/>
    <col collapsed="false" customWidth="true" hidden="false" outlineLevel="0" max="68" min="68" style="1" width="13"/>
    <col collapsed="false" customWidth="true" hidden="false" outlineLevel="0" max="69" min="69" style="1" width="10"/>
    <col collapsed="false" customWidth="true" hidden="false" outlineLevel="0" max="70" min="70" style="1" width="13"/>
    <col collapsed="false" customWidth="true" hidden="false" outlineLevel="0" max="71" min="71" style="1" width="10"/>
    <col collapsed="false" customWidth="true" hidden="false" outlineLevel="0" max="72" min="72" style="1" width="13"/>
    <col collapsed="false" customWidth="true" hidden="false" outlineLevel="0" max="73" min="73" style="1" width="10"/>
    <col collapsed="false" customWidth="true" hidden="false" outlineLevel="0" max="74" min="74" style="1" width="13"/>
    <col collapsed="false" customWidth="true" hidden="false" outlineLevel="0" max="75" min="75" style="1" width="10"/>
    <col collapsed="false" customWidth="true" hidden="false" outlineLevel="0" max="76" min="76" style="1" width="13"/>
    <col collapsed="false" customWidth="true" hidden="false" outlineLevel="0" max="77" min="77" style="1" width="10"/>
    <col collapsed="false" customWidth="true" hidden="false" outlineLevel="0" max="78" min="78" style="1" width="13"/>
    <col collapsed="false" customWidth="true" hidden="false" outlineLevel="0" max="79" min="79" style="1" width="10"/>
    <col collapsed="false" customWidth="true" hidden="false" outlineLevel="0" max="80" min="80" style="1" width="13"/>
    <col collapsed="false" customWidth="true" hidden="false" outlineLevel="0" max="81" min="81" style="1" width="10"/>
    <col collapsed="false" customWidth="true" hidden="false" outlineLevel="0" max="82" min="82" style="1" width="13"/>
    <col collapsed="false" customWidth="true" hidden="false" outlineLevel="0" max="83" min="83" style="1" width="10"/>
    <col collapsed="false" customWidth="true" hidden="false" outlineLevel="0" max="84" min="84" style="1" width="13"/>
    <col collapsed="false" customWidth="true" hidden="false" outlineLevel="0" max="85" min="85" style="1" width="10"/>
    <col collapsed="false" customWidth="true" hidden="false" outlineLevel="0" max="86" min="86" style="1" width="13"/>
    <col collapsed="false" customWidth="true" hidden="false" outlineLevel="0" max="87" min="87" style="1" width="10"/>
    <col collapsed="false" customWidth="true" hidden="false" outlineLevel="0" max="88" min="88" style="1" width="13"/>
    <col collapsed="false" customWidth="true" hidden="false" outlineLevel="0" max="89" min="89" style="1" width="10"/>
    <col collapsed="false" customWidth="true" hidden="false" outlineLevel="0" max="90" min="90" style="1" width="13"/>
    <col collapsed="false" customWidth="true" hidden="false" outlineLevel="0" max="91" min="91" style="1" width="10"/>
    <col collapsed="false" customWidth="true" hidden="false" outlineLevel="0" max="92" min="92" style="1" width="13"/>
    <col collapsed="false" customWidth="true" hidden="false" outlineLevel="0" max="93" min="93" style="1" width="10"/>
    <col collapsed="false" customWidth="true" hidden="false" outlineLevel="0" max="94" min="94" style="1" width="13"/>
    <col collapsed="false" customWidth="true" hidden="false" outlineLevel="0" max="95" min="95" style="1" width="10"/>
    <col collapsed="false" customWidth="true" hidden="false" outlineLevel="0" max="96" min="96" style="1" width="13"/>
    <col collapsed="false" customWidth="true" hidden="false" outlineLevel="0" max="97" min="97" style="1" width="10"/>
    <col collapsed="false" customWidth="true" hidden="false" outlineLevel="0" max="98" min="98" style="1" width="13"/>
    <col collapsed="false" customWidth="true" hidden="false" outlineLevel="0" max="99" min="99" style="1" width="10"/>
    <col collapsed="false" customWidth="true" hidden="false" outlineLevel="0" max="100" min="100" style="1" width="13"/>
    <col collapsed="false" customWidth="true" hidden="false" outlineLevel="0" max="101" min="101" style="1" width="10"/>
    <col collapsed="false" customWidth="true" hidden="false" outlineLevel="0" max="102" min="102" style="1" width="13"/>
    <col collapsed="false" customWidth="true" hidden="false" outlineLevel="0" max="103" min="103" style="1" width="10"/>
    <col collapsed="false" customWidth="true" hidden="false" outlineLevel="0" max="104" min="104" style="1" width="13"/>
    <col collapsed="false" customWidth="true" hidden="false" outlineLevel="0" max="105" min="105" style="1" width="10"/>
    <col collapsed="false" customWidth="true" hidden="false" outlineLevel="0" max="106" min="106" style="1" width="13"/>
    <col collapsed="false" customWidth="true" hidden="false" outlineLevel="0" max="107" min="107" style="1" width="10"/>
    <col collapsed="false" customWidth="true" hidden="false" outlineLevel="0" max="108" min="108" style="1" width="13"/>
    <col collapsed="false" customWidth="true" hidden="false" outlineLevel="0" max="109" min="109" style="1" width="10"/>
    <col collapsed="false" customWidth="true" hidden="false" outlineLevel="0" max="110" min="110" style="1" width="13"/>
    <col collapsed="false" customWidth="true" hidden="false" outlineLevel="0" max="111" min="111" style="1" width="10"/>
    <col collapsed="false" customWidth="true" hidden="false" outlineLevel="0" max="112" min="112" style="1" width="13"/>
    <col collapsed="false" customWidth="true" hidden="false" outlineLevel="0" max="113" min="113" style="1" width="10"/>
    <col collapsed="false" customWidth="true" hidden="false" outlineLevel="0" max="114" min="114" style="1" width="13"/>
    <col collapsed="false" customWidth="true" hidden="false" outlineLevel="0" max="115" min="115" style="1" width="10"/>
    <col collapsed="false" customWidth="true" hidden="false" outlineLevel="0" max="116" min="116" style="1" width="13"/>
    <col collapsed="false" customWidth="true" hidden="false" outlineLevel="0" max="117" min="117" style="1" width="10"/>
    <col collapsed="false" customWidth="true" hidden="false" outlineLevel="0" max="118" min="118" style="1" width="13"/>
    <col collapsed="false" customWidth="true" hidden="false" outlineLevel="0" max="119" min="119" style="1" width="10"/>
    <col collapsed="false" customWidth="true" hidden="false" outlineLevel="0" max="120" min="120" style="1" width="13"/>
    <col collapsed="false" customWidth="true" hidden="false" outlineLevel="0" max="121" min="121" style="1" width="10"/>
    <col collapsed="false" customWidth="true" hidden="false" outlineLevel="0" max="122" min="122" style="1" width="13"/>
    <col collapsed="false" customWidth="true" hidden="false" outlineLevel="0" max="123" min="123" style="1" width="10"/>
    <col collapsed="false" customWidth="true" hidden="false" outlineLevel="0" max="124" min="124" style="1" width="13"/>
    <col collapsed="false" customWidth="true" hidden="false" outlineLevel="0" max="125" min="125" style="1" width="10"/>
    <col collapsed="false" customWidth="true" hidden="false" outlineLevel="0" max="126" min="126" style="1" width="13"/>
    <col collapsed="false" customWidth="true" hidden="false" outlineLevel="0" max="127" min="127" style="1" width="10"/>
    <col collapsed="false" customWidth="true" hidden="false" outlineLevel="0" max="128" min="128" style="1" width="13"/>
    <col collapsed="false" customWidth="true" hidden="false" outlineLevel="0" max="129" min="129" style="1" width="10"/>
    <col collapsed="false" customWidth="true" hidden="false" outlineLevel="0" max="130" min="130" style="1" width="13"/>
    <col collapsed="false" customWidth="true" hidden="false" outlineLevel="0" max="131" min="131" style="1" width="10"/>
    <col collapsed="false" customWidth="true" hidden="false" outlineLevel="0" max="132" min="132" style="1" width="13"/>
    <col collapsed="false" customWidth="true" hidden="false" outlineLevel="0" max="133" min="133" style="1" width="10"/>
    <col collapsed="false" customWidth="true" hidden="false" outlineLevel="0" max="134" min="134" style="1" width="13"/>
    <col collapsed="false" customWidth="true" hidden="false" outlineLevel="0" max="135" min="135" style="1" width="10"/>
    <col collapsed="false" customWidth="true" hidden="false" outlineLevel="0" max="136" min="136" style="1" width="13"/>
    <col collapsed="false" customWidth="true" hidden="false" outlineLevel="0" max="137" min="137" style="1" width="10"/>
    <col collapsed="false" customWidth="true" hidden="false" outlineLevel="0" max="138" min="138" style="1" width="13"/>
    <col collapsed="false" customWidth="true" hidden="false" outlineLevel="0" max="139" min="139" style="1" width="10"/>
    <col collapsed="false" customWidth="true" hidden="false" outlineLevel="0" max="140" min="140" style="1" width="13"/>
    <col collapsed="false" customWidth="true" hidden="false" outlineLevel="0" max="141" min="141" style="1" width="10"/>
    <col collapsed="false" customWidth="true" hidden="false" outlineLevel="0" max="142" min="142" style="1" width="13"/>
    <col collapsed="false" customWidth="true" hidden="false" outlineLevel="0" max="143" min="143" style="1" width="10"/>
    <col collapsed="false" customWidth="true" hidden="false" outlineLevel="0" max="144" min="144" style="1" width="13"/>
    <col collapsed="false" customWidth="true" hidden="false" outlineLevel="0" max="145" min="145" style="1" width="10"/>
    <col collapsed="false" customWidth="true" hidden="false" outlineLevel="0" max="146" min="146" style="1" width="13"/>
    <col collapsed="false" customWidth="true" hidden="false" outlineLevel="0" max="147" min="147" style="1" width="10"/>
    <col collapsed="false" customWidth="true" hidden="false" outlineLevel="0" max="148" min="148" style="1" width="13"/>
    <col collapsed="false" customWidth="true" hidden="false" outlineLevel="0" max="149" min="149" style="1" width="10"/>
    <col collapsed="false" customWidth="true" hidden="false" outlineLevel="0" max="150" min="150" style="1" width="13"/>
    <col collapsed="false" customWidth="true" hidden="false" outlineLevel="0" max="151" min="151" style="1" width="10"/>
    <col collapsed="false" customWidth="true" hidden="false" outlineLevel="0" max="152" min="152" style="1" width="13"/>
    <col collapsed="false" customWidth="true" hidden="false" outlineLevel="0" max="153" min="153" style="1" width="10"/>
    <col collapsed="false" customWidth="true" hidden="false" outlineLevel="0" max="154" min="154" style="1" width="13"/>
    <col collapsed="false" customWidth="true" hidden="false" outlineLevel="0" max="155" min="155" style="1" width="10"/>
    <col collapsed="false" customWidth="true" hidden="false" outlineLevel="0" max="156" min="156" style="1" width="13"/>
    <col collapsed="false" customWidth="true" hidden="false" outlineLevel="0" max="157" min="157" style="1" width="10"/>
    <col collapsed="false" customWidth="true" hidden="false" outlineLevel="0" max="158" min="158" style="1" width="13"/>
    <col collapsed="false" customWidth="true" hidden="false" outlineLevel="0" max="159" min="159" style="1" width="10"/>
    <col collapsed="false" customWidth="true" hidden="false" outlineLevel="0" max="160" min="160" style="1" width="13"/>
    <col collapsed="false" customWidth="true" hidden="false" outlineLevel="0" max="161" min="161" style="1" width="10"/>
    <col collapsed="false" customWidth="true" hidden="false" outlineLevel="0" max="162" min="162" style="1" width="13"/>
    <col collapsed="false" customWidth="true" hidden="false" outlineLevel="0" max="163" min="163" style="1" width="10"/>
    <col collapsed="false" customWidth="true" hidden="false" outlineLevel="0" max="164" min="164" style="1" width="13"/>
    <col collapsed="false" customWidth="true" hidden="false" outlineLevel="0" max="165" min="165" style="1" width="10"/>
    <col collapsed="false" customWidth="true" hidden="false" outlineLevel="0" max="166" min="166" style="1" width="13"/>
    <col collapsed="false" customWidth="true" hidden="false" outlineLevel="0" max="167" min="167" style="1" width="10"/>
    <col collapsed="false" customWidth="true" hidden="false" outlineLevel="0" max="168" min="168" style="1" width="13"/>
    <col collapsed="false" customWidth="true" hidden="false" outlineLevel="0" max="169" min="169" style="1" width="10"/>
    <col collapsed="false" customWidth="true" hidden="false" outlineLevel="0" max="170" min="170" style="1" width="13"/>
    <col collapsed="false" customWidth="true" hidden="false" outlineLevel="0" max="171" min="171" style="1" width="10"/>
    <col collapsed="false" customWidth="true" hidden="false" outlineLevel="0" max="172" min="172" style="1" width="13"/>
    <col collapsed="false" customWidth="true" hidden="false" outlineLevel="0" max="173" min="173" style="1" width="10"/>
    <col collapsed="false" customWidth="true" hidden="false" outlineLevel="0" max="174" min="174" style="1" width="13"/>
    <col collapsed="false" customWidth="true" hidden="false" outlineLevel="0" max="175" min="175" style="1" width="10"/>
    <col collapsed="false" customWidth="true" hidden="false" outlineLevel="0" max="176" min="176" style="1" width="13"/>
    <col collapsed="false" customWidth="true" hidden="false" outlineLevel="0" max="177" min="177" style="1" width="10"/>
    <col collapsed="false" customWidth="true" hidden="false" outlineLevel="0" max="178" min="178" style="1" width="13"/>
    <col collapsed="false" customWidth="true" hidden="false" outlineLevel="0" max="179" min="179" style="1" width="10"/>
    <col collapsed="false" customWidth="true" hidden="false" outlineLevel="0" max="180" min="180" style="1" width="13"/>
    <col collapsed="false" customWidth="true" hidden="false" outlineLevel="0" max="181" min="181" style="1" width="10"/>
    <col collapsed="false" customWidth="true" hidden="false" outlineLevel="0" max="182" min="182" style="1" width="13"/>
    <col collapsed="false" customWidth="true" hidden="false" outlineLevel="0" max="183" min="183" style="1" width="10"/>
    <col collapsed="false" customWidth="true" hidden="false" outlineLevel="0" max="184" min="184" style="1" width="13"/>
    <col collapsed="false" customWidth="true" hidden="false" outlineLevel="0" max="185" min="185" style="1" width="10"/>
    <col collapsed="false" customWidth="true" hidden="false" outlineLevel="0" max="186" min="186" style="1" width="13"/>
    <col collapsed="false" customWidth="true" hidden="false" outlineLevel="0" max="187" min="187" style="1" width="10"/>
    <col collapsed="false" customWidth="true" hidden="false" outlineLevel="0" max="188" min="188" style="1" width="13"/>
    <col collapsed="false" customWidth="true" hidden="false" outlineLevel="0" max="189" min="189" style="1" width="10"/>
    <col collapsed="false" customWidth="true" hidden="false" outlineLevel="0" max="190" min="190" style="1" width="13"/>
    <col collapsed="false" customWidth="true" hidden="false" outlineLevel="0" max="191" min="191" style="1" width="10"/>
    <col collapsed="false" customWidth="true" hidden="false" outlineLevel="0" max="192" min="192" style="1" width="13"/>
    <col collapsed="false" customWidth="true" hidden="false" outlineLevel="0" max="193" min="193" style="1" width="10"/>
    <col collapsed="false" customWidth="true" hidden="false" outlineLevel="0" max="194" min="194" style="1" width="13"/>
    <col collapsed="false" customWidth="true" hidden="false" outlineLevel="0" max="195" min="195" style="1" width="10"/>
    <col collapsed="false" customWidth="true" hidden="false" outlineLevel="0" max="196" min="196" style="1" width="13"/>
    <col collapsed="false" customWidth="true" hidden="false" outlineLevel="0" max="197" min="197" style="1" width="10"/>
    <col collapsed="false" customWidth="true" hidden="false" outlineLevel="0" max="198" min="198" style="1" width="13"/>
    <col collapsed="false" customWidth="true" hidden="false" outlineLevel="0" max="199" min="199" style="1" width="10"/>
    <col collapsed="false" customWidth="true" hidden="false" outlineLevel="0" max="200" min="200" style="1" width="13"/>
    <col collapsed="false" customWidth="true" hidden="false" outlineLevel="0" max="201" min="201" style="1" width="10"/>
    <col collapsed="false" customWidth="true" hidden="false" outlineLevel="0" max="202" min="202" style="1" width="13"/>
    <col collapsed="false" customWidth="true" hidden="false" outlineLevel="0" max="203" min="203" style="1" width="10"/>
    <col collapsed="false" customWidth="true" hidden="false" outlineLevel="0" max="204" min="204" style="1" width="13"/>
    <col collapsed="false" customWidth="true" hidden="false" outlineLevel="0" max="205" min="205" style="1" width="10"/>
    <col collapsed="false" customWidth="true" hidden="false" outlineLevel="0" max="206" min="206" style="1" width="13"/>
  </cols>
  <sheetData>
    <row r="2" customFormat="false" ht="19.5" hidden="false" customHeight="true" outlineLevel="0" collapsed="false">
      <c r="B2" s="10" t="s">
        <v>9</v>
      </c>
      <c r="C2" s="10"/>
      <c r="D2" s="10"/>
      <c r="E2" s="10"/>
      <c r="F2" s="10"/>
    </row>
    <row r="3" customFormat="false" ht="15" hidden="false" customHeight="true" outlineLevel="0" collapsed="false">
      <c r="B3" s="11" t="s">
        <v>129</v>
      </c>
      <c r="C3" s="11"/>
      <c r="D3" s="11"/>
      <c r="E3" s="11"/>
      <c r="F3" s="11"/>
      <c r="G3" s="11"/>
      <c r="H3" s="11"/>
      <c r="I3" s="11"/>
      <c r="J3" s="11"/>
      <c r="K3" s="11"/>
      <c r="L3" s="11"/>
      <c r="M3" s="11"/>
      <c r="N3" s="11"/>
    </row>
    <row r="4" customFormat="false" ht="77.25" hidden="false" customHeight="true" outlineLevel="0" collapsed="false">
      <c r="G4" s="31" t="s">
        <v>130</v>
      </c>
      <c r="H4" s="31"/>
      <c r="I4" s="31"/>
      <c r="J4" s="31"/>
      <c r="K4" s="31"/>
      <c r="L4" s="31"/>
      <c r="M4" s="31"/>
      <c r="N4" s="31"/>
      <c r="O4" s="31"/>
      <c r="P4" s="31"/>
      <c r="Q4" s="31"/>
      <c r="R4" s="31"/>
      <c r="S4" s="31"/>
      <c r="T4" s="31"/>
      <c r="U4" s="31"/>
      <c r="V4" s="31"/>
      <c r="W4" s="31"/>
      <c r="X4" s="31"/>
      <c r="Y4" s="31"/>
      <c r="Z4" s="31"/>
      <c r="AA4" s="31"/>
      <c r="AB4" s="31"/>
    </row>
    <row r="5" customFormat="false" ht="15" hidden="false" customHeight="true" outlineLevel="0" collapsed="false">
      <c r="B5" s="32" t="s">
        <v>97</v>
      </c>
      <c r="C5" s="32"/>
      <c r="D5" s="20"/>
      <c r="E5" s="20"/>
      <c r="F5" s="20"/>
      <c r="G5" s="24" t="str">
        <f aca="false">IF(INDEX(Undirviðmið!$G$6:$G$105,(COLUMN()-7)/2+1)="Starfsbundið",INDEX(Undirviðmið!$B$6:$B$105,(COLUMN()-7)/2+1),"")</f>
        <v/>
      </c>
      <c r="H5" s="24"/>
      <c r="I5" s="24" t="str">
        <f aca="false">IF(INDEX(Undirviðmið!$G$6:$G$105,(COLUMN()-7)/2+1)="Starfsbundið",INDEX(Undirviðmið!$B$6:$B$105,(COLUMN()-7)/2+1),"")</f>
        <v/>
      </c>
      <c r="J5" s="24"/>
      <c r="K5" s="24" t="str">
        <f aca="false">IF(INDEX(Undirviðmið!$G$6:$G$105,(COLUMN()-7)/2+1)="Starfsbundið",INDEX(Undirviðmið!$B$6:$B$105,(COLUMN()-7)/2+1),"")</f>
        <v/>
      </c>
      <c r="L5" s="24"/>
      <c r="M5" s="24" t="str">
        <f aca="false">IF(INDEX(Undirviðmið!$G$6:$G$105,(COLUMN()-7)/2+1)="Starfsbundið",INDEX(Undirviðmið!$B$6:$B$105,(COLUMN()-7)/2+1),"")</f>
        <v/>
      </c>
      <c r="N5" s="24"/>
      <c r="O5" s="24" t="str">
        <f aca="false">IF(INDEX(Undirviðmið!$G$6:$G$105,(COLUMN()-7)/2+1)="Starfsbundið",INDEX(Undirviðmið!$B$6:$B$105,(COLUMN()-7)/2+1),"")</f>
        <v/>
      </c>
      <c r="P5" s="24"/>
      <c r="Q5" s="24" t="str">
        <f aca="false">IF(INDEX(Undirviðmið!$G$6:$G$105,(COLUMN()-7)/2+1)="Starfsbundið",INDEX(Undirviðmið!$B$6:$B$105,(COLUMN()-7)/2+1),"")</f>
        <v/>
      </c>
      <c r="R5" s="24"/>
      <c r="S5" s="24" t="str">
        <f aca="false">IF(INDEX(Undirviðmið!$G$6:$G$105,(COLUMN()-7)/2+1)="Starfsbundið",INDEX(Undirviðmið!$B$6:$B$105,(COLUMN()-7)/2+1),"")</f>
        <v/>
      </c>
      <c r="T5" s="24"/>
      <c r="U5" s="24" t="str">
        <f aca="false">IF(INDEX(Undirviðmið!$G$6:$G$105,(COLUMN()-7)/2+1)="Starfsbundið",INDEX(Undirviðmið!$B$6:$B$105,(COLUMN()-7)/2+1),"")</f>
        <v/>
      </c>
      <c r="V5" s="24"/>
      <c r="W5" s="24" t="str">
        <f aca="false">IF(INDEX(Undirviðmið!$G$6:$G$105,(COLUMN()-7)/2+1)="Starfsbundið",INDEX(Undirviðmið!$B$6:$B$105,(COLUMN()-7)/2+1),"")</f>
        <v/>
      </c>
      <c r="X5" s="24"/>
      <c r="Y5" s="24" t="str">
        <f aca="false">IF(INDEX(Undirviðmið!$G$6:$G$105,(COLUMN()-7)/2+1)="Starfsbundið",INDEX(Undirviðmið!$B$6:$B$105,(COLUMN()-7)/2+1),"")</f>
        <v/>
      </c>
      <c r="Z5" s="24"/>
      <c r="AA5" s="24" t="str">
        <f aca="false">IF(INDEX(Undirviðmið!$G$6:$G$105,(COLUMN()-7)/2+1)="Starfsbundið",INDEX(Undirviðmið!$B$6:$B$105,(COLUMN()-7)/2+1),"")</f>
        <v/>
      </c>
      <c r="AB5" s="24"/>
      <c r="AC5" s="24" t="str">
        <f aca="false">IF(INDEX(Undirviðmið!$G$6:$G$105,(COLUMN()-7)/2+1)="Starfsbundið",INDEX(Undirviðmið!$B$6:$B$105,(COLUMN()-7)/2+1),"")</f>
        <v/>
      </c>
      <c r="AD5" s="24"/>
      <c r="AE5" s="24" t="str">
        <f aca="false">IF(INDEX(Undirviðmið!$G$6:$G$105,(COLUMN()-7)/2+1)="Starfsbundið",INDEX(Undirviðmið!$B$6:$B$105,(COLUMN()-7)/2+1),"")</f>
        <v/>
      </c>
      <c r="AF5" s="24"/>
      <c r="AG5" s="24" t="str">
        <f aca="false">IF(INDEX(Undirviðmið!$G$6:$G$105,(COLUMN()-7)/2+1)="Starfsbundið",INDEX(Undirviðmið!$B$6:$B$105,(COLUMN()-7)/2+1),"")</f>
        <v/>
      </c>
      <c r="AH5" s="24"/>
      <c r="AI5" s="24" t="str">
        <f aca="false">IF(INDEX(Undirviðmið!$G$6:$G$105,(COLUMN()-7)/2+1)="Starfsbundið",INDEX(Undirviðmið!$B$6:$B$105,(COLUMN()-7)/2+1),"")</f>
        <v/>
      </c>
      <c r="AJ5" s="24"/>
      <c r="AK5" s="24" t="str">
        <f aca="false">IF(INDEX(Undirviðmið!$G$6:$G$105,(COLUMN()-7)/2+1)="Starfsbundið",INDEX(Undirviðmið!$B$6:$B$105,(COLUMN()-7)/2+1),"")</f>
        <v/>
      </c>
      <c r="AL5" s="24"/>
      <c r="AM5" s="24" t="str">
        <f aca="false">IF(INDEX(Undirviðmið!$G$6:$G$105,(COLUMN()-7)/2+1)="Starfsbundið",INDEX(Undirviðmið!$B$6:$B$105,(COLUMN()-7)/2+1),"")</f>
        <v/>
      </c>
      <c r="AN5" s="24"/>
      <c r="AO5" s="24" t="str">
        <f aca="false">IF(INDEX(Undirviðmið!$G$6:$G$105,(COLUMN()-7)/2+1)="Starfsbundið",INDEX(Undirviðmið!$B$6:$B$105,(COLUMN()-7)/2+1),"")</f>
        <v/>
      </c>
      <c r="AP5" s="24"/>
      <c r="AQ5" s="24" t="str">
        <f aca="false">IF(INDEX(Undirviðmið!$G$6:$G$105,(COLUMN()-7)/2+1)="Starfsbundið",INDEX(Undirviðmið!$B$6:$B$105,(COLUMN()-7)/2+1),"")</f>
        <v/>
      </c>
      <c r="AR5" s="24"/>
      <c r="AS5" s="24" t="str">
        <f aca="false">IF(INDEX(Undirviðmið!$G$6:$G$105,(COLUMN()-7)/2+1)="Starfsbundið",INDEX(Undirviðmið!$B$6:$B$105,(COLUMN()-7)/2+1),"")</f>
        <v/>
      </c>
      <c r="AT5" s="24"/>
      <c r="AU5" s="24" t="str">
        <f aca="false">IF(INDEX(Undirviðmið!$G$6:$G$105,(COLUMN()-7)/2+1)="Starfsbundið",INDEX(Undirviðmið!$B$6:$B$105,(COLUMN()-7)/2+1),"")</f>
        <v/>
      </c>
      <c r="AV5" s="24"/>
      <c r="AW5" s="24" t="str">
        <f aca="false">IF(INDEX(Undirviðmið!$G$6:$G$105,(COLUMN()-7)/2+1)="Starfsbundið",INDEX(Undirviðmið!$B$6:$B$105,(COLUMN()-7)/2+1),"")</f>
        <v/>
      </c>
      <c r="AX5" s="24"/>
      <c r="AY5" s="24" t="str">
        <f aca="false">IF(INDEX(Undirviðmið!$G$6:$G$105,(COLUMN()-7)/2+1)="Starfsbundið",INDEX(Undirviðmið!$B$6:$B$105,(COLUMN()-7)/2+1),"")</f>
        <v/>
      </c>
      <c r="AZ5" s="24"/>
      <c r="BA5" s="24" t="str">
        <f aca="false">IF(INDEX(Undirviðmið!$G$6:$G$105,(COLUMN()-7)/2+1)="Starfsbundið",INDEX(Undirviðmið!$B$6:$B$105,(COLUMN()-7)/2+1),"")</f>
        <v/>
      </c>
      <c r="BB5" s="24"/>
      <c r="BC5" s="24" t="str">
        <f aca="false">IF(INDEX(Undirviðmið!$G$6:$G$105,(COLUMN()-7)/2+1)="Starfsbundið",INDEX(Undirviðmið!$B$6:$B$105,(COLUMN()-7)/2+1),"")</f>
        <v/>
      </c>
      <c r="BD5" s="24"/>
      <c r="BE5" s="24" t="str">
        <f aca="false">IF(INDEX(Undirviðmið!$G$6:$G$105,(COLUMN()-7)/2+1)="Starfsbundið",INDEX(Undirviðmið!$B$6:$B$105,(COLUMN()-7)/2+1),"")</f>
        <v/>
      </c>
      <c r="BF5" s="24"/>
      <c r="BG5" s="24" t="str">
        <f aca="false">IF(INDEX(Undirviðmið!$G$6:$G$105,(COLUMN()-7)/2+1)="Starfsbundið",INDEX(Undirviðmið!$B$6:$B$105,(COLUMN()-7)/2+1),"")</f>
        <v/>
      </c>
      <c r="BH5" s="24"/>
      <c r="BI5" s="24" t="str">
        <f aca="false">IF(INDEX(Undirviðmið!$G$6:$G$105,(COLUMN()-7)/2+1)="Starfsbundið",INDEX(Undirviðmið!$B$6:$B$105,(COLUMN()-7)/2+1),"")</f>
        <v/>
      </c>
      <c r="BJ5" s="24"/>
      <c r="BK5" s="24" t="str">
        <f aca="false">IF(INDEX(Undirviðmið!$G$6:$G$105,(COLUMN()-7)/2+1)="Starfsbundið",INDEX(Undirviðmið!$B$6:$B$105,(COLUMN()-7)/2+1),"")</f>
        <v/>
      </c>
      <c r="BL5" s="24"/>
      <c r="BM5" s="24" t="str">
        <f aca="false">IF(INDEX(Undirviðmið!$G$6:$G$105,(COLUMN()-7)/2+1)="Starfsbundið",INDEX(Undirviðmið!$B$6:$B$105,(COLUMN()-7)/2+1),"")</f>
        <v/>
      </c>
      <c r="BN5" s="24"/>
      <c r="BO5" s="24" t="str">
        <f aca="false">IF(INDEX(Undirviðmið!$G$6:$G$105,(COLUMN()-7)/2+1)="Starfsbundið",INDEX(Undirviðmið!$B$6:$B$105,(COLUMN()-7)/2+1),"")</f>
        <v/>
      </c>
      <c r="BP5" s="24"/>
      <c r="BQ5" s="24" t="str">
        <f aca="false">IF(INDEX(Undirviðmið!$G$6:$G$105,(COLUMN()-7)/2+1)="Starfsbundið",INDEX(Undirviðmið!$B$6:$B$105,(COLUMN()-7)/2+1),"")</f>
        <v/>
      </c>
      <c r="BR5" s="24"/>
      <c r="BS5" s="24" t="str">
        <f aca="false">IF(INDEX(Undirviðmið!$G$6:$G$105,(COLUMN()-7)/2+1)="Starfsbundið",INDEX(Undirviðmið!$B$6:$B$105,(COLUMN()-7)/2+1),"")</f>
        <v/>
      </c>
      <c r="BT5" s="24"/>
      <c r="BU5" s="24" t="str">
        <f aca="false">IF(INDEX(Undirviðmið!$G$6:$G$105,(COLUMN()-7)/2+1)="Starfsbundið",INDEX(Undirviðmið!$B$6:$B$105,(COLUMN()-7)/2+1),"")</f>
        <v/>
      </c>
      <c r="BV5" s="24"/>
      <c r="BW5" s="24" t="str">
        <f aca="false">IF(INDEX(Undirviðmið!$G$6:$G$105,(COLUMN()-7)/2+1)="Starfsbundið",INDEX(Undirviðmið!$B$6:$B$105,(COLUMN()-7)/2+1),"")</f>
        <v/>
      </c>
      <c r="BX5" s="24"/>
      <c r="BY5" s="24" t="str">
        <f aca="false">IF(INDEX(Undirviðmið!$G$6:$G$105,(COLUMN()-7)/2+1)="Starfsbundið",INDEX(Undirviðmið!$B$6:$B$105,(COLUMN()-7)/2+1),"")</f>
        <v/>
      </c>
      <c r="BZ5" s="24"/>
      <c r="CA5" s="24" t="str">
        <f aca="false">IF(INDEX(Undirviðmið!$G$6:$G$105,(COLUMN()-7)/2+1)="Starfsbundið",INDEX(Undirviðmið!$B$6:$B$105,(COLUMN()-7)/2+1),"")</f>
        <v/>
      </c>
      <c r="CB5" s="24"/>
      <c r="CC5" s="24" t="str">
        <f aca="false">IF(INDEX(Undirviðmið!$G$6:$G$105,(COLUMN()-7)/2+1)="Starfsbundið",INDEX(Undirviðmið!$B$6:$B$105,(COLUMN()-7)/2+1),"")</f>
        <v/>
      </c>
      <c r="CD5" s="24"/>
      <c r="CE5" s="24" t="str">
        <f aca="false">IF(INDEX(Undirviðmið!$G$6:$G$105,(COLUMN()-7)/2+1)="Starfsbundið",INDEX(Undirviðmið!$B$6:$B$105,(COLUMN()-7)/2+1),"")</f>
        <v/>
      </c>
      <c r="CF5" s="24"/>
      <c r="CG5" s="24" t="str">
        <f aca="false">IF(INDEX(Undirviðmið!$G$6:$G$105,(COLUMN()-7)/2+1)="Starfsbundið",INDEX(Undirviðmið!$B$6:$B$105,(COLUMN()-7)/2+1),"")</f>
        <v/>
      </c>
      <c r="CH5" s="24"/>
      <c r="CI5" s="24" t="str">
        <f aca="false">IF(INDEX(Undirviðmið!$G$6:$G$105,(COLUMN()-7)/2+1)="Starfsbundið",INDEX(Undirviðmið!$B$6:$B$105,(COLUMN()-7)/2+1),"")</f>
        <v/>
      </c>
      <c r="CJ5" s="24"/>
      <c r="CK5" s="24" t="str">
        <f aca="false">IF(INDEX(Undirviðmið!$G$6:$G$105,(COLUMN()-7)/2+1)="Starfsbundið",INDEX(Undirviðmið!$B$6:$B$105,(COLUMN()-7)/2+1),"")</f>
        <v/>
      </c>
      <c r="CL5" s="24"/>
      <c r="CM5" s="24" t="str">
        <f aca="false">IF(INDEX(Undirviðmið!$G$6:$G$105,(COLUMN()-7)/2+1)="Starfsbundið",INDEX(Undirviðmið!$B$6:$B$105,(COLUMN()-7)/2+1),"")</f>
        <v/>
      </c>
      <c r="CN5" s="24"/>
      <c r="CO5" s="24" t="str">
        <f aca="false">IF(INDEX(Undirviðmið!$G$6:$G$105,(COLUMN()-7)/2+1)="Starfsbundið",INDEX(Undirviðmið!$B$6:$B$105,(COLUMN()-7)/2+1),"")</f>
        <v/>
      </c>
      <c r="CP5" s="24"/>
      <c r="CQ5" s="24" t="str">
        <f aca="false">IF(INDEX(Undirviðmið!$G$6:$G$105,(COLUMN()-7)/2+1)="Starfsbundið",INDEX(Undirviðmið!$B$6:$B$105,(COLUMN()-7)/2+1),"")</f>
        <v/>
      </c>
      <c r="CR5" s="24"/>
      <c r="CS5" s="24" t="str">
        <f aca="false">IF(INDEX(Undirviðmið!$G$6:$G$105,(COLUMN()-7)/2+1)="Starfsbundið",INDEX(Undirviðmið!$B$6:$B$105,(COLUMN()-7)/2+1),"")</f>
        <v/>
      </c>
      <c r="CT5" s="24"/>
      <c r="CU5" s="24" t="str">
        <f aca="false">IF(INDEX(Undirviðmið!$G$6:$G$105,(COLUMN()-7)/2+1)="Starfsbundið",INDEX(Undirviðmið!$B$6:$B$105,(COLUMN()-7)/2+1),"")</f>
        <v/>
      </c>
      <c r="CV5" s="24"/>
      <c r="CW5" s="24" t="str">
        <f aca="false">IF(INDEX(Undirviðmið!$G$6:$G$105,(COLUMN()-7)/2+1)="Starfsbundið",INDEX(Undirviðmið!$B$6:$B$105,(COLUMN()-7)/2+1),"")</f>
        <v/>
      </c>
      <c r="CX5" s="24"/>
      <c r="CY5" s="24" t="str">
        <f aca="false">IF(INDEX(Undirviðmið!$G$6:$G$105,(COLUMN()-7)/2+1)="Starfsbundið",INDEX(Undirviðmið!$B$6:$B$105,(COLUMN()-7)/2+1),"")</f>
        <v/>
      </c>
      <c r="CZ5" s="24"/>
      <c r="DA5" s="24" t="str">
        <f aca="false">IF(INDEX(Undirviðmið!$G$6:$G$105,(COLUMN()-7)/2+1)="Starfsbundið",INDEX(Undirviðmið!$B$6:$B$105,(COLUMN()-7)/2+1),"")</f>
        <v/>
      </c>
      <c r="DB5" s="24"/>
      <c r="DC5" s="24" t="str">
        <f aca="false">IF(INDEX(Undirviðmið!$G$6:$G$105,(COLUMN()-7)/2+1)="Starfsbundið",INDEX(Undirviðmið!$B$6:$B$105,(COLUMN()-7)/2+1),"")</f>
        <v/>
      </c>
      <c r="DD5" s="24"/>
      <c r="DE5" s="24" t="str">
        <f aca="false">IF(INDEX(Undirviðmið!$G$6:$G$105,(COLUMN()-7)/2+1)="Starfsbundið",INDEX(Undirviðmið!$B$6:$B$105,(COLUMN()-7)/2+1),"")</f>
        <v/>
      </c>
      <c r="DF5" s="24"/>
      <c r="DG5" s="24" t="str">
        <f aca="false">IF(INDEX(Undirviðmið!$G$6:$G$105,(COLUMN()-7)/2+1)="Starfsbundið",INDEX(Undirviðmið!$B$6:$B$105,(COLUMN()-7)/2+1),"")</f>
        <v/>
      </c>
      <c r="DH5" s="24"/>
      <c r="DI5" s="24" t="str">
        <f aca="false">IF(INDEX(Undirviðmið!$G$6:$G$105,(COLUMN()-7)/2+1)="Starfsbundið",INDEX(Undirviðmið!$B$6:$B$105,(COLUMN()-7)/2+1),"")</f>
        <v/>
      </c>
      <c r="DJ5" s="24"/>
      <c r="DK5" s="24" t="str">
        <f aca="false">IF(INDEX(Undirviðmið!$G$6:$G$105,(COLUMN()-7)/2+1)="Starfsbundið",INDEX(Undirviðmið!$B$6:$B$105,(COLUMN()-7)/2+1),"")</f>
        <v/>
      </c>
      <c r="DL5" s="24"/>
      <c r="DM5" s="24" t="str">
        <f aca="false">IF(INDEX(Undirviðmið!$G$6:$G$105,(COLUMN()-7)/2+1)="Starfsbundið",INDEX(Undirviðmið!$B$6:$B$105,(COLUMN()-7)/2+1),"")</f>
        <v/>
      </c>
      <c r="DN5" s="24"/>
      <c r="DO5" s="24" t="str">
        <f aca="false">IF(INDEX(Undirviðmið!$G$6:$G$105,(COLUMN()-7)/2+1)="Starfsbundið",INDEX(Undirviðmið!$B$6:$B$105,(COLUMN()-7)/2+1),"")</f>
        <v/>
      </c>
      <c r="DP5" s="24"/>
      <c r="DQ5" s="24" t="str">
        <f aca="false">IF(INDEX(Undirviðmið!$G$6:$G$105,(COLUMN()-7)/2+1)="Starfsbundið",INDEX(Undirviðmið!$B$6:$B$105,(COLUMN()-7)/2+1),"")</f>
        <v/>
      </c>
      <c r="DR5" s="24"/>
      <c r="DS5" s="24" t="str">
        <f aca="false">IF(INDEX(Undirviðmið!$G$6:$G$105,(COLUMN()-7)/2+1)="Starfsbundið",INDEX(Undirviðmið!$B$6:$B$105,(COLUMN()-7)/2+1),"")</f>
        <v/>
      </c>
      <c r="DT5" s="24"/>
      <c r="DU5" s="24" t="str">
        <f aca="false">IF(INDEX(Undirviðmið!$G$6:$G$105,(COLUMN()-7)/2+1)="Starfsbundið",INDEX(Undirviðmið!$B$6:$B$105,(COLUMN()-7)/2+1),"")</f>
        <v/>
      </c>
      <c r="DV5" s="24"/>
      <c r="DW5" s="24" t="str">
        <f aca="false">IF(INDEX(Undirviðmið!$G$6:$G$105,(COLUMN()-7)/2+1)="Starfsbundið",INDEX(Undirviðmið!$B$6:$B$105,(COLUMN()-7)/2+1),"")</f>
        <v/>
      </c>
      <c r="DX5" s="24"/>
      <c r="DY5" s="24" t="str">
        <f aca="false">IF(INDEX(Undirviðmið!$G$6:$G$105,(COLUMN()-7)/2+1)="Starfsbundið",INDEX(Undirviðmið!$B$6:$B$105,(COLUMN()-7)/2+1),"")</f>
        <v/>
      </c>
      <c r="DZ5" s="24"/>
      <c r="EA5" s="24" t="str">
        <f aca="false">IF(INDEX(Undirviðmið!$G$6:$G$105,(COLUMN()-7)/2+1)="Starfsbundið",INDEX(Undirviðmið!$B$6:$B$105,(COLUMN()-7)/2+1),"")</f>
        <v/>
      </c>
      <c r="EB5" s="24"/>
      <c r="EC5" s="24" t="str">
        <f aca="false">IF(INDEX(Undirviðmið!$G$6:$G$105,(COLUMN()-7)/2+1)="Starfsbundið",INDEX(Undirviðmið!$B$6:$B$105,(COLUMN()-7)/2+1),"")</f>
        <v/>
      </c>
      <c r="ED5" s="24"/>
      <c r="EE5" s="24" t="str">
        <f aca="false">IF(INDEX(Undirviðmið!$G$6:$G$105,(COLUMN()-7)/2+1)="Starfsbundið",INDEX(Undirviðmið!$B$6:$B$105,(COLUMN()-7)/2+1),"")</f>
        <v/>
      </c>
      <c r="EF5" s="24"/>
      <c r="EG5" s="24" t="str">
        <f aca="false">IF(INDEX(Undirviðmið!$G$6:$G$105,(COLUMN()-7)/2+1)="Starfsbundið",INDEX(Undirviðmið!$B$6:$B$105,(COLUMN()-7)/2+1),"")</f>
        <v/>
      </c>
      <c r="EH5" s="24"/>
      <c r="EI5" s="24" t="str">
        <f aca="false">IF(INDEX(Undirviðmið!$G$6:$G$105,(COLUMN()-7)/2+1)="Starfsbundið",INDEX(Undirviðmið!$B$6:$B$105,(COLUMN()-7)/2+1),"")</f>
        <v/>
      </c>
      <c r="EJ5" s="24"/>
      <c r="EK5" s="24" t="str">
        <f aca="false">IF(INDEX(Undirviðmið!$G$6:$G$105,(COLUMN()-7)/2+1)="Starfsbundið",INDEX(Undirviðmið!$B$6:$B$105,(COLUMN()-7)/2+1),"")</f>
        <v/>
      </c>
      <c r="EL5" s="24"/>
      <c r="EM5" s="24" t="str">
        <f aca="false">IF(INDEX(Undirviðmið!$G$6:$G$105,(COLUMN()-7)/2+1)="Starfsbundið",INDEX(Undirviðmið!$B$6:$B$105,(COLUMN()-7)/2+1),"")</f>
        <v/>
      </c>
      <c r="EN5" s="24"/>
      <c r="EO5" s="24" t="str">
        <f aca="false">IF(INDEX(Undirviðmið!$G$6:$G$105,(COLUMN()-7)/2+1)="Starfsbundið",INDEX(Undirviðmið!$B$6:$B$105,(COLUMN()-7)/2+1),"")</f>
        <v/>
      </c>
      <c r="EP5" s="24"/>
      <c r="EQ5" s="24" t="str">
        <f aca="false">IF(INDEX(Undirviðmið!$G$6:$G$105,(COLUMN()-7)/2+1)="Starfsbundið",INDEX(Undirviðmið!$B$6:$B$105,(COLUMN()-7)/2+1),"")</f>
        <v/>
      </c>
      <c r="ER5" s="24"/>
      <c r="ES5" s="24" t="str">
        <f aca="false">IF(INDEX(Undirviðmið!$G$6:$G$105,(COLUMN()-7)/2+1)="Starfsbundið",INDEX(Undirviðmið!$B$6:$B$105,(COLUMN()-7)/2+1),"")</f>
        <v/>
      </c>
      <c r="ET5" s="24"/>
      <c r="EU5" s="24" t="str">
        <f aca="false">IF(INDEX(Undirviðmið!$G$6:$G$105,(COLUMN()-7)/2+1)="Starfsbundið",INDEX(Undirviðmið!$B$6:$B$105,(COLUMN()-7)/2+1),"")</f>
        <v/>
      </c>
      <c r="EV5" s="24"/>
      <c r="EW5" s="24" t="str">
        <f aca="false">IF(INDEX(Undirviðmið!$G$6:$G$105,(COLUMN()-7)/2+1)="Starfsbundið",INDEX(Undirviðmið!$B$6:$B$105,(COLUMN()-7)/2+1),"")</f>
        <v/>
      </c>
      <c r="EX5" s="24"/>
      <c r="EY5" s="24" t="str">
        <f aca="false">IF(INDEX(Undirviðmið!$G$6:$G$105,(COLUMN()-7)/2+1)="Starfsbundið",INDEX(Undirviðmið!$B$6:$B$105,(COLUMN()-7)/2+1),"")</f>
        <v/>
      </c>
      <c r="EZ5" s="24"/>
      <c r="FA5" s="24" t="str">
        <f aca="false">IF(INDEX(Undirviðmið!$G$6:$G$105,(COLUMN()-7)/2+1)="Starfsbundið",INDEX(Undirviðmið!$B$6:$B$105,(COLUMN()-7)/2+1),"")</f>
        <v/>
      </c>
      <c r="FB5" s="24"/>
      <c r="FC5" s="24" t="str">
        <f aca="false">IF(INDEX(Undirviðmið!$G$6:$G$105,(COLUMN()-7)/2+1)="Starfsbundið",INDEX(Undirviðmið!$B$6:$B$105,(COLUMN()-7)/2+1),"")</f>
        <v/>
      </c>
      <c r="FD5" s="24"/>
      <c r="FE5" s="24" t="str">
        <f aca="false">IF(INDEX(Undirviðmið!$G$6:$G$105,(COLUMN()-7)/2+1)="Starfsbundið",INDEX(Undirviðmið!$B$6:$B$105,(COLUMN()-7)/2+1),"")</f>
        <v/>
      </c>
      <c r="FF5" s="24"/>
      <c r="FG5" s="24" t="str">
        <f aca="false">IF(INDEX(Undirviðmið!$G$6:$G$105,(COLUMN()-7)/2+1)="Starfsbundið",INDEX(Undirviðmið!$B$6:$B$105,(COLUMN()-7)/2+1),"")</f>
        <v/>
      </c>
      <c r="FH5" s="24"/>
      <c r="FI5" s="24" t="str">
        <f aca="false">IF(INDEX(Undirviðmið!$G$6:$G$105,(COLUMN()-7)/2+1)="Starfsbundið",INDEX(Undirviðmið!$B$6:$B$105,(COLUMN()-7)/2+1),"")</f>
        <v/>
      </c>
      <c r="FJ5" s="24"/>
      <c r="FK5" s="24" t="str">
        <f aca="false">IF(INDEX(Undirviðmið!$G$6:$G$105,(COLUMN()-7)/2+1)="Starfsbundið",INDEX(Undirviðmið!$B$6:$B$105,(COLUMN()-7)/2+1),"")</f>
        <v/>
      </c>
      <c r="FL5" s="24"/>
      <c r="FM5" s="24" t="str">
        <f aca="false">IF(INDEX(Undirviðmið!$G$6:$G$105,(COLUMN()-7)/2+1)="Starfsbundið",INDEX(Undirviðmið!$B$6:$B$105,(COLUMN()-7)/2+1),"")</f>
        <v/>
      </c>
      <c r="FN5" s="24"/>
      <c r="FO5" s="24" t="str">
        <f aca="false">IF(INDEX(Undirviðmið!$G$6:$G$105,(COLUMN()-7)/2+1)="Starfsbundið",INDEX(Undirviðmið!$B$6:$B$105,(COLUMN()-7)/2+1),"")</f>
        <v/>
      </c>
      <c r="FP5" s="24"/>
      <c r="FQ5" s="24" t="str">
        <f aca="false">IF(INDEX(Undirviðmið!$G$6:$G$105,(COLUMN()-7)/2+1)="Starfsbundið",INDEX(Undirviðmið!$B$6:$B$105,(COLUMN()-7)/2+1),"")</f>
        <v/>
      </c>
      <c r="FR5" s="24"/>
      <c r="FS5" s="24" t="str">
        <f aca="false">IF(INDEX(Undirviðmið!$G$6:$G$105,(COLUMN()-7)/2+1)="Starfsbundið",INDEX(Undirviðmið!$B$6:$B$105,(COLUMN()-7)/2+1),"")</f>
        <v/>
      </c>
      <c r="FT5" s="24"/>
      <c r="FU5" s="24" t="str">
        <f aca="false">IF(INDEX(Undirviðmið!$G$6:$G$105,(COLUMN()-7)/2+1)="Starfsbundið",INDEX(Undirviðmið!$B$6:$B$105,(COLUMN()-7)/2+1),"")</f>
        <v/>
      </c>
      <c r="FV5" s="24"/>
      <c r="FW5" s="24" t="str">
        <f aca="false">IF(INDEX(Undirviðmið!$G$6:$G$105,(COLUMN()-7)/2+1)="Starfsbundið",INDEX(Undirviðmið!$B$6:$B$105,(COLUMN()-7)/2+1),"")</f>
        <v/>
      </c>
      <c r="FX5" s="24"/>
      <c r="FY5" s="24" t="str">
        <f aca="false">IF(INDEX(Undirviðmið!$G$6:$G$105,(COLUMN()-7)/2+1)="Starfsbundið",INDEX(Undirviðmið!$B$6:$B$105,(COLUMN()-7)/2+1),"")</f>
        <v/>
      </c>
      <c r="FZ5" s="24"/>
      <c r="GA5" s="24" t="str">
        <f aca="false">IF(INDEX(Undirviðmið!$G$6:$G$105,(COLUMN()-7)/2+1)="Starfsbundið",INDEX(Undirviðmið!$B$6:$B$105,(COLUMN()-7)/2+1),"")</f>
        <v/>
      </c>
      <c r="GB5" s="24"/>
      <c r="GC5" s="24" t="str">
        <f aca="false">IF(INDEX(Undirviðmið!$G$6:$G$105,(COLUMN()-7)/2+1)="Starfsbundið",INDEX(Undirviðmið!$B$6:$B$105,(COLUMN()-7)/2+1),"")</f>
        <v/>
      </c>
      <c r="GD5" s="24"/>
      <c r="GE5" s="24" t="str">
        <f aca="false">IF(INDEX(Undirviðmið!$G$6:$G$105,(COLUMN()-7)/2+1)="Starfsbundið",INDEX(Undirviðmið!$B$6:$B$105,(COLUMN()-7)/2+1),"")</f>
        <v/>
      </c>
      <c r="GF5" s="24"/>
      <c r="GG5" s="24" t="str">
        <f aca="false">IF(INDEX(Undirviðmið!$G$6:$G$105,(COLUMN()-7)/2+1)="Starfsbundið",INDEX(Undirviðmið!$B$6:$B$105,(COLUMN()-7)/2+1),"")</f>
        <v/>
      </c>
      <c r="GH5" s="24"/>
      <c r="GI5" s="24" t="str">
        <f aca="false">IF(INDEX(Undirviðmið!$G$6:$G$105,(COLUMN()-7)/2+1)="Starfsbundið",INDEX(Undirviðmið!$B$6:$B$105,(COLUMN()-7)/2+1),"")</f>
        <v/>
      </c>
      <c r="GJ5" s="24"/>
      <c r="GK5" s="24" t="str">
        <f aca="false">IF(INDEX(Undirviðmið!$G$6:$G$105,(COLUMN()-7)/2+1)="Starfsbundið",INDEX(Undirviðmið!$B$6:$B$105,(COLUMN()-7)/2+1),"")</f>
        <v/>
      </c>
      <c r="GL5" s="24"/>
      <c r="GM5" s="24" t="str">
        <f aca="false">IF(INDEX(Undirviðmið!$G$6:$G$105,(COLUMN()-7)/2+1)="Starfsbundið",INDEX(Undirviðmið!$B$6:$B$105,(COLUMN()-7)/2+1),"")</f>
        <v/>
      </c>
      <c r="GN5" s="24"/>
      <c r="GO5" s="24" t="str">
        <f aca="false">IF(INDEX(Undirviðmið!$G$6:$G$105,(COLUMN()-7)/2+1)="Starfsbundið",INDEX(Undirviðmið!$B$6:$B$105,(COLUMN()-7)/2+1),"")</f>
        <v/>
      </c>
      <c r="GP5" s="24"/>
      <c r="GQ5" s="24" t="str">
        <f aca="false">IF(INDEX(Undirviðmið!$G$6:$G$105,(COLUMN()-7)/2+1)="Starfsbundið",INDEX(Undirviðmið!$B$6:$B$105,(COLUMN()-7)/2+1),"")</f>
        <v/>
      </c>
      <c r="GR5" s="24"/>
      <c r="GS5" s="24" t="str">
        <f aca="false">IF(INDEX(Undirviðmið!$G$6:$G$105,(COLUMN()-7)/2+1)="Starfsbundið",INDEX(Undirviðmið!$B$6:$B$105,(COLUMN()-7)/2+1),"")</f>
        <v/>
      </c>
      <c r="GT5" s="24"/>
      <c r="GU5" s="24" t="str">
        <f aca="false">IF(INDEX(Undirviðmið!$G$6:$G$105,(COLUMN()-7)/2+1)="Starfsbundið",INDEX(Undirviðmið!$B$6:$B$105,(COLUMN()-7)/2+1),"")</f>
        <v/>
      </c>
      <c r="GV5" s="24"/>
      <c r="GW5" s="24" t="str">
        <f aca="false">IF(INDEX(Undirviðmið!$G$6:$G$105,(COLUMN()-7)/2+1)="Starfsbundið",INDEX(Undirviðmið!$B$6:$B$105,(COLUMN()-7)/2+1),"")</f>
        <v/>
      </c>
      <c r="GX5" s="24"/>
    </row>
    <row r="6" customFormat="false" ht="15" hidden="false" customHeight="true" outlineLevel="0" collapsed="false">
      <c r="B6" s="32" t="s">
        <v>5</v>
      </c>
      <c r="C6" s="32"/>
      <c r="D6" s="20"/>
      <c r="E6" s="20"/>
      <c r="F6" s="20"/>
      <c r="G6" s="24" t="str">
        <f aca="false">IF(INDEX(Undirviðmið!$G$6:$G$105,(COLUMN()-7)/2+1)="Starfsbundið",INDEX(Undirviðmið!$C$6:$C$105,(COLUMN()-7)/2+1),"")</f>
        <v/>
      </c>
      <c r="H6" s="24"/>
      <c r="I6" s="24" t="str">
        <f aca="false">IF(INDEX(Undirviðmið!$G$6:$G$105,(COLUMN()-7)/2+1)="Starfsbundið",INDEX(Undirviðmið!$C$6:$C$105,(COLUMN()-7)/2+1),"")</f>
        <v/>
      </c>
      <c r="J6" s="24"/>
      <c r="K6" s="24" t="str">
        <f aca="false">IF(INDEX(Undirviðmið!$G$6:$G$105,(COLUMN()-7)/2+1)="Starfsbundið",INDEX(Undirviðmið!$C$6:$C$105,(COLUMN()-7)/2+1),"")</f>
        <v/>
      </c>
      <c r="L6" s="24"/>
      <c r="M6" s="24" t="str">
        <f aca="false">IF(INDEX(Undirviðmið!$G$6:$G$105,(COLUMN()-7)/2+1)="Starfsbundið",INDEX(Undirviðmið!$C$6:$C$105,(COLUMN()-7)/2+1),"")</f>
        <v/>
      </c>
      <c r="N6" s="24"/>
      <c r="O6" s="24" t="str">
        <f aca="false">IF(INDEX(Undirviðmið!$G$6:$G$105,(COLUMN()-7)/2+1)="Starfsbundið",INDEX(Undirviðmið!$C$6:$C$105,(COLUMN()-7)/2+1),"")</f>
        <v/>
      </c>
      <c r="P6" s="24"/>
      <c r="Q6" s="24" t="str">
        <f aca="false">IF(INDEX(Undirviðmið!$G$6:$G$105,(COLUMN()-7)/2+1)="Starfsbundið",INDEX(Undirviðmið!$C$6:$C$105,(COLUMN()-7)/2+1),"")</f>
        <v/>
      </c>
      <c r="R6" s="24"/>
      <c r="S6" s="24" t="str">
        <f aca="false">IF(INDEX(Undirviðmið!$G$6:$G$105,(COLUMN()-7)/2+1)="Starfsbundið",INDEX(Undirviðmið!$C$6:$C$105,(COLUMN()-7)/2+1),"")</f>
        <v/>
      </c>
      <c r="T6" s="24"/>
      <c r="U6" s="24" t="str">
        <f aca="false">IF(INDEX(Undirviðmið!$G$6:$G$105,(COLUMN()-7)/2+1)="Starfsbundið",INDEX(Undirviðmið!$C$6:$C$105,(COLUMN()-7)/2+1),"")</f>
        <v/>
      </c>
      <c r="V6" s="24"/>
      <c r="W6" s="24" t="str">
        <f aca="false">IF(INDEX(Undirviðmið!$G$6:$G$105,(COLUMN()-7)/2+1)="Starfsbundið",INDEX(Undirviðmið!$C$6:$C$105,(COLUMN()-7)/2+1),"")</f>
        <v/>
      </c>
      <c r="X6" s="24"/>
      <c r="Y6" s="24" t="str">
        <f aca="false">IF(INDEX(Undirviðmið!$G$6:$G$105,(COLUMN()-7)/2+1)="Starfsbundið",INDEX(Undirviðmið!$C$6:$C$105,(COLUMN()-7)/2+1),"")</f>
        <v/>
      </c>
      <c r="Z6" s="24"/>
      <c r="AA6" s="24" t="str">
        <f aca="false">IF(INDEX(Undirviðmið!$G$6:$G$105,(COLUMN()-7)/2+1)="Starfsbundið",INDEX(Undirviðmið!$C$6:$C$105,(COLUMN()-7)/2+1),"")</f>
        <v/>
      </c>
      <c r="AB6" s="24"/>
      <c r="AC6" s="24" t="str">
        <f aca="false">IF(INDEX(Undirviðmið!$G$6:$G$105,(COLUMN()-7)/2+1)="Starfsbundið",INDEX(Undirviðmið!$C$6:$C$105,(COLUMN()-7)/2+1),"")</f>
        <v/>
      </c>
      <c r="AD6" s="24"/>
      <c r="AE6" s="24" t="str">
        <f aca="false">IF(INDEX(Undirviðmið!$G$6:$G$105,(COLUMN()-7)/2+1)="Starfsbundið",INDEX(Undirviðmið!$C$6:$C$105,(COLUMN()-7)/2+1),"")</f>
        <v/>
      </c>
      <c r="AF6" s="24"/>
      <c r="AG6" s="24" t="str">
        <f aca="false">IF(INDEX(Undirviðmið!$G$6:$G$105,(COLUMN()-7)/2+1)="Starfsbundið",INDEX(Undirviðmið!$C$6:$C$105,(COLUMN()-7)/2+1),"")</f>
        <v/>
      </c>
      <c r="AH6" s="24"/>
      <c r="AI6" s="24" t="str">
        <f aca="false">IF(INDEX(Undirviðmið!$G$6:$G$105,(COLUMN()-7)/2+1)="Starfsbundið",INDEX(Undirviðmið!$C$6:$C$105,(COLUMN()-7)/2+1),"")</f>
        <v/>
      </c>
      <c r="AJ6" s="24"/>
      <c r="AK6" s="24" t="str">
        <f aca="false">IF(INDEX(Undirviðmið!$G$6:$G$105,(COLUMN()-7)/2+1)="Starfsbundið",INDEX(Undirviðmið!$C$6:$C$105,(COLUMN()-7)/2+1),"")</f>
        <v/>
      </c>
      <c r="AL6" s="24"/>
      <c r="AM6" s="24" t="str">
        <f aca="false">IF(INDEX(Undirviðmið!$G$6:$G$105,(COLUMN()-7)/2+1)="Starfsbundið",INDEX(Undirviðmið!$C$6:$C$105,(COLUMN()-7)/2+1),"")</f>
        <v/>
      </c>
      <c r="AN6" s="24"/>
      <c r="AO6" s="24" t="str">
        <f aca="false">IF(INDEX(Undirviðmið!$G$6:$G$105,(COLUMN()-7)/2+1)="Starfsbundið",INDEX(Undirviðmið!$C$6:$C$105,(COLUMN()-7)/2+1),"")</f>
        <v/>
      </c>
      <c r="AP6" s="24"/>
      <c r="AQ6" s="24" t="str">
        <f aca="false">IF(INDEX(Undirviðmið!$G$6:$G$105,(COLUMN()-7)/2+1)="Starfsbundið",INDEX(Undirviðmið!$C$6:$C$105,(COLUMN()-7)/2+1),"")</f>
        <v/>
      </c>
      <c r="AR6" s="24"/>
      <c r="AS6" s="24" t="str">
        <f aca="false">IF(INDEX(Undirviðmið!$G$6:$G$105,(COLUMN()-7)/2+1)="Starfsbundið",INDEX(Undirviðmið!$C$6:$C$105,(COLUMN()-7)/2+1),"")</f>
        <v/>
      </c>
      <c r="AT6" s="24"/>
      <c r="AU6" s="24" t="str">
        <f aca="false">IF(INDEX(Undirviðmið!$G$6:$G$105,(COLUMN()-7)/2+1)="Starfsbundið",INDEX(Undirviðmið!$C$6:$C$105,(COLUMN()-7)/2+1),"")</f>
        <v/>
      </c>
      <c r="AV6" s="24"/>
      <c r="AW6" s="24" t="str">
        <f aca="false">IF(INDEX(Undirviðmið!$G$6:$G$105,(COLUMN()-7)/2+1)="Starfsbundið",INDEX(Undirviðmið!$C$6:$C$105,(COLUMN()-7)/2+1),"")</f>
        <v/>
      </c>
      <c r="AX6" s="24"/>
      <c r="AY6" s="24" t="str">
        <f aca="false">IF(INDEX(Undirviðmið!$G$6:$G$105,(COLUMN()-7)/2+1)="Starfsbundið",INDEX(Undirviðmið!$C$6:$C$105,(COLUMN()-7)/2+1),"")</f>
        <v/>
      </c>
      <c r="AZ6" s="24"/>
      <c r="BA6" s="24" t="str">
        <f aca="false">IF(INDEX(Undirviðmið!$G$6:$G$105,(COLUMN()-7)/2+1)="Starfsbundið",INDEX(Undirviðmið!$C$6:$C$105,(COLUMN()-7)/2+1),"")</f>
        <v/>
      </c>
      <c r="BB6" s="24"/>
      <c r="BC6" s="24" t="str">
        <f aca="false">IF(INDEX(Undirviðmið!$G$6:$G$105,(COLUMN()-7)/2+1)="Starfsbundið",INDEX(Undirviðmið!$C$6:$C$105,(COLUMN()-7)/2+1),"")</f>
        <v/>
      </c>
      <c r="BD6" s="24"/>
      <c r="BE6" s="24" t="str">
        <f aca="false">IF(INDEX(Undirviðmið!$G$6:$G$105,(COLUMN()-7)/2+1)="Starfsbundið",INDEX(Undirviðmið!$C$6:$C$105,(COLUMN()-7)/2+1),"")</f>
        <v/>
      </c>
      <c r="BF6" s="24"/>
      <c r="BG6" s="24" t="str">
        <f aca="false">IF(INDEX(Undirviðmið!$G$6:$G$105,(COLUMN()-7)/2+1)="Starfsbundið",INDEX(Undirviðmið!$C$6:$C$105,(COLUMN()-7)/2+1),"")</f>
        <v/>
      </c>
      <c r="BH6" s="24"/>
      <c r="BI6" s="24" t="str">
        <f aca="false">IF(INDEX(Undirviðmið!$G$6:$G$105,(COLUMN()-7)/2+1)="Starfsbundið",INDEX(Undirviðmið!$C$6:$C$105,(COLUMN()-7)/2+1),"")</f>
        <v/>
      </c>
      <c r="BJ6" s="24"/>
      <c r="BK6" s="24" t="str">
        <f aca="false">IF(INDEX(Undirviðmið!$G$6:$G$105,(COLUMN()-7)/2+1)="Starfsbundið",INDEX(Undirviðmið!$C$6:$C$105,(COLUMN()-7)/2+1),"")</f>
        <v/>
      </c>
      <c r="BL6" s="24"/>
      <c r="BM6" s="24" t="str">
        <f aca="false">IF(INDEX(Undirviðmið!$G$6:$G$105,(COLUMN()-7)/2+1)="Starfsbundið",INDEX(Undirviðmið!$C$6:$C$105,(COLUMN()-7)/2+1),"")</f>
        <v/>
      </c>
      <c r="BN6" s="24"/>
      <c r="BO6" s="24" t="str">
        <f aca="false">IF(INDEX(Undirviðmið!$G$6:$G$105,(COLUMN()-7)/2+1)="Starfsbundið",INDEX(Undirviðmið!$C$6:$C$105,(COLUMN()-7)/2+1),"")</f>
        <v/>
      </c>
      <c r="BP6" s="24"/>
      <c r="BQ6" s="24" t="str">
        <f aca="false">IF(INDEX(Undirviðmið!$G$6:$G$105,(COLUMN()-7)/2+1)="Starfsbundið",INDEX(Undirviðmið!$C$6:$C$105,(COLUMN()-7)/2+1),"")</f>
        <v/>
      </c>
      <c r="BR6" s="24"/>
      <c r="BS6" s="24" t="str">
        <f aca="false">IF(INDEX(Undirviðmið!$G$6:$G$105,(COLUMN()-7)/2+1)="Starfsbundið",INDEX(Undirviðmið!$C$6:$C$105,(COLUMN()-7)/2+1),"")</f>
        <v/>
      </c>
      <c r="BT6" s="24"/>
      <c r="BU6" s="24" t="str">
        <f aca="false">IF(INDEX(Undirviðmið!$G$6:$G$105,(COLUMN()-7)/2+1)="Starfsbundið",INDEX(Undirviðmið!$C$6:$C$105,(COLUMN()-7)/2+1),"")</f>
        <v/>
      </c>
      <c r="BV6" s="24"/>
      <c r="BW6" s="24" t="str">
        <f aca="false">IF(INDEX(Undirviðmið!$G$6:$G$105,(COLUMN()-7)/2+1)="Starfsbundið",INDEX(Undirviðmið!$C$6:$C$105,(COLUMN()-7)/2+1),"")</f>
        <v/>
      </c>
      <c r="BX6" s="24"/>
      <c r="BY6" s="24" t="str">
        <f aca="false">IF(INDEX(Undirviðmið!$G$6:$G$105,(COLUMN()-7)/2+1)="Starfsbundið",INDEX(Undirviðmið!$C$6:$C$105,(COLUMN()-7)/2+1),"")</f>
        <v/>
      </c>
      <c r="BZ6" s="24"/>
      <c r="CA6" s="24" t="str">
        <f aca="false">IF(INDEX(Undirviðmið!$G$6:$G$105,(COLUMN()-7)/2+1)="Starfsbundið",INDEX(Undirviðmið!$C$6:$C$105,(COLUMN()-7)/2+1),"")</f>
        <v/>
      </c>
      <c r="CB6" s="24"/>
      <c r="CC6" s="24" t="str">
        <f aca="false">IF(INDEX(Undirviðmið!$G$6:$G$105,(COLUMN()-7)/2+1)="Starfsbundið",INDEX(Undirviðmið!$C$6:$C$105,(COLUMN()-7)/2+1),"")</f>
        <v/>
      </c>
      <c r="CD6" s="24"/>
      <c r="CE6" s="24" t="str">
        <f aca="false">IF(INDEX(Undirviðmið!$G$6:$G$105,(COLUMN()-7)/2+1)="Starfsbundið",INDEX(Undirviðmið!$C$6:$C$105,(COLUMN()-7)/2+1),"")</f>
        <v/>
      </c>
      <c r="CF6" s="24"/>
      <c r="CG6" s="24" t="str">
        <f aca="false">IF(INDEX(Undirviðmið!$G$6:$G$105,(COLUMN()-7)/2+1)="Starfsbundið",INDEX(Undirviðmið!$C$6:$C$105,(COLUMN()-7)/2+1),"")</f>
        <v/>
      </c>
      <c r="CH6" s="24"/>
      <c r="CI6" s="24" t="str">
        <f aca="false">IF(INDEX(Undirviðmið!$G$6:$G$105,(COLUMN()-7)/2+1)="Starfsbundið",INDEX(Undirviðmið!$C$6:$C$105,(COLUMN()-7)/2+1),"")</f>
        <v/>
      </c>
      <c r="CJ6" s="24"/>
      <c r="CK6" s="24" t="str">
        <f aca="false">IF(INDEX(Undirviðmið!$G$6:$G$105,(COLUMN()-7)/2+1)="Starfsbundið",INDEX(Undirviðmið!$C$6:$C$105,(COLUMN()-7)/2+1),"")</f>
        <v/>
      </c>
      <c r="CL6" s="24"/>
      <c r="CM6" s="24" t="str">
        <f aca="false">IF(INDEX(Undirviðmið!$G$6:$G$105,(COLUMN()-7)/2+1)="Starfsbundið",INDEX(Undirviðmið!$C$6:$C$105,(COLUMN()-7)/2+1),"")</f>
        <v/>
      </c>
      <c r="CN6" s="24"/>
      <c r="CO6" s="24" t="str">
        <f aca="false">IF(INDEX(Undirviðmið!$G$6:$G$105,(COLUMN()-7)/2+1)="Starfsbundið",INDEX(Undirviðmið!$C$6:$C$105,(COLUMN()-7)/2+1),"")</f>
        <v/>
      </c>
      <c r="CP6" s="24"/>
      <c r="CQ6" s="24" t="str">
        <f aca="false">IF(INDEX(Undirviðmið!$G$6:$G$105,(COLUMN()-7)/2+1)="Starfsbundið",INDEX(Undirviðmið!$C$6:$C$105,(COLUMN()-7)/2+1),"")</f>
        <v/>
      </c>
      <c r="CR6" s="24"/>
      <c r="CS6" s="24" t="str">
        <f aca="false">IF(INDEX(Undirviðmið!$G$6:$G$105,(COLUMN()-7)/2+1)="Starfsbundið",INDEX(Undirviðmið!$C$6:$C$105,(COLUMN()-7)/2+1),"")</f>
        <v/>
      </c>
      <c r="CT6" s="24"/>
      <c r="CU6" s="24" t="str">
        <f aca="false">IF(INDEX(Undirviðmið!$G$6:$G$105,(COLUMN()-7)/2+1)="Starfsbundið",INDEX(Undirviðmið!$C$6:$C$105,(COLUMN()-7)/2+1),"")</f>
        <v/>
      </c>
      <c r="CV6" s="24"/>
      <c r="CW6" s="24" t="str">
        <f aca="false">IF(INDEX(Undirviðmið!$G$6:$G$105,(COLUMN()-7)/2+1)="Starfsbundið",INDEX(Undirviðmið!$C$6:$C$105,(COLUMN()-7)/2+1),"")</f>
        <v/>
      </c>
      <c r="CX6" s="24"/>
      <c r="CY6" s="24" t="str">
        <f aca="false">IF(INDEX(Undirviðmið!$G$6:$G$105,(COLUMN()-7)/2+1)="Starfsbundið",INDEX(Undirviðmið!$C$6:$C$105,(COLUMN()-7)/2+1),"")</f>
        <v/>
      </c>
      <c r="CZ6" s="24"/>
      <c r="DA6" s="24" t="str">
        <f aca="false">IF(INDEX(Undirviðmið!$G$6:$G$105,(COLUMN()-7)/2+1)="Starfsbundið",INDEX(Undirviðmið!$C$6:$C$105,(COLUMN()-7)/2+1),"")</f>
        <v/>
      </c>
      <c r="DB6" s="24"/>
      <c r="DC6" s="24" t="str">
        <f aca="false">IF(INDEX(Undirviðmið!$G$6:$G$105,(COLUMN()-7)/2+1)="Starfsbundið",INDEX(Undirviðmið!$C$6:$C$105,(COLUMN()-7)/2+1),"")</f>
        <v/>
      </c>
      <c r="DD6" s="24"/>
      <c r="DE6" s="24" t="str">
        <f aca="false">IF(INDEX(Undirviðmið!$G$6:$G$105,(COLUMN()-7)/2+1)="Starfsbundið",INDEX(Undirviðmið!$C$6:$C$105,(COLUMN()-7)/2+1),"")</f>
        <v/>
      </c>
      <c r="DF6" s="24"/>
      <c r="DG6" s="24" t="str">
        <f aca="false">IF(INDEX(Undirviðmið!$G$6:$G$105,(COLUMN()-7)/2+1)="Starfsbundið",INDEX(Undirviðmið!$C$6:$C$105,(COLUMN()-7)/2+1),"")</f>
        <v/>
      </c>
      <c r="DH6" s="24"/>
      <c r="DI6" s="24" t="str">
        <f aca="false">IF(INDEX(Undirviðmið!$G$6:$G$105,(COLUMN()-7)/2+1)="Starfsbundið",INDEX(Undirviðmið!$C$6:$C$105,(COLUMN()-7)/2+1),"")</f>
        <v/>
      </c>
      <c r="DJ6" s="24"/>
      <c r="DK6" s="24" t="str">
        <f aca="false">IF(INDEX(Undirviðmið!$G$6:$G$105,(COLUMN()-7)/2+1)="Starfsbundið",INDEX(Undirviðmið!$C$6:$C$105,(COLUMN()-7)/2+1),"")</f>
        <v/>
      </c>
      <c r="DL6" s="24"/>
      <c r="DM6" s="24" t="str">
        <f aca="false">IF(INDEX(Undirviðmið!$G$6:$G$105,(COLUMN()-7)/2+1)="Starfsbundið",INDEX(Undirviðmið!$C$6:$C$105,(COLUMN()-7)/2+1),"")</f>
        <v/>
      </c>
      <c r="DN6" s="24"/>
      <c r="DO6" s="24" t="str">
        <f aca="false">IF(INDEX(Undirviðmið!$G$6:$G$105,(COLUMN()-7)/2+1)="Starfsbundið",INDEX(Undirviðmið!$C$6:$C$105,(COLUMN()-7)/2+1),"")</f>
        <v/>
      </c>
      <c r="DP6" s="24"/>
      <c r="DQ6" s="24" t="str">
        <f aca="false">IF(INDEX(Undirviðmið!$G$6:$G$105,(COLUMN()-7)/2+1)="Starfsbundið",INDEX(Undirviðmið!$C$6:$C$105,(COLUMN()-7)/2+1),"")</f>
        <v/>
      </c>
      <c r="DR6" s="24"/>
      <c r="DS6" s="24" t="str">
        <f aca="false">IF(INDEX(Undirviðmið!$G$6:$G$105,(COLUMN()-7)/2+1)="Starfsbundið",INDEX(Undirviðmið!$C$6:$C$105,(COLUMN()-7)/2+1),"")</f>
        <v/>
      </c>
      <c r="DT6" s="24"/>
      <c r="DU6" s="24" t="str">
        <f aca="false">IF(INDEX(Undirviðmið!$G$6:$G$105,(COLUMN()-7)/2+1)="Starfsbundið",INDEX(Undirviðmið!$C$6:$C$105,(COLUMN()-7)/2+1),"")</f>
        <v/>
      </c>
      <c r="DV6" s="24"/>
      <c r="DW6" s="24" t="str">
        <f aca="false">IF(INDEX(Undirviðmið!$G$6:$G$105,(COLUMN()-7)/2+1)="Starfsbundið",INDEX(Undirviðmið!$C$6:$C$105,(COLUMN()-7)/2+1),"")</f>
        <v/>
      </c>
      <c r="DX6" s="24"/>
      <c r="DY6" s="24" t="str">
        <f aca="false">IF(INDEX(Undirviðmið!$G$6:$G$105,(COLUMN()-7)/2+1)="Starfsbundið",INDEX(Undirviðmið!$C$6:$C$105,(COLUMN()-7)/2+1),"")</f>
        <v/>
      </c>
      <c r="DZ6" s="24"/>
      <c r="EA6" s="24" t="str">
        <f aca="false">IF(INDEX(Undirviðmið!$G$6:$G$105,(COLUMN()-7)/2+1)="Starfsbundið",INDEX(Undirviðmið!$C$6:$C$105,(COLUMN()-7)/2+1),"")</f>
        <v/>
      </c>
      <c r="EB6" s="24"/>
      <c r="EC6" s="24" t="str">
        <f aca="false">IF(INDEX(Undirviðmið!$G$6:$G$105,(COLUMN()-7)/2+1)="Starfsbundið",INDEX(Undirviðmið!$C$6:$C$105,(COLUMN()-7)/2+1),"")</f>
        <v/>
      </c>
      <c r="ED6" s="24"/>
      <c r="EE6" s="24" t="str">
        <f aca="false">IF(INDEX(Undirviðmið!$G$6:$G$105,(COLUMN()-7)/2+1)="Starfsbundið",INDEX(Undirviðmið!$C$6:$C$105,(COLUMN()-7)/2+1),"")</f>
        <v/>
      </c>
      <c r="EF6" s="24"/>
      <c r="EG6" s="24" t="str">
        <f aca="false">IF(INDEX(Undirviðmið!$G$6:$G$105,(COLUMN()-7)/2+1)="Starfsbundið",INDEX(Undirviðmið!$C$6:$C$105,(COLUMN()-7)/2+1),"")</f>
        <v/>
      </c>
      <c r="EH6" s="24"/>
      <c r="EI6" s="24" t="str">
        <f aca="false">IF(INDEX(Undirviðmið!$G$6:$G$105,(COLUMN()-7)/2+1)="Starfsbundið",INDEX(Undirviðmið!$C$6:$C$105,(COLUMN()-7)/2+1),"")</f>
        <v/>
      </c>
      <c r="EJ6" s="24"/>
      <c r="EK6" s="24" t="str">
        <f aca="false">IF(INDEX(Undirviðmið!$G$6:$G$105,(COLUMN()-7)/2+1)="Starfsbundið",INDEX(Undirviðmið!$C$6:$C$105,(COLUMN()-7)/2+1),"")</f>
        <v/>
      </c>
      <c r="EL6" s="24"/>
      <c r="EM6" s="24" t="str">
        <f aca="false">IF(INDEX(Undirviðmið!$G$6:$G$105,(COLUMN()-7)/2+1)="Starfsbundið",INDEX(Undirviðmið!$C$6:$C$105,(COLUMN()-7)/2+1),"")</f>
        <v/>
      </c>
      <c r="EN6" s="24"/>
      <c r="EO6" s="24" t="str">
        <f aca="false">IF(INDEX(Undirviðmið!$G$6:$G$105,(COLUMN()-7)/2+1)="Starfsbundið",INDEX(Undirviðmið!$C$6:$C$105,(COLUMN()-7)/2+1),"")</f>
        <v/>
      </c>
      <c r="EP6" s="24"/>
      <c r="EQ6" s="24" t="str">
        <f aca="false">IF(INDEX(Undirviðmið!$G$6:$G$105,(COLUMN()-7)/2+1)="Starfsbundið",INDEX(Undirviðmið!$C$6:$C$105,(COLUMN()-7)/2+1),"")</f>
        <v/>
      </c>
      <c r="ER6" s="24"/>
      <c r="ES6" s="24" t="str">
        <f aca="false">IF(INDEX(Undirviðmið!$G$6:$G$105,(COLUMN()-7)/2+1)="Starfsbundið",INDEX(Undirviðmið!$C$6:$C$105,(COLUMN()-7)/2+1),"")</f>
        <v/>
      </c>
      <c r="ET6" s="24"/>
      <c r="EU6" s="24" t="str">
        <f aca="false">IF(INDEX(Undirviðmið!$G$6:$G$105,(COLUMN()-7)/2+1)="Starfsbundið",INDEX(Undirviðmið!$C$6:$C$105,(COLUMN()-7)/2+1),"")</f>
        <v/>
      </c>
      <c r="EV6" s="24"/>
      <c r="EW6" s="24" t="str">
        <f aca="false">IF(INDEX(Undirviðmið!$G$6:$G$105,(COLUMN()-7)/2+1)="Starfsbundið",INDEX(Undirviðmið!$C$6:$C$105,(COLUMN()-7)/2+1),"")</f>
        <v/>
      </c>
      <c r="EX6" s="24"/>
      <c r="EY6" s="24" t="str">
        <f aca="false">IF(INDEX(Undirviðmið!$G$6:$G$105,(COLUMN()-7)/2+1)="Starfsbundið",INDEX(Undirviðmið!$C$6:$C$105,(COLUMN()-7)/2+1),"")</f>
        <v/>
      </c>
      <c r="EZ6" s="24"/>
      <c r="FA6" s="24" t="str">
        <f aca="false">IF(INDEX(Undirviðmið!$G$6:$G$105,(COLUMN()-7)/2+1)="Starfsbundið",INDEX(Undirviðmið!$C$6:$C$105,(COLUMN()-7)/2+1),"")</f>
        <v/>
      </c>
      <c r="FB6" s="24"/>
      <c r="FC6" s="24" t="str">
        <f aca="false">IF(INDEX(Undirviðmið!$G$6:$G$105,(COLUMN()-7)/2+1)="Starfsbundið",INDEX(Undirviðmið!$C$6:$C$105,(COLUMN()-7)/2+1),"")</f>
        <v/>
      </c>
      <c r="FD6" s="24"/>
      <c r="FE6" s="24" t="str">
        <f aca="false">IF(INDEX(Undirviðmið!$G$6:$G$105,(COLUMN()-7)/2+1)="Starfsbundið",INDEX(Undirviðmið!$C$6:$C$105,(COLUMN()-7)/2+1),"")</f>
        <v/>
      </c>
      <c r="FF6" s="24"/>
      <c r="FG6" s="24" t="str">
        <f aca="false">IF(INDEX(Undirviðmið!$G$6:$G$105,(COLUMN()-7)/2+1)="Starfsbundið",INDEX(Undirviðmið!$C$6:$C$105,(COLUMN()-7)/2+1),"")</f>
        <v/>
      </c>
      <c r="FH6" s="24"/>
      <c r="FI6" s="24" t="str">
        <f aca="false">IF(INDEX(Undirviðmið!$G$6:$G$105,(COLUMN()-7)/2+1)="Starfsbundið",INDEX(Undirviðmið!$C$6:$C$105,(COLUMN()-7)/2+1),"")</f>
        <v/>
      </c>
      <c r="FJ6" s="24"/>
      <c r="FK6" s="24" t="str">
        <f aca="false">IF(INDEX(Undirviðmið!$G$6:$G$105,(COLUMN()-7)/2+1)="Starfsbundið",INDEX(Undirviðmið!$C$6:$C$105,(COLUMN()-7)/2+1),"")</f>
        <v/>
      </c>
      <c r="FL6" s="24"/>
      <c r="FM6" s="24" t="str">
        <f aca="false">IF(INDEX(Undirviðmið!$G$6:$G$105,(COLUMN()-7)/2+1)="Starfsbundið",INDEX(Undirviðmið!$C$6:$C$105,(COLUMN()-7)/2+1),"")</f>
        <v/>
      </c>
      <c r="FN6" s="24"/>
      <c r="FO6" s="24" t="str">
        <f aca="false">IF(INDEX(Undirviðmið!$G$6:$G$105,(COLUMN()-7)/2+1)="Starfsbundið",INDEX(Undirviðmið!$C$6:$C$105,(COLUMN()-7)/2+1),"")</f>
        <v/>
      </c>
      <c r="FP6" s="24"/>
      <c r="FQ6" s="24" t="str">
        <f aca="false">IF(INDEX(Undirviðmið!$G$6:$G$105,(COLUMN()-7)/2+1)="Starfsbundið",INDEX(Undirviðmið!$C$6:$C$105,(COLUMN()-7)/2+1),"")</f>
        <v/>
      </c>
      <c r="FR6" s="24"/>
      <c r="FS6" s="24" t="str">
        <f aca="false">IF(INDEX(Undirviðmið!$G$6:$G$105,(COLUMN()-7)/2+1)="Starfsbundið",INDEX(Undirviðmið!$C$6:$C$105,(COLUMN()-7)/2+1),"")</f>
        <v/>
      </c>
      <c r="FT6" s="24"/>
      <c r="FU6" s="24" t="str">
        <f aca="false">IF(INDEX(Undirviðmið!$G$6:$G$105,(COLUMN()-7)/2+1)="Starfsbundið",INDEX(Undirviðmið!$C$6:$C$105,(COLUMN()-7)/2+1),"")</f>
        <v/>
      </c>
      <c r="FV6" s="24"/>
      <c r="FW6" s="24" t="str">
        <f aca="false">IF(INDEX(Undirviðmið!$G$6:$G$105,(COLUMN()-7)/2+1)="Starfsbundið",INDEX(Undirviðmið!$C$6:$C$105,(COLUMN()-7)/2+1),"")</f>
        <v/>
      </c>
      <c r="FX6" s="24"/>
      <c r="FY6" s="24" t="str">
        <f aca="false">IF(INDEX(Undirviðmið!$G$6:$G$105,(COLUMN()-7)/2+1)="Starfsbundið",INDEX(Undirviðmið!$C$6:$C$105,(COLUMN()-7)/2+1),"")</f>
        <v/>
      </c>
      <c r="FZ6" s="24"/>
      <c r="GA6" s="24" t="str">
        <f aca="false">IF(INDEX(Undirviðmið!$G$6:$G$105,(COLUMN()-7)/2+1)="Starfsbundið",INDEX(Undirviðmið!$C$6:$C$105,(COLUMN()-7)/2+1),"")</f>
        <v/>
      </c>
      <c r="GB6" s="24"/>
      <c r="GC6" s="24" t="str">
        <f aca="false">IF(INDEX(Undirviðmið!$G$6:$G$105,(COLUMN()-7)/2+1)="Starfsbundið",INDEX(Undirviðmið!$C$6:$C$105,(COLUMN()-7)/2+1),"")</f>
        <v/>
      </c>
      <c r="GD6" s="24"/>
      <c r="GE6" s="24" t="str">
        <f aca="false">IF(INDEX(Undirviðmið!$G$6:$G$105,(COLUMN()-7)/2+1)="Starfsbundið",INDEX(Undirviðmið!$C$6:$C$105,(COLUMN()-7)/2+1),"")</f>
        <v/>
      </c>
      <c r="GF6" s="24"/>
      <c r="GG6" s="24" t="str">
        <f aca="false">IF(INDEX(Undirviðmið!$G$6:$G$105,(COLUMN()-7)/2+1)="Starfsbundið",INDEX(Undirviðmið!$C$6:$C$105,(COLUMN()-7)/2+1),"")</f>
        <v/>
      </c>
      <c r="GH6" s="24"/>
      <c r="GI6" s="24" t="str">
        <f aca="false">IF(INDEX(Undirviðmið!$G$6:$G$105,(COLUMN()-7)/2+1)="Starfsbundið",INDEX(Undirviðmið!$C$6:$C$105,(COLUMN()-7)/2+1),"")</f>
        <v/>
      </c>
      <c r="GJ6" s="24"/>
      <c r="GK6" s="24" t="str">
        <f aca="false">IF(INDEX(Undirviðmið!$G$6:$G$105,(COLUMN()-7)/2+1)="Starfsbundið",INDEX(Undirviðmið!$C$6:$C$105,(COLUMN()-7)/2+1),"")</f>
        <v/>
      </c>
      <c r="GL6" s="24"/>
      <c r="GM6" s="24" t="str">
        <f aca="false">IF(INDEX(Undirviðmið!$G$6:$G$105,(COLUMN()-7)/2+1)="Starfsbundið",INDEX(Undirviðmið!$C$6:$C$105,(COLUMN()-7)/2+1),"")</f>
        <v/>
      </c>
      <c r="GN6" s="24"/>
      <c r="GO6" s="24" t="str">
        <f aca="false">IF(INDEX(Undirviðmið!$G$6:$G$105,(COLUMN()-7)/2+1)="Starfsbundið",INDEX(Undirviðmið!$C$6:$C$105,(COLUMN()-7)/2+1),"")</f>
        <v/>
      </c>
      <c r="GP6" s="24"/>
      <c r="GQ6" s="24" t="str">
        <f aca="false">IF(INDEX(Undirviðmið!$G$6:$G$105,(COLUMN()-7)/2+1)="Starfsbundið",INDEX(Undirviðmið!$C$6:$C$105,(COLUMN()-7)/2+1),"")</f>
        <v/>
      </c>
      <c r="GR6" s="24"/>
      <c r="GS6" s="24" t="str">
        <f aca="false">IF(INDEX(Undirviðmið!$G$6:$G$105,(COLUMN()-7)/2+1)="Starfsbundið",INDEX(Undirviðmið!$C$6:$C$105,(COLUMN()-7)/2+1),"")</f>
        <v/>
      </c>
      <c r="GT6" s="24"/>
      <c r="GU6" s="24" t="str">
        <f aca="false">IF(INDEX(Undirviðmið!$G$6:$G$105,(COLUMN()-7)/2+1)="Starfsbundið",INDEX(Undirviðmið!$C$6:$C$105,(COLUMN()-7)/2+1),"")</f>
        <v/>
      </c>
      <c r="GV6" s="24"/>
      <c r="GW6" s="24" t="str">
        <f aca="false">IF(INDEX(Undirviðmið!$G$6:$G$105,(COLUMN()-7)/2+1)="Starfsbundið",INDEX(Undirviðmið!$C$6:$C$105,(COLUMN()-7)/2+1),"")</f>
        <v/>
      </c>
      <c r="GX6" s="24"/>
    </row>
    <row r="7" customFormat="false" ht="15" hidden="false" customHeight="true" outlineLevel="0" collapsed="false">
      <c r="B7" s="32" t="s">
        <v>79</v>
      </c>
      <c r="C7" s="32"/>
      <c r="D7" s="20"/>
      <c r="E7" s="20"/>
      <c r="F7" s="20"/>
      <c r="G7" s="33" t="str">
        <f aca="false">IF(INDEX(Undirviðmið!$G$6:$G$105,(COLUMN()-7)/2+1)="Starfsbundið",INDEX(Undirviðmið!$E$6:$E$105,(COLUMN()-7)/2+1),"")</f>
        <v/>
      </c>
      <c r="H7" s="33"/>
      <c r="I7" s="33" t="str">
        <f aca="false">IF(INDEX(Undirviðmið!$G$6:$G$105,(COLUMN()-7)/2+1)="Starfsbundið",INDEX(Undirviðmið!$E$6:$E$105,(COLUMN()-7)/2+1),"")</f>
        <v/>
      </c>
      <c r="J7" s="33"/>
      <c r="K7" s="33" t="str">
        <f aca="false">IF(INDEX(Undirviðmið!$G$6:$G$105,(COLUMN()-7)/2+1)="Starfsbundið",INDEX(Undirviðmið!$E$6:$E$105,(COLUMN()-7)/2+1),"")</f>
        <v/>
      </c>
      <c r="L7" s="33"/>
      <c r="M7" s="33" t="str">
        <f aca="false">IF(INDEX(Undirviðmið!$G$6:$G$105,(COLUMN()-7)/2+1)="Starfsbundið",INDEX(Undirviðmið!$E$6:$E$105,(COLUMN()-7)/2+1),"")</f>
        <v/>
      </c>
      <c r="N7" s="33"/>
      <c r="O7" s="33" t="str">
        <f aca="false">IF(INDEX(Undirviðmið!$G$6:$G$105,(COLUMN()-7)/2+1)="Starfsbundið",INDEX(Undirviðmið!$E$6:$E$105,(COLUMN()-7)/2+1),"")</f>
        <v/>
      </c>
      <c r="P7" s="33"/>
      <c r="Q7" s="33" t="str">
        <f aca="false">IF(INDEX(Undirviðmið!$G$6:$G$105,(COLUMN()-7)/2+1)="Starfsbundið",INDEX(Undirviðmið!$E$6:$E$105,(COLUMN()-7)/2+1),"")</f>
        <v/>
      </c>
      <c r="R7" s="33"/>
      <c r="S7" s="33" t="str">
        <f aca="false">IF(INDEX(Undirviðmið!$G$6:$G$105,(COLUMN()-7)/2+1)="Starfsbundið",INDEX(Undirviðmið!$E$6:$E$105,(COLUMN()-7)/2+1),"")</f>
        <v/>
      </c>
      <c r="T7" s="33"/>
      <c r="U7" s="33" t="str">
        <f aca="false">IF(INDEX(Undirviðmið!$G$6:$G$105,(COLUMN()-7)/2+1)="Starfsbundið",INDEX(Undirviðmið!$E$6:$E$105,(COLUMN()-7)/2+1),"")</f>
        <v/>
      </c>
      <c r="V7" s="33"/>
      <c r="W7" s="33" t="str">
        <f aca="false">IF(INDEX(Undirviðmið!$G$6:$G$105,(COLUMN()-7)/2+1)="Starfsbundið",INDEX(Undirviðmið!$E$6:$E$105,(COLUMN()-7)/2+1),"")</f>
        <v/>
      </c>
      <c r="X7" s="33"/>
      <c r="Y7" s="33" t="str">
        <f aca="false">IF(INDEX(Undirviðmið!$G$6:$G$105,(COLUMN()-7)/2+1)="Starfsbundið",INDEX(Undirviðmið!$E$6:$E$105,(COLUMN()-7)/2+1),"")</f>
        <v/>
      </c>
      <c r="Z7" s="33"/>
      <c r="AA7" s="33" t="str">
        <f aca="false">IF(INDEX(Undirviðmið!$G$6:$G$105,(COLUMN()-7)/2+1)="Starfsbundið",INDEX(Undirviðmið!$E$6:$E$105,(COLUMN()-7)/2+1),"")</f>
        <v/>
      </c>
      <c r="AB7" s="33"/>
      <c r="AC7" s="33" t="str">
        <f aca="false">IF(INDEX(Undirviðmið!$G$6:$G$105,(COLUMN()-7)/2+1)="Starfsbundið",INDEX(Undirviðmið!$E$6:$E$105,(COLUMN()-7)/2+1),"")</f>
        <v/>
      </c>
      <c r="AD7" s="33"/>
      <c r="AE7" s="33" t="str">
        <f aca="false">IF(INDEX(Undirviðmið!$G$6:$G$105,(COLUMN()-7)/2+1)="Starfsbundið",INDEX(Undirviðmið!$E$6:$E$105,(COLUMN()-7)/2+1),"")</f>
        <v/>
      </c>
      <c r="AF7" s="33"/>
      <c r="AG7" s="33" t="str">
        <f aca="false">IF(INDEX(Undirviðmið!$G$6:$G$105,(COLUMN()-7)/2+1)="Starfsbundið",INDEX(Undirviðmið!$E$6:$E$105,(COLUMN()-7)/2+1),"")</f>
        <v/>
      </c>
      <c r="AH7" s="33"/>
      <c r="AI7" s="33" t="str">
        <f aca="false">IF(INDEX(Undirviðmið!$G$6:$G$105,(COLUMN()-7)/2+1)="Starfsbundið",INDEX(Undirviðmið!$E$6:$E$105,(COLUMN()-7)/2+1),"")</f>
        <v/>
      </c>
      <c r="AJ7" s="33"/>
      <c r="AK7" s="33" t="str">
        <f aca="false">IF(INDEX(Undirviðmið!$G$6:$G$105,(COLUMN()-7)/2+1)="Starfsbundið",INDEX(Undirviðmið!$E$6:$E$105,(COLUMN()-7)/2+1),"")</f>
        <v/>
      </c>
      <c r="AL7" s="33"/>
      <c r="AM7" s="33" t="str">
        <f aca="false">IF(INDEX(Undirviðmið!$G$6:$G$105,(COLUMN()-7)/2+1)="Starfsbundið",INDEX(Undirviðmið!$E$6:$E$105,(COLUMN()-7)/2+1),"")</f>
        <v/>
      </c>
      <c r="AN7" s="33"/>
      <c r="AO7" s="33" t="str">
        <f aca="false">IF(INDEX(Undirviðmið!$G$6:$G$105,(COLUMN()-7)/2+1)="Starfsbundið",INDEX(Undirviðmið!$E$6:$E$105,(COLUMN()-7)/2+1),"")</f>
        <v/>
      </c>
      <c r="AP7" s="33"/>
      <c r="AQ7" s="33" t="str">
        <f aca="false">IF(INDEX(Undirviðmið!$G$6:$G$105,(COLUMN()-7)/2+1)="Starfsbundið",INDEX(Undirviðmið!$E$6:$E$105,(COLUMN()-7)/2+1),"")</f>
        <v/>
      </c>
      <c r="AR7" s="33"/>
      <c r="AS7" s="33" t="str">
        <f aca="false">IF(INDEX(Undirviðmið!$G$6:$G$105,(COLUMN()-7)/2+1)="Starfsbundið",INDEX(Undirviðmið!$E$6:$E$105,(COLUMN()-7)/2+1),"")</f>
        <v/>
      </c>
      <c r="AT7" s="33"/>
      <c r="AU7" s="33" t="str">
        <f aca="false">IF(INDEX(Undirviðmið!$G$6:$G$105,(COLUMN()-7)/2+1)="Starfsbundið",INDEX(Undirviðmið!$E$6:$E$105,(COLUMN()-7)/2+1),"")</f>
        <v/>
      </c>
      <c r="AV7" s="33"/>
      <c r="AW7" s="33" t="str">
        <f aca="false">IF(INDEX(Undirviðmið!$G$6:$G$105,(COLUMN()-7)/2+1)="Starfsbundið",INDEX(Undirviðmið!$E$6:$E$105,(COLUMN()-7)/2+1),"")</f>
        <v/>
      </c>
      <c r="AX7" s="33"/>
      <c r="AY7" s="33" t="str">
        <f aca="false">IF(INDEX(Undirviðmið!$G$6:$G$105,(COLUMN()-7)/2+1)="Starfsbundið",INDEX(Undirviðmið!$E$6:$E$105,(COLUMN()-7)/2+1),"")</f>
        <v/>
      </c>
      <c r="AZ7" s="33"/>
      <c r="BA7" s="33" t="str">
        <f aca="false">IF(INDEX(Undirviðmið!$G$6:$G$105,(COLUMN()-7)/2+1)="Starfsbundið",INDEX(Undirviðmið!$E$6:$E$105,(COLUMN()-7)/2+1),"")</f>
        <v/>
      </c>
      <c r="BB7" s="33"/>
      <c r="BC7" s="33" t="str">
        <f aca="false">IF(INDEX(Undirviðmið!$G$6:$G$105,(COLUMN()-7)/2+1)="Starfsbundið",INDEX(Undirviðmið!$E$6:$E$105,(COLUMN()-7)/2+1),"")</f>
        <v/>
      </c>
      <c r="BD7" s="33"/>
      <c r="BE7" s="33" t="str">
        <f aca="false">IF(INDEX(Undirviðmið!$G$6:$G$105,(COLUMN()-7)/2+1)="Starfsbundið",INDEX(Undirviðmið!$E$6:$E$105,(COLUMN()-7)/2+1),"")</f>
        <v/>
      </c>
      <c r="BF7" s="33"/>
      <c r="BG7" s="33" t="str">
        <f aca="false">IF(INDEX(Undirviðmið!$G$6:$G$105,(COLUMN()-7)/2+1)="Starfsbundið",INDEX(Undirviðmið!$E$6:$E$105,(COLUMN()-7)/2+1),"")</f>
        <v/>
      </c>
      <c r="BH7" s="33"/>
      <c r="BI7" s="33" t="str">
        <f aca="false">IF(INDEX(Undirviðmið!$G$6:$G$105,(COLUMN()-7)/2+1)="Starfsbundið",INDEX(Undirviðmið!$E$6:$E$105,(COLUMN()-7)/2+1),"")</f>
        <v/>
      </c>
      <c r="BJ7" s="33"/>
      <c r="BK7" s="33" t="str">
        <f aca="false">IF(INDEX(Undirviðmið!$G$6:$G$105,(COLUMN()-7)/2+1)="Starfsbundið",INDEX(Undirviðmið!$E$6:$E$105,(COLUMN()-7)/2+1),"")</f>
        <v/>
      </c>
      <c r="BL7" s="33"/>
      <c r="BM7" s="33" t="str">
        <f aca="false">IF(INDEX(Undirviðmið!$G$6:$G$105,(COLUMN()-7)/2+1)="Starfsbundið",INDEX(Undirviðmið!$E$6:$E$105,(COLUMN()-7)/2+1),"")</f>
        <v/>
      </c>
      <c r="BN7" s="33"/>
      <c r="BO7" s="33" t="str">
        <f aca="false">IF(INDEX(Undirviðmið!$G$6:$G$105,(COLUMN()-7)/2+1)="Starfsbundið",INDEX(Undirviðmið!$E$6:$E$105,(COLUMN()-7)/2+1),"")</f>
        <v/>
      </c>
      <c r="BP7" s="33"/>
      <c r="BQ7" s="33" t="str">
        <f aca="false">IF(INDEX(Undirviðmið!$G$6:$G$105,(COLUMN()-7)/2+1)="Starfsbundið",INDEX(Undirviðmið!$E$6:$E$105,(COLUMN()-7)/2+1),"")</f>
        <v/>
      </c>
      <c r="BR7" s="33"/>
      <c r="BS7" s="33" t="str">
        <f aca="false">IF(INDEX(Undirviðmið!$G$6:$G$105,(COLUMN()-7)/2+1)="Starfsbundið",INDEX(Undirviðmið!$E$6:$E$105,(COLUMN()-7)/2+1),"")</f>
        <v/>
      </c>
      <c r="BT7" s="33"/>
      <c r="BU7" s="33" t="str">
        <f aca="false">IF(INDEX(Undirviðmið!$G$6:$G$105,(COLUMN()-7)/2+1)="Starfsbundið",INDEX(Undirviðmið!$E$6:$E$105,(COLUMN()-7)/2+1),"")</f>
        <v/>
      </c>
      <c r="BV7" s="33"/>
      <c r="BW7" s="33" t="str">
        <f aca="false">IF(INDEX(Undirviðmið!$G$6:$G$105,(COLUMN()-7)/2+1)="Starfsbundið",INDEX(Undirviðmið!$E$6:$E$105,(COLUMN()-7)/2+1),"")</f>
        <v/>
      </c>
      <c r="BX7" s="33"/>
      <c r="BY7" s="33" t="str">
        <f aca="false">IF(INDEX(Undirviðmið!$G$6:$G$105,(COLUMN()-7)/2+1)="Starfsbundið",INDEX(Undirviðmið!$E$6:$E$105,(COLUMN()-7)/2+1),"")</f>
        <v/>
      </c>
      <c r="BZ7" s="33"/>
      <c r="CA7" s="33" t="str">
        <f aca="false">IF(INDEX(Undirviðmið!$G$6:$G$105,(COLUMN()-7)/2+1)="Starfsbundið",INDEX(Undirviðmið!$E$6:$E$105,(COLUMN()-7)/2+1),"")</f>
        <v/>
      </c>
      <c r="CB7" s="33"/>
      <c r="CC7" s="33" t="str">
        <f aca="false">IF(INDEX(Undirviðmið!$G$6:$G$105,(COLUMN()-7)/2+1)="Starfsbundið",INDEX(Undirviðmið!$E$6:$E$105,(COLUMN()-7)/2+1),"")</f>
        <v/>
      </c>
      <c r="CD7" s="33"/>
      <c r="CE7" s="33" t="str">
        <f aca="false">IF(INDEX(Undirviðmið!$G$6:$G$105,(COLUMN()-7)/2+1)="Starfsbundið",INDEX(Undirviðmið!$E$6:$E$105,(COLUMN()-7)/2+1),"")</f>
        <v/>
      </c>
      <c r="CF7" s="33"/>
      <c r="CG7" s="33" t="str">
        <f aca="false">IF(INDEX(Undirviðmið!$G$6:$G$105,(COLUMN()-7)/2+1)="Starfsbundið",INDEX(Undirviðmið!$E$6:$E$105,(COLUMN()-7)/2+1),"")</f>
        <v/>
      </c>
      <c r="CH7" s="33"/>
      <c r="CI7" s="33" t="str">
        <f aca="false">IF(INDEX(Undirviðmið!$G$6:$G$105,(COLUMN()-7)/2+1)="Starfsbundið",INDEX(Undirviðmið!$E$6:$E$105,(COLUMN()-7)/2+1),"")</f>
        <v/>
      </c>
      <c r="CJ7" s="33"/>
      <c r="CK7" s="33" t="str">
        <f aca="false">IF(INDEX(Undirviðmið!$G$6:$G$105,(COLUMN()-7)/2+1)="Starfsbundið",INDEX(Undirviðmið!$E$6:$E$105,(COLUMN()-7)/2+1),"")</f>
        <v/>
      </c>
      <c r="CL7" s="33"/>
      <c r="CM7" s="33" t="str">
        <f aca="false">IF(INDEX(Undirviðmið!$G$6:$G$105,(COLUMN()-7)/2+1)="Starfsbundið",INDEX(Undirviðmið!$E$6:$E$105,(COLUMN()-7)/2+1),"")</f>
        <v/>
      </c>
      <c r="CN7" s="33"/>
      <c r="CO7" s="33" t="str">
        <f aca="false">IF(INDEX(Undirviðmið!$G$6:$G$105,(COLUMN()-7)/2+1)="Starfsbundið",INDEX(Undirviðmið!$E$6:$E$105,(COLUMN()-7)/2+1),"")</f>
        <v/>
      </c>
      <c r="CP7" s="33"/>
      <c r="CQ7" s="33" t="str">
        <f aca="false">IF(INDEX(Undirviðmið!$G$6:$G$105,(COLUMN()-7)/2+1)="Starfsbundið",INDEX(Undirviðmið!$E$6:$E$105,(COLUMN()-7)/2+1),"")</f>
        <v/>
      </c>
      <c r="CR7" s="33"/>
      <c r="CS7" s="33" t="str">
        <f aca="false">IF(INDEX(Undirviðmið!$G$6:$G$105,(COLUMN()-7)/2+1)="Starfsbundið",INDEX(Undirviðmið!$E$6:$E$105,(COLUMN()-7)/2+1),"")</f>
        <v/>
      </c>
      <c r="CT7" s="33"/>
      <c r="CU7" s="33" t="str">
        <f aca="false">IF(INDEX(Undirviðmið!$G$6:$G$105,(COLUMN()-7)/2+1)="Starfsbundið",INDEX(Undirviðmið!$E$6:$E$105,(COLUMN()-7)/2+1),"")</f>
        <v/>
      </c>
      <c r="CV7" s="33"/>
      <c r="CW7" s="33" t="str">
        <f aca="false">IF(INDEX(Undirviðmið!$G$6:$G$105,(COLUMN()-7)/2+1)="Starfsbundið",INDEX(Undirviðmið!$E$6:$E$105,(COLUMN()-7)/2+1),"")</f>
        <v/>
      </c>
      <c r="CX7" s="33"/>
      <c r="CY7" s="33" t="str">
        <f aca="false">IF(INDEX(Undirviðmið!$G$6:$G$105,(COLUMN()-7)/2+1)="Starfsbundið",INDEX(Undirviðmið!$E$6:$E$105,(COLUMN()-7)/2+1),"")</f>
        <v/>
      </c>
      <c r="CZ7" s="33"/>
      <c r="DA7" s="33" t="str">
        <f aca="false">IF(INDEX(Undirviðmið!$G$6:$G$105,(COLUMN()-7)/2+1)="Starfsbundið",INDEX(Undirviðmið!$E$6:$E$105,(COLUMN()-7)/2+1),"")</f>
        <v/>
      </c>
      <c r="DB7" s="33"/>
      <c r="DC7" s="33" t="str">
        <f aca="false">IF(INDEX(Undirviðmið!$G$6:$G$105,(COLUMN()-7)/2+1)="Starfsbundið",INDEX(Undirviðmið!$E$6:$E$105,(COLUMN()-7)/2+1),"")</f>
        <v/>
      </c>
      <c r="DD7" s="33"/>
      <c r="DE7" s="33" t="str">
        <f aca="false">IF(INDEX(Undirviðmið!$G$6:$G$105,(COLUMN()-7)/2+1)="Starfsbundið",INDEX(Undirviðmið!$E$6:$E$105,(COLUMN()-7)/2+1),"")</f>
        <v/>
      </c>
      <c r="DF7" s="33"/>
      <c r="DG7" s="33" t="str">
        <f aca="false">IF(INDEX(Undirviðmið!$G$6:$G$105,(COLUMN()-7)/2+1)="Starfsbundið",INDEX(Undirviðmið!$E$6:$E$105,(COLUMN()-7)/2+1),"")</f>
        <v/>
      </c>
      <c r="DH7" s="33"/>
      <c r="DI7" s="33" t="str">
        <f aca="false">IF(INDEX(Undirviðmið!$G$6:$G$105,(COLUMN()-7)/2+1)="Starfsbundið",INDEX(Undirviðmið!$E$6:$E$105,(COLUMN()-7)/2+1),"")</f>
        <v/>
      </c>
      <c r="DJ7" s="33"/>
      <c r="DK7" s="33" t="str">
        <f aca="false">IF(INDEX(Undirviðmið!$G$6:$G$105,(COLUMN()-7)/2+1)="Starfsbundið",INDEX(Undirviðmið!$E$6:$E$105,(COLUMN()-7)/2+1),"")</f>
        <v/>
      </c>
      <c r="DL7" s="33"/>
      <c r="DM7" s="33" t="str">
        <f aca="false">IF(INDEX(Undirviðmið!$G$6:$G$105,(COLUMN()-7)/2+1)="Starfsbundið",INDEX(Undirviðmið!$E$6:$E$105,(COLUMN()-7)/2+1),"")</f>
        <v/>
      </c>
      <c r="DN7" s="33"/>
      <c r="DO7" s="33" t="str">
        <f aca="false">IF(INDEX(Undirviðmið!$G$6:$G$105,(COLUMN()-7)/2+1)="Starfsbundið",INDEX(Undirviðmið!$E$6:$E$105,(COLUMN()-7)/2+1),"")</f>
        <v/>
      </c>
      <c r="DP7" s="33"/>
      <c r="DQ7" s="33" t="str">
        <f aca="false">IF(INDEX(Undirviðmið!$G$6:$G$105,(COLUMN()-7)/2+1)="Starfsbundið",INDEX(Undirviðmið!$E$6:$E$105,(COLUMN()-7)/2+1),"")</f>
        <v/>
      </c>
      <c r="DR7" s="33"/>
      <c r="DS7" s="33" t="str">
        <f aca="false">IF(INDEX(Undirviðmið!$G$6:$G$105,(COLUMN()-7)/2+1)="Starfsbundið",INDEX(Undirviðmið!$E$6:$E$105,(COLUMN()-7)/2+1),"")</f>
        <v/>
      </c>
      <c r="DT7" s="33"/>
      <c r="DU7" s="33" t="str">
        <f aca="false">IF(INDEX(Undirviðmið!$G$6:$G$105,(COLUMN()-7)/2+1)="Starfsbundið",INDEX(Undirviðmið!$E$6:$E$105,(COLUMN()-7)/2+1),"")</f>
        <v/>
      </c>
      <c r="DV7" s="33"/>
      <c r="DW7" s="33" t="str">
        <f aca="false">IF(INDEX(Undirviðmið!$G$6:$G$105,(COLUMN()-7)/2+1)="Starfsbundið",INDEX(Undirviðmið!$E$6:$E$105,(COLUMN()-7)/2+1),"")</f>
        <v/>
      </c>
      <c r="DX7" s="33"/>
      <c r="DY7" s="33" t="str">
        <f aca="false">IF(INDEX(Undirviðmið!$G$6:$G$105,(COLUMN()-7)/2+1)="Starfsbundið",INDEX(Undirviðmið!$E$6:$E$105,(COLUMN()-7)/2+1),"")</f>
        <v/>
      </c>
      <c r="DZ7" s="33"/>
      <c r="EA7" s="33" t="str">
        <f aca="false">IF(INDEX(Undirviðmið!$G$6:$G$105,(COLUMN()-7)/2+1)="Starfsbundið",INDEX(Undirviðmið!$E$6:$E$105,(COLUMN()-7)/2+1),"")</f>
        <v/>
      </c>
      <c r="EB7" s="33"/>
      <c r="EC7" s="33" t="str">
        <f aca="false">IF(INDEX(Undirviðmið!$G$6:$G$105,(COLUMN()-7)/2+1)="Starfsbundið",INDEX(Undirviðmið!$E$6:$E$105,(COLUMN()-7)/2+1),"")</f>
        <v/>
      </c>
      <c r="ED7" s="33"/>
      <c r="EE7" s="33" t="str">
        <f aca="false">IF(INDEX(Undirviðmið!$G$6:$G$105,(COLUMN()-7)/2+1)="Starfsbundið",INDEX(Undirviðmið!$E$6:$E$105,(COLUMN()-7)/2+1),"")</f>
        <v/>
      </c>
      <c r="EF7" s="33"/>
      <c r="EG7" s="33" t="str">
        <f aca="false">IF(INDEX(Undirviðmið!$G$6:$G$105,(COLUMN()-7)/2+1)="Starfsbundið",INDEX(Undirviðmið!$E$6:$E$105,(COLUMN()-7)/2+1),"")</f>
        <v/>
      </c>
      <c r="EH7" s="33"/>
      <c r="EI7" s="33" t="str">
        <f aca="false">IF(INDEX(Undirviðmið!$G$6:$G$105,(COLUMN()-7)/2+1)="Starfsbundið",INDEX(Undirviðmið!$E$6:$E$105,(COLUMN()-7)/2+1),"")</f>
        <v/>
      </c>
      <c r="EJ7" s="33"/>
      <c r="EK7" s="33" t="str">
        <f aca="false">IF(INDEX(Undirviðmið!$G$6:$G$105,(COLUMN()-7)/2+1)="Starfsbundið",INDEX(Undirviðmið!$E$6:$E$105,(COLUMN()-7)/2+1),"")</f>
        <v/>
      </c>
      <c r="EL7" s="33"/>
      <c r="EM7" s="33" t="str">
        <f aca="false">IF(INDEX(Undirviðmið!$G$6:$G$105,(COLUMN()-7)/2+1)="Starfsbundið",INDEX(Undirviðmið!$E$6:$E$105,(COLUMN()-7)/2+1),"")</f>
        <v/>
      </c>
      <c r="EN7" s="33"/>
      <c r="EO7" s="33" t="str">
        <f aca="false">IF(INDEX(Undirviðmið!$G$6:$G$105,(COLUMN()-7)/2+1)="Starfsbundið",INDEX(Undirviðmið!$E$6:$E$105,(COLUMN()-7)/2+1),"")</f>
        <v/>
      </c>
      <c r="EP7" s="33"/>
      <c r="EQ7" s="33" t="str">
        <f aca="false">IF(INDEX(Undirviðmið!$G$6:$G$105,(COLUMN()-7)/2+1)="Starfsbundið",INDEX(Undirviðmið!$E$6:$E$105,(COLUMN()-7)/2+1),"")</f>
        <v/>
      </c>
      <c r="ER7" s="33"/>
      <c r="ES7" s="33" t="str">
        <f aca="false">IF(INDEX(Undirviðmið!$G$6:$G$105,(COLUMN()-7)/2+1)="Starfsbundið",INDEX(Undirviðmið!$E$6:$E$105,(COLUMN()-7)/2+1),"")</f>
        <v/>
      </c>
      <c r="ET7" s="33"/>
      <c r="EU7" s="33" t="str">
        <f aca="false">IF(INDEX(Undirviðmið!$G$6:$G$105,(COLUMN()-7)/2+1)="Starfsbundið",INDEX(Undirviðmið!$E$6:$E$105,(COLUMN()-7)/2+1),"")</f>
        <v/>
      </c>
      <c r="EV7" s="33"/>
      <c r="EW7" s="33" t="str">
        <f aca="false">IF(INDEX(Undirviðmið!$G$6:$G$105,(COLUMN()-7)/2+1)="Starfsbundið",INDEX(Undirviðmið!$E$6:$E$105,(COLUMN()-7)/2+1),"")</f>
        <v/>
      </c>
      <c r="EX7" s="33"/>
      <c r="EY7" s="33" t="str">
        <f aca="false">IF(INDEX(Undirviðmið!$G$6:$G$105,(COLUMN()-7)/2+1)="Starfsbundið",INDEX(Undirviðmið!$E$6:$E$105,(COLUMN()-7)/2+1),"")</f>
        <v/>
      </c>
      <c r="EZ7" s="33"/>
      <c r="FA7" s="33" t="str">
        <f aca="false">IF(INDEX(Undirviðmið!$G$6:$G$105,(COLUMN()-7)/2+1)="Starfsbundið",INDEX(Undirviðmið!$E$6:$E$105,(COLUMN()-7)/2+1),"")</f>
        <v/>
      </c>
      <c r="FB7" s="33"/>
      <c r="FC7" s="33" t="str">
        <f aca="false">IF(INDEX(Undirviðmið!$G$6:$G$105,(COLUMN()-7)/2+1)="Starfsbundið",INDEX(Undirviðmið!$E$6:$E$105,(COLUMN()-7)/2+1),"")</f>
        <v/>
      </c>
      <c r="FD7" s="33"/>
      <c r="FE7" s="33" t="str">
        <f aca="false">IF(INDEX(Undirviðmið!$G$6:$G$105,(COLUMN()-7)/2+1)="Starfsbundið",INDEX(Undirviðmið!$E$6:$E$105,(COLUMN()-7)/2+1),"")</f>
        <v/>
      </c>
      <c r="FF7" s="33"/>
      <c r="FG7" s="33" t="str">
        <f aca="false">IF(INDEX(Undirviðmið!$G$6:$G$105,(COLUMN()-7)/2+1)="Starfsbundið",INDEX(Undirviðmið!$E$6:$E$105,(COLUMN()-7)/2+1),"")</f>
        <v/>
      </c>
      <c r="FH7" s="33"/>
      <c r="FI7" s="33" t="str">
        <f aca="false">IF(INDEX(Undirviðmið!$G$6:$G$105,(COLUMN()-7)/2+1)="Starfsbundið",INDEX(Undirviðmið!$E$6:$E$105,(COLUMN()-7)/2+1),"")</f>
        <v/>
      </c>
      <c r="FJ7" s="33"/>
      <c r="FK7" s="33" t="str">
        <f aca="false">IF(INDEX(Undirviðmið!$G$6:$G$105,(COLUMN()-7)/2+1)="Starfsbundið",INDEX(Undirviðmið!$E$6:$E$105,(COLUMN()-7)/2+1),"")</f>
        <v/>
      </c>
      <c r="FL7" s="33"/>
      <c r="FM7" s="33" t="str">
        <f aca="false">IF(INDEX(Undirviðmið!$G$6:$G$105,(COLUMN()-7)/2+1)="Starfsbundið",INDEX(Undirviðmið!$E$6:$E$105,(COLUMN()-7)/2+1),"")</f>
        <v/>
      </c>
      <c r="FN7" s="33"/>
      <c r="FO7" s="33" t="str">
        <f aca="false">IF(INDEX(Undirviðmið!$G$6:$G$105,(COLUMN()-7)/2+1)="Starfsbundið",INDEX(Undirviðmið!$E$6:$E$105,(COLUMN()-7)/2+1),"")</f>
        <v/>
      </c>
      <c r="FP7" s="33"/>
      <c r="FQ7" s="33" t="str">
        <f aca="false">IF(INDEX(Undirviðmið!$G$6:$G$105,(COLUMN()-7)/2+1)="Starfsbundið",INDEX(Undirviðmið!$E$6:$E$105,(COLUMN()-7)/2+1),"")</f>
        <v/>
      </c>
      <c r="FR7" s="33"/>
      <c r="FS7" s="33" t="str">
        <f aca="false">IF(INDEX(Undirviðmið!$G$6:$G$105,(COLUMN()-7)/2+1)="Starfsbundið",INDEX(Undirviðmið!$E$6:$E$105,(COLUMN()-7)/2+1),"")</f>
        <v/>
      </c>
      <c r="FT7" s="33"/>
      <c r="FU7" s="33" t="str">
        <f aca="false">IF(INDEX(Undirviðmið!$G$6:$G$105,(COLUMN()-7)/2+1)="Starfsbundið",INDEX(Undirviðmið!$E$6:$E$105,(COLUMN()-7)/2+1),"")</f>
        <v/>
      </c>
      <c r="FV7" s="33"/>
      <c r="FW7" s="33" t="str">
        <f aca="false">IF(INDEX(Undirviðmið!$G$6:$G$105,(COLUMN()-7)/2+1)="Starfsbundið",INDEX(Undirviðmið!$E$6:$E$105,(COLUMN()-7)/2+1),"")</f>
        <v/>
      </c>
      <c r="FX7" s="33"/>
      <c r="FY7" s="33" t="str">
        <f aca="false">IF(INDEX(Undirviðmið!$G$6:$G$105,(COLUMN()-7)/2+1)="Starfsbundið",INDEX(Undirviðmið!$E$6:$E$105,(COLUMN()-7)/2+1),"")</f>
        <v/>
      </c>
      <c r="FZ7" s="33"/>
      <c r="GA7" s="33" t="str">
        <f aca="false">IF(INDEX(Undirviðmið!$G$6:$G$105,(COLUMN()-7)/2+1)="Starfsbundið",INDEX(Undirviðmið!$E$6:$E$105,(COLUMN()-7)/2+1),"")</f>
        <v/>
      </c>
      <c r="GB7" s="33"/>
      <c r="GC7" s="33" t="str">
        <f aca="false">IF(INDEX(Undirviðmið!$G$6:$G$105,(COLUMN()-7)/2+1)="Starfsbundið",INDEX(Undirviðmið!$E$6:$E$105,(COLUMN()-7)/2+1),"")</f>
        <v/>
      </c>
      <c r="GD7" s="33"/>
      <c r="GE7" s="33" t="str">
        <f aca="false">IF(INDEX(Undirviðmið!$G$6:$G$105,(COLUMN()-7)/2+1)="Starfsbundið",INDEX(Undirviðmið!$E$6:$E$105,(COLUMN()-7)/2+1),"")</f>
        <v/>
      </c>
      <c r="GF7" s="33"/>
      <c r="GG7" s="33" t="str">
        <f aca="false">IF(INDEX(Undirviðmið!$G$6:$G$105,(COLUMN()-7)/2+1)="Starfsbundið",INDEX(Undirviðmið!$E$6:$E$105,(COLUMN()-7)/2+1),"")</f>
        <v/>
      </c>
      <c r="GH7" s="33"/>
      <c r="GI7" s="33" t="str">
        <f aca="false">IF(INDEX(Undirviðmið!$G$6:$G$105,(COLUMN()-7)/2+1)="Starfsbundið",INDEX(Undirviðmið!$E$6:$E$105,(COLUMN()-7)/2+1),"")</f>
        <v/>
      </c>
      <c r="GJ7" s="33"/>
      <c r="GK7" s="33" t="str">
        <f aca="false">IF(INDEX(Undirviðmið!$G$6:$G$105,(COLUMN()-7)/2+1)="Starfsbundið",INDEX(Undirviðmið!$E$6:$E$105,(COLUMN()-7)/2+1),"")</f>
        <v/>
      </c>
      <c r="GL7" s="33"/>
      <c r="GM7" s="33" t="str">
        <f aca="false">IF(INDEX(Undirviðmið!$G$6:$G$105,(COLUMN()-7)/2+1)="Starfsbundið",INDEX(Undirviðmið!$E$6:$E$105,(COLUMN()-7)/2+1),"")</f>
        <v/>
      </c>
      <c r="GN7" s="33"/>
      <c r="GO7" s="33" t="str">
        <f aca="false">IF(INDEX(Undirviðmið!$G$6:$G$105,(COLUMN()-7)/2+1)="Starfsbundið",INDEX(Undirviðmið!$E$6:$E$105,(COLUMN()-7)/2+1),"")</f>
        <v/>
      </c>
      <c r="GP7" s="33"/>
      <c r="GQ7" s="33" t="str">
        <f aca="false">IF(INDEX(Undirviðmið!$G$6:$G$105,(COLUMN()-7)/2+1)="Starfsbundið",INDEX(Undirviðmið!$E$6:$E$105,(COLUMN()-7)/2+1),"")</f>
        <v/>
      </c>
      <c r="GR7" s="33"/>
      <c r="GS7" s="33" t="str">
        <f aca="false">IF(INDEX(Undirviðmið!$G$6:$G$105,(COLUMN()-7)/2+1)="Starfsbundið",INDEX(Undirviðmið!$E$6:$E$105,(COLUMN()-7)/2+1),"")</f>
        <v/>
      </c>
      <c r="GT7" s="33"/>
      <c r="GU7" s="33" t="str">
        <f aca="false">IF(INDEX(Undirviðmið!$G$6:$G$105,(COLUMN()-7)/2+1)="Starfsbundið",INDEX(Undirviðmið!$E$6:$E$105,(COLUMN()-7)/2+1),"")</f>
        <v/>
      </c>
      <c r="GV7" s="33"/>
      <c r="GW7" s="33" t="str">
        <f aca="false">IF(INDEX(Undirviðmið!$G$6:$G$105,(COLUMN()-7)/2+1)="Starfsbundið",INDEX(Undirviðmið!$E$6:$E$105,(COLUMN()-7)/2+1),"")</f>
        <v/>
      </c>
      <c r="GX7" s="33"/>
    </row>
    <row r="8" customFormat="false" ht="15" hidden="false" customHeight="true" outlineLevel="0" collapsed="false">
      <c r="B8" s="32" t="s">
        <v>99</v>
      </c>
      <c r="C8" s="32"/>
      <c r="D8" s="20"/>
      <c r="E8" s="20"/>
      <c r="F8" s="20"/>
      <c r="G8" s="33" t="str">
        <f aca="false">IF(INDEX(Undirviðmið!$G$6:$G$105,(COLUMN()-7)/2+1)="Starfsbundið",INDEX(Undirviðmið!$F$6:$F$105,(COLUMN()-7)/2+1),"")</f>
        <v/>
      </c>
      <c r="H8" s="33"/>
      <c r="I8" s="33" t="str">
        <f aca="false">IF(INDEX(Undirviðmið!$G$6:$G$105,(COLUMN()-7)/2+1)="Starfsbundið",INDEX(Undirviðmið!$F$6:$F$105,(COLUMN()-7)/2+1),"")</f>
        <v/>
      </c>
      <c r="J8" s="33"/>
      <c r="K8" s="33" t="str">
        <f aca="false">IF(INDEX(Undirviðmið!$G$6:$G$105,(COLUMN()-7)/2+1)="Starfsbundið",INDEX(Undirviðmið!$F$6:$F$105,(COLUMN()-7)/2+1),"")</f>
        <v/>
      </c>
      <c r="L8" s="33"/>
      <c r="M8" s="33" t="str">
        <f aca="false">IF(INDEX(Undirviðmið!$G$6:$G$105,(COLUMN()-7)/2+1)="Starfsbundið",INDEX(Undirviðmið!$F$6:$F$105,(COLUMN()-7)/2+1),"")</f>
        <v/>
      </c>
      <c r="N8" s="33"/>
      <c r="O8" s="33" t="str">
        <f aca="false">IF(INDEX(Undirviðmið!$G$6:$G$105,(COLUMN()-7)/2+1)="Starfsbundið",INDEX(Undirviðmið!$F$6:$F$105,(COLUMN()-7)/2+1),"")</f>
        <v/>
      </c>
      <c r="P8" s="33"/>
      <c r="Q8" s="33" t="str">
        <f aca="false">IF(INDEX(Undirviðmið!$G$6:$G$105,(COLUMN()-7)/2+1)="Starfsbundið",INDEX(Undirviðmið!$F$6:$F$105,(COLUMN()-7)/2+1),"")</f>
        <v/>
      </c>
      <c r="R8" s="33"/>
      <c r="S8" s="33" t="str">
        <f aca="false">IF(INDEX(Undirviðmið!$G$6:$G$105,(COLUMN()-7)/2+1)="Starfsbundið",INDEX(Undirviðmið!$F$6:$F$105,(COLUMN()-7)/2+1),"")</f>
        <v/>
      </c>
      <c r="T8" s="33"/>
      <c r="U8" s="33" t="str">
        <f aca="false">IF(INDEX(Undirviðmið!$G$6:$G$105,(COLUMN()-7)/2+1)="Starfsbundið",INDEX(Undirviðmið!$F$6:$F$105,(COLUMN()-7)/2+1),"")</f>
        <v/>
      </c>
      <c r="V8" s="33"/>
      <c r="W8" s="33" t="str">
        <f aca="false">IF(INDEX(Undirviðmið!$G$6:$G$105,(COLUMN()-7)/2+1)="Starfsbundið",INDEX(Undirviðmið!$F$6:$F$105,(COLUMN()-7)/2+1),"")</f>
        <v/>
      </c>
      <c r="X8" s="33"/>
      <c r="Y8" s="33" t="str">
        <f aca="false">IF(INDEX(Undirviðmið!$G$6:$G$105,(COLUMN()-7)/2+1)="Starfsbundið",INDEX(Undirviðmið!$F$6:$F$105,(COLUMN()-7)/2+1),"")</f>
        <v/>
      </c>
      <c r="Z8" s="33"/>
      <c r="AA8" s="33" t="str">
        <f aca="false">IF(INDEX(Undirviðmið!$G$6:$G$105,(COLUMN()-7)/2+1)="Starfsbundið",INDEX(Undirviðmið!$F$6:$F$105,(COLUMN()-7)/2+1),"")</f>
        <v/>
      </c>
      <c r="AB8" s="33"/>
      <c r="AC8" s="33" t="str">
        <f aca="false">IF(INDEX(Undirviðmið!$G$6:$G$105,(COLUMN()-7)/2+1)="Starfsbundið",INDEX(Undirviðmið!$F$6:$F$105,(COLUMN()-7)/2+1),"")</f>
        <v/>
      </c>
      <c r="AD8" s="33"/>
      <c r="AE8" s="33" t="str">
        <f aca="false">IF(INDEX(Undirviðmið!$G$6:$G$105,(COLUMN()-7)/2+1)="Starfsbundið",INDEX(Undirviðmið!$F$6:$F$105,(COLUMN()-7)/2+1),"")</f>
        <v/>
      </c>
      <c r="AF8" s="33"/>
      <c r="AG8" s="33" t="str">
        <f aca="false">IF(INDEX(Undirviðmið!$G$6:$G$105,(COLUMN()-7)/2+1)="Starfsbundið",INDEX(Undirviðmið!$F$6:$F$105,(COLUMN()-7)/2+1),"")</f>
        <v/>
      </c>
      <c r="AH8" s="33"/>
      <c r="AI8" s="33" t="str">
        <f aca="false">IF(INDEX(Undirviðmið!$G$6:$G$105,(COLUMN()-7)/2+1)="Starfsbundið",INDEX(Undirviðmið!$F$6:$F$105,(COLUMN()-7)/2+1),"")</f>
        <v/>
      </c>
      <c r="AJ8" s="33"/>
      <c r="AK8" s="33" t="str">
        <f aca="false">IF(INDEX(Undirviðmið!$G$6:$G$105,(COLUMN()-7)/2+1)="Starfsbundið",INDEX(Undirviðmið!$F$6:$F$105,(COLUMN()-7)/2+1),"")</f>
        <v/>
      </c>
      <c r="AL8" s="33"/>
      <c r="AM8" s="33" t="str">
        <f aca="false">IF(INDEX(Undirviðmið!$G$6:$G$105,(COLUMN()-7)/2+1)="Starfsbundið",INDEX(Undirviðmið!$F$6:$F$105,(COLUMN()-7)/2+1),"")</f>
        <v/>
      </c>
      <c r="AN8" s="33"/>
      <c r="AO8" s="33" t="str">
        <f aca="false">IF(INDEX(Undirviðmið!$G$6:$G$105,(COLUMN()-7)/2+1)="Starfsbundið",INDEX(Undirviðmið!$F$6:$F$105,(COLUMN()-7)/2+1),"")</f>
        <v/>
      </c>
      <c r="AP8" s="33"/>
      <c r="AQ8" s="33" t="str">
        <f aca="false">IF(INDEX(Undirviðmið!$G$6:$G$105,(COLUMN()-7)/2+1)="Starfsbundið",INDEX(Undirviðmið!$F$6:$F$105,(COLUMN()-7)/2+1),"")</f>
        <v/>
      </c>
      <c r="AR8" s="33"/>
      <c r="AS8" s="33" t="str">
        <f aca="false">IF(INDEX(Undirviðmið!$G$6:$G$105,(COLUMN()-7)/2+1)="Starfsbundið",INDEX(Undirviðmið!$F$6:$F$105,(COLUMN()-7)/2+1),"")</f>
        <v/>
      </c>
      <c r="AT8" s="33"/>
      <c r="AU8" s="33" t="str">
        <f aca="false">IF(INDEX(Undirviðmið!$G$6:$G$105,(COLUMN()-7)/2+1)="Starfsbundið",INDEX(Undirviðmið!$F$6:$F$105,(COLUMN()-7)/2+1),"")</f>
        <v/>
      </c>
      <c r="AV8" s="33"/>
      <c r="AW8" s="33" t="str">
        <f aca="false">IF(INDEX(Undirviðmið!$G$6:$G$105,(COLUMN()-7)/2+1)="Starfsbundið",INDEX(Undirviðmið!$F$6:$F$105,(COLUMN()-7)/2+1),"")</f>
        <v/>
      </c>
      <c r="AX8" s="33"/>
      <c r="AY8" s="33" t="str">
        <f aca="false">IF(INDEX(Undirviðmið!$G$6:$G$105,(COLUMN()-7)/2+1)="Starfsbundið",INDEX(Undirviðmið!$F$6:$F$105,(COLUMN()-7)/2+1),"")</f>
        <v/>
      </c>
      <c r="AZ8" s="33"/>
      <c r="BA8" s="33" t="str">
        <f aca="false">IF(INDEX(Undirviðmið!$G$6:$G$105,(COLUMN()-7)/2+1)="Starfsbundið",INDEX(Undirviðmið!$F$6:$F$105,(COLUMN()-7)/2+1),"")</f>
        <v/>
      </c>
      <c r="BB8" s="33"/>
      <c r="BC8" s="33" t="str">
        <f aca="false">IF(INDEX(Undirviðmið!$G$6:$G$105,(COLUMN()-7)/2+1)="Starfsbundið",INDEX(Undirviðmið!$F$6:$F$105,(COLUMN()-7)/2+1),"")</f>
        <v/>
      </c>
      <c r="BD8" s="33"/>
      <c r="BE8" s="33" t="str">
        <f aca="false">IF(INDEX(Undirviðmið!$G$6:$G$105,(COLUMN()-7)/2+1)="Starfsbundið",INDEX(Undirviðmið!$F$6:$F$105,(COLUMN()-7)/2+1),"")</f>
        <v/>
      </c>
      <c r="BF8" s="33"/>
      <c r="BG8" s="33" t="str">
        <f aca="false">IF(INDEX(Undirviðmið!$G$6:$G$105,(COLUMN()-7)/2+1)="Starfsbundið",INDEX(Undirviðmið!$F$6:$F$105,(COLUMN()-7)/2+1),"")</f>
        <v/>
      </c>
      <c r="BH8" s="33"/>
      <c r="BI8" s="33" t="str">
        <f aca="false">IF(INDEX(Undirviðmið!$G$6:$G$105,(COLUMN()-7)/2+1)="Starfsbundið",INDEX(Undirviðmið!$F$6:$F$105,(COLUMN()-7)/2+1),"")</f>
        <v/>
      </c>
      <c r="BJ8" s="33"/>
      <c r="BK8" s="33" t="str">
        <f aca="false">IF(INDEX(Undirviðmið!$G$6:$G$105,(COLUMN()-7)/2+1)="Starfsbundið",INDEX(Undirviðmið!$F$6:$F$105,(COLUMN()-7)/2+1),"")</f>
        <v/>
      </c>
      <c r="BL8" s="33"/>
      <c r="BM8" s="33" t="str">
        <f aca="false">IF(INDEX(Undirviðmið!$G$6:$G$105,(COLUMN()-7)/2+1)="Starfsbundið",INDEX(Undirviðmið!$F$6:$F$105,(COLUMN()-7)/2+1),"")</f>
        <v/>
      </c>
      <c r="BN8" s="33"/>
      <c r="BO8" s="33" t="str">
        <f aca="false">IF(INDEX(Undirviðmið!$G$6:$G$105,(COLUMN()-7)/2+1)="Starfsbundið",INDEX(Undirviðmið!$F$6:$F$105,(COLUMN()-7)/2+1),"")</f>
        <v/>
      </c>
      <c r="BP8" s="33"/>
      <c r="BQ8" s="33" t="str">
        <f aca="false">IF(INDEX(Undirviðmið!$G$6:$G$105,(COLUMN()-7)/2+1)="Starfsbundið",INDEX(Undirviðmið!$F$6:$F$105,(COLUMN()-7)/2+1),"")</f>
        <v/>
      </c>
      <c r="BR8" s="33"/>
      <c r="BS8" s="33" t="str">
        <f aca="false">IF(INDEX(Undirviðmið!$G$6:$G$105,(COLUMN()-7)/2+1)="Starfsbundið",INDEX(Undirviðmið!$F$6:$F$105,(COLUMN()-7)/2+1),"")</f>
        <v/>
      </c>
      <c r="BT8" s="33"/>
      <c r="BU8" s="33" t="str">
        <f aca="false">IF(INDEX(Undirviðmið!$G$6:$G$105,(COLUMN()-7)/2+1)="Starfsbundið",INDEX(Undirviðmið!$F$6:$F$105,(COLUMN()-7)/2+1),"")</f>
        <v/>
      </c>
      <c r="BV8" s="33"/>
      <c r="BW8" s="33" t="str">
        <f aca="false">IF(INDEX(Undirviðmið!$G$6:$G$105,(COLUMN()-7)/2+1)="Starfsbundið",INDEX(Undirviðmið!$F$6:$F$105,(COLUMN()-7)/2+1),"")</f>
        <v/>
      </c>
      <c r="BX8" s="33"/>
      <c r="BY8" s="33" t="str">
        <f aca="false">IF(INDEX(Undirviðmið!$G$6:$G$105,(COLUMN()-7)/2+1)="Starfsbundið",INDEX(Undirviðmið!$F$6:$F$105,(COLUMN()-7)/2+1),"")</f>
        <v/>
      </c>
      <c r="BZ8" s="33"/>
      <c r="CA8" s="33" t="str">
        <f aca="false">IF(INDEX(Undirviðmið!$G$6:$G$105,(COLUMN()-7)/2+1)="Starfsbundið",INDEX(Undirviðmið!$F$6:$F$105,(COLUMN()-7)/2+1),"")</f>
        <v/>
      </c>
      <c r="CB8" s="33"/>
      <c r="CC8" s="33" t="str">
        <f aca="false">IF(INDEX(Undirviðmið!$G$6:$G$105,(COLUMN()-7)/2+1)="Starfsbundið",INDEX(Undirviðmið!$F$6:$F$105,(COLUMN()-7)/2+1),"")</f>
        <v/>
      </c>
      <c r="CD8" s="33"/>
      <c r="CE8" s="33" t="str">
        <f aca="false">IF(INDEX(Undirviðmið!$G$6:$G$105,(COLUMN()-7)/2+1)="Starfsbundið",INDEX(Undirviðmið!$F$6:$F$105,(COLUMN()-7)/2+1),"")</f>
        <v/>
      </c>
      <c r="CF8" s="33"/>
      <c r="CG8" s="33" t="str">
        <f aca="false">IF(INDEX(Undirviðmið!$G$6:$G$105,(COLUMN()-7)/2+1)="Starfsbundið",INDEX(Undirviðmið!$F$6:$F$105,(COLUMN()-7)/2+1),"")</f>
        <v/>
      </c>
      <c r="CH8" s="33"/>
      <c r="CI8" s="33" t="str">
        <f aca="false">IF(INDEX(Undirviðmið!$G$6:$G$105,(COLUMN()-7)/2+1)="Starfsbundið",INDEX(Undirviðmið!$F$6:$F$105,(COLUMN()-7)/2+1),"")</f>
        <v/>
      </c>
      <c r="CJ8" s="33"/>
      <c r="CK8" s="33" t="str">
        <f aca="false">IF(INDEX(Undirviðmið!$G$6:$G$105,(COLUMN()-7)/2+1)="Starfsbundið",INDEX(Undirviðmið!$F$6:$F$105,(COLUMN()-7)/2+1),"")</f>
        <v/>
      </c>
      <c r="CL8" s="33"/>
      <c r="CM8" s="33" t="str">
        <f aca="false">IF(INDEX(Undirviðmið!$G$6:$G$105,(COLUMN()-7)/2+1)="Starfsbundið",INDEX(Undirviðmið!$F$6:$F$105,(COLUMN()-7)/2+1),"")</f>
        <v/>
      </c>
      <c r="CN8" s="33"/>
      <c r="CO8" s="33" t="str">
        <f aca="false">IF(INDEX(Undirviðmið!$G$6:$G$105,(COLUMN()-7)/2+1)="Starfsbundið",INDEX(Undirviðmið!$F$6:$F$105,(COLUMN()-7)/2+1),"")</f>
        <v/>
      </c>
      <c r="CP8" s="33"/>
      <c r="CQ8" s="33" t="str">
        <f aca="false">IF(INDEX(Undirviðmið!$G$6:$G$105,(COLUMN()-7)/2+1)="Starfsbundið",INDEX(Undirviðmið!$F$6:$F$105,(COLUMN()-7)/2+1),"")</f>
        <v/>
      </c>
      <c r="CR8" s="33"/>
      <c r="CS8" s="33" t="str">
        <f aca="false">IF(INDEX(Undirviðmið!$G$6:$G$105,(COLUMN()-7)/2+1)="Starfsbundið",INDEX(Undirviðmið!$F$6:$F$105,(COLUMN()-7)/2+1),"")</f>
        <v/>
      </c>
      <c r="CT8" s="33"/>
      <c r="CU8" s="33" t="str">
        <f aca="false">IF(INDEX(Undirviðmið!$G$6:$G$105,(COLUMN()-7)/2+1)="Starfsbundið",INDEX(Undirviðmið!$F$6:$F$105,(COLUMN()-7)/2+1),"")</f>
        <v/>
      </c>
      <c r="CV8" s="33"/>
      <c r="CW8" s="33" t="str">
        <f aca="false">IF(INDEX(Undirviðmið!$G$6:$G$105,(COLUMN()-7)/2+1)="Starfsbundið",INDEX(Undirviðmið!$F$6:$F$105,(COLUMN()-7)/2+1),"")</f>
        <v/>
      </c>
      <c r="CX8" s="33"/>
      <c r="CY8" s="33" t="str">
        <f aca="false">IF(INDEX(Undirviðmið!$G$6:$G$105,(COLUMN()-7)/2+1)="Starfsbundið",INDEX(Undirviðmið!$F$6:$F$105,(COLUMN()-7)/2+1),"")</f>
        <v/>
      </c>
      <c r="CZ8" s="33"/>
      <c r="DA8" s="33" t="str">
        <f aca="false">IF(INDEX(Undirviðmið!$G$6:$G$105,(COLUMN()-7)/2+1)="Starfsbundið",INDEX(Undirviðmið!$F$6:$F$105,(COLUMN()-7)/2+1),"")</f>
        <v/>
      </c>
      <c r="DB8" s="33"/>
      <c r="DC8" s="33" t="str">
        <f aca="false">IF(INDEX(Undirviðmið!$G$6:$G$105,(COLUMN()-7)/2+1)="Starfsbundið",INDEX(Undirviðmið!$F$6:$F$105,(COLUMN()-7)/2+1),"")</f>
        <v/>
      </c>
      <c r="DD8" s="33"/>
      <c r="DE8" s="33" t="str">
        <f aca="false">IF(INDEX(Undirviðmið!$G$6:$G$105,(COLUMN()-7)/2+1)="Starfsbundið",INDEX(Undirviðmið!$F$6:$F$105,(COLUMN()-7)/2+1),"")</f>
        <v/>
      </c>
      <c r="DF8" s="33"/>
      <c r="DG8" s="33" t="str">
        <f aca="false">IF(INDEX(Undirviðmið!$G$6:$G$105,(COLUMN()-7)/2+1)="Starfsbundið",INDEX(Undirviðmið!$F$6:$F$105,(COLUMN()-7)/2+1),"")</f>
        <v/>
      </c>
      <c r="DH8" s="33"/>
      <c r="DI8" s="33" t="str">
        <f aca="false">IF(INDEX(Undirviðmið!$G$6:$G$105,(COLUMN()-7)/2+1)="Starfsbundið",INDEX(Undirviðmið!$F$6:$F$105,(COLUMN()-7)/2+1),"")</f>
        <v/>
      </c>
      <c r="DJ8" s="33"/>
      <c r="DK8" s="33" t="str">
        <f aca="false">IF(INDEX(Undirviðmið!$G$6:$G$105,(COLUMN()-7)/2+1)="Starfsbundið",INDEX(Undirviðmið!$F$6:$F$105,(COLUMN()-7)/2+1),"")</f>
        <v/>
      </c>
      <c r="DL8" s="33"/>
      <c r="DM8" s="33" t="str">
        <f aca="false">IF(INDEX(Undirviðmið!$G$6:$G$105,(COLUMN()-7)/2+1)="Starfsbundið",INDEX(Undirviðmið!$F$6:$F$105,(COLUMN()-7)/2+1),"")</f>
        <v/>
      </c>
      <c r="DN8" s="33"/>
      <c r="DO8" s="33" t="str">
        <f aca="false">IF(INDEX(Undirviðmið!$G$6:$G$105,(COLUMN()-7)/2+1)="Starfsbundið",INDEX(Undirviðmið!$F$6:$F$105,(COLUMN()-7)/2+1),"")</f>
        <v/>
      </c>
      <c r="DP8" s="33"/>
      <c r="DQ8" s="33" t="str">
        <f aca="false">IF(INDEX(Undirviðmið!$G$6:$G$105,(COLUMN()-7)/2+1)="Starfsbundið",INDEX(Undirviðmið!$F$6:$F$105,(COLUMN()-7)/2+1),"")</f>
        <v/>
      </c>
      <c r="DR8" s="33"/>
      <c r="DS8" s="33" t="str">
        <f aca="false">IF(INDEX(Undirviðmið!$G$6:$G$105,(COLUMN()-7)/2+1)="Starfsbundið",INDEX(Undirviðmið!$F$6:$F$105,(COLUMN()-7)/2+1),"")</f>
        <v/>
      </c>
      <c r="DT8" s="33"/>
      <c r="DU8" s="33" t="str">
        <f aca="false">IF(INDEX(Undirviðmið!$G$6:$G$105,(COLUMN()-7)/2+1)="Starfsbundið",INDEX(Undirviðmið!$F$6:$F$105,(COLUMN()-7)/2+1),"")</f>
        <v/>
      </c>
      <c r="DV8" s="33"/>
      <c r="DW8" s="33" t="str">
        <f aca="false">IF(INDEX(Undirviðmið!$G$6:$G$105,(COLUMN()-7)/2+1)="Starfsbundið",INDEX(Undirviðmið!$F$6:$F$105,(COLUMN()-7)/2+1),"")</f>
        <v/>
      </c>
      <c r="DX8" s="33"/>
      <c r="DY8" s="33" t="str">
        <f aca="false">IF(INDEX(Undirviðmið!$G$6:$G$105,(COLUMN()-7)/2+1)="Starfsbundið",INDEX(Undirviðmið!$F$6:$F$105,(COLUMN()-7)/2+1),"")</f>
        <v/>
      </c>
      <c r="DZ8" s="33"/>
      <c r="EA8" s="33" t="str">
        <f aca="false">IF(INDEX(Undirviðmið!$G$6:$G$105,(COLUMN()-7)/2+1)="Starfsbundið",INDEX(Undirviðmið!$F$6:$F$105,(COLUMN()-7)/2+1),"")</f>
        <v/>
      </c>
      <c r="EB8" s="33"/>
      <c r="EC8" s="33" t="str">
        <f aca="false">IF(INDEX(Undirviðmið!$G$6:$G$105,(COLUMN()-7)/2+1)="Starfsbundið",INDEX(Undirviðmið!$F$6:$F$105,(COLUMN()-7)/2+1),"")</f>
        <v/>
      </c>
      <c r="ED8" s="33"/>
      <c r="EE8" s="33" t="str">
        <f aca="false">IF(INDEX(Undirviðmið!$G$6:$G$105,(COLUMN()-7)/2+1)="Starfsbundið",INDEX(Undirviðmið!$F$6:$F$105,(COLUMN()-7)/2+1),"")</f>
        <v/>
      </c>
      <c r="EF8" s="33"/>
      <c r="EG8" s="33" t="str">
        <f aca="false">IF(INDEX(Undirviðmið!$G$6:$G$105,(COLUMN()-7)/2+1)="Starfsbundið",INDEX(Undirviðmið!$F$6:$F$105,(COLUMN()-7)/2+1),"")</f>
        <v/>
      </c>
      <c r="EH8" s="33"/>
      <c r="EI8" s="33" t="str">
        <f aca="false">IF(INDEX(Undirviðmið!$G$6:$G$105,(COLUMN()-7)/2+1)="Starfsbundið",INDEX(Undirviðmið!$F$6:$F$105,(COLUMN()-7)/2+1),"")</f>
        <v/>
      </c>
      <c r="EJ8" s="33"/>
      <c r="EK8" s="33" t="str">
        <f aca="false">IF(INDEX(Undirviðmið!$G$6:$G$105,(COLUMN()-7)/2+1)="Starfsbundið",INDEX(Undirviðmið!$F$6:$F$105,(COLUMN()-7)/2+1),"")</f>
        <v/>
      </c>
      <c r="EL8" s="33"/>
      <c r="EM8" s="33" t="str">
        <f aca="false">IF(INDEX(Undirviðmið!$G$6:$G$105,(COLUMN()-7)/2+1)="Starfsbundið",INDEX(Undirviðmið!$F$6:$F$105,(COLUMN()-7)/2+1),"")</f>
        <v/>
      </c>
      <c r="EN8" s="33"/>
      <c r="EO8" s="33" t="str">
        <f aca="false">IF(INDEX(Undirviðmið!$G$6:$G$105,(COLUMN()-7)/2+1)="Starfsbundið",INDEX(Undirviðmið!$F$6:$F$105,(COLUMN()-7)/2+1),"")</f>
        <v/>
      </c>
      <c r="EP8" s="33"/>
      <c r="EQ8" s="33" t="str">
        <f aca="false">IF(INDEX(Undirviðmið!$G$6:$G$105,(COLUMN()-7)/2+1)="Starfsbundið",INDEX(Undirviðmið!$F$6:$F$105,(COLUMN()-7)/2+1),"")</f>
        <v/>
      </c>
      <c r="ER8" s="33"/>
      <c r="ES8" s="33" t="str">
        <f aca="false">IF(INDEX(Undirviðmið!$G$6:$G$105,(COLUMN()-7)/2+1)="Starfsbundið",INDEX(Undirviðmið!$F$6:$F$105,(COLUMN()-7)/2+1),"")</f>
        <v/>
      </c>
      <c r="ET8" s="33"/>
      <c r="EU8" s="33" t="str">
        <f aca="false">IF(INDEX(Undirviðmið!$G$6:$G$105,(COLUMN()-7)/2+1)="Starfsbundið",INDEX(Undirviðmið!$F$6:$F$105,(COLUMN()-7)/2+1),"")</f>
        <v/>
      </c>
      <c r="EV8" s="33"/>
      <c r="EW8" s="33" t="str">
        <f aca="false">IF(INDEX(Undirviðmið!$G$6:$G$105,(COLUMN()-7)/2+1)="Starfsbundið",INDEX(Undirviðmið!$F$6:$F$105,(COLUMN()-7)/2+1),"")</f>
        <v/>
      </c>
      <c r="EX8" s="33"/>
      <c r="EY8" s="33" t="str">
        <f aca="false">IF(INDEX(Undirviðmið!$G$6:$G$105,(COLUMN()-7)/2+1)="Starfsbundið",INDEX(Undirviðmið!$F$6:$F$105,(COLUMN()-7)/2+1),"")</f>
        <v/>
      </c>
      <c r="EZ8" s="33"/>
      <c r="FA8" s="33" t="str">
        <f aca="false">IF(INDEX(Undirviðmið!$G$6:$G$105,(COLUMN()-7)/2+1)="Starfsbundið",INDEX(Undirviðmið!$F$6:$F$105,(COLUMN()-7)/2+1),"")</f>
        <v/>
      </c>
      <c r="FB8" s="33"/>
      <c r="FC8" s="33" t="str">
        <f aca="false">IF(INDEX(Undirviðmið!$G$6:$G$105,(COLUMN()-7)/2+1)="Starfsbundið",INDEX(Undirviðmið!$F$6:$F$105,(COLUMN()-7)/2+1),"")</f>
        <v/>
      </c>
      <c r="FD8" s="33"/>
      <c r="FE8" s="33" t="str">
        <f aca="false">IF(INDEX(Undirviðmið!$G$6:$G$105,(COLUMN()-7)/2+1)="Starfsbundið",INDEX(Undirviðmið!$F$6:$F$105,(COLUMN()-7)/2+1),"")</f>
        <v/>
      </c>
      <c r="FF8" s="33"/>
      <c r="FG8" s="33" t="str">
        <f aca="false">IF(INDEX(Undirviðmið!$G$6:$G$105,(COLUMN()-7)/2+1)="Starfsbundið",INDEX(Undirviðmið!$F$6:$F$105,(COLUMN()-7)/2+1),"")</f>
        <v/>
      </c>
      <c r="FH8" s="33"/>
      <c r="FI8" s="33" t="str">
        <f aca="false">IF(INDEX(Undirviðmið!$G$6:$G$105,(COLUMN()-7)/2+1)="Starfsbundið",INDEX(Undirviðmið!$F$6:$F$105,(COLUMN()-7)/2+1),"")</f>
        <v/>
      </c>
      <c r="FJ8" s="33"/>
      <c r="FK8" s="33" t="str">
        <f aca="false">IF(INDEX(Undirviðmið!$G$6:$G$105,(COLUMN()-7)/2+1)="Starfsbundið",INDEX(Undirviðmið!$F$6:$F$105,(COLUMN()-7)/2+1),"")</f>
        <v/>
      </c>
      <c r="FL8" s="33"/>
      <c r="FM8" s="33" t="str">
        <f aca="false">IF(INDEX(Undirviðmið!$G$6:$G$105,(COLUMN()-7)/2+1)="Starfsbundið",INDEX(Undirviðmið!$F$6:$F$105,(COLUMN()-7)/2+1),"")</f>
        <v/>
      </c>
      <c r="FN8" s="33"/>
      <c r="FO8" s="33" t="str">
        <f aca="false">IF(INDEX(Undirviðmið!$G$6:$G$105,(COLUMN()-7)/2+1)="Starfsbundið",INDEX(Undirviðmið!$F$6:$F$105,(COLUMN()-7)/2+1),"")</f>
        <v/>
      </c>
      <c r="FP8" s="33"/>
      <c r="FQ8" s="33" t="str">
        <f aca="false">IF(INDEX(Undirviðmið!$G$6:$G$105,(COLUMN()-7)/2+1)="Starfsbundið",INDEX(Undirviðmið!$F$6:$F$105,(COLUMN()-7)/2+1),"")</f>
        <v/>
      </c>
      <c r="FR8" s="33"/>
      <c r="FS8" s="33" t="str">
        <f aca="false">IF(INDEX(Undirviðmið!$G$6:$G$105,(COLUMN()-7)/2+1)="Starfsbundið",INDEX(Undirviðmið!$F$6:$F$105,(COLUMN()-7)/2+1),"")</f>
        <v/>
      </c>
      <c r="FT8" s="33"/>
      <c r="FU8" s="33" t="str">
        <f aca="false">IF(INDEX(Undirviðmið!$G$6:$G$105,(COLUMN()-7)/2+1)="Starfsbundið",INDEX(Undirviðmið!$F$6:$F$105,(COLUMN()-7)/2+1),"")</f>
        <v/>
      </c>
      <c r="FV8" s="33"/>
      <c r="FW8" s="33" t="str">
        <f aca="false">IF(INDEX(Undirviðmið!$G$6:$G$105,(COLUMN()-7)/2+1)="Starfsbundið",INDEX(Undirviðmið!$F$6:$F$105,(COLUMN()-7)/2+1),"")</f>
        <v/>
      </c>
      <c r="FX8" s="33"/>
      <c r="FY8" s="33" t="str">
        <f aca="false">IF(INDEX(Undirviðmið!$G$6:$G$105,(COLUMN()-7)/2+1)="Starfsbundið",INDEX(Undirviðmið!$F$6:$F$105,(COLUMN()-7)/2+1),"")</f>
        <v/>
      </c>
      <c r="FZ8" s="33"/>
      <c r="GA8" s="33" t="str">
        <f aca="false">IF(INDEX(Undirviðmið!$G$6:$G$105,(COLUMN()-7)/2+1)="Starfsbundið",INDEX(Undirviðmið!$F$6:$F$105,(COLUMN()-7)/2+1),"")</f>
        <v/>
      </c>
      <c r="GB8" s="33"/>
      <c r="GC8" s="33" t="str">
        <f aca="false">IF(INDEX(Undirviðmið!$G$6:$G$105,(COLUMN()-7)/2+1)="Starfsbundið",INDEX(Undirviðmið!$F$6:$F$105,(COLUMN()-7)/2+1),"")</f>
        <v/>
      </c>
      <c r="GD8" s="33"/>
      <c r="GE8" s="33" t="str">
        <f aca="false">IF(INDEX(Undirviðmið!$G$6:$G$105,(COLUMN()-7)/2+1)="Starfsbundið",INDEX(Undirviðmið!$F$6:$F$105,(COLUMN()-7)/2+1),"")</f>
        <v/>
      </c>
      <c r="GF8" s="33"/>
      <c r="GG8" s="33" t="str">
        <f aca="false">IF(INDEX(Undirviðmið!$G$6:$G$105,(COLUMN()-7)/2+1)="Starfsbundið",INDEX(Undirviðmið!$F$6:$F$105,(COLUMN()-7)/2+1),"")</f>
        <v/>
      </c>
      <c r="GH8" s="33"/>
      <c r="GI8" s="33" t="str">
        <f aca="false">IF(INDEX(Undirviðmið!$G$6:$G$105,(COLUMN()-7)/2+1)="Starfsbundið",INDEX(Undirviðmið!$F$6:$F$105,(COLUMN()-7)/2+1),"")</f>
        <v/>
      </c>
      <c r="GJ8" s="33"/>
      <c r="GK8" s="33" t="str">
        <f aca="false">IF(INDEX(Undirviðmið!$G$6:$G$105,(COLUMN()-7)/2+1)="Starfsbundið",INDEX(Undirviðmið!$F$6:$F$105,(COLUMN()-7)/2+1),"")</f>
        <v/>
      </c>
      <c r="GL8" s="33"/>
      <c r="GM8" s="33" t="str">
        <f aca="false">IF(INDEX(Undirviðmið!$G$6:$G$105,(COLUMN()-7)/2+1)="Starfsbundið",INDEX(Undirviðmið!$F$6:$F$105,(COLUMN()-7)/2+1),"")</f>
        <v/>
      </c>
      <c r="GN8" s="33"/>
      <c r="GO8" s="33" t="str">
        <f aca="false">IF(INDEX(Undirviðmið!$G$6:$G$105,(COLUMN()-7)/2+1)="Starfsbundið",INDEX(Undirviðmið!$F$6:$F$105,(COLUMN()-7)/2+1),"")</f>
        <v/>
      </c>
      <c r="GP8" s="33"/>
      <c r="GQ8" s="33" t="str">
        <f aca="false">IF(INDEX(Undirviðmið!$G$6:$G$105,(COLUMN()-7)/2+1)="Starfsbundið",INDEX(Undirviðmið!$F$6:$F$105,(COLUMN()-7)/2+1),"")</f>
        <v/>
      </c>
      <c r="GR8" s="33"/>
      <c r="GS8" s="33" t="str">
        <f aca="false">IF(INDEX(Undirviðmið!$G$6:$G$105,(COLUMN()-7)/2+1)="Starfsbundið",INDEX(Undirviðmið!$F$6:$F$105,(COLUMN()-7)/2+1),"")</f>
        <v/>
      </c>
      <c r="GT8" s="33"/>
      <c r="GU8" s="33" t="str">
        <f aca="false">IF(INDEX(Undirviðmið!$G$6:$G$105,(COLUMN()-7)/2+1)="Starfsbundið",INDEX(Undirviðmið!$F$6:$F$105,(COLUMN()-7)/2+1),"")</f>
        <v/>
      </c>
      <c r="GV8" s="33"/>
      <c r="GW8" s="33" t="str">
        <f aca="false">IF(INDEX(Undirviðmið!$G$6:$G$105,(COLUMN()-7)/2+1)="Starfsbundið",INDEX(Undirviðmið!$F$6:$F$105,(COLUMN()-7)/2+1),"")</f>
        <v/>
      </c>
      <c r="GX8" s="33"/>
    </row>
    <row r="9" customFormat="false" ht="15" hidden="false" customHeight="true" outlineLevel="0" collapsed="false">
      <c r="B9" s="34" t="s">
        <v>131</v>
      </c>
      <c r="C9" s="34"/>
      <c r="D9" s="20"/>
      <c r="E9" s="20"/>
      <c r="F9" s="20"/>
      <c r="G9" s="33" t="str">
        <f aca="false">IF(INDEX(Undirviðmið!$G$6:$G$105,(COLUMN()-7)/2+1)="Starfsbundið",IFERROR(INDEX(Undirviðmið!$E$6:$E$105,(COLUMN()-7)/2+1)*KVARDI,""),"")</f>
        <v/>
      </c>
      <c r="H9" s="33"/>
      <c r="I9" s="33" t="str">
        <f aca="false">IF(INDEX(Undirviðmið!$G$6:$G$105,(COLUMN()-7)/2+1)="Starfsbundið",IFERROR(INDEX(Undirviðmið!$E$6:$E$105,(COLUMN()-7)/2+1)*KVARDI,""),"")</f>
        <v/>
      </c>
      <c r="J9" s="33"/>
      <c r="K9" s="33" t="str">
        <f aca="false">IF(INDEX(Undirviðmið!$G$6:$G$105,(COLUMN()-7)/2+1)="Starfsbundið",IFERROR(INDEX(Undirviðmið!$E$6:$E$105,(COLUMN()-7)/2+1)*KVARDI,""),"")</f>
        <v/>
      </c>
      <c r="L9" s="33"/>
      <c r="M9" s="33" t="str">
        <f aca="false">IF(INDEX(Undirviðmið!$G$6:$G$105,(COLUMN()-7)/2+1)="Starfsbundið",IFERROR(INDEX(Undirviðmið!$E$6:$E$105,(COLUMN()-7)/2+1)*KVARDI,""),"")</f>
        <v/>
      </c>
      <c r="N9" s="33"/>
      <c r="O9" s="33" t="str">
        <f aca="false">IF(INDEX(Undirviðmið!$G$6:$G$105,(COLUMN()-7)/2+1)="Starfsbundið",IFERROR(INDEX(Undirviðmið!$E$6:$E$105,(COLUMN()-7)/2+1)*KVARDI,""),"")</f>
        <v/>
      </c>
      <c r="P9" s="33"/>
      <c r="Q9" s="33" t="str">
        <f aca="false">IF(INDEX(Undirviðmið!$G$6:$G$105,(COLUMN()-7)/2+1)="Starfsbundið",IFERROR(INDEX(Undirviðmið!$E$6:$E$105,(COLUMN()-7)/2+1)*KVARDI,""),"")</f>
        <v/>
      </c>
      <c r="R9" s="33"/>
      <c r="S9" s="33" t="str">
        <f aca="false">IF(INDEX(Undirviðmið!$G$6:$G$105,(COLUMN()-7)/2+1)="Starfsbundið",IFERROR(INDEX(Undirviðmið!$E$6:$E$105,(COLUMN()-7)/2+1)*KVARDI,""),"")</f>
        <v/>
      </c>
      <c r="T9" s="33"/>
      <c r="U9" s="33" t="str">
        <f aca="false">IF(INDEX(Undirviðmið!$G$6:$G$105,(COLUMN()-7)/2+1)="Starfsbundið",IFERROR(INDEX(Undirviðmið!$E$6:$E$105,(COLUMN()-7)/2+1)*KVARDI,""),"")</f>
        <v/>
      </c>
      <c r="V9" s="33"/>
      <c r="W9" s="33" t="str">
        <f aca="false">IF(INDEX(Undirviðmið!$G$6:$G$105,(COLUMN()-7)/2+1)="Starfsbundið",IFERROR(INDEX(Undirviðmið!$E$6:$E$105,(COLUMN()-7)/2+1)*KVARDI,""),"")</f>
        <v/>
      </c>
      <c r="X9" s="33"/>
      <c r="Y9" s="33" t="str">
        <f aca="false">IF(INDEX(Undirviðmið!$G$6:$G$105,(COLUMN()-7)/2+1)="Starfsbundið",IFERROR(INDEX(Undirviðmið!$E$6:$E$105,(COLUMN()-7)/2+1)*KVARDI,""),"")</f>
        <v/>
      </c>
      <c r="Z9" s="33"/>
      <c r="AA9" s="33" t="str">
        <f aca="false">IF(INDEX(Undirviðmið!$G$6:$G$105,(COLUMN()-7)/2+1)="Starfsbundið",IFERROR(INDEX(Undirviðmið!$E$6:$E$105,(COLUMN()-7)/2+1)*KVARDI,""),"")</f>
        <v/>
      </c>
      <c r="AB9" s="33"/>
      <c r="AC9" s="33" t="str">
        <f aca="false">IF(INDEX(Undirviðmið!$G$6:$G$105,(COLUMN()-7)/2+1)="Starfsbundið",IFERROR(INDEX(Undirviðmið!$E$6:$E$105,(COLUMN()-7)/2+1)*KVARDI,""),"")</f>
        <v/>
      </c>
      <c r="AD9" s="33"/>
      <c r="AE9" s="33" t="str">
        <f aca="false">IF(INDEX(Undirviðmið!$G$6:$G$105,(COLUMN()-7)/2+1)="Starfsbundið",IFERROR(INDEX(Undirviðmið!$E$6:$E$105,(COLUMN()-7)/2+1)*KVARDI,""),"")</f>
        <v/>
      </c>
      <c r="AF9" s="33"/>
      <c r="AG9" s="33" t="str">
        <f aca="false">IF(INDEX(Undirviðmið!$G$6:$G$105,(COLUMN()-7)/2+1)="Starfsbundið",IFERROR(INDEX(Undirviðmið!$E$6:$E$105,(COLUMN()-7)/2+1)*KVARDI,""),"")</f>
        <v/>
      </c>
      <c r="AH9" s="33"/>
      <c r="AI9" s="33" t="str">
        <f aca="false">IF(INDEX(Undirviðmið!$G$6:$G$105,(COLUMN()-7)/2+1)="Starfsbundið",IFERROR(INDEX(Undirviðmið!$E$6:$E$105,(COLUMN()-7)/2+1)*KVARDI,""),"")</f>
        <v/>
      </c>
      <c r="AJ9" s="33"/>
      <c r="AK9" s="33" t="str">
        <f aca="false">IF(INDEX(Undirviðmið!$G$6:$G$105,(COLUMN()-7)/2+1)="Starfsbundið",IFERROR(INDEX(Undirviðmið!$E$6:$E$105,(COLUMN()-7)/2+1)*KVARDI,""),"")</f>
        <v/>
      </c>
      <c r="AL9" s="33"/>
      <c r="AM9" s="33" t="str">
        <f aca="false">IF(INDEX(Undirviðmið!$G$6:$G$105,(COLUMN()-7)/2+1)="Starfsbundið",IFERROR(INDEX(Undirviðmið!$E$6:$E$105,(COLUMN()-7)/2+1)*KVARDI,""),"")</f>
        <v/>
      </c>
      <c r="AN9" s="33"/>
      <c r="AO9" s="33" t="str">
        <f aca="false">IF(INDEX(Undirviðmið!$G$6:$G$105,(COLUMN()-7)/2+1)="Starfsbundið",IFERROR(INDEX(Undirviðmið!$E$6:$E$105,(COLUMN()-7)/2+1)*KVARDI,""),"")</f>
        <v/>
      </c>
      <c r="AP9" s="33"/>
      <c r="AQ9" s="33" t="str">
        <f aca="false">IF(INDEX(Undirviðmið!$G$6:$G$105,(COLUMN()-7)/2+1)="Starfsbundið",IFERROR(INDEX(Undirviðmið!$E$6:$E$105,(COLUMN()-7)/2+1)*KVARDI,""),"")</f>
        <v/>
      </c>
      <c r="AR9" s="33"/>
      <c r="AS9" s="33" t="str">
        <f aca="false">IF(INDEX(Undirviðmið!$G$6:$G$105,(COLUMN()-7)/2+1)="Starfsbundið",IFERROR(INDEX(Undirviðmið!$E$6:$E$105,(COLUMN()-7)/2+1)*KVARDI,""),"")</f>
        <v/>
      </c>
      <c r="AT9" s="33"/>
      <c r="AU9" s="33" t="str">
        <f aca="false">IF(INDEX(Undirviðmið!$G$6:$G$105,(COLUMN()-7)/2+1)="Starfsbundið",IFERROR(INDEX(Undirviðmið!$E$6:$E$105,(COLUMN()-7)/2+1)*KVARDI,""),"")</f>
        <v/>
      </c>
      <c r="AV9" s="33"/>
      <c r="AW9" s="33" t="str">
        <f aca="false">IF(INDEX(Undirviðmið!$G$6:$G$105,(COLUMN()-7)/2+1)="Starfsbundið",IFERROR(INDEX(Undirviðmið!$E$6:$E$105,(COLUMN()-7)/2+1)*KVARDI,""),"")</f>
        <v/>
      </c>
      <c r="AX9" s="33"/>
      <c r="AY9" s="33" t="str">
        <f aca="false">IF(INDEX(Undirviðmið!$G$6:$G$105,(COLUMN()-7)/2+1)="Starfsbundið",IFERROR(INDEX(Undirviðmið!$E$6:$E$105,(COLUMN()-7)/2+1)*KVARDI,""),"")</f>
        <v/>
      </c>
      <c r="AZ9" s="33"/>
      <c r="BA9" s="33" t="str">
        <f aca="false">IF(INDEX(Undirviðmið!$G$6:$G$105,(COLUMN()-7)/2+1)="Starfsbundið",IFERROR(INDEX(Undirviðmið!$E$6:$E$105,(COLUMN()-7)/2+1)*KVARDI,""),"")</f>
        <v/>
      </c>
      <c r="BB9" s="33"/>
      <c r="BC9" s="33" t="str">
        <f aca="false">IF(INDEX(Undirviðmið!$G$6:$G$105,(COLUMN()-7)/2+1)="Starfsbundið",IFERROR(INDEX(Undirviðmið!$E$6:$E$105,(COLUMN()-7)/2+1)*KVARDI,""),"")</f>
        <v/>
      </c>
      <c r="BD9" s="33"/>
      <c r="BE9" s="33" t="str">
        <f aca="false">IF(INDEX(Undirviðmið!$G$6:$G$105,(COLUMN()-7)/2+1)="Starfsbundið",IFERROR(INDEX(Undirviðmið!$E$6:$E$105,(COLUMN()-7)/2+1)*KVARDI,""),"")</f>
        <v/>
      </c>
      <c r="BF9" s="33"/>
      <c r="BG9" s="33" t="str">
        <f aca="false">IF(INDEX(Undirviðmið!$G$6:$G$105,(COLUMN()-7)/2+1)="Starfsbundið",IFERROR(INDEX(Undirviðmið!$E$6:$E$105,(COLUMN()-7)/2+1)*KVARDI,""),"")</f>
        <v/>
      </c>
      <c r="BH9" s="33"/>
      <c r="BI9" s="33" t="str">
        <f aca="false">IF(INDEX(Undirviðmið!$G$6:$G$105,(COLUMN()-7)/2+1)="Starfsbundið",IFERROR(INDEX(Undirviðmið!$E$6:$E$105,(COLUMN()-7)/2+1)*KVARDI,""),"")</f>
        <v/>
      </c>
      <c r="BJ9" s="33"/>
      <c r="BK9" s="33" t="str">
        <f aca="false">IF(INDEX(Undirviðmið!$G$6:$G$105,(COLUMN()-7)/2+1)="Starfsbundið",IFERROR(INDEX(Undirviðmið!$E$6:$E$105,(COLUMN()-7)/2+1)*KVARDI,""),"")</f>
        <v/>
      </c>
      <c r="BL9" s="33"/>
      <c r="BM9" s="33" t="str">
        <f aca="false">IF(INDEX(Undirviðmið!$G$6:$G$105,(COLUMN()-7)/2+1)="Starfsbundið",IFERROR(INDEX(Undirviðmið!$E$6:$E$105,(COLUMN()-7)/2+1)*KVARDI,""),"")</f>
        <v/>
      </c>
      <c r="BN9" s="33"/>
      <c r="BO9" s="33" t="str">
        <f aca="false">IF(INDEX(Undirviðmið!$G$6:$G$105,(COLUMN()-7)/2+1)="Starfsbundið",IFERROR(INDEX(Undirviðmið!$E$6:$E$105,(COLUMN()-7)/2+1)*KVARDI,""),"")</f>
        <v/>
      </c>
      <c r="BP9" s="33"/>
      <c r="BQ9" s="33" t="str">
        <f aca="false">IF(INDEX(Undirviðmið!$G$6:$G$105,(COLUMN()-7)/2+1)="Starfsbundið",IFERROR(INDEX(Undirviðmið!$E$6:$E$105,(COLUMN()-7)/2+1)*KVARDI,""),"")</f>
        <v/>
      </c>
      <c r="BR9" s="33"/>
      <c r="BS9" s="33" t="str">
        <f aca="false">IF(INDEX(Undirviðmið!$G$6:$G$105,(COLUMN()-7)/2+1)="Starfsbundið",IFERROR(INDEX(Undirviðmið!$E$6:$E$105,(COLUMN()-7)/2+1)*KVARDI,""),"")</f>
        <v/>
      </c>
      <c r="BT9" s="33"/>
      <c r="BU9" s="33" t="str">
        <f aca="false">IF(INDEX(Undirviðmið!$G$6:$G$105,(COLUMN()-7)/2+1)="Starfsbundið",IFERROR(INDEX(Undirviðmið!$E$6:$E$105,(COLUMN()-7)/2+1)*KVARDI,""),"")</f>
        <v/>
      </c>
      <c r="BV9" s="33"/>
      <c r="BW9" s="33" t="str">
        <f aca="false">IF(INDEX(Undirviðmið!$G$6:$G$105,(COLUMN()-7)/2+1)="Starfsbundið",IFERROR(INDEX(Undirviðmið!$E$6:$E$105,(COLUMN()-7)/2+1)*KVARDI,""),"")</f>
        <v/>
      </c>
      <c r="BX9" s="33"/>
      <c r="BY9" s="33" t="str">
        <f aca="false">IF(INDEX(Undirviðmið!$G$6:$G$105,(COLUMN()-7)/2+1)="Starfsbundið",IFERROR(INDEX(Undirviðmið!$E$6:$E$105,(COLUMN()-7)/2+1)*KVARDI,""),"")</f>
        <v/>
      </c>
      <c r="BZ9" s="33"/>
      <c r="CA9" s="33" t="str">
        <f aca="false">IF(INDEX(Undirviðmið!$G$6:$G$105,(COLUMN()-7)/2+1)="Starfsbundið",IFERROR(INDEX(Undirviðmið!$E$6:$E$105,(COLUMN()-7)/2+1)*KVARDI,""),"")</f>
        <v/>
      </c>
      <c r="CB9" s="33"/>
      <c r="CC9" s="33" t="str">
        <f aca="false">IF(INDEX(Undirviðmið!$G$6:$G$105,(COLUMN()-7)/2+1)="Starfsbundið",IFERROR(INDEX(Undirviðmið!$E$6:$E$105,(COLUMN()-7)/2+1)*KVARDI,""),"")</f>
        <v/>
      </c>
      <c r="CD9" s="33"/>
      <c r="CE9" s="33" t="str">
        <f aca="false">IF(INDEX(Undirviðmið!$G$6:$G$105,(COLUMN()-7)/2+1)="Starfsbundið",IFERROR(INDEX(Undirviðmið!$E$6:$E$105,(COLUMN()-7)/2+1)*KVARDI,""),"")</f>
        <v/>
      </c>
      <c r="CF9" s="33"/>
      <c r="CG9" s="33" t="str">
        <f aca="false">IF(INDEX(Undirviðmið!$G$6:$G$105,(COLUMN()-7)/2+1)="Starfsbundið",IFERROR(INDEX(Undirviðmið!$E$6:$E$105,(COLUMN()-7)/2+1)*KVARDI,""),"")</f>
        <v/>
      </c>
      <c r="CH9" s="33"/>
      <c r="CI9" s="33" t="str">
        <f aca="false">IF(INDEX(Undirviðmið!$G$6:$G$105,(COLUMN()-7)/2+1)="Starfsbundið",IFERROR(INDEX(Undirviðmið!$E$6:$E$105,(COLUMN()-7)/2+1)*KVARDI,""),"")</f>
        <v/>
      </c>
      <c r="CJ9" s="33"/>
      <c r="CK9" s="33" t="str">
        <f aca="false">IF(INDEX(Undirviðmið!$G$6:$G$105,(COLUMN()-7)/2+1)="Starfsbundið",IFERROR(INDEX(Undirviðmið!$E$6:$E$105,(COLUMN()-7)/2+1)*KVARDI,""),"")</f>
        <v/>
      </c>
      <c r="CL9" s="33"/>
      <c r="CM9" s="33" t="str">
        <f aca="false">IF(INDEX(Undirviðmið!$G$6:$G$105,(COLUMN()-7)/2+1)="Starfsbundið",IFERROR(INDEX(Undirviðmið!$E$6:$E$105,(COLUMN()-7)/2+1)*KVARDI,""),"")</f>
        <v/>
      </c>
      <c r="CN9" s="33"/>
      <c r="CO9" s="33" t="str">
        <f aca="false">IF(INDEX(Undirviðmið!$G$6:$G$105,(COLUMN()-7)/2+1)="Starfsbundið",IFERROR(INDEX(Undirviðmið!$E$6:$E$105,(COLUMN()-7)/2+1)*KVARDI,""),"")</f>
        <v/>
      </c>
      <c r="CP9" s="33"/>
      <c r="CQ9" s="33" t="str">
        <f aca="false">IF(INDEX(Undirviðmið!$G$6:$G$105,(COLUMN()-7)/2+1)="Starfsbundið",IFERROR(INDEX(Undirviðmið!$E$6:$E$105,(COLUMN()-7)/2+1)*KVARDI,""),"")</f>
        <v/>
      </c>
      <c r="CR9" s="33"/>
      <c r="CS9" s="33" t="str">
        <f aca="false">IF(INDEX(Undirviðmið!$G$6:$G$105,(COLUMN()-7)/2+1)="Starfsbundið",IFERROR(INDEX(Undirviðmið!$E$6:$E$105,(COLUMN()-7)/2+1)*KVARDI,""),"")</f>
        <v/>
      </c>
      <c r="CT9" s="33"/>
      <c r="CU9" s="33" t="str">
        <f aca="false">IF(INDEX(Undirviðmið!$G$6:$G$105,(COLUMN()-7)/2+1)="Starfsbundið",IFERROR(INDEX(Undirviðmið!$E$6:$E$105,(COLUMN()-7)/2+1)*KVARDI,""),"")</f>
        <v/>
      </c>
      <c r="CV9" s="33"/>
      <c r="CW9" s="33" t="str">
        <f aca="false">IF(INDEX(Undirviðmið!$G$6:$G$105,(COLUMN()-7)/2+1)="Starfsbundið",IFERROR(INDEX(Undirviðmið!$E$6:$E$105,(COLUMN()-7)/2+1)*KVARDI,""),"")</f>
        <v/>
      </c>
      <c r="CX9" s="33"/>
      <c r="CY9" s="33" t="str">
        <f aca="false">IF(INDEX(Undirviðmið!$G$6:$G$105,(COLUMN()-7)/2+1)="Starfsbundið",IFERROR(INDEX(Undirviðmið!$E$6:$E$105,(COLUMN()-7)/2+1)*KVARDI,""),"")</f>
        <v/>
      </c>
      <c r="CZ9" s="33"/>
      <c r="DA9" s="33" t="str">
        <f aca="false">IF(INDEX(Undirviðmið!$G$6:$G$105,(COLUMN()-7)/2+1)="Starfsbundið",IFERROR(INDEX(Undirviðmið!$E$6:$E$105,(COLUMN()-7)/2+1)*KVARDI,""),"")</f>
        <v/>
      </c>
      <c r="DB9" s="33"/>
      <c r="DC9" s="33" t="str">
        <f aca="false">IF(INDEX(Undirviðmið!$G$6:$G$105,(COLUMN()-7)/2+1)="Starfsbundið",IFERROR(INDEX(Undirviðmið!$E$6:$E$105,(COLUMN()-7)/2+1)*KVARDI,""),"")</f>
        <v/>
      </c>
      <c r="DD9" s="33"/>
      <c r="DE9" s="33" t="str">
        <f aca="false">IF(INDEX(Undirviðmið!$G$6:$G$105,(COLUMN()-7)/2+1)="Starfsbundið",IFERROR(INDEX(Undirviðmið!$E$6:$E$105,(COLUMN()-7)/2+1)*KVARDI,""),"")</f>
        <v/>
      </c>
      <c r="DF9" s="33"/>
      <c r="DG9" s="33" t="str">
        <f aca="false">IF(INDEX(Undirviðmið!$G$6:$G$105,(COLUMN()-7)/2+1)="Starfsbundið",IFERROR(INDEX(Undirviðmið!$E$6:$E$105,(COLUMN()-7)/2+1)*KVARDI,""),"")</f>
        <v/>
      </c>
      <c r="DH9" s="33"/>
      <c r="DI9" s="33" t="str">
        <f aca="false">IF(INDEX(Undirviðmið!$G$6:$G$105,(COLUMN()-7)/2+1)="Starfsbundið",IFERROR(INDEX(Undirviðmið!$E$6:$E$105,(COLUMN()-7)/2+1)*KVARDI,""),"")</f>
        <v/>
      </c>
      <c r="DJ9" s="33"/>
      <c r="DK9" s="33" t="str">
        <f aca="false">IF(INDEX(Undirviðmið!$G$6:$G$105,(COLUMN()-7)/2+1)="Starfsbundið",IFERROR(INDEX(Undirviðmið!$E$6:$E$105,(COLUMN()-7)/2+1)*KVARDI,""),"")</f>
        <v/>
      </c>
      <c r="DL9" s="33"/>
      <c r="DM9" s="33" t="str">
        <f aca="false">IF(INDEX(Undirviðmið!$G$6:$G$105,(COLUMN()-7)/2+1)="Starfsbundið",IFERROR(INDEX(Undirviðmið!$E$6:$E$105,(COLUMN()-7)/2+1)*KVARDI,""),"")</f>
        <v/>
      </c>
      <c r="DN9" s="33"/>
      <c r="DO9" s="33" t="str">
        <f aca="false">IF(INDEX(Undirviðmið!$G$6:$G$105,(COLUMN()-7)/2+1)="Starfsbundið",IFERROR(INDEX(Undirviðmið!$E$6:$E$105,(COLUMN()-7)/2+1)*KVARDI,""),"")</f>
        <v/>
      </c>
      <c r="DP9" s="33"/>
      <c r="DQ9" s="33" t="str">
        <f aca="false">IF(INDEX(Undirviðmið!$G$6:$G$105,(COLUMN()-7)/2+1)="Starfsbundið",IFERROR(INDEX(Undirviðmið!$E$6:$E$105,(COLUMN()-7)/2+1)*KVARDI,""),"")</f>
        <v/>
      </c>
      <c r="DR9" s="33"/>
      <c r="DS9" s="33" t="str">
        <f aca="false">IF(INDEX(Undirviðmið!$G$6:$G$105,(COLUMN()-7)/2+1)="Starfsbundið",IFERROR(INDEX(Undirviðmið!$E$6:$E$105,(COLUMN()-7)/2+1)*KVARDI,""),"")</f>
        <v/>
      </c>
      <c r="DT9" s="33"/>
      <c r="DU9" s="33" t="str">
        <f aca="false">IF(INDEX(Undirviðmið!$G$6:$G$105,(COLUMN()-7)/2+1)="Starfsbundið",IFERROR(INDEX(Undirviðmið!$E$6:$E$105,(COLUMN()-7)/2+1)*KVARDI,""),"")</f>
        <v/>
      </c>
      <c r="DV9" s="33"/>
      <c r="DW9" s="33" t="str">
        <f aca="false">IF(INDEX(Undirviðmið!$G$6:$G$105,(COLUMN()-7)/2+1)="Starfsbundið",IFERROR(INDEX(Undirviðmið!$E$6:$E$105,(COLUMN()-7)/2+1)*KVARDI,""),"")</f>
        <v/>
      </c>
      <c r="DX9" s="33"/>
      <c r="DY9" s="33" t="str">
        <f aca="false">IF(INDEX(Undirviðmið!$G$6:$G$105,(COLUMN()-7)/2+1)="Starfsbundið",IFERROR(INDEX(Undirviðmið!$E$6:$E$105,(COLUMN()-7)/2+1)*KVARDI,""),"")</f>
        <v/>
      </c>
      <c r="DZ9" s="33"/>
      <c r="EA9" s="33" t="str">
        <f aca="false">IF(INDEX(Undirviðmið!$G$6:$G$105,(COLUMN()-7)/2+1)="Starfsbundið",IFERROR(INDEX(Undirviðmið!$E$6:$E$105,(COLUMN()-7)/2+1)*KVARDI,""),"")</f>
        <v/>
      </c>
      <c r="EB9" s="33"/>
      <c r="EC9" s="33" t="str">
        <f aca="false">IF(INDEX(Undirviðmið!$G$6:$G$105,(COLUMN()-7)/2+1)="Starfsbundið",IFERROR(INDEX(Undirviðmið!$E$6:$E$105,(COLUMN()-7)/2+1)*KVARDI,""),"")</f>
        <v/>
      </c>
      <c r="ED9" s="33"/>
      <c r="EE9" s="33" t="str">
        <f aca="false">IF(INDEX(Undirviðmið!$G$6:$G$105,(COLUMN()-7)/2+1)="Starfsbundið",IFERROR(INDEX(Undirviðmið!$E$6:$E$105,(COLUMN()-7)/2+1)*KVARDI,""),"")</f>
        <v/>
      </c>
      <c r="EF9" s="33"/>
      <c r="EG9" s="33" t="str">
        <f aca="false">IF(INDEX(Undirviðmið!$G$6:$G$105,(COLUMN()-7)/2+1)="Starfsbundið",IFERROR(INDEX(Undirviðmið!$E$6:$E$105,(COLUMN()-7)/2+1)*KVARDI,""),"")</f>
        <v/>
      </c>
      <c r="EH9" s="33"/>
      <c r="EI9" s="33" t="str">
        <f aca="false">IF(INDEX(Undirviðmið!$G$6:$G$105,(COLUMN()-7)/2+1)="Starfsbundið",IFERROR(INDEX(Undirviðmið!$E$6:$E$105,(COLUMN()-7)/2+1)*KVARDI,""),"")</f>
        <v/>
      </c>
      <c r="EJ9" s="33"/>
      <c r="EK9" s="33" t="str">
        <f aca="false">IF(INDEX(Undirviðmið!$G$6:$G$105,(COLUMN()-7)/2+1)="Starfsbundið",IFERROR(INDEX(Undirviðmið!$E$6:$E$105,(COLUMN()-7)/2+1)*KVARDI,""),"")</f>
        <v/>
      </c>
      <c r="EL9" s="33"/>
      <c r="EM9" s="33" t="str">
        <f aca="false">IF(INDEX(Undirviðmið!$G$6:$G$105,(COLUMN()-7)/2+1)="Starfsbundið",IFERROR(INDEX(Undirviðmið!$E$6:$E$105,(COLUMN()-7)/2+1)*KVARDI,""),"")</f>
        <v/>
      </c>
      <c r="EN9" s="33"/>
      <c r="EO9" s="33" t="str">
        <f aca="false">IF(INDEX(Undirviðmið!$G$6:$G$105,(COLUMN()-7)/2+1)="Starfsbundið",IFERROR(INDEX(Undirviðmið!$E$6:$E$105,(COLUMN()-7)/2+1)*KVARDI,""),"")</f>
        <v/>
      </c>
      <c r="EP9" s="33"/>
      <c r="EQ9" s="33" t="str">
        <f aca="false">IF(INDEX(Undirviðmið!$G$6:$G$105,(COLUMN()-7)/2+1)="Starfsbundið",IFERROR(INDEX(Undirviðmið!$E$6:$E$105,(COLUMN()-7)/2+1)*KVARDI,""),"")</f>
        <v/>
      </c>
      <c r="ER9" s="33"/>
      <c r="ES9" s="33" t="str">
        <f aca="false">IF(INDEX(Undirviðmið!$G$6:$G$105,(COLUMN()-7)/2+1)="Starfsbundið",IFERROR(INDEX(Undirviðmið!$E$6:$E$105,(COLUMN()-7)/2+1)*KVARDI,""),"")</f>
        <v/>
      </c>
      <c r="ET9" s="33"/>
      <c r="EU9" s="33" t="str">
        <f aca="false">IF(INDEX(Undirviðmið!$G$6:$G$105,(COLUMN()-7)/2+1)="Starfsbundið",IFERROR(INDEX(Undirviðmið!$E$6:$E$105,(COLUMN()-7)/2+1)*KVARDI,""),"")</f>
        <v/>
      </c>
      <c r="EV9" s="33"/>
      <c r="EW9" s="33" t="str">
        <f aca="false">IF(INDEX(Undirviðmið!$G$6:$G$105,(COLUMN()-7)/2+1)="Starfsbundið",IFERROR(INDEX(Undirviðmið!$E$6:$E$105,(COLUMN()-7)/2+1)*KVARDI,""),"")</f>
        <v/>
      </c>
      <c r="EX9" s="33"/>
      <c r="EY9" s="33" t="str">
        <f aca="false">IF(INDEX(Undirviðmið!$G$6:$G$105,(COLUMN()-7)/2+1)="Starfsbundið",IFERROR(INDEX(Undirviðmið!$E$6:$E$105,(COLUMN()-7)/2+1)*KVARDI,""),"")</f>
        <v/>
      </c>
      <c r="EZ9" s="33"/>
      <c r="FA9" s="33" t="str">
        <f aca="false">IF(INDEX(Undirviðmið!$G$6:$G$105,(COLUMN()-7)/2+1)="Starfsbundið",IFERROR(INDEX(Undirviðmið!$E$6:$E$105,(COLUMN()-7)/2+1)*KVARDI,""),"")</f>
        <v/>
      </c>
      <c r="FB9" s="33"/>
      <c r="FC9" s="33" t="str">
        <f aca="false">IF(INDEX(Undirviðmið!$G$6:$G$105,(COLUMN()-7)/2+1)="Starfsbundið",IFERROR(INDEX(Undirviðmið!$E$6:$E$105,(COLUMN()-7)/2+1)*KVARDI,""),"")</f>
        <v/>
      </c>
      <c r="FD9" s="33"/>
      <c r="FE9" s="33" t="str">
        <f aca="false">IF(INDEX(Undirviðmið!$G$6:$G$105,(COLUMN()-7)/2+1)="Starfsbundið",IFERROR(INDEX(Undirviðmið!$E$6:$E$105,(COLUMN()-7)/2+1)*KVARDI,""),"")</f>
        <v/>
      </c>
      <c r="FF9" s="33"/>
      <c r="FG9" s="33" t="str">
        <f aca="false">IF(INDEX(Undirviðmið!$G$6:$G$105,(COLUMN()-7)/2+1)="Starfsbundið",IFERROR(INDEX(Undirviðmið!$E$6:$E$105,(COLUMN()-7)/2+1)*KVARDI,""),"")</f>
        <v/>
      </c>
      <c r="FH9" s="33"/>
      <c r="FI9" s="33" t="str">
        <f aca="false">IF(INDEX(Undirviðmið!$G$6:$G$105,(COLUMN()-7)/2+1)="Starfsbundið",IFERROR(INDEX(Undirviðmið!$E$6:$E$105,(COLUMN()-7)/2+1)*KVARDI,""),"")</f>
        <v/>
      </c>
      <c r="FJ9" s="33"/>
      <c r="FK9" s="33" t="str">
        <f aca="false">IF(INDEX(Undirviðmið!$G$6:$G$105,(COLUMN()-7)/2+1)="Starfsbundið",IFERROR(INDEX(Undirviðmið!$E$6:$E$105,(COLUMN()-7)/2+1)*KVARDI,""),"")</f>
        <v/>
      </c>
      <c r="FL9" s="33"/>
      <c r="FM9" s="33" t="str">
        <f aca="false">IF(INDEX(Undirviðmið!$G$6:$G$105,(COLUMN()-7)/2+1)="Starfsbundið",IFERROR(INDEX(Undirviðmið!$E$6:$E$105,(COLUMN()-7)/2+1)*KVARDI,""),"")</f>
        <v/>
      </c>
      <c r="FN9" s="33"/>
      <c r="FO9" s="33" t="str">
        <f aca="false">IF(INDEX(Undirviðmið!$G$6:$G$105,(COLUMN()-7)/2+1)="Starfsbundið",IFERROR(INDEX(Undirviðmið!$E$6:$E$105,(COLUMN()-7)/2+1)*KVARDI,""),"")</f>
        <v/>
      </c>
      <c r="FP9" s="33"/>
      <c r="FQ9" s="33" t="str">
        <f aca="false">IF(INDEX(Undirviðmið!$G$6:$G$105,(COLUMN()-7)/2+1)="Starfsbundið",IFERROR(INDEX(Undirviðmið!$E$6:$E$105,(COLUMN()-7)/2+1)*KVARDI,""),"")</f>
        <v/>
      </c>
      <c r="FR9" s="33"/>
      <c r="FS9" s="33" t="str">
        <f aca="false">IF(INDEX(Undirviðmið!$G$6:$G$105,(COLUMN()-7)/2+1)="Starfsbundið",IFERROR(INDEX(Undirviðmið!$E$6:$E$105,(COLUMN()-7)/2+1)*KVARDI,""),"")</f>
        <v/>
      </c>
      <c r="FT9" s="33"/>
      <c r="FU9" s="33" t="str">
        <f aca="false">IF(INDEX(Undirviðmið!$G$6:$G$105,(COLUMN()-7)/2+1)="Starfsbundið",IFERROR(INDEX(Undirviðmið!$E$6:$E$105,(COLUMN()-7)/2+1)*KVARDI,""),"")</f>
        <v/>
      </c>
      <c r="FV9" s="33"/>
      <c r="FW9" s="33" t="str">
        <f aca="false">IF(INDEX(Undirviðmið!$G$6:$G$105,(COLUMN()-7)/2+1)="Starfsbundið",IFERROR(INDEX(Undirviðmið!$E$6:$E$105,(COLUMN()-7)/2+1)*KVARDI,""),"")</f>
        <v/>
      </c>
      <c r="FX9" s="33"/>
      <c r="FY9" s="33" t="str">
        <f aca="false">IF(INDEX(Undirviðmið!$G$6:$G$105,(COLUMN()-7)/2+1)="Starfsbundið",IFERROR(INDEX(Undirviðmið!$E$6:$E$105,(COLUMN()-7)/2+1)*KVARDI,""),"")</f>
        <v/>
      </c>
      <c r="FZ9" s="33"/>
      <c r="GA9" s="33" t="str">
        <f aca="false">IF(INDEX(Undirviðmið!$G$6:$G$105,(COLUMN()-7)/2+1)="Starfsbundið",IFERROR(INDEX(Undirviðmið!$E$6:$E$105,(COLUMN()-7)/2+1)*KVARDI,""),"")</f>
        <v/>
      </c>
      <c r="GB9" s="33"/>
      <c r="GC9" s="33" t="str">
        <f aca="false">IF(INDEX(Undirviðmið!$G$6:$G$105,(COLUMN()-7)/2+1)="Starfsbundið",IFERROR(INDEX(Undirviðmið!$E$6:$E$105,(COLUMN()-7)/2+1)*KVARDI,""),"")</f>
        <v/>
      </c>
      <c r="GD9" s="33"/>
      <c r="GE9" s="33" t="str">
        <f aca="false">IF(INDEX(Undirviðmið!$G$6:$G$105,(COLUMN()-7)/2+1)="Starfsbundið",IFERROR(INDEX(Undirviðmið!$E$6:$E$105,(COLUMN()-7)/2+1)*KVARDI,""),"")</f>
        <v/>
      </c>
      <c r="GF9" s="33"/>
      <c r="GG9" s="33" t="str">
        <f aca="false">IF(INDEX(Undirviðmið!$G$6:$G$105,(COLUMN()-7)/2+1)="Starfsbundið",IFERROR(INDEX(Undirviðmið!$E$6:$E$105,(COLUMN()-7)/2+1)*KVARDI,""),"")</f>
        <v/>
      </c>
      <c r="GH9" s="33"/>
      <c r="GI9" s="33" t="str">
        <f aca="false">IF(INDEX(Undirviðmið!$G$6:$G$105,(COLUMN()-7)/2+1)="Starfsbundið",IFERROR(INDEX(Undirviðmið!$E$6:$E$105,(COLUMN()-7)/2+1)*KVARDI,""),"")</f>
        <v/>
      </c>
      <c r="GJ9" s="33"/>
      <c r="GK9" s="33" t="str">
        <f aca="false">IF(INDEX(Undirviðmið!$G$6:$G$105,(COLUMN()-7)/2+1)="Starfsbundið",IFERROR(INDEX(Undirviðmið!$E$6:$E$105,(COLUMN()-7)/2+1)*KVARDI,""),"")</f>
        <v/>
      </c>
      <c r="GL9" s="33"/>
      <c r="GM9" s="33" t="str">
        <f aca="false">IF(INDEX(Undirviðmið!$G$6:$G$105,(COLUMN()-7)/2+1)="Starfsbundið",IFERROR(INDEX(Undirviðmið!$E$6:$E$105,(COLUMN()-7)/2+1)*KVARDI,""),"")</f>
        <v/>
      </c>
      <c r="GN9" s="33"/>
      <c r="GO9" s="33" t="str">
        <f aca="false">IF(INDEX(Undirviðmið!$G$6:$G$105,(COLUMN()-7)/2+1)="Starfsbundið",IFERROR(INDEX(Undirviðmið!$E$6:$E$105,(COLUMN()-7)/2+1)*KVARDI,""),"")</f>
        <v/>
      </c>
      <c r="GP9" s="33"/>
      <c r="GQ9" s="33" t="str">
        <f aca="false">IF(INDEX(Undirviðmið!$G$6:$G$105,(COLUMN()-7)/2+1)="Starfsbundið",IFERROR(INDEX(Undirviðmið!$E$6:$E$105,(COLUMN()-7)/2+1)*KVARDI,""),"")</f>
        <v/>
      </c>
      <c r="GR9" s="33"/>
      <c r="GS9" s="33" t="str">
        <f aca="false">IF(INDEX(Undirviðmið!$G$6:$G$105,(COLUMN()-7)/2+1)="Starfsbundið",IFERROR(INDEX(Undirviðmið!$E$6:$E$105,(COLUMN()-7)/2+1)*KVARDI,""),"")</f>
        <v/>
      </c>
      <c r="GT9" s="33"/>
      <c r="GU9" s="33" t="str">
        <f aca="false">IF(INDEX(Undirviðmið!$G$6:$G$105,(COLUMN()-7)/2+1)="Starfsbundið",IFERROR(INDEX(Undirviðmið!$E$6:$E$105,(COLUMN()-7)/2+1)*KVARDI,""),"")</f>
        <v/>
      </c>
      <c r="GV9" s="33"/>
      <c r="GW9" s="33" t="str">
        <f aca="false">IF(INDEX(Undirviðmið!$G$6:$G$105,(COLUMN()-7)/2+1)="Starfsbundið",IFERROR(INDEX(Undirviðmið!$E$6:$E$105,(COLUMN()-7)/2+1)*KVARDI,""),"")</f>
        <v/>
      </c>
      <c r="GX9" s="33"/>
    </row>
    <row r="10" customFormat="false" ht="15" hidden="false" customHeight="true" outlineLevel="0" collapsed="false">
      <c r="B10" s="12" t="s">
        <v>132</v>
      </c>
      <c r="C10" s="35" t="s">
        <v>133</v>
      </c>
      <c r="G10" s="36" t="str">
        <f aca="false">IF(G$6="","","Þrep")</f>
        <v/>
      </c>
      <c r="H10" s="36" t="str">
        <f aca="false">IF(G$6="","","Stig")</f>
        <v/>
      </c>
      <c r="I10" s="36" t="str">
        <f aca="false">IF(I$6="","","Þrep")</f>
        <v/>
      </c>
      <c r="J10" s="36" t="str">
        <f aca="false">IF(I$6="","","Stig")</f>
        <v/>
      </c>
      <c r="K10" s="36" t="str">
        <f aca="false">IF(K$6="","","Þrep")</f>
        <v/>
      </c>
      <c r="L10" s="36" t="str">
        <f aca="false">IF(K$6="","","Stig")</f>
        <v/>
      </c>
      <c r="M10" s="36" t="str">
        <f aca="false">IF(M$6="","","Þrep")</f>
        <v/>
      </c>
      <c r="N10" s="36" t="str">
        <f aca="false">IF(M$6="","","Stig")</f>
        <v/>
      </c>
      <c r="O10" s="36" t="str">
        <f aca="false">IF(O$6="","","Þrep")</f>
        <v/>
      </c>
      <c r="P10" s="36" t="str">
        <f aca="false">IF(O$6="","","Stig")</f>
        <v/>
      </c>
      <c r="Q10" s="36" t="str">
        <f aca="false">IF(Q$6="","","Þrep")</f>
        <v/>
      </c>
      <c r="R10" s="36" t="str">
        <f aca="false">IF(Q$6="","","Stig")</f>
        <v/>
      </c>
      <c r="S10" s="36" t="str">
        <f aca="false">IF(S$6="","","Þrep")</f>
        <v/>
      </c>
      <c r="T10" s="36" t="str">
        <f aca="false">IF(S$6="","","Stig")</f>
        <v/>
      </c>
      <c r="U10" s="36" t="str">
        <f aca="false">IF(U$6="","","Þrep")</f>
        <v/>
      </c>
      <c r="V10" s="36" t="str">
        <f aca="false">IF(U$6="","","Stig")</f>
        <v/>
      </c>
      <c r="W10" s="36" t="str">
        <f aca="false">IF(W$6="","","Þrep")</f>
        <v/>
      </c>
      <c r="X10" s="36" t="str">
        <f aca="false">IF(W$6="","","Stig")</f>
        <v/>
      </c>
      <c r="Y10" s="36" t="str">
        <f aca="false">IF(Y$6="","","Þrep")</f>
        <v/>
      </c>
      <c r="Z10" s="36" t="str">
        <f aca="false">IF(Y$6="","","Stig")</f>
        <v/>
      </c>
      <c r="AA10" s="36" t="str">
        <f aca="false">IF(AA$6="","","Þrep")</f>
        <v/>
      </c>
      <c r="AB10" s="36" t="str">
        <f aca="false">IF(AA$6="","","Stig")</f>
        <v/>
      </c>
      <c r="AC10" s="36" t="str">
        <f aca="false">IF(AC$6="","","Þrep")</f>
        <v/>
      </c>
      <c r="AD10" s="36" t="str">
        <f aca="false">IF(AC$6="","","Stig")</f>
        <v/>
      </c>
      <c r="AE10" s="36" t="str">
        <f aca="false">IF(AE$6="","","Þrep")</f>
        <v/>
      </c>
      <c r="AF10" s="36" t="str">
        <f aca="false">IF(AE$6="","","Stig")</f>
        <v/>
      </c>
      <c r="AG10" s="36" t="str">
        <f aca="false">IF(AG$6="","","Þrep")</f>
        <v/>
      </c>
      <c r="AH10" s="36" t="str">
        <f aca="false">IF(AG$6="","","Stig")</f>
        <v/>
      </c>
      <c r="AI10" s="36" t="str">
        <f aca="false">IF(AI$6="","","Þrep")</f>
        <v/>
      </c>
      <c r="AJ10" s="36" t="str">
        <f aca="false">IF(AI$6="","","Stig")</f>
        <v/>
      </c>
      <c r="AK10" s="36" t="str">
        <f aca="false">IF(AK$6="","","Þrep")</f>
        <v/>
      </c>
      <c r="AL10" s="36" t="str">
        <f aca="false">IF(AK$6="","","Stig")</f>
        <v/>
      </c>
      <c r="AM10" s="36" t="str">
        <f aca="false">IF(AM$6="","","Þrep")</f>
        <v/>
      </c>
      <c r="AN10" s="36" t="str">
        <f aca="false">IF(AM$6="","","Stig")</f>
        <v/>
      </c>
      <c r="AO10" s="36" t="str">
        <f aca="false">IF(AO$6="","","Þrep")</f>
        <v/>
      </c>
      <c r="AP10" s="36" t="str">
        <f aca="false">IF(AO$6="","","Stig")</f>
        <v/>
      </c>
      <c r="AQ10" s="36" t="str">
        <f aca="false">IF(AQ$6="","","Þrep")</f>
        <v/>
      </c>
      <c r="AR10" s="36" t="str">
        <f aca="false">IF(AQ$6="","","Stig")</f>
        <v/>
      </c>
      <c r="AS10" s="36" t="str">
        <f aca="false">IF(AS$6="","","Þrep")</f>
        <v/>
      </c>
      <c r="AT10" s="36" t="str">
        <f aca="false">IF(AS$6="","","Stig")</f>
        <v/>
      </c>
      <c r="AU10" s="36" t="str">
        <f aca="false">IF(AU$6="","","Þrep")</f>
        <v/>
      </c>
      <c r="AV10" s="36" t="str">
        <f aca="false">IF(AU$6="","","Stig")</f>
        <v/>
      </c>
      <c r="AW10" s="36" t="str">
        <f aca="false">IF(AW$6="","","Þrep")</f>
        <v/>
      </c>
      <c r="AX10" s="36" t="str">
        <f aca="false">IF(AW$6="","","Stig")</f>
        <v/>
      </c>
      <c r="AY10" s="36" t="str">
        <f aca="false">IF(AY$6="","","Þrep")</f>
        <v/>
      </c>
      <c r="AZ10" s="36" t="str">
        <f aca="false">IF(AY$6="","","Stig")</f>
        <v/>
      </c>
      <c r="BA10" s="36" t="str">
        <f aca="false">IF(BA$6="","","Þrep")</f>
        <v/>
      </c>
      <c r="BB10" s="36" t="str">
        <f aca="false">IF(BA$6="","","Stig")</f>
        <v/>
      </c>
      <c r="BC10" s="36" t="str">
        <f aca="false">IF(BC$6="","","Þrep")</f>
        <v/>
      </c>
      <c r="BD10" s="36" t="str">
        <f aca="false">IF(BC$6="","","Stig")</f>
        <v/>
      </c>
      <c r="BE10" s="36" t="str">
        <f aca="false">IF(BE$6="","","Þrep")</f>
        <v/>
      </c>
      <c r="BF10" s="36" t="str">
        <f aca="false">IF(BE$6="","","Stig")</f>
        <v/>
      </c>
      <c r="BG10" s="36" t="str">
        <f aca="false">IF(BG$6="","","Þrep")</f>
        <v/>
      </c>
      <c r="BH10" s="36" t="str">
        <f aca="false">IF(BG$6="","","Stig")</f>
        <v/>
      </c>
      <c r="BI10" s="36" t="str">
        <f aca="false">IF(BI$6="","","Þrep")</f>
        <v/>
      </c>
      <c r="BJ10" s="36" t="str">
        <f aca="false">IF(BI$6="","","Stig")</f>
        <v/>
      </c>
      <c r="BK10" s="36" t="str">
        <f aca="false">IF(BK$6="","","Þrep")</f>
        <v/>
      </c>
      <c r="BL10" s="36" t="str">
        <f aca="false">IF(BK$6="","","Stig")</f>
        <v/>
      </c>
      <c r="BM10" s="36" t="str">
        <f aca="false">IF(BM$6="","","Þrep")</f>
        <v/>
      </c>
      <c r="BN10" s="36" t="str">
        <f aca="false">IF(BM$6="","","Stig")</f>
        <v/>
      </c>
      <c r="BO10" s="36" t="str">
        <f aca="false">IF(BO$6="","","Þrep")</f>
        <v/>
      </c>
      <c r="BP10" s="36" t="str">
        <f aca="false">IF(BO$6="","","Stig")</f>
        <v/>
      </c>
      <c r="BQ10" s="36" t="str">
        <f aca="false">IF(BQ$6="","","Þrep")</f>
        <v/>
      </c>
      <c r="BR10" s="36" t="str">
        <f aca="false">IF(BQ$6="","","Stig")</f>
        <v/>
      </c>
      <c r="BS10" s="36" t="str">
        <f aca="false">IF(BS$6="","","Þrep")</f>
        <v/>
      </c>
      <c r="BT10" s="36" t="str">
        <f aca="false">IF(BS$6="","","Stig")</f>
        <v/>
      </c>
      <c r="BU10" s="36" t="str">
        <f aca="false">IF(BU$6="","","Þrep")</f>
        <v/>
      </c>
      <c r="BV10" s="36" t="str">
        <f aca="false">IF(BU$6="","","Stig")</f>
        <v/>
      </c>
      <c r="BW10" s="36" t="str">
        <f aca="false">IF(BW$6="","","Þrep")</f>
        <v/>
      </c>
      <c r="BX10" s="36" t="str">
        <f aca="false">IF(BW$6="","","Stig")</f>
        <v/>
      </c>
      <c r="BY10" s="36" t="str">
        <f aca="false">IF(BY$6="","","Þrep")</f>
        <v/>
      </c>
      <c r="BZ10" s="36" t="str">
        <f aca="false">IF(BY$6="","","Stig")</f>
        <v/>
      </c>
      <c r="CA10" s="36" t="str">
        <f aca="false">IF(CA$6="","","Þrep")</f>
        <v/>
      </c>
      <c r="CB10" s="36" t="str">
        <f aca="false">IF(CA$6="","","Stig")</f>
        <v/>
      </c>
      <c r="CC10" s="36" t="str">
        <f aca="false">IF(CC$6="","","Þrep")</f>
        <v/>
      </c>
      <c r="CD10" s="36" t="str">
        <f aca="false">IF(CC$6="","","Stig")</f>
        <v/>
      </c>
      <c r="CE10" s="36" t="str">
        <f aca="false">IF(CE$6="","","Þrep")</f>
        <v/>
      </c>
      <c r="CF10" s="36" t="str">
        <f aca="false">IF(CE$6="","","Stig")</f>
        <v/>
      </c>
      <c r="CG10" s="36" t="str">
        <f aca="false">IF(CG$6="","","Þrep")</f>
        <v/>
      </c>
      <c r="CH10" s="36" t="str">
        <f aca="false">IF(CG$6="","","Stig")</f>
        <v/>
      </c>
      <c r="CI10" s="36" t="str">
        <f aca="false">IF(CI$6="","","Þrep")</f>
        <v/>
      </c>
      <c r="CJ10" s="36" t="str">
        <f aca="false">IF(CI$6="","","Stig")</f>
        <v/>
      </c>
      <c r="CK10" s="36" t="str">
        <f aca="false">IF(CK$6="","","Þrep")</f>
        <v/>
      </c>
      <c r="CL10" s="36" t="str">
        <f aca="false">IF(CK$6="","","Stig")</f>
        <v/>
      </c>
      <c r="CM10" s="36" t="str">
        <f aca="false">IF(CM$6="","","Þrep")</f>
        <v/>
      </c>
      <c r="CN10" s="36" t="str">
        <f aca="false">IF(CM$6="","","Stig")</f>
        <v/>
      </c>
      <c r="CO10" s="36" t="str">
        <f aca="false">IF(CO$6="","","Þrep")</f>
        <v/>
      </c>
      <c r="CP10" s="36" t="str">
        <f aca="false">IF(CO$6="","","Stig")</f>
        <v/>
      </c>
      <c r="CQ10" s="36" t="str">
        <f aca="false">IF(CQ$6="","","Þrep")</f>
        <v/>
      </c>
      <c r="CR10" s="36" t="str">
        <f aca="false">IF(CQ$6="","","Stig")</f>
        <v/>
      </c>
      <c r="CS10" s="36" t="str">
        <f aca="false">IF(CS$6="","","Þrep")</f>
        <v/>
      </c>
      <c r="CT10" s="36" t="str">
        <f aca="false">IF(CS$6="","","Stig")</f>
        <v/>
      </c>
      <c r="CU10" s="36" t="str">
        <f aca="false">IF(CU$6="","","Þrep")</f>
        <v/>
      </c>
      <c r="CV10" s="36" t="str">
        <f aca="false">IF(CU$6="","","Stig")</f>
        <v/>
      </c>
      <c r="CW10" s="36" t="str">
        <f aca="false">IF(CW$6="","","Þrep")</f>
        <v/>
      </c>
      <c r="CX10" s="36" t="str">
        <f aca="false">IF(CW$6="","","Stig")</f>
        <v/>
      </c>
      <c r="CY10" s="36" t="str">
        <f aca="false">IF(CY$6="","","Þrep")</f>
        <v/>
      </c>
      <c r="CZ10" s="36" t="str">
        <f aca="false">IF(CY$6="","","Stig")</f>
        <v/>
      </c>
      <c r="DA10" s="36" t="str">
        <f aca="false">IF(DA$6="","","Þrep")</f>
        <v/>
      </c>
      <c r="DB10" s="36" t="str">
        <f aca="false">IF(DA$6="","","Stig")</f>
        <v/>
      </c>
      <c r="DC10" s="36" t="str">
        <f aca="false">IF(DC$6="","","Þrep")</f>
        <v/>
      </c>
      <c r="DD10" s="36" t="str">
        <f aca="false">IF(DC$6="","","Stig")</f>
        <v/>
      </c>
      <c r="DE10" s="36" t="str">
        <f aca="false">IF(DE$6="","","Þrep")</f>
        <v/>
      </c>
      <c r="DF10" s="36" t="str">
        <f aca="false">IF(DE$6="","","Stig")</f>
        <v/>
      </c>
      <c r="DG10" s="36" t="str">
        <f aca="false">IF(DG$6="","","Þrep")</f>
        <v/>
      </c>
      <c r="DH10" s="36" t="str">
        <f aca="false">IF(DG$6="","","Stig")</f>
        <v/>
      </c>
      <c r="DI10" s="36" t="str">
        <f aca="false">IF(DI$6="","","Þrep")</f>
        <v/>
      </c>
      <c r="DJ10" s="36" t="str">
        <f aca="false">IF(DI$6="","","Stig")</f>
        <v/>
      </c>
      <c r="DK10" s="36" t="str">
        <f aca="false">IF(DK$6="","","Þrep")</f>
        <v/>
      </c>
      <c r="DL10" s="36" t="str">
        <f aca="false">IF(DK$6="","","Stig")</f>
        <v/>
      </c>
      <c r="DM10" s="36" t="str">
        <f aca="false">IF(DM$6="","","Þrep")</f>
        <v/>
      </c>
      <c r="DN10" s="36" t="str">
        <f aca="false">IF(DM$6="","","Stig")</f>
        <v/>
      </c>
      <c r="DO10" s="36" t="str">
        <f aca="false">IF(DO$6="","","Þrep")</f>
        <v/>
      </c>
      <c r="DP10" s="36" t="str">
        <f aca="false">IF(DO$6="","","Stig")</f>
        <v/>
      </c>
      <c r="DQ10" s="36" t="str">
        <f aca="false">IF(DQ$6="","","Þrep")</f>
        <v/>
      </c>
      <c r="DR10" s="36" t="str">
        <f aca="false">IF(DQ$6="","","Stig")</f>
        <v/>
      </c>
      <c r="DS10" s="36" t="str">
        <f aca="false">IF(DS$6="","","Þrep")</f>
        <v/>
      </c>
      <c r="DT10" s="36" t="str">
        <f aca="false">IF(DS$6="","","Stig")</f>
        <v/>
      </c>
      <c r="DU10" s="36" t="str">
        <f aca="false">IF(DU$6="","","Þrep")</f>
        <v/>
      </c>
      <c r="DV10" s="36" t="str">
        <f aca="false">IF(DU$6="","","Stig")</f>
        <v/>
      </c>
      <c r="DW10" s="36" t="str">
        <f aca="false">IF(DW$6="","","Þrep")</f>
        <v/>
      </c>
      <c r="DX10" s="36" t="str">
        <f aca="false">IF(DW$6="","","Stig")</f>
        <v/>
      </c>
      <c r="DY10" s="36" t="str">
        <f aca="false">IF(DY$6="","","Þrep")</f>
        <v/>
      </c>
      <c r="DZ10" s="36" t="str">
        <f aca="false">IF(DY$6="","","Stig")</f>
        <v/>
      </c>
      <c r="EA10" s="36" t="str">
        <f aca="false">IF(EA$6="","","Þrep")</f>
        <v/>
      </c>
      <c r="EB10" s="36" t="str">
        <f aca="false">IF(EA$6="","","Stig")</f>
        <v/>
      </c>
      <c r="EC10" s="36" t="str">
        <f aca="false">IF(EC$6="","","Þrep")</f>
        <v/>
      </c>
      <c r="ED10" s="36" t="str">
        <f aca="false">IF(EC$6="","","Stig")</f>
        <v/>
      </c>
      <c r="EE10" s="36" t="str">
        <f aca="false">IF(EE$6="","","Þrep")</f>
        <v/>
      </c>
      <c r="EF10" s="36" t="str">
        <f aca="false">IF(EE$6="","","Stig")</f>
        <v/>
      </c>
      <c r="EG10" s="36" t="str">
        <f aca="false">IF(EG$6="","","Þrep")</f>
        <v/>
      </c>
      <c r="EH10" s="36" t="str">
        <f aca="false">IF(EG$6="","","Stig")</f>
        <v/>
      </c>
      <c r="EI10" s="36" t="str">
        <f aca="false">IF(EI$6="","","Þrep")</f>
        <v/>
      </c>
      <c r="EJ10" s="36" t="str">
        <f aca="false">IF(EI$6="","","Stig")</f>
        <v/>
      </c>
      <c r="EK10" s="36" t="str">
        <f aca="false">IF(EK$6="","","Þrep")</f>
        <v/>
      </c>
      <c r="EL10" s="36" t="str">
        <f aca="false">IF(EK$6="","","Stig")</f>
        <v/>
      </c>
      <c r="EM10" s="36" t="str">
        <f aca="false">IF(EM$6="","","Þrep")</f>
        <v/>
      </c>
      <c r="EN10" s="36" t="str">
        <f aca="false">IF(EM$6="","","Stig")</f>
        <v/>
      </c>
      <c r="EO10" s="36" t="str">
        <f aca="false">IF(EO$6="","","Þrep")</f>
        <v/>
      </c>
      <c r="EP10" s="36" t="str">
        <f aca="false">IF(EO$6="","","Stig")</f>
        <v/>
      </c>
      <c r="EQ10" s="36" t="str">
        <f aca="false">IF(EQ$6="","","Þrep")</f>
        <v/>
      </c>
      <c r="ER10" s="36" t="str">
        <f aca="false">IF(EQ$6="","","Stig")</f>
        <v/>
      </c>
      <c r="ES10" s="36" t="str">
        <f aca="false">IF(ES$6="","","Þrep")</f>
        <v/>
      </c>
      <c r="ET10" s="36" t="str">
        <f aca="false">IF(ES$6="","","Stig")</f>
        <v/>
      </c>
      <c r="EU10" s="36" t="str">
        <f aca="false">IF(EU$6="","","Þrep")</f>
        <v/>
      </c>
      <c r="EV10" s="36" t="str">
        <f aca="false">IF(EU$6="","","Stig")</f>
        <v/>
      </c>
      <c r="EW10" s="36" t="str">
        <f aca="false">IF(EW$6="","","Þrep")</f>
        <v/>
      </c>
      <c r="EX10" s="36" t="str">
        <f aca="false">IF(EW$6="","","Stig")</f>
        <v/>
      </c>
      <c r="EY10" s="36" t="str">
        <f aca="false">IF(EY$6="","","Þrep")</f>
        <v/>
      </c>
      <c r="EZ10" s="36" t="str">
        <f aca="false">IF(EY$6="","","Stig")</f>
        <v/>
      </c>
      <c r="FA10" s="36" t="str">
        <f aca="false">IF(FA$6="","","Þrep")</f>
        <v/>
      </c>
      <c r="FB10" s="36" t="str">
        <f aca="false">IF(FA$6="","","Stig")</f>
        <v/>
      </c>
      <c r="FC10" s="36" t="str">
        <f aca="false">IF(FC$6="","","Þrep")</f>
        <v/>
      </c>
      <c r="FD10" s="36" t="str">
        <f aca="false">IF(FC$6="","","Stig")</f>
        <v/>
      </c>
      <c r="FE10" s="36" t="str">
        <f aca="false">IF(FE$6="","","Þrep")</f>
        <v/>
      </c>
      <c r="FF10" s="36" t="str">
        <f aca="false">IF(FE$6="","","Stig")</f>
        <v/>
      </c>
      <c r="FG10" s="36" t="str">
        <f aca="false">IF(FG$6="","","Þrep")</f>
        <v/>
      </c>
      <c r="FH10" s="36" t="str">
        <f aca="false">IF(FG$6="","","Stig")</f>
        <v/>
      </c>
      <c r="FI10" s="36" t="str">
        <f aca="false">IF(FI$6="","","Þrep")</f>
        <v/>
      </c>
      <c r="FJ10" s="36" t="str">
        <f aca="false">IF(FI$6="","","Stig")</f>
        <v/>
      </c>
      <c r="FK10" s="36" t="str">
        <f aca="false">IF(FK$6="","","Þrep")</f>
        <v/>
      </c>
      <c r="FL10" s="36" t="str">
        <f aca="false">IF(FK$6="","","Stig")</f>
        <v/>
      </c>
      <c r="FM10" s="36" t="str">
        <f aca="false">IF(FM$6="","","Þrep")</f>
        <v/>
      </c>
      <c r="FN10" s="36" t="str">
        <f aca="false">IF(FM$6="","","Stig")</f>
        <v/>
      </c>
      <c r="FO10" s="36" t="str">
        <f aca="false">IF(FO$6="","","Þrep")</f>
        <v/>
      </c>
      <c r="FP10" s="36" t="str">
        <f aca="false">IF(FO$6="","","Stig")</f>
        <v/>
      </c>
      <c r="FQ10" s="36" t="str">
        <f aca="false">IF(FQ$6="","","Þrep")</f>
        <v/>
      </c>
      <c r="FR10" s="36" t="str">
        <f aca="false">IF(FQ$6="","","Stig")</f>
        <v/>
      </c>
      <c r="FS10" s="36" t="str">
        <f aca="false">IF(FS$6="","","Þrep")</f>
        <v/>
      </c>
      <c r="FT10" s="36" t="str">
        <f aca="false">IF(FS$6="","","Stig")</f>
        <v/>
      </c>
      <c r="FU10" s="36" t="str">
        <f aca="false">IF(FU$6="","","Þrep")</f>
        <v/>
      </c>
      <c r="FV10" s="36" t="str">
        <f aca="false">IF(FU$6="","","Stig")</f>
        <v/>
      </c>
      <c r="FW10" s="36" t="str">
        <f aca="false">IF(FW$6="","","Þrep")</f>
        <v/>
      </c>
      <c r="FX10" s="36" t="str">
        <f aca="false">IF(FW$6="","","Stig")</f>
        <v/>
      </c>
      <c r="FY10" s="36" t="str">
        <f aca="false">IF(FY$6="","","Þrep")</f>
        <v/>
      </c>
      <c r="FZ10" s="36" t="str">
        <f aca="false">IF(FY$6="","","Stig")</f>
        <v/>
      </c>
      <c r="GA10" s="36" t="str">
        <f aca="false">IF(GA$6="","","Þrep")</f>
        <v/>
      </c>
      <c r="GB10" s="36" t="str">
        <f aca="false">IF(GA$6="","","Stig")</f>
        <v/>
      </c>
      <c r="GC10" s="36" t="str">
        <f aca="false">IF(GC$6="","","Þrep")</f>
        <v/>
      </c>
      <c r="GD10" s="36" t="str">
        <f aca="false">IF(GC$6="","","Stig")</f>
        <v/>
      </c>
      <c r="GE10" s="36" t="str">
        <f aca="false">IF(GE$6="","","Þrep")</f>
        <v/>
      </c>
      <c r="GF10" s="36" t="str">
        <f aca="false">IF(GE$6="","","Stig")</f>
        <v/>
      </c>
      <c r="GG10" s="36" t="str">
        <f aca="false">IF(GG$6="","","Þrep")</f>
        <v/>
      </c>
      <c r="GH10" s="36" t="str">
        <f aca="false">IF(GG$6="","","Stig")</f>
        <v/>
      </c>
      <c r="GI10" s="36" t="str">
        <f aca="false">IF(GI$6="","","Þrep")</f>
        <v/>
      </c>
      <c r="GJ10" s="36" t="str">
        <f aca="false">IF(GI$6="","","Stig")</f>
        <v/>
      </c>
      <c r="GK10" s="36" t="str">
        <f aca="false">IF(GK$6="","","Þrep")</f>
        <v/>
      </c>
      <c r="GL10" s="36" t="str">
        <f aca="false">IF(GK$6="","","Stig")</f>
        <v/>
      </c>
      <c r="GM10" s="36" t="str">
        <f aca="false">IF(GM$6="","","Þrep")</f>
        <v/>
      </c>
      <c r="GN10" s="36" t="str">
        <f aca="false">IF(GM$6="","","Stig")</f>
        <v/>
      </c>
      <c r="GO10" s="36" t="str">
        <f aca="false">IF(GO$6="","","Þrep")</f>
        <v/>
      </c>
      <c r="GP10" s="36" t="str">
        <f aca="false">IF(GO$6="","","Stig")</f>
        <v/>
      </c>
      <c r="GQ10" s="36" t="str">
        <f aca="false">IF(GQ$6="","","Þrep")</f>
        <v/>
      </c>
      <c r="GR10" s="36" t="str">
        <f aca="false">IF(GQ$6="","","Stig")</f>
        <v/>
      </c>
      <c r="GS10" s="36" t="str">
        <f aca="false">IF(GS$6="","","Þrep")</f>
        <v/>
      </c>
      <c r="GT10" s="36" t="str">
        <f aca="false">IF(GS$6="","","Stig")</f>
        <v/>
      </c>
      <c r="GU10" s="36" t="str">
        <f aca="false">IF(GU$6="","","Þrep")</f>
        <v/>
      </c>
      <c r="GV10" s="36" t="str">
        <f aca="false">IF(GU$6="","","Stig")</f>
        <v/>
      </c>
      <c r="GW10" s="36" t="str">
        <f aca="false">IF(GW$6="","","Þrep")</f>
        <v/>
      </c>
      <c r="GX10" s="36" t="str">
        <f aca="false">IF(GW$6="","","Stig")</f>
        <v/>
      </c>
      <c r="GZ10" s="20"/>
    </row>
    <row r="11" customFormat="false" ht="15" hidden="false" customHeight="true" outlineLevel="0" collapsed="false">
      <c r="B11" s="37" t="str">
        <f aca="false" t="array" ref="B11:B11">IFERROR(INDEX(Starfsmenn!$C$6:$C$10005,MATCH(1,(Starfsmenn!$C$6:$C$10005&lt;&gt;"")*1,0)),"")</f>
        <v/>
      </c>
      <c r="C11" s="38" t="n">
        <f aca="false">IFERROR(SUMIF($G$10:$GX$10,"Stig",$G11:$GX11),0)</f>
        <v>0</v>
      </c>
      <c r="G11" s="39"/>
      <c r="H11" s="40" t="str">
        <f aca="false">IF(OR(INDEX(Undirviðmið!$G$6:$G$105,(COLUMN()-7-1)/2+1)&lt;&gt;"Starfsbundið",G11="",G$8="",G$7=""),"",ROUND(G11/G$8*G$7*KVARDI,2))</f>
        <v/>
      </c>
      <c r="I11" s="39"/>
      <c r="J11" s="40" t="str">
        <f aca="false">IF(OR(INDEX(Undirviðmið!$G$6:$G$105,(COLUMN()-7-1)/2+1)&lt;&gt;"Starfsbundið",I11="",I$8="",I$7=""),"",ROUND(I11/I$8*I$7*KVARDI,2))</f>
        <v/>
      </c>
      <c r="K11" s="39"/>
      <c r="L11" s="40" t="str">
        <f aca="false">IF(OR(INDEX(Undirviðmið!$G$6:$G$105,(COLUMN()-7-1)/2+1)&lt;&gt;"Starfsbundið",K11="",K$8="",K$7=""),"",ROUND(K11/K$8*K$7*KVARDI,2))</f>
        <v/>
      </c>
      <c r="M11" s="39"/>
      <c r="N11" s="40" t="str">
        <f aca="false">IF(OR(INDEX(Undirviðmið!$G$6:$G$105,(COLUMN()-7-1)/2+1)&lt;&gt;"Starfsbundið",M11="",M$8="",M$7=""),"",ROUND(M11/M$8*M$7*KVARDI,2))</f>
        <v/>
      </c>
      <c r="O11" s="39"/>
      <c r="P11" s="40" t="str">
        <f aca="false">IF(OR(INDEX(Undirviðmið!$G$6:$G$105,(COLUMN()-7-1)/2+1)&lt;&gt;"Starfsbundið",O11="",O$8="",O$7=""),"",ROUND(O11/O$8*O$7*KVARDI,2))</f>
        <v/>
      </c>
      <c r="Q11" s="39"/>
      <c r="R11" s="40" t="str">
        <f aca="false">IF(OR(INDEX(Undirviðmið!$G$6:$G$105,(COLUMN()-7-1)/2+1)&lt;&gt;"Starfsbundið",Q11="",Q$8="",Q$7=""),"",ROUND(Q11/Q$8*Q$7*KVARDI,2))</f>
        <v/>
      </c>
      <c r="S11" s="39"/>
      <c r="T11" s="40" t="str">
        <f aca="false">IF(OR(INDEX(Undirviðmið!$G$6:$G$105,(COLUMN()-7-1)/2+1)&lt;&gt;"Starfsbundið",S11="",S$8="",S$7=""),"",ROUND(S11/S$8*S$7*KVARDI,2))</f>
        <v/>
      </c>
      <c r="U11" s="39"/>
      <c r="V11" s="40" t="str">
        <f aca="false">IF(OR(INDEX(Undirviðmið!$G$6:$G$105,(COLUMN()-7-1)/2+1)&lt;&gt;"Starfsbundið",U11="",U$8="",U$7=""),"",ROUND(U11/U$8*U$7*KVARDI,2))</f>
        <v/>
      </c>
      <c r="W11" s="39"/>
      <c r="X11" s="40" t="str">
        <f aca="false">IF(OR(INDEX(Undirviðmið!$G$6:$G$105,(COLUMN()-7-1)/2+1)&lt;&gt;"Starfsbundið",W11="",W$8="",W$7=""),"",ROUND(W11/W$8*W$7*KVARDI,2))</f>
        <v/>
      </c>
      <c r="Y11" s="39"/>
      <c r="Z11" s="40" t="str">
        <f aca="false">IF(OR(INDEX(Undirviðmið!$G$6:$G$105,(COLUMN()-7-1)/2+1)&lt;&gt;"Starfsbundið",Y11="",Y$8="",Y$7=""),"",ROUND(Y11/Y$8*Y$7*KVARDI,2))</f>
        <v/>
      </c>
      <c r="AA11" s="39"/>
      <c r="AB11" s="40" t="str">
        <f aca="false">IF(OR(INDEX(Undirviðmið!$G$6:$G$105,(COLUMN()-7-1)/2+1)&lt;&gt;"Starfsbundið",AA11="",AA$8="",AA$7=""),"",ROUND(AA11/AA$8*AA$7*KVARDI,2))</f>
        <v/>
      </c>
      <c r="AC11" s="39"/>
      <c r="AD11" s="40" t="str">
        <f aca="false">IF(OR(INDEX(Undirviðmið!$G$6:$G$105,(COLUMN()-7-1)/2+1)&lt;&gt;"Starfsbundið",AC11="",AC$8="",AC$7=""),"",ROUND(AC11/AC$8*AC$7*KVARDI,2))</f>
        <v/>
      </c>
      <c r="AE11" s="39"/>
      <c r="AF11" s="40" t="str">
        <f aca="false">IF(OR(INDEX(Undirviðmið!$G$6:$G$105,(COLUMN()-7-1)/2+1)&lt;&gt;"Starfsbundið",AE11="",AE$8="",AE$7=""),"",ROUND(AE11/AE$8*AE$7*KVARDI,2))</f>
        <v/>
      </c>
      <c r="AG11" s="39"/>
      <c r="AH11" s="40" t="str">
        <f aca="false">IF(OR(INDEX(Undirviðmið!$G$6:$G$105,(COLUMN()-7-1)/2+1)&lt;&gt;"Starfsbundið",AG11="",AG$8="",AG$7=""),"",ROUND(AG11/AG$8*AG$7*KVARDI,2))</f>
        <v/>
      </c>
      <c r="AI11" s="39"/>
      <c r="AJ11" s="40" t="str">
        <f aca="false">IF(OR(INDEX(Undirviðmið!$G$6:$G$105,(COLUMN()-7-1)/2+1)&lt;&gt;"Starfsbundið",AI11="",AI$8="",AI$7=""),"",ROUND(AI11/AI$8*AI$7*KVARDI,2))</f>
        <v/>
      </c>
      <c r="AK11" s="39"/>
      <c r="AL11" s="40" t="str">
        <f aca="false">IF(OR(INDEX(Undirviðmið!$G$6:$G$105,(COLUMN()-7-1)/2+1)&lt;&gt;"Starfsbundið",AK11="",AK$8="",AK$7=""),"",ROUND(AK11/AK$8*AK$7*KVARDI,2))</f>
        <v/>
      </c>
      <c r="AM11" s="39"/>
      <c r="AN11" s="40" t="str">
        <f aca="false">IF(OR(INDEX(Undirviðmið!$G$6:$G$105,(COLUMN()-7-1)/2+1)&lt;&gt;"Starfsbundið",AM11="",AM$8="",AM$7=""),"",ROUND(AM11/AM$8*AM$7*KVARDI,2))</f>
        <v/>
      </c>
      <c r="AO11" s="39"/>
      <c r="AP11" s="40" t="str">
        <f aca="false">IF(OR(INDEX(Undirviðmið!$G$6:$G$105,(COLUMN()-7-1)/2+1)&lt;&gt;"Starfsbundið",AO11="",AO$8="",AO$7=""),"",ROUND(AO11/AO$8*AO$7*KVARDI,2))</f>
        <v/>
      </c>
      <c r="AQ11" s="39"/>
      <c r="AR11" s="40" t="str">
        <f aca="false">IF(OR(INDEX(Undirviðmið!$G$6:$G$105,(COLUMN()-7-1)/2+1)&lt;&gt;"Starfsbundið",AQ11="",AQ$8="",AQ$7=""),"",ROUND(AQ11/AQ$8*AQ$7*KVARDI,2))</f>
        <v/>
      </c>
      <c r="AS11" s="39"/>
      <c r="AT11" s="40" t="str">
        <f aca="false">IF(OR(INDEX(Undirviðmið!$G$6:$G$105,(COLUMN()-7-1)/2+1)&lt;&gt;"Starfsbundið",AS11="",AS$8="",AS$7=""),"",ROUND(AS11/AS$8*AS$7*KVARDI,2))</f>
        <v/>
      </c>
      <c r="AU11" s="39"/>
      <c r="AV11" s="40" t="str">
        <f aca="false">IF(OR(INDEX(Undirviðmið!$G$6:$G$105,(COLUMN()-7-1)/2+1)&lt;&gt;"Starfsbundið",AU11="",AU$8="",AU$7=""),"",ROUND(AU11/AU$8*AU$7*KVARDI,2))</f>
        <v/>
      </c>
      <c r="AW11" s="39"/>
      <c r="AX11" s="40" t="str">
        <f aca="false">IF(OR(INDEX(Undirviðmið!$G$6:$G$105,(COLUMN()-7-1)/2+1)&lt;&gt;"Starfsbundið",AW11="",AW$8="",AW$7=""),"",ROUND(AW11/AW$8*AW$7*KVARDI,2))</f>
        <v/>
      </c>
      <c r="AY11" s="39"/>
      <c r="AZ11" s="40" t="str">
        <f aca="false">IF(OR(INDEX(Undirviðmið!$G$6:$G$105,(COLUMN()-7-1)/2+1)&lt;&gt;"Starfsbundið",AY11="",AY$8="",AY$7=""),"",ROUND(AY11/AY$8*AY$7*KVARDI,2))</f>
        <v/>
      </c>
      <c r="BA11" s="39"/>
      <c r="BB11" s="40" t="str">
        <f aca="false">IF(OR(INDEX(Undirviðmið!$G$6:$G$105,(COLUMN()-7-1)/2+1)&lt;&gt;"Starfsbundið",BA11="",BA$8="",BA$7=""),"",ROUND(BA11/BA$8*BA$7*KVARDI,2))</f>
        <v/>
      </c>
      <c r="BC11" s="39"/>
      <c r="BD11" s="40" t="str">
        <f aca="false">IF(OR(INDEX(Undirviðmið!$G$6:$G$105,(COLUMN()-7-1)/2+1)&lt;&gt;"Starfsbundið",BC11="",BC$8="",BC$7=""),"",ROUND(BC11/BC$8*BC$7*KVARDI,2))</f>
        <v/>
      </c>
      <c r="BE11" s="39"/>
      <c r="BF11" s="40" t="str">
        <f aca="false">IF(OR(INDEX(Undirviðmið!$G$6:$G$105,(COLUMN()-7-1)/2+1)&lt;&gt;"Starfsbundið",BE11="",BE$8="",BE$7=""),"",ROUND(BE11/BE$8*BE$7*KVARDI,2))</f>
        <v/>
      </c>
      <c r="BG11" s="39"/>
      <c r="BH11" s="40" t="str">
        <f aca="false">IF(OR(INDEX(Undirviðmið!$G$6:$G$105,(COLUMN()-7-1)/2+1)&lt;&gt;"Starfsbundið",BG11="",BG$8="",BG$7=""),"",ROUND(BG11/BG$8*BG$7*KVARDI,2))</f>
        <v/>
      </c>
      <c r="BI11" s="39"/>
      <c r="BJ11" s="40" t="str">
        <f aca="false">IF(OR(INDEX(Undirviðmið!$G$6:$G$105,(COLUMN()-7-1)/2+1)&lt;&gt;"Starfsbundið",BI11="",BI$8="",BI$7=""),"",ROUND(BI11/BI$8*BI$7*KVARDI,2))</f>
        <v/>
      </c>
      <c r="BK11" s="39"/>
      <c r="BL11" s="40" t="str">
        <f aca="false">IF(OR(INDEX(Undirviðmið!$G$6:$G$105,(COLUMN()-7-1)/2+1)&lt;&gt;"Starfsbundið",BK11="",BK$8="",BK$7=""),"",ROUND(BK11/BK$8*BK$7*KVARDI,2))</f>
        <v/>
      </c>
      <c r="BM11" s="39"/>
      <c r="BN11" s="40" t="str">
        <f aca="false">IF(OR(INDEX(Undirviðmið!$G$6:$G$105,(COLUMN()-7-1)/2+1)&lt;&gt;"Starfsbundið",BM11="",BM$8="",BM$7=""),"",ROUND(BM11/BM$8*BM$7*KVARDI,2))</f>
        <v/>
      </c>
      <c r="BO11" s="39"/>
      <c r="BP11" s="40" t="str">
        <f aca="false">IF(OR(INDEX(Undirviðmið!$G$6:$G$105,(COLUMN()-7-1)/2+1)&lt;&gt;"Starfsbundið",BO11="",BO$8="",BO$7=""),"",ROUND(BO11/BO$8*BO$7*KVARDI,2))</f>
        <v/>
      </c>
      <c r="BQ11" s="39"/>
      <c r="BR11" s="40" t="str">
        <f aca="false">IF(OR(INDEX(Undirviðmið!$G$6:$G$105,(COLUMN()-7-1)/2+1)&lt;&gt;"Starfsbundið",BQ11="",BQ$8="",BQ$7=""),"",ROUND(BQ11/BQ$8*BQ$7*KVARDI,2))</f>
        <v/>
      </c>
      <c r="BS11" s="39"/>
      <c r="BT11" s="40" t="str">
        <f aca="false">IF(OR(INDEX(Undirviðmið!$G$6:$G$105,(COLUMN()-7-1)/2+1)&lt;&gt;"Starfsbundið",BS11="",BS$8="",BS$7=""),"",ROUND(BS11/BS$8*BS$7*KVARDI,2))</f>
        <v/>
      </c>
      <c r="BU11" s="39"/>
      <c r="BV11" s="40" t="str">
        <f aca="false">IF(OR(INDEX(Undirviðmið!$G$6:$G$105,(COLUMN()-7-1)/2+1)&lt;&gt;"Starfsbundið",BU11="",BU$8="",BU$7=""),"",ROUND(BU11/BU$8*BU$7*KVARDI,2))</f>
        <v/>
      </c>
      <c r="BW11" s="39"/>
      <c r="BX11" s="40" t="str">
        <f aca="false">IF(OR(INDEX(Undirviðmið!$G$6:$G$105,(COLUMN()-7-1)/2+1)&lt;&gt;"Starfsbundið",BW11="",BW$8="",BW$7=""),"",ROUND(BW11/BW$8*BW$7*KVARDI,2))</f>
        <v/>
      </c>
      <c r="BY11" s="39"/>
      <c r="BZ11" s="40" t="str">
        <f aca="false">IF(OR(INDEX(Undirviðmið!$G$6:$G$105,(COLUMN()-7-1)/2+1)&lt;&gt;"Starfsbundið",BY11="",BY$8="",BY$7=""),"",ROUND(BY11/BY$8*BY$7*KVARDI,2))</f>
        <v/>
      </c>
      <c r="CA11" s="39"/>
      <c r="CB11" s="40" t="str">
        <f aca="false">IF(OR(INDEX(Undirviðmið!$G$6:$G$105,(COLUMN()-7-1)/2+1)&lt;&gt;"Starfsbundið",CA11="",CA$8="",CA$7=""),"",ROUND(CA11/CA$8*CA$7*KVARDI,2))</f>
        <v/>
      </c>
      <c r="CC11" s="39"/>
      <c r="CD11" s="40" t="str">
        <f aca="false">IF(OR(INDEX(Undirviðmið!$G$6:$G$105,(COLUMN()-7-1)/2+1)&lt;&gt;"Starfsbundið",CC11="",CC$8="",CC$7=""),"",ROUND(CC11/CC$8*CC$7*KVARDI,2))</f>
        <v/>
      </c>
      <c r="CE11" s="39"/>
      <c r="CF11" s="40" t="str">
        <f aca="false">IF(OR(INDEX(Undirviðmið!$G$6:$G$105,(COLUMN()-7-1)/2+1)&lt;&gt;"Starfsbundið",CE11="",CE$8="",CE$7=""),"",ROUND(CE11/CE$8*CE$7*KVARDI,2))</f>
        <v/>
      </c>
      <c r="CG11" s="39"/>
      <c r="CH11" s="40" t="str">
        <f aca="false">IF(OR(INDEX(Undirviðmið!$G$6:$G$105,(COLUMN()-7-1)/2+1)&lt;&gt;"Starfsbundið",CG11="",CG$8="",CG$7=""),"",ROUND(CG11/CG$8*CG$7*KVARDI,2))</f>
        <v/>
      </c>
      <c r="CI11" s="39"/>
      <c r="CJ11" s="40" t="str">
        <f aca="false">IF(OR(INDEX(Undirviðmið!$G$6:$G$105,(COLUMN()-7-1)/2+1)&lt;&gt;"Starfsbundið",CI11="",CI$8="",CI$7=""),"",ROUND(CI11/CI$8*CI$7*KVARDI,2))</f>
        <v/>
      </c>
      <c r="CK11" s="39"/>
      <c r="CL11" s="40" t="str">
        <f aca="false">IF(OR(INDEX(Undirviðmið!$G$6:$G$105,(COLUMN()-7-1)/2+1)&lt;&gt;"Starfsbundið",CK11="",CK$8="",CK$7=""),"",ROUND(CK11/CK$8*CK$7*KVARDI,2))</f>
        <v/>
      </c>
      <c r="CM11" s="39"/>
      <c r="CN11" s="40" t="str">
        <f aca="false">IF(OR(INDEX(Undirviðmið!$G$6:$G$105,(COLUMN()-7-1)/2+1)&lt;&gt;"Starfsbundið",CM11="",CM$8="",CM$7=""),"",ROUND(CM11/CM$8*CM$7*KVARDI,2))</f>
        <v/>
      </c>
      <c r="CO11" s="39"/>
      <c r="CP11" s="40" t="str">
        <f aca="false">IF(OR(INDEX(Undirviðmið!$G$6:$G$105,(COLUMN()-7-1)/2+1)&lt;&gt;"Starfsbundið",CO11="",CO$8="",CO$7=""),"",ROUND(CO11/CO$8*CO$7*KVARDI,2))</f>
        <v/>
      </c>
      <c r="CQ11" s="39"/>
      <c r="CR11" s="40" t="str">
        <f aca="false">IF(OR(INDEX(Undirviðmið!$G$6:$G$105,(COLUMN()-7-1)/2+1)&lt;&gt;"Starfsbundið",CQ11="",CQ$8="",CQ$7=""),"",ROUND(CQ11/CQ$8*CQ$7*KVARDI,2))</f>
        <v/>
      </c>
      <c r="CS11" s="39"/>
      <c r="CT11" s="40" t="str">
        <f aca="false">IF(OR(INDEX(Undirviðmið!$G$6:$G$105,(COLUMN()-7-1)/2+1)&lt;&gt;"Starfsbundið",CS11="",CS$8="",CS$7=""),"",ROUND(CS11/CS$8*CS$7*KVARDI,2))</f>
        <v/>
      </c>
      <c r="CU11" s="39"/>
      <c r="CV11" s="40" t="str">
        <f aca="false">IF(OR(INDEX(Undirviðmið!$G$6:$G$105,(COLUMN()-7-1)/2+1)&lt;&gt;"Starfsbundið",CU11="",CU$8="",CU$7=""),"",ROUND(CU11/CU$8*CU$7*KVARDI,2))</f>
        <v/>
      </c>
      <c r="CW11" s="39"/>
      <c r="CX11" s="40" t="str">
        <f aca="false">IF(OR(INDEX(Undirviðmið!$G$6:$G$105,(COLUMN()-7-1)/2+1)&lt;&gt;"Starfsbundið",CW11="",CW$8="",CW$7=""),"",ROUND(CW11/CW$8*CW$7*KVARDI,2))</f>
        <v/>
      </c>
      <c r="CY11" s="39"/>
      <c r="CZ11" s="40" t="str">
        <f aca="false">IF(OR(INDEX(Undirviðmið!$G$6:$G$105,(COLUMN()-7-1)/2+1)&lt;&gt;"Starfsbundið",CY11="",CY$8="",CY$7=""),"",ROUND(CY11/CY$8*CY$7*KVARDI,2))</f>
        <v/>
      </c>
      <c r="DA11" s="39"/>
      <c r="DB11" s="40" t="str">
        <f aca="false">IF(OR(INDEX(Undirviðmið!$G$6:$G$105,(COLUMN()-7-1)/2+1)&lt;&gt;"Starfsbundið",DA11="",DA$8="",DA$7=""),"",ROUND(DA11/DA$8*DA$7*KVARDI,2))</f>
        <v/>
      </c>
      <c r="DC11" s="39"/>
      <c r="DD11" s="40" t="str">
        <f aca="false">IF(OR(INDEX(Undirviðmið!$G$6:$G$105,(COLUMN()-7-1)/2+1)&lt;&gt;"Starfsbundið",DC11="",DC$8="",DC$7=""),"",ROUND(DC11/DC$8*DC$7*KVARDI,2))</f>
        <v/>
      </c>
      <c r="DE11" s="39"/>
      <c r="DF11" s="40" t="str">
        <f aca="false">IF(OR(INDEX(Undirviðmið!$G$6:$G$105,(COLUMN()-7-1)/2+1)&lt;&gt;"Starfsbundið",DE11="",DE$8="",DE$7=""),"",ROUND(DE11/DE$8*DE$7*KVARDI,2))</f>
        <v/>
      </c>
      <c r="DG11" s="39"/>
      <c r="DH11" s="40" t="str">
        <f aca="false">IF(OR(INDEX(Undirviðmið!$G$6:$G$105,(COLUMN()-7-1)/2+1)&lt;&gt;"Starfsbundið",DG11="",DG$8="",DG$7=""),"",ROUND(DG11/DG$8*DG$7*KVARDI,2))</f>
        <v/>
      </c>
      <c r="DI11" s="39"/>
      <c r="DJ11" s="40" t="str">
        <f aca="false">IF(OR(INDEX(Undirviðmið!$G$6:$G$105,(COLUMN()-7-1)/2+1)&lt;&gt;"Starfsbundið",DI11="",DI$8="",DI$7=""),"",ROUND(DI11/DI$8*DI$7*KVARDI,2))</f>
        <v/>
      </c>
      <c r="DK11" s="39"/>
      <c r="DL11" s="40" t="str">
        <f aca="false">IF(OR(INDEX(Undirviðmið!$G$6:$G$105,(COLUMN()-7-1)/2+1)&lt;&gt;"Starfsbundið",DK11="",DK$8="",DK$7=""),"",ROUND(DK11/DK$8*DK$7*KVARDI,2))</f>
        <v/>
      </c>
      <c r="DM11" s="39"/>
      <c r="DN11" s="40" t="str">
        <f aca="false">IF(OR(INDEX(Undirviðmið!$G$6:$G$105,(COLUMN()-7-1)/2+1)&lt;&gt;"Starfsbundið",DM11="",DM$8="",DM$7=""),"",ROUND(DM11/DM$8*DM$7*KVARDI,2))</f>
        <v/>
      </c>
      <c r="DO11" s="39"/>
      <c r="DP11" s="40" t="str">
        <f aca="false">IF(OR(INDEX(Undirviðmið!$G$6:$G$105,(COLUMN()-7-1)/2+1)&lt;&gt;"Starfsbundið",DO11="",DO$8="",DO$7=""),"",ROUND(DO11/DO$8*DO$7*KVARDI,2))</f>
        <v/>
      </c>
      <c r="DQ11" s="39"/>
      <c r="DR11" s="40" t="str">
        <f aca="false">IF(OR(INDEX(Undirviðmið!$G$6:$G$105,(COLUMN()-7-1)/2+1)&lt;&gt;"Starfsbundið",DQ11="",DQ$8="",DQ$7=""),"",ROUND(DQ11/DQ$8*DQ$7*KVARDI,2))</f>
        <v/>
      </c>
      <c r="DS11" s="39"/>
      <c r="DT11" s="40" t="str">
        <f aca="false">IF(OR(INDEX(Undirviðmið!$G$6:$G$105,(COLUMN()-7-1)/2+1)&lt;&gt;"Starfsbundið",DS11="",DS$8="",DS$7=""),"",ROUND(DS11/DS$8*DS$7*KVARDI,2))</f>
        <v/>
      </c>
      <c r="DU11" s="39"/>
      <c r="DV11" s="40" t="str">
        <f aca="false">IF(OR(INDEX(Undirviðmið!$G$6:$G$105,(COLUMN()-7-1)/2+1)&lt;&gt;"Starfsbundið",DU11="",DU$8="",DU$7=""),"",ROUND(DU11/DU$8*DU$7*KVARDI,2))</f>
        <v/>
      </c>
      <c r="DW11" s="39"/>
      <c r="DX11" s="40" t="str">
        <f aca="false">IF(OR(INDEX(Undirviðmið!$G$6:$G$105,(COLUMN()-7-1)/2+1)&lt;&gt;"Starfsbundið",DW11="",DW$8="",DW$7=""),"",ROUND(DW11/DW$8*DW$7*KVARDI,2))</f>
        <v/>
      </c>
      <c r="DY11" s="39"/>
      <c r="DZ11" s="40" t="str">
        <f aca="false">IF(OR(INDEX(Undirviðmið!$G$6:$G$105,(COLUMN()-7-1)/2+1)&lt;&gt;"Starfsbundið",DY11="",DY$8="",DY$7=""),"",ROUND(DY11/DY$8*DY$7*KVARDI,2))</f>
        <v/>
      </c>
      <c r="EA11" s="39"/>
      <c r="EB11" s="40" t="str">
        <f aca="false">IF(OR(INDEX(Undirviðmið!$G$6:$G$105,(COLUMN()-7-1)/2+1)&lt;&gt;"Starfsbundið",EA11="",EA$8="",EA$7=""),"",ROUND(EA11/EA$8*EA$7*KVARDI,2))</f>
        <v/>
      </c>
      <c r="EC11" s="39"/>
      <c r="ED11" s="40" t="str">
        <f aca="false">IF(OR(INDEX(Undirviðmið!$G$6:$G$105,(COLUMN()-7-1)/2+1)&lt;&gt;"Starfsbundið",EC11="",EC$8="",EC$7=""),"",ROUND(EC11/EC$8*EC$7*KVARDI,2))</f>
        <v/>
      </c>
      <c r="EE11" s="39"/>
      <c r="EF11" s="40" t="str">
        <f aca="false">IF(OR(INDEX(Undirviðmið!$G$6:$G$105,(COLUMN()-7-1)/2+1)&lt;&gt;"Starfsbundið",EE11="",EE$8="",EE$7=""),"",ROUND(EE11/EE$8*EE$7*KVARDI,2))</f>
        <v/>
      </c>
      <c r="EG11" s="39"/>
      <c r="EH11" s="40" t="str">
        <f aca="false">IF(OR(INDEX(Undirviðmið!$G$6:$G$105,(COLUMN()-7-1)/2+1)&lt;&gt;"Starfsbundið",EG11="",EG$8="",EG$7=""),"",ROUND(EG11/EG$8*EG$7*KVARDI,2))</f>
        <v/>
      </c>
      <c r="EI11" s="39"/>
      <c r="EJ11" s="40" t="str">
        <f aca="false">IF(OR(INDEX(Undirviðmið!$G$6:$G$105,(COLUMN()-7-1)/2+1)&lt;&gt;"Starfsbundið",EI11="",EI$8="",EI$7=""),"",ROUND(EI11/EI$8*EI$7*KVARDI,2))</f>
        <v/>
      </c>
      <c r="EK11" s="39"/>
      <c r="EL11" s="40" t="str">
        <f aca="false">IF(OR(INDEX(Undirviðmið!$G$6:$G$105,(COLUMN()-7-1)/2+1)&lt;&gt;"Starfsbundið",EK11="",EK$8="",EK$7=""),"",ROUND(EK11/EK$8*EK$7*KVARDI,2))</f>
        <v/>
      </c>
      <c r="EM11" s="39"/>
      <c r="EN11" s="40" t="str">
        <f aca="false">IF(OR(INDEX(Undirviðmið!$G$6:$G$105,(COLUMN()-7-1)/2+1)&lt;&gt;"Starfsbundið",EM11="",EM$8="",EM$7=""),"",ROUND(EM11/EM$8*EM$7*KVARDI,2))</f>
        <v/>
      </c>
      <c r="EO11" s="39"/>
      <c r="EP11" s="40" t="str">
        <f aca="false">IF(OR(INDEX(Undirviðmið!$G$6:$G$105,(COLUMN()-7-1)/2+1)&lt;&gt;"Starfsbundið",EO11="",EO$8="",EO$7=""),"",ROUND(EO11/EO$8*EO$7*KVARDI,2))</f>
        <v/>
      </c>
      <c r="EQ11" s="39"/>
      <c r="ER11" s="40" t="str">
        <f aca="false">IF(OR(INDEX(Undirviðmið!$G$6:$G$105,(COLUMN()-7-1)/2+1)&lt;&gt;"Starfsbundið",EQ11="",EQ$8="",EQ$7=""),"",ROUND(EQ11/EQ$8*EQ$7*KVARDI,2))</f>
        <v/>
      </c>
      <c r="ES11" s="39"/>
      <c r="ET11" s="40" t="str">
        <f aca="false">IF(OR(INDEX(Undirviðmið!$G$6:$G$105,(COLUMN()-7-1)/2+1)&lt;&gt;"Starfsbundið",ES11="",ES$8="",ES$7=""),"",ROUND(ES11/ES$8*ES$7*KVARDI,2))</f>
        <v/>
      </c>
      <c r="EU11" s="39"/>
      <c r="EV11" s="40" t="str">
        <f aca="false">IF(OR(INDEX(Undirviðmið!$G$6:$G$105,(COLUMN()-7-1)/2+1)&lt;&gt;"Starfsbundið",EU11="",EU$8="",EU$7=""),"",ROUND(EU11/EU$8*EU$7*KVARDI,2))</f>
        <v/>
      </c>
      <c r="EW11" s="39"/>
      <c r="EX11" s="40" t="str">
        <f aca="false">IF(OR(INDEX(Undirviðmið!$G$6:$G$105,(COLUMN()-7-1)/2+1)&lt;&gt;"Starfsbundið",EW11="",EW$8="",EW$7=""),"",ROUND(EW11/EW$8*EW$7*KVARDI,2))</f>
        <v/>
      </c>
      <c r="EY11" s="39"/>
      <c r="EZ11" s="40" t="str">
        <f aca="false">IF(OR(INDEX(Undirviðmið!$G$6:$G$105,(COLUMN()-7-1)/2+1)&lt;&gt;"Starfsbundið",EY11="",EY$8="",EY$7=""),"",ROUND(EY11/EY$8*EY$7*KVARDI,2))</f>
        <v/>
      </c>
      <c r="FA11" s="39"/>
      <c r="FB11" s="40" t="str">
        <f aca="false">IF(OR(INDEX(Undirviðmið!$G$6:$G$105,(COLUMN()-7-1)/2+1)&lt;&gt;"Starfsbundið",FA11="",FA$8="",FA$7=""),"",ROUND(FA11/FA$8*FA$7*KVARDI,2))</f>
        <v/>
      </c>
      <c r="FC11" s="39"/>
      <c r="FD11" s="40" t="str">
        <f aca="false">IF(OR(INDEX(Undirviðmið!$G$6:$G$105,(COLUMN()-7-1)/2+1)&lt;&gt;"Starfsbundið",FC11="",FC$8="",FC$7=""),"",ROUND(FC11/FC$8*FC$7*KVARDI,2))</f>
        <v/>
      </c>
      <c r="FE11" s="39"/>
      <c r="FF11" s="40" t="str">
        <f aca="false">IF(OR(INDEX(Undirviðmið!$G$6:$G$105,(COLUMN()-7-1)/2+1)&lt;&gt;"Starfsbundið",FE11="",FE$8="",FE$7=""),"",ROUND(FE11/FE$8*FE$7*KVARDI,2))</f>
        <v/>
      </c>
      <c r="FG11" s="39"/>
      <c r="FH11" s="40" t="str">
        <f aca="false">IF(OR(INDEX(Undirviðmið!$G$6:$G$105,(COLUMN()-7-1)/2+1)&lt;&gt;"Starfsbundið",FG11="",FG$8="",FG$7=""),"",ROUND(FG11/FG$8*FG$7*KVARDI,2))</f>
        <v/>
      </c>
      <c r="FI11" s="39"/>
      <c r="FJ11" s="40" t="str">
        <f aca="false">IF(OR(INDEX(Undirviðmið!$G$6:$G$105,(COLUMN()-7-1)/2+1)&lt;&gt;"Starfsbundið",FI11="",FI$8="",FI$7=""),"",ROUND(FI11/FI$8*FI$7*KVARDI,2))</f>
        <v/>
      </c>
      <c r="FK11" s="39"/>
      <c r="FL11" s="40" t="str">
        <f aca="false">IF(OR(INDEX(Undirviðmið!$G$6:$G$105,(COLUMN()-7-1)/2+1)&lt;&gt;"Starfsbundið",FK11="",FK$8="",FK$7=""),"",ROUND(FK11/FK$8*FK$7*KVARDI,2))</f>
        <v/>
      </c>
      <c r="FM11" s="39"/>
      <c r="FN11" s="40" t="str">
        <f aca="false">IF(OR(INDEX(Undirviðmið!$G$6:$G$105,(COLUMN()-7-1)/2+1)&lt;&gt;"Starfsbundið",FM11="",FM$8="",FM$7=""),"",ROUND(FM11/FM$8*FM$7*KVARDI,2))</f>
        <v/>
      </c>
      <c r="FO11" s="39"/>
      <c r="FP11" s="40" t="str">
        <f aca="false">IF(OR(INDEX(Undirviðmið!$G$6:$G$105,(COLUMN()-7-1)/2+1)&lt;&gt;"Starfsbundið",FO11="",FO$8="",FO$7=""),"",ROUND(FO11/FO$8*FO$7*KVARDI,2))</f>
        <v/>
      </c>
      <c r="FQ11" s="39"/>
      <c r="FR11" s="40" t="str">
        <f aca="false">IF(OR(INDEX(Undirviðmið!$G$6:$G$105,(COLUMN()-7-1)/2+1)&lt;&gt;"Starfsbundið",FQ11="",FQ$8="",FQ$7=""),"",ROUND(FQ11/FQ$8*FQ$7*KVARDI,2))</f>
        <v/>
      </c>
      <c r="FS11" s="39"/>
      <c r="FT11" s="40" t="str">
        <f aca="false">IF(OR(INDEX(Undirviðmið!$G$6:$G$105,(COLUMN()-7-1)/2+1)&lt;&gt;"Starfsbundið",FS11="",FS$8="",FS$7=""),"",ROUND(FS11/FS$8*FS$7*KVARDI,2))</f>
        <v/>
      </c>
      <c r="FU11" s="39"/>
      <c r="FV11" s="40" t="str">
        <f aca="false">IF(OR(INDEX(Undirviðmið!$G$6:$G$105,(COLUMN()-7-1)/2+1)&lt;&gt;"Starfsbundið",FU11="",FU$8="",FU$7=""),"",ROUND(FU11/FU$8*FU$7*KVARDI,2))</f>
        <v/>
      </c>
      <c r="FW11" s="39"/>
      <c r="FX11" s="40" t="str">
        <f aca="false">IF(OR(INDEX(Undirviðmið!$G$6:$G$105,(COLUMN()-7-1)/2+1)&lt;&gt;"Starfsbundið",FW11="",FW$8="",FW$7=""),"",ROUND(FW11/FW$8*FW$7*KVARDI,2))</f>
        <v/>
      </c>
      <c r="FY11" s="39"/>
      <c r="FZ11" s="40" t="str">
        <f aca="false">IF(OR(INDEX(Undirviðmið!$G$6:$G$105,(COLUMN()-7-1)/2+1)&lt;&gt;"Starfsbundið",FY11="",FY$8="",FY$7=""),"",ROUND(FY11/FY$8*FY$7*KVARDI,2))</f>
        <v/>
      </c>
      <c r="GA11" s="39"/>
      <c r="GB11" s="40" t="str">
        <f aca="false">IF(OR(INDEX(Undirviðmið!$G$6:$G$105,(COLUMN()-7-1)/2+1)&lt;&gt;"Starfsbundið",GA11="",GA$8="",GA$7=""),"",ROUND(GA11/GA$8*GA$7*KVARDI,2))</f>
        <v/>
      </c>
      <c r="GC11" s="39"/>
      <c r="GD11" s="40" t="str">
        <f aca="false">IF(OR(INDEX(Undirviðmið!$G$6:$G$105,(COLUMN()-7-1)/2+1)&lt;&gt;"Starfsbundið",GC11="",GC$8="",GC$7=""),"",ROUND(GC11/GC$8*GC$7*KVARDI,2))</f>
        <v/>
      </c>
      <c r="GE11" s="39"/>
      <c r="GF11" s="40" t="str">
        <f aca="false">IF(OR(INDEX(Undirviðmið!$G$6:$G$105,(COLUMN()-7-1)/2+1)&lt;&gt;"Starfsbundið",GE11="",GE$8="",GE$7=""),"",ROUND(GE11/GE$8*GE$7*KVARDI,2))</f>
        <v/>
      </c>
      <c r="GG11" s="39"/>
      <c r="GH11" s="40" t="str">
        <f aca="false">IF(OR(INDEX(Undirviðmið!$G$6:$G$105,(COLUMN()-7-1)/2+1)&lt;&gt;"Starfsbundið",GG11="",GG$8="",GG$7=""),"",ROUND(GG11/GG$8*GG$7*KVARDI,2))</f>
        <v/>
      </c>
      <c r="GI11" s="39"/>
      <c r="GJ11" s="40" t="str">
        <f aca="false">IF(OR(INDEX(Undirviðmið!$G$6:$G$105,(COLUMN()-7-1)/2+1)&lt;&gt;"Starfsbundið",GI11="",GI$8="",GI$7=""),"",ROUND(GI11/GI$8*GI$7*KVARDI,2))</f>
        <v/>
      </c>
      <c r="GK11" s="39"/>
      <c r="GL11" s="40" t="str">
        <f aca="false">IF(OR(INDEX(Undirviðmið!$G$6:$G$105,(COLUMN()-7-1)/2+1)&lt;&gt;"Starfsbundið",GK11="",GK$8="",GK$7=""),"",ROUND(GK11/GK$8*GK$7*KVARDI,2))</f>
        <v/>
      </c>
      <c r="GM11" s="39"/>
      <c r="GN11" s="40" t="str">
        <f aca="false">IF(OR(INDEX(Undirviðmið!$G$6:$G$105,(COLUMN()-7-1)/2+1)&lt;&gt;"Starfsbundið",GM11="",GM$8="",GM$7=""),"",ROUND(GM11/GM$8*GM$7*KVARDI,2))</f>
        <v/>
      </c>
      <c r="GO11" s="39"/>
      <c r="GP11" s="40" t="str">
        <f aca="false">IF(OR(INDEX(Undirviðmið!$G$6:$G$105,(COLUMN()-7-1)/2+1)&lt;&gt;"Starfsbundið",GO11="",GO$8="",GO$7=""),"",ROUND(GO11/GO$8*GO$7*KVARDI,2))</f>
        <v/>
      </c>
      <c r="GQ11" s="39"/>
      <c r="GR11" s="40" t="str">
        <f aca="false">IF(OR(INDEX(Undirviðmið!$G$6:$G$105,(COLUMN()-7-1)/2+1)&lt;&gt;"Starfsbundið",GQ11="",GQ$8="",GQ$7=""),"",ROUND(GQ11/GQ$8*GQ$7*KVARDI,2))</f>
        <v/>
      </c>
      <c r="GS11" s="39"/>
      <c r="GT11" s="40" t="str">
        <f aca="false">IF(OR(INDEX(Undirviðmið!$G$6:$G$105,(COLUMN()-7-1)/2+1)&lt;&gt;"Starfsbundið",GS11="",GS$8="",GS$7=""),"",ROUND(GS11/GS$8*GS$7*KVARDI,2))</f>
        <v/>
      </c>
      <c r="GU11" s="39"/>
      <c r="GV11" s="40" t="str">
        <f aca="false">IF(OR(INDEX(Undirviðmið!$G$6:$G$105,(COLUMN()-7-1)/2+1)&lt;&gt;"Starfsbundið",GU11="",GU$8="",GU$7=""),"",ROUND(GU11/GU$8*GU$7*KVARDI,2))</f>
        <v/>
      </c>
      <c r="GW11" s="39"/>
      <c r="GX11" s="40" t="str">
        <f aca="false">IF(OR(INDEX(Undirviðmið!$G$6:$G$105,(COLUMN()-7-1)/2+1)&lt;&gt;"Starfsbundið",GW11="",GW$8="",GW$7=""),"",ROUND(GW11/GW$8*GW$7*KVARDI,2))</f>
        <v/>
      </c>
      <c r="GZ11" s="20"/>
    </row>
    <row r="12" customFormat="false" ht="15" hidden="false" customHeight="true" outlineLevel="0" collapsed="false">
      <c r="B12" s="37" t="str">
        <f aca="false" t="array" ref="B12:B12">IFERROR(INDEX(Starfsmenn!$C$6:$C$10005,MATCH(0,COUNTIF($B$11:B11,Starfsmenn!$C$6:$C$10005)+(Starfsmenn!$C$6:$C$10005=""),0)),"")</f>
        <v/>
      </c>
      <c r="C12" s="38" t="n">
        <f aca="false">IFERROR(SUMIF($G$10:$GX$10,"Stig",$G12:$GX12),0)</f>
        <v>0</v>
      </c>
      <c r="G12" s="39"/>
      <c r="H12" s="40" t="str">
        <f aca="false">IF(OR(INDEX(Undirviðmið!$G$6:$G$105,(COLUMN()-7-1)/2+1)&lt;&gt;"Starfsbundið",G12="",G$8="",G$7=""),"",ROUND(G12/G$8*G$7*KVARDI,2))</f>
        <v/>
      </c>
      <c r="I12" s="39"/>
      <c r="J12" s="40" t="str">
        <f aca="false">IF(OR(INDEX(Undirviðmið!$G$6:$G$105,(COLUMN()-7-1)/2+1)&lt;&gt;"Starfsbundið",I12="",I$8="",I$7=""),"",ROUND(I12/I$8*I$7*KVARDI,2))</f>
        <v/>
      </c>
      <c r="K12" s="39"/>
      <c r="L12" s="40" t="str">
        <f aca="false">IF(OR(INDEX(Undirviðmið!$G$6:$G$105,(COLUMN()-7-1)/2+1)&lt;&gt;"Starfsbundið",K12="",K$8="",K$7=""),"",ROUND(K12/K$8*K$7*KVARDI,2))</f>
        <v/>
      </c>
      <c r="M12" s="39"/>
      <c r="N12" s="40" t="str">
        <f aca="false">IF(OR(INDEX(Undirviðmið!$G$6:$G$105,(COLUMN()-7-1)/2+1)&lt;&gt;"Starfsbundið",M12="",M$8="",M$7=""),"",ROUND(M12/M$8*M$7*KVARDI,2))</f>
        <v/>
      </c>
      <c r="O12" s="39"/>
      <c r="P12" s="40" t="str">
        <f aca="false">IF(OR(INDEX(Undirviðmið!$G$6:$G$105,(COLUMN()-7-1)/2+1)&lt;&gt;"Starfsbundið",O12="",O$8="",O$7=""),"",ROUND(O12/O$8*O$7*KVARDI,2))</f>
        <v/>
      </c>
      <c r="Q12" s="39"/>
      <c r="R12" s="40" t="str">
        <f aca="false">IF(OR(INDEX(Undirviðmið!$G$6:$G$105,(COLUMN()-7-1)/2+1)&lt;&gt;"Starfsbundið",Q12="",Q$8="",Q$7=""),"",ROUND(Q12/Q$8*Q$7*KVARDI,2))</f>
        <v/>
      </c>
      <c r="S12" s="39"/>
      <c r="T12" s="40" t="str">
        <f aca="false">IF(OR(INDEX(Undirviðmið!$G$6:$G$105,(COLUMN()-7-1)/2+1)&lt;&gt;"Starfsbundið",S12="",S$8="",S$7=""),"",ROUND(S12/S$8*S$7*KVARDI,2))</f>
        <v/>
      </c>
      <c r="U12" s="39"/>
      <c r="V12" s="40" t="str">
        <f aca="false">IF(OR(INDEX(Undirviðmið!$G$6:$G$105,(COLUMN()-7-1)/2+1)&lt;&gt;"Starfsbundið",U12="",U$8="",U$7=""),"",ROUND(U12/U$8*U$7*KVARDI,2))</f>
        <v/>
      </c>
      <c r="W12" s="39"/>
      <c r="X12" s="40" t="str">
        <f aca="false">IF(OR(INDEX(Undirviðmið!$G$6:$G$105,(COLUMN()-7-1)/2+1)&lt;&gt;"Starfsbundið",W12="",W$8="",W$7=""),"",ROUND(W12/W$8*W$7*KVARDI,2))</f>
        <v/>
      </c>
      <c r="Y12" s="39"/>
      <c r="Z12" s="40" t="str">
        <f aca="false">IF(OR(INDEX(Undirviðmið!$G$6:$G$105,(COLUMN()-7-1)/2+1)&lt;&gt;"Starfsbundið",Y12="",Y$8="",Y$7=""),"",ROUND(Y12/Y$8*Y$7*KVARDI,2))</f>
        <v/>
      </c>
      <c r="AA12" s="39"/>
      <c r="AB12" s="40" t="str">
        <f aca="false">IF(OR(INDEX(Undirviðmið!$G$6:$G$105,(COLUMN()-7-1)/2+1)&lt;&gt;"Starfsbundið",AA12="",AA$8="",AA$7=""),"",ROUND(AA12/AA$8*AA$7*KVARDI,2))</f>
        <v/>
      </c>
      <c r="AC12" s="39"/>
      <c r="AD12" s="40" t="str">
        <f aca="false">IF(OR(INDEX(Undirviðmið!$G$6:$G$105,(COLUMN()-7-1)/2+1)&lt;&gt;"Starfsbundið",AC12="",AC$8="",AC$7=""),"",ROUND(AC12/AC$8*AC$7*KVARDI,2))</f>
        <v/>
      </c>
      <c r="AE12" s="39"/>
      <c r="AF12" s="40" t="str">
        <f aca="false">IF(OR(INDEX(Undirviðmið!$G$6:$G$105,(COLUMN()-7-1)/2+1)&lt;&gt;"Starfsbundið",AE12="",AE$8="",AE$7=""),"",ROUND(AE12/AE$8*AE$7*KVARDI,2))</f>
        <v/>
      </c>
      <c r="AG12" s="39"/>
      <c r="AH12" s="40" t="str">
        <f aca="false">IF(OR(INDEX(Undirviðmið!$G$6:$G$105,(COLUMN()-7-1)/2+1)&lt;&gt;"Starfsbundið",AG12="",AG$8="",AG$7=""),"",ROUND(AG12/AG$8*AG$7*KVARDI,2))</f>
        <v/>
      </c>
      <c r="AI12" s="39"/>
      <c r="AJ12" s="40" t="str">
        <f aca="false">IF(OR(INDEX(Undirviðmið!$G$6:$G$105,(COLUMN()-7-1)/2+1)&lt;&gt;"Starfsbundið",AI12="",AI$8="",AI$7=""),"",ROUND(AI12/AI$8*AI$7*KVARDI,2))</f>
        <v/>
      </c>
      <c r="AK12" s="39"/>
      <c r="AL12" s="40" t="str">
        <f aca="false">IF(OR(INDEX(Undirviðmið!$G$6:$G$105,(COLUMN()-7-1)/2+1)&lt;&gt;"Starfsbundið",AK12="",AK$8="",AK$7=""),"",ROUND(AK12/AK$8*AK$7*KVARDI,2))</f>
        <v/>
      </c>
      <c r="AM12" s="39"/>
      <c r="AN12" s="40" t="str">
        <f aca="false">IF(OR(INDEX(Undirviðmið!$G$6:$G$105,(COLUMN()-7-1)/2+1)&lt;&gt;"Starfsbundið",AM12="",AM$8="",AM$7=""),"",ROUND(AM12/AM$8*AM$7*KVARDI,2))</f>
        <v/>
      </c>
      <c r="AO12" s="39"/>
      <c r="AP12" s="40" t="str">
        <f aca="false">IF(OR(INDEX(Undirviðmið!$G$6:$G$105,(COLUMN()-7-1)/2+1)&lt;&gt;"Starfsbundið",AO12="",AO$8="",AO$7=""),"",ROUND(AO12/AO$8*AO$7*KVARDI,2))</f>
        <v/>
      </c>
      <c r="AQ12" s="39"/>
      <c r="AR12" s="40" t="str">
        <f aca="false">IF(OR(INDEX(Undirviðmið!$G$6:$G$105,(COLUMN()-7-1)/2+1)&lt;&gt;"Starfsbundið",AQ12="",AQ$8="",AQ$7=""),"",ROUND(AQ12/AQ$8*AQ$7*KVARDI,2))</f>
        <v/>
      </c>
      <c r="AS12" s="39"/>
      <c r="AT12" s="40" t="str">
        <f aca="false">IF(OR(INDEX(Undirviðmið!$G$6:$G$105,(COLUMN()-7-1)/2+1)&lt;&gt;"Starfsbundið",AS12="",AS$8="",AS$7=""),"",ROUND(AS12/AS$8*AS$7*KVARDI,2))</f>
        <v/>
      </c>
      <c r="AU12" s="39"/>
      <c r="AV12" s="40" t="str">
        <f aca="false">IF(OR(INDEX(Undirviðmið!$G$6:$G$105,(COLUMN()-7-1)/2+1)&lt;&gt;"Starfsbundið",AU12="",AU$8="",AU$7=""),"",ROUND(AU12/AU$8*AU$7*KVARDI,2))</f>
        <v/>
      </c>
      <c r="AW12" s="39"/>
      <c r="AX12" s="40" t="str">
        <f aca="false">IF(OR(INDEX(Undirviðmið!$G$6:$G$105,(COLUMN()-7-1)/2+1)&lt;&gt;"Starfsbundið",AW12="",AW$8="",AW$7=""),"",ROUND(AW12/AW$8*AW$7*KVARDI,2))</f>
        <v/>
      </c>
      <c r="AY12" s="39"/>
      <c r="AZ12" s="40" t="str">
        <f aca="false">IF(OR(INDEX(Undirviðmið!$G$6:$G$105,(COLUMN()-7-1)/2+1)&lt;&gt;"Starfsbundið",AY12="",AY$8="",AY$7=""),"",ROUND(AY12/AY$8*AY$7*KVARDI,2))</f>
        <v/>
      </c>
      <c r="BA12" s="39"/>
      <c r="BB12" s="40" t="str">
        <f aca="false">IF(OR(INDEX(Undirviðmið!$G$6:$G$105,(COLUMN()-7-1)/2+1)&lt;&gt;"Starfsbundið",BA12="",BA$8="",BA$7=""),"",ROUND(BA12/BA$8*BA$7*KVARDI,2))</f>
        <v/>
      </c>
      <c r="BC12" s="39"/>
      <c r="BD12" s="40" t="str">
        <f aca="false">IF(OR(INDEX(Undirviðmið!$G$6:$G$105,(COLUMN()-7-1)/2+1)&lt;&gt;"Starfsbundið",BC12="",BC$8="",BC$7=""),"",ROUND(BC12/BC$8*BC$7*KVARDI,2))</f>
        <v/>
      </c>
      <c r="BE12" s="39"/>
      <c r="BF12" s="40" t="str">
        <f aca="false">IF(OR(INDEX(Undirviðmið!$G$6:$G$105,(COLUMN()-7-1)/2+1)&lt;&gt;"Starfsbundið",BE12="",BE$8="",BE$7=""),"",ROUND(BE12/BE$8*BE$7*KVARDI,2))</f>
        <v/>
      </c>
      <c r="BG12" s="39"/>
      <c r="BH12" s="40" t="str">
        <f aca="false">IF(OR(INDEX(Undirviðmið!$G$6:$G$105,(COLUMN()-7-1)/2+1)&lt;&gt;"Starfsbundið",BG12="",BG$8="",BG$7=""),"",ROUND(BG12/BG$8*BG$7*KVARDI,2))</f>
        <v/>
      </c>
      <c r="BI12" s="39"/>
      <c r="BJ12" s="40" t="str">
        <f aca="false">IF(OR(INDEX(Undirviðmið!$G$6:$G$105,(COLUMN()-7-1)/2+1)&lt;&gt;"Starfsbundið",BI12="",BI$8="",BI$7=""),"",ROUND(BI12/BI$8*BI$7*KVARDI,2))</f>
        <v/>
      </c>
      <c r="BK12" s="39"/>
      <c r="BL12" s="40" t="str">
        <f aca="false">IF(OR(INDEX(Undirviðmið!$G$6:$G$105,(COLUMN()-7-1)/2+1)&lt;&gt;"Starfsbundið",BK12="",BK$8="",BK$7=""),"",ROUND(BK12/BK$8*BK$7*KVARDI,2))</f>
        <v/>
      </c>
      <c r="BM12" s="39"/>
      <c r="BN12" s="40" t="str">
        <f aca="false">IF(OR(INDEX(Undirviðmið!$G$6:$G$105,(COLUMN()-7-1)/2+1)&lt;&gt;"Starfsbundið",BM12="",BM$8="",BM$7=""),"",ROUND(BM12/BM$8*BM$7*KVARDI,2))</f>
        <v/>
      </c>
      <c r="BO12" s="39"/>
      <c r="BP12" s="40" t="str">
        <f aca="false">IF(OR(INDEX(Undirviðmið!$G$6:$G$105,(COLUMN()-7-1)/2+1)&lt;&gt;"Starfsbundið",BO12="",BO$8="",BO$7=""),"",ROUND(BO12/BO$8*BO$7*KVARDI,2))</f>
        <v/>
      </c>
      <c r="BQ12" s="39"/>
      <c r="BR12" s="40" t="str">
        <f aca="false">IF(OR(INDEX(Undirviðmið!$G$6:$G$105,(COLUMN()-7-1)/2+1)&lt;&gt;"Starfsbundið",BQ12="",BQ$8="",BQ$7=""),"",ROUND(BQ12/BQ$8*BQ$7*KVARDI,2))</f>
        <v/>
      </c>
      <c r="BS12" s="39"/>
      <c r="BT12" s="40" t="str">
        <f aca="false">IF(OR(INDEX(Undirviðmið!$G$6:$G$105,(COLUMN()-7-1)/2+1)&lt;&gt;"Starfsbundið",BS12="",BS$8="",BS$7=""),"",ROUND(BS12/BS$8*BS$7*KVARDI,2))</f>
        <v/>
      </c>
      <c r="BU12" s="39"/>
      <c r="BV12" s="40" t="str">
        <f aca="false">IF(OR(INDEX(Undirviðmið!$G$6:$G$105,(COLUMN()-7-1)/2+1)&lt;&gt;"Starfsbundið",BU12="",BU$8="",BU$7=""),"",ROUND(BU12/BU$8*BU$7*KVARDI,2))</f>
        <v/>
      </c>
      <c r="BW12" s="39"/>
      <c r="BX12" s="40" t="str">
        <f aca="false">IF(OR(INDEX(Undirviðmið!$G$6:$G$105,(COLUMN()-7-1)/2+1)&lt;&gt;"Starfsbundið",BW12="",BW$8="",BW$7=""),"",ROUND(BW12/BW$8*BW$7*KVARDI,2))</f>
        <v/>
      </c>
      <c r="BY12" s="39"/>
      <c r="BZ12" s="40" t="str">
        <f aca="false">IF(OR(INDEX(Undirviðmið!$G$6:$G$105,(COLUMN()-7-1)/2+1)&lt;&gt;"Starfsbundið",BY12="",BY$8="",BY$7=""),"",ROUND(BY12/BY$8*BY$7*KVARDI,2))</f>
        <v/>
      </c>
      <c r="CA12" s="39"/>
      <c r="CB12" s="40" t="str">
        <f aca="false">IF(OR(INDEX(Undirviðmið!$G$6:$G$105,(COLUMN()-7-1)/2+1)&lt;&gt;"Starfsbundið",CA12="",CA$8="",CA$7=""),"",ROUND(CA12/CA$8*CA$7*KVARDI,2))</f>
        <v/>
      </c>
      <c r="CC12" s="39"/>
      <c r="CD12" s="40" t="str">
        <f aca="false">IF(OR(INDEX(Undirviðmið!$G$6:$G$105,(COLUMN()-7-1)/2+1)&lt;&gt;"Starfsbundið",CC12="",CC$8="",CC$7=""),"",ROUND(CC12/CC$8*CC$7*KVARDI,2))</f>
        <v/>
      </c>
      <c r="CE12" s="39"/>
      <c r="CF12" s="40" t="str">
        <f aca="false">IF(OR(INDEX(Undirviðmið!$G$6:$G$105,(COLUMN()-7-1)/2+1)&lt;&gt;"Starfsbundið",CE12="",CE$8="",CE$7=""),"",ROUND(CE12/CE$8*CE$7*KVARDI,2))</f>
        <v/>
      </c>
      <c r="CG12" s="39"/>
      <c r="CH12" s="40" t="str">
        <f aca="false">IF(OR(INDEX(Undirviðmið!$G$6:$G$105,(COLUMN()-7-1)/2+1)&lt;&gt;"Starfsbundið",CG12="",CG$8="",CG$7=""),"",ROUND(CG12/CG$8*CG$7*KVARDI,2))</f>
        <v/>
      </c>
      <c r="CI12" s="39"/>
      <c r="CJ12" s="40" t="str">
        <f aca="false">IF(OR(INDEX(Undirviðmið!$G$6:$G$105,(COLUMN()-7-1)/2+1)&lt;&gt;"Starfsbundið",CI12="",CI$8="",CI$7=""),"",ROUND(CI12/CI$8*CI$7*KVARDI,2))</f>
        <v/>
      </c>
      <c r="CK12" s="39"/>
      <c r="CL12" s="40" t="str">
        <f aca="false">IF(OR(INDEX(Undirviðmið!$G$6:$G$105,(COLUMN()-7-1)/2+1)&lt;&gt;"Starfsbundið",CK12="",CK$8="",CK$7=""),"",ROUND(CK12/CK$8*CK$7*KVARDI,2))</f>
        <v/>
      </c>
      <c r="CM12" s="39"/>
      <c r="CN12" s="40" t="str">
        <f aca="false">IF(OR(INDEX(Undirviðmið!$G$6:$G$105,(COLUMN()-7-1)/2+1)&lt;&gt;"Starfsbundið",CM12="",CM$8="",CM$7=""),"",ROUND(CM12/CM$8*CM$7*KVARDI,2))</f>
        <v/>
      </c>
      <c r="CO12" s="39"/>
      <c r="CP12" s="40" t="str">
        <f aca="false">IF(OR(INDEX(Undirviðmið!$G$6:$G$105,(COLUMN()-7-1)/2+1)&lt;&gt;"Starfsbundið",CO12="",CO$8="",CO$7=""),"",ROUND(CO12/CO$8*CO$7*KVARDI,2))</f>
        <v/>
      </c>
      <c r="CQ12" s="39"/>
      <c r="CR12" s="40" t="str">
        <f aca="false">IF(OR(INDEX(Undirviðmið!$G$6:$G$105,(COLUMN()-7-1)/2+1)&lt;&gt;"Starfsbundið",CQ12="",CQ$8="",CQ$7=""),"",ROUND(CQ12/CQ$8*CQ$7*KVARDI,2))</f>
        <v/>
      </c>
      <c r="CS12" s="39"/>
      <c r="CT12" s="40" t="str">
        <f aca="false">IF(OR(INDEX(Undirviðmið!$G$6:$G$105,(COLUMN()-7-1)/2+1)&lt;&gt;"Starfsbundið",CS12="",CS$8="",CS$7=""),"",ROUND(CS12/CS$8*CS$7*KVARDI,2))</f>
        <v/>
      </c>
      <c r="CU12" s="39"/>
      <c r="CV12" s="40" t="str">
        <f aca="false">IF(OR(INDEX(Undirviðmið!$G$6:$G$105,(COLUMN()-7-1)/2+1)&lt;&gt;"Starfsbundið",CU12="",CU$8="",CU$7=""),"",ROUND(CU12/CU$8*CU$7*KVARDI,2))</f>
        <v/>
      </c>
      <c r="CW12" s="39"/>
      <c r="CX12" s="40" t="str">
        <f aca="false">IF(OR(INDEX(Undirviðmið!$G$6:$G$105,(COLUMN()-7-1)/2+1)&lt;&gt;"Starfsbundið",CW12="",CW$8="",CW$7=""),"",ROUND(CW12/CW$8*CW$7*KVARDI,2))</f>
        <v/>
      </c>
      <c r="CY12" s="39"/>
      <c r="CZ12" s="40" t="str">
        <f aca="false">IF(OR(INDEX(Undirviðmið!$G$6:$G$105,(COLUMN()-7-1)/2+1)&lt;&gt;"Starfsbundið",CY12="",CY$8="",CY$7=""),"",ROUND(CY12/CY$8*CY$7*KVARDI,2))</f>
        <v/>
      </c>
      <c r="DA12" s="39"/>
      <c r="DB12" s="40" t="str">
        <f aca="false">IF(OR(INDEX(Undirviðmið!$G$6:$G$105,(COLUMN()-7-1)/2+1)&lt;&gt;"Starfsbundið",DA12="",DA$8="",DA$7=""),"",ROUND(DA12/DA$8*DA$7*KVARDI,2))</f>
        <v/>
      </c>
      <c r="DC12" s="39"/>
      <c r="DD12" s="40" t="str">
        <f aca="false">IF(OR(INDEX(Undirviðmið!$G$6:$G$105,(COLUMN()-7-1)/2+1)&lt;&gt;"Starfsbundið",DC12="",DC$8="",DC$7=""),"",ROUND(DC12/DC$8*DC$7*KVARDI,2))</f>
        <v/>
      </c>
      <c r="DE12" s="39"/>
      <c r="DF12" s="40" t="str">
        <f aca="false">IF(OR(INDEX(Undirviðmið!$G$6:$G$105,(COLUMN()-7-1)/2+1)&lt;&gt;"Starfsbundið",DE12="",DE$8="",DE$7=""),"",ROUND(DE12/DE$8*DE$7*KVARDI,2))</f>
        <v/>
      </c>
      <c r="DG12" s="39"/>
      <c r="DH12" s="40" t="str">
        <f aca="false">IF(OR(INDEX(Undirviðmið!$G$6:$G$105,(COLUMN()-7-1)/2+1)&lt;&gt;"Starfsbundið",DG12="",DG$8="",DG$7=""),"",ROUND(DG12/DG$8*DG$7*KVARDI,2))</f>
        <v/>
      </c>
      <c r="DI12" s="39"/>
      <c r="DJ12" s="40" t="str">
        <f aca="false">IF(OR(INDEX(Undirviðmið!$G$6:$G$105,(COLUMN()-7-1)/2+1)&lt;&gt;"Starfsbundið",DI12="",DI$8="",DI$7=""),"",ROUND(DI12/DI$8*DI$7*KVARDI,2))</f>
        <v/>
      </c>
      <c r="DK12" s="39"/>
      <c r="DL12" s="40" t="str">
        <f aca="false">IF(OR(INDEX(Undirviðmið!$G$6:$G$105,(COLUMN()-7-1)/2+1)&lt;&gt;"Starfsbundið",DK12="",DK$8="",DK$7=""),"",ROUND(DK12/DK$8*DK$7*KVARDI,2))</f>
        <v/>
      </c>
      <c r="DM12" s="39"/>
      <c r="DN12" s="40" t="str">
        <f aca="false">IF(OR(INDEX(Undirviðmið!$G$6:$G$105,(COLUMN()-7-1)/2+1)&lt;&gt;"Starfsbundið",DM12="",DM$8="",DM$7=""),"",ROUND(DM12/DM$8*DM$7*KVARDI,2))</f>
        <v/>
      </c>
      <c r="DO12" s="39"/>
      <c r="DP12" s="40" t="str">
        <f aca="false">IF(OR(INDEX(Undirviðmið!$G$6:$G$105,(COLUMN()-7-1)/2+1)&lt;&gt;"Starfsbundið",DO12="",DO$8="",DO$7=""),"",ROUND(DO12/DO$8*DO$7*KVARDI,2))</f>
        <v/>
      </c>
      <c r="DQ12" s="39"/>
      <c r="DR12" s="40" t="str">
        <f aca="false">IF(OR(INDEX(Undirviðmið!$G$6:$G$105,(COLUMN()-7-1)/2+1)&lt;&gt;"Starfsbundið",DQ12="",DQ$8="",DQ$7=""),"",ROUND(DQ12/DQ$8*DQ$7*KVARDI,2))</f>
        <v/>
      </c>
      <c r="DS12" s="39"/>
      <c r="DT12" s="40" t="str">
        <f aca="false">IF(OR(INDEX(Undirviðmið!$G$6:$G$105,(COLUMN()-7-1)/2+1)&lt;&gt;"Starfsbundið",DS12="",DS$8="",DS$7=""),"",ROUND(DS12/DS$8*DS$7*KVARDI,2))</f>
        <v/>
      </c>
      <c r="DU12" s="39"/>
      <c r="DV12" s="40" t="str">
        <f aca="false">IF(OR(INDEX(Undirviðmið!$G$6:$G$105,(COLUMN()-7-1)/2+1)&lt;&gt;"Starfsbundið",DU12="",DU$8="",DU$7=""),"",ROUND(DU12/DU$8*DU$7*KVARDI,2))</f>
        <v/>
      </c>
      <c r="DW12" s="39"/>
      <c r="DX12" s="40" t="str">
        <f aca="false">IF(OR(INDEX(Undirviðmið!$G$6:$G$105,(COLUMN()-7-1)/2+1)&lt;&gt;"Starfsbundið",DW12="",DW$8="",DW$7=""),"",ROUND(DW12/DW$8*DW$7*KVARDI,2))</f>
        <v/>
      </c>
      <c r="DY12" s="39"/>
      <c r="DZ12" s="40" t="str">
        <f aca="false">IF(OR(INDEX(Undirviðmið!$G$6:$G$105,(COLUMN()-7-1)/2+1)&lt;&gt;"Starfsbundið",DY12="",DY$8="",DY$7=""),"",ROUND(DY12/DY$8*DY$7*KVARDI,2))</f>
        <v/>
      </c>
      <c r="EA12" s="39"/>
      <c r="EB12" s="40" t="str">
        <f aca="false">IF(OR(INDEX(Undirviðmið!$G$6:$G$105,(COLUMN()-7-1)/2+1)&lt;&gt;"Starfsbundið",EA12="",EA$8="",EA$7=""),"",ROUND(EA12/EA$8*EA$7*KVARDI,2))</f>
        <v/>
      </c>
      <c r="EC12" s="39"/>
      <c r="ED12" s="40" t="str">
        <f aca="false">IF(OR(INDEX(Undirviðmið!$G$6:$G$105,(COLUMN()-7-1)/2+1)&lt;&gt;"Starfsbundið",EC12="",EC$8="",EC$7=""),"",ROUND(EC12/EC$8*EC$7*KVARDI,2))</f>
        <v/>
      </c>
      <c r="EE12" s="39"/>
      <c r="EF12" s="40" t="str">
        <f aca="false">IF(OR(INDEX(Undirviðmið!$G$6:$G$105,(COLUMN()-7-1)/2+1)&lt;&gt;"Starfsbundið",EE12="",EE$8="",EE$7=""),"",ROUND(EE12/EE$8*EE$7*KVARDI,2))</f>
        <v/>
      </c>
      <c r="EG12" s="39"/>
      <c r="EH12" s="40" t="str">
        <f aca="false">IF(OR(INDEX(Undirviðmið!$G$6:$G$105,(COLUMN()-7-1)/2+1)&lt;&gt;"Starfsbundið",EG12="",EG$8="",EG$7=""),"",ROUND(EG12/EG$8*EG$7*KVARDI,2))</f>
        <v/>
      </c>
      <c r="EI12" s="39"/>
      <c r="EJ12" s="40" t="str">
        <f aca="false">IF(OR(INDEX(Undirviðmið!$G$6:$G$105,(COLUMN()-7-1)/2+1)&lt;&gt;"Starfsbundið",EI12="",EI$8="",EI$7=""),"",ROUND(EI12/EI$8*EI$7*KVARDI,2))</f>
        <v/>
      </c>
      <c r="EK12" s="39"/>
      <c r="EL12" s="40" t="str">
        <f aca="false">IF(OR(INDEX(Undirviðmið!$G$6:$G$105,(COLUMN()-7-1)/2+1)&lt;&gt;"Starfsbundið",EK12="",EK$8="",EK$7=""),"",ROUND(EK12/EK$8*EK$7*KVARDI,2))</f>
        <v/>
      </c>
      <c r="EM12" s="39"/>
      <c r="EN12" s="40" t="str">
        <f aca="false">IF(OR(INDEX(Undirviðmið!$G$6:$G$105,(COLUMN()-7-1)/2+1)&lt;&gt;"Starfsbundið",EM12="",EM$8="",EM$7=""),"",ROUND(EM12/EM$8*EM$7*KVARDI,2))</f>
        <v/>
      </c>
      <c r="EO12" s="39"/>
      <c r="EP12" s="40" t="str">
        <f aca="false">IF(OR(INDEX(Undirviðmið!$G$6:$G$105,(COLUMN()-7-1)/2+1)&lt;&gt;"Starfsbundið",EO12="",EO$8="",EO$7=""),"",ROUND(EO12/EO$8*EO$7*KVARDI,2))</f>
        <v/>
      </c>
      <c r="EQ12" s="39"/>
      <c r="ER12" s="40" t="str">
        <f aca="false">IF(OR(INDEX(Undirviðmið!$G$6:$G$105,(COLUMN()-7-1)/2+1)&lt;&gt;"Starfsbundið",EQ12="",EQ$8="",EQ$7=""),"",ROUND(EQ12/EQ$8*EQ$7*KVARDI,2))</f>
        <v/>
      </c>
      <c r="ES12" s="39"/>
      <c r="ET12" s="40" t="str">
        <f aca="false">IF(OR(INDEX(Undirviðmið!$G$6:$G$105,(COLUMN()-7-1)/2+1)&lt;&gt;"Starfsbundið",ES12="",ES$8="",ES$7=""),"",ROUND(ES12/ES$8*ES$7*KVARDI,2))</f>
        <v/>
      </c>
      <c r="EU12" s="39"/>
      <c r="EV12" s="40" t="str">
        <f aca="false">IF(OR(INDEX(Undirviðmið!$G$6:$G$105,(COLUMN()-7-1)/2+1)&lt;&gt;"Starfsbundið",EU12="",EU$8="",EU$7=""),"",ROUND(EU12/EU$8*EU$7*KVARDI,2))</f>
        <v/>
      </c>
      <c r="EW12" s="39"/>
      <c r="EX12" s="40" t="str">
        <f aca="false">IF(OR(INDEX(Undirviðmið!$G$6:$G$105,(COLUMN()-7-1)/2+1)&lt;&gt;"Starfsbundið",EW12="",EW$8="",EW$7=""),"",ROUND(EW12/EW$8*EW$7*KVARDI,2))</f>
        <v/>
      </c>
      <c r="EY12" s="39"/>
      <c r="EZ12" s="40" t="str">
        <f aca="false">IF(OR(INDEX(Undirviðmið!$G$6:$G$105,(COLUMN()-7-1)/2+1)&lt;&gt;"Starfsbundið",EY12="",EY$8="",EY$7=""),"",ROUND(EY12/EY$8*EY$7*KVARDI,2))</f>
        <v/>
      </c>
      <c r="FA12" s="39"/>
      <c r="FB12" s="40" t="str">
        <f aca="false">IF(OR(INDEX(Undirviðmið!$G$6:$G$105,(COLUMN()-7-1)/2+1)&lt;&gt;"Starfsbundið",FA12="",FA$8="",FA$7=""),"",ROUND(FA12/FA$8*FA$7*KVARDI,2))</f>
        <v/>
      </c>
      <c r="FC12" s="39"/>
      <c r="FD12" s="40" t="str">
        <f aca="false">IF(OR(INDEX(Undirviðmið!$G$6:$G$105,(COLUMN()-7-1)/2+1)&lt;&gt;"Starfsbundið",FC12="",FC$8="",FC$7=""),"",ROUND(FC12/FC$8*FC$7*KVARDI,2))</f>
        <v/>
      </c>
      <c r="FE12" s="39"/>
      <c r="FF12" s="40" t="str">
        <f aca="false">IF(OR(INDEX(Undirviðmið!$G$6:$G$105,(COLUMN()-7-1)/2+1)&lt;&gt;"Starfsbundið",FE12="",FE$8="",FE$7=""),"",ROUND(FE12/FE$8*FE$7*KVARDI,2))</f>
        <v/>
      </c>
      <c r="FG12" s="39"/>
      <c r="FH12" s="40" t="str">
        <f aca="false">IF(OR(INDEX(Undirviðmið!$G$6:$G$105,(COLUMN()-7-1)/2+1)&lt;&gt;"Starfsbundið",FG12="",FG$8="",FG$7=""),"",ROUND(FG12/FG$8*FG$7*KVARDI,2))</f>
        <v/>
      </c>
      <c r="FI12" s="39"/>
      <c r="FJ12" s="40" t="str">
        <f aca="false">IF(OR(INDEX(Undirviðmið!$G$6:$G$105,(COLUMN()-7-1)/2+1)&lt;&gt;"Starfsbundið",FI12="",FI$8="",FI$7=""),"",ROUND(FI12/FI$8*FI$7*KVARDI,2))</f>
        <v/>
      </c>
      <c r="FK12" s="39"/>
      <c r="FL12" s="40" t="str">
        <f aca="false">IF(OR(INDEX(Undirviðmið!$G$6:$G$105,(COLUMN()-7-1)/2+1)&lt;&gt;"Starfsbundið",FK12="",FK$8="",FK$7=""),"",ROUND(FK12/FK$8*FK$7*KVARDI,2))</f>
        <v/>
      </c>
      <c r="FM12" s="39"/>
      <c r="FN12" s="40" t="str">
        <f aca="false">IF(OR(INDEX(Undirviðmið!$G$6:$G$105,(COLUMN()-7-1)/2+1)&lt;&gt;"Starfsbundið",FM12="",FM$8="",FM$7=""),"",ROUND(FM12/FM$8*FM$7*KVARDI,2))</f>
        <v/>
      </c>
      <c r="FO12" s="39"/>
      <c r="FP12" s="40" t="str">
        <f aca="false">IF(OR(INDEX(Undirviðmið!$G$6:$G$105,(COLUMN()-7-1)/2+1)&lt;&gt;"Starfsbundið",FO12="",FO$8="",FO$7=""),"",ROUND(FO12/FO$8*FO$7*KVARDI,2))</f>
        <v/>
      </c>
      <c r="FQ12" s="39"/>
      <c r="FR12" s="40" t="str">
        <f aca="false">IF(OR(INDEX(Undirviðmið!$G$6:$G$105,(COLUMN()-7-1)/2+1)&lt;&gt;"Starfsbundið",FQ12="",FQ$8="",FQ$7=""),"",ROUND(FQ12/FQ$8*FQ$7*KVARDI,2))</f>
        <v/>
      </c>
      <c r="FS12" s="39"/>
      <c r="FT12" s="40" t="str">
        <f aca="false">IF(OR(INDEX(Undirviðmið!$G$6:$G$105,(COLUMN()-7-1)/2+1)&lt;&gt;"Starfsbundið",FS12="",FS$8="",FS$7=""),"",ROUND(FS12/FS$8*FS$7*KVARDI,2))</f>
        <v/>
      </c>
      <c r="FU12" s="39"/>
      <c r="FV12" s="40" t="str">
        <f aca="false">IF(OR(INDEX(Undirviðmið!$G$6:$G$105,(COLUMN()-7-1)/2+1)&lt;&gt;"Starfsbundið",FU12="",FU$8="",FU$7=""),"",ROUND(FU12/FU$8*FU$7*KVARDI,2))</f>
        <v/>
      </c>
      <c r="FW12" s="39"/>
      <c r="FX12" s="40" t="str">
        <f aca="false">IF(OR(INDEX(Undirviðmið!$G$6:$G$105,(COLUMN()-7-1)/2+1)&lt;&gt;"Starfsbundið",FW12="",FW$8="",FW$7=""),"",ROUND(FW12/FW$8*FW$7*KVARDI,2))</f>
        <v/>
      </c>
      <c r="FY12" s="39"/>
      <c r="FZ12" s="40" t="str">
        <f aca="false">IF(OR(INDEX(Undirviðmið!$G$6:$G$105,(COLUMN()-7-1)/2+1)&lt;&gt;"Starfsbundið",FY12="",FY$8="",FY$7=""),"",ROUND(FY12/FY$8*FY$7*KVARDI,2))</f>
        <v/>
      </c>
      <c r="GA12" s="39"/>
      <c r="GB12" s="40" t="str">
        <f aca="false">IF(OR(INDEX(Undirviðmið!$G$6:$G$105,(COLUMN()-7-1)/2+1)&lt;&gt;"Starfsbundið",GA12="",GA$8="",GA$7=""),"",ROUND(GA12/GA$8*GA$7*KVARDI,2))</f>
        <v/>
      </c>
      <c r="GC12" s="39"/>
      <c r="GD12" s="40" t="str">
        <f aca="false">IF(OR(INDEX(Undirviðmið!$G$6:$G$105,(COLUMN()-7-1)/2+1)&lt;&gt;"Starfsbundið",GC12="",GC$8="",GC$7=""),"",ROUND(GC12/GC$8*GC$7*KVARDI,2))</f>
        <v/>
      </c>
      <c r="GE12" s="39"/>
      <c r="GF12" s="40" t="str">
        <f aca="false">IF(OR(INDEX(Undirviðmið!$G$6:$G$105,(COLUMN()-7-1)/2+1)&lt;&gt;"Starfsbundið",GE12="",GE$8="",GE$7=""),"",ROUND(GE12/GE$8*GE$7*KVARDI,2))</f>
        <v/>
      </c>
      <c r="GG12" s="39"/>
      <c r="GH12" s="40" t="str">
        <f aca="false">IF(OR(INDEX(Undirviðmið!$G$6:$G$105,(COLUMN()-7-1)/2+1)&lt;&gt;"Starfsbundið",GG12="",GG$8="",GG$7=""),"",ROUND(GG12/GG$8*GG$7*KVARDI,2))</f>
        <v/>
      </c>
      <c r="GI12" s="39"/>
      <c r="GJ12" s="40" t="str">
        <f aca="false">IF(OR(INDEX(Undirviðmið!$G$6:$G$105,(COLUMN()-7-1)/2+1)&lt;&gt;"Starfsbundið",GI12="",GI$8="",GI$7=""),"",ROUND(GI12/GI$8*GI$7*KVARDI,2))</f>
        <v/>
      </c>
      <c r="GK12" s="39"/>
      <c r="GL12" s="40" t="str">
        <f aca="false">IF(OR(INDEX(Undirviðmið!$G$6:$G$105,(COLUMN()-7-1)/2+1)&lt;&gt;"Starfsbundið",GK12="",GK$8="",GK$7=""),"",ROUND(GK12/GK$8*GK$7*KVARDI,2))</f>
        <v/>
      </c>
      <c r="GM12" s="39"/>
      <c r="GN12" s="40" t="str">
        <f aca="false">IF(OR(INDEX(Undirviðmið!$G$6:$G$105,(COLUMN()-7-1)/2+1)&lt;&gt;"Starfsbundið",GM12="",GM$8="",GM$7=""),"",ROUND(GM12/GM$8*GM$7*KVARDI,2))</f>
        <v/>
      </c>
      <c r="GO12" s="39"/>
      <c r="GP12" s="40" t="str">
        <f aca="false">IF(OR(INDEX(Undirviðmið!$G$6:$G$105,(COLUMN()-7-1)/2+1)&lt;&gt;"Starfsbundið",GO12="",GO$8="",GO$7=""),"",ROUND(GO12/GO$8*GO$7*KVARDI,2))</f>
        <v/>
      </c>
      <c r="GQ12" s="39"/>
      <c r="GR12" s="40" t="str">
        <f aca="false">IF(OR(INDEX(Undirviðmið!$G$6:$G$105,(COLUMN()-7-1)/2+1)&lt;&gt;"Starfsbundið",GQ12="",GQ$8="",GQ$7=""),"",ROUND(GQ12/GQ$8*GQ$7*KVARDI,2))</f>
        <v/>
      </c>
      <c r="GS12" s="39"/>
      <c r="GT12" s="40" t="str">
        <f aca="false">IF(OR(INDEX(Undirviðmið!$G$6:$G$105,(COLUMN()-7-1)/2+1)&lt;&gt;"Starfsbundið",GS12="",GS$8="",GS$7=""),"",ROUND(GS12/GS$8*GS$7*KVARDI,2))</f>
        <v/>
      </c>
      <c r="GU12" s="39"/>
      <c r="GV12" s="40" t="str">
        <f aca="false">IF(OR(INDEX(Undirviðmið!$G$6:$G$105,(COLUMN()-7-1)/2+1)&lt;&gt;"Starfsbundið",GU12="",GU$8="",GU$7=""),"",ROUND(GU12/GU$8*GU$7*KVARDI,2))</f>
        <v/>
      </c>
      <c r="GW12" s="39"/>
      <c r="GX12" s="40" t="str">
        <f aca="false">IF(OR(INDEX(Undirviðmið!$G$6:$G$105,(COLUMN()-7-1)/2+1)&lt;&gt;"Starfsbundið",GW12="",GW$8="",GW$7=""),"",ROUND(GW12/GW$8*GW$7*KVARDI,2))</f>
        <v/>
      </c>
      <c r="GZ12" s="20"/>
    </row>
    <row r="13" customFormat="false" ht="15" hidden="false" customHeight="true" outlineLevel="0" collapsed="false">
      <c r="B13" s="37" t="str">
        <f aca="false" t="array" ref="B13:B13">IFERROR(INDEX(Starfsmenn!$C$6:$C$10005,MATCH(0,COUNTIF($B$11:B12,Starfsmenn!$C$6:$C$10005)+(Starfsmenn!$C$6:$C$10005=""),0)),"")</f>
        <v/>
      </c>
      <c r="C13" s="38" t="n">
        <f aca="false">IFERROR(SUMIF($G$10:$GX$10,"Stig",$G13:$GX13),0)</f>
        <v>0</v>
      </c>
      <c r="G13" s="39"/>
      <c r="H13" s="40" t="str">
        <f aca="false">IF(OR(INDEX(Undirviðmið!$G$6:$G$105,(COLUMN()-7-1)/2+1)&lt;&gt;"Starfsbundið",G13="",G$8="",G$7=""),"",ROUND(G13/G$8*G$7*KVARDI,2))</f>
        <v/>
      </c>
      <c r="I13" s="39"/>
      <c r="J13" s="40" t="str">
        <f aca="false">IF(OR(INDEX(Undirviðmið!$G$6:$G$105,(COLUMN()-7-1)/2+1)&lt;&gt;"Starfsbundið",I13="",I$8="",I$7=""),"",ROUND(I13/I$8*I$7*KVARDI,2))</f>
        <v/>
      </c>
      <c r="K13" s="39"/>
      <c r="L13" s="40" t="str">
        <f aca="false">IF(OR(INDEX(Undirviðmið!$G$6:$G$105,(COLUMN()-7-1)/2+1)&lt;&gt;"Starfsbundið",K13="",K$8="",K$7=""),"",ROUND(K13/K$8*K$7*KVARDI,2))</f>
        <v/>
      </c>
      <c r="M13" s="39"/>
      <c r="N13" s="40" t="str">
        <f aca="false">IF(OR(INDEX(Undirviðmið!$G$6:$G$105,(COLUMN()-7-1)/2+1)&lt;&gt;"Starfsbundið",M13="",M$8="",M$7=""),"",ROUND(M13/M$8*M$7*KVARDI,2))</f>
        <v/>
      </c>
      <c r="O13" s="39"/>
      <c r="P13" s="40" t="str">
        <f aca="false">IF(OR(INDEX(Undirviðmið!$G$6:$G$105,(COLUMN()-7-1)/2+1)&lt;&gt;"Starfsbundið",O13="",O$8="",O$7=""),"",ROUND(O13/O$8*O$7*KVARDI,2))</f>
        <v/>
      </c>
      <c r="Q13" s="39"/>
      <c r="R13" s="40" t="str">
        <f aca="false">IF(OR(INDEX(Undirviðmið!$G$6:$G$105,(COLUMN()-7-1)/2+1)&lt;&gt;"Starfsbundið",Q13="",Q$8="",Q$7=""),"",ROUND(Q13/Q$8*Q$7*KVARDI,2))</f>
        <v/>
      </c>
      <c r="S13" s="39"/>
      <c r="T13" s="40" t="str">
        <f aca="false">IF(OR(INDEX(Undirviðmið!$G$6:$G$105,(COLUMN()-7-1)/2+1)&lt;&gt;"Starfsbundið",S13="",S$8="",S$7=""),"",ROUND(S13/S$8*S$7*KVARDI,2))</f>
        <v/>
      </c>
      <c r="U13" s="39"/>
      <c r="V13" s="40" t="str">
        <f aca="false">IF(OR(INDEX(Undirviðmið!$G$6:$G$105,(COLUMN()-7-1)/2+1)&lt;&gt;"Starfsbundið",U13="",U$8="",U$7=""),"",ROUND(U13/U$8*U$7*KVARDI,2))</f>
        <v/>
      </c>
      <c r="W13" s="39"/>
      <c r="X13" s="40" t="str">
        <f aca="false">IF(OR(INDEX(Undirviðmið!$G$6:$G$105,(COLUMN()-7-1)/2+1)&lt;&gt;"Starfsbundið",W13="",W$8="",W$7=""),"",ROUND(W13/W$8*W$7*KVARDI,2))</f>
        <v/>
      </c>
      <c r="Y13" s="39"/>
      <c r="Z13" s="40" t="str">
        <f aca="false">IF(OR(INDEX(Undirviðmið!$G$6:$G$105,(COLUMN()-7-1)/2+1)&lt;&gt;"Starfsbundið",Y13="",Y$8="",Y$7=""),"",ROUND(Y13/Y$8*Y$7*KVARDI,2))</f>
        <v/>
      </c>
      <c r="AA13" s="39"/>
      <c r="AB13" s="40" t="str">
        <f aca="false">IF(OR(INDEX(Undirviðmið!$G$6:$G$105,(COLUMN()-7-1)/2+1)&lt;&gt;"Starfsbundið",AA13="",AA$8="",AA$7=""),"",ROUND(AA13/AA$8*AA$7*KVARDI,2))</f>
        <v/>
      </c>
      <c r="AC13" s="39"/>
      <c r="AD13" s="40" t="str">
        <f aca="false">IF(OR(INDEX(Undirviðmið!$G$6:$G$105,(COLUMN()-7-1)/2+1)&lt;&gt;"Starfsbundið",AC13="",AC$8="",AC$7=""),"",ROUND(AC13/AC$8*AC$7*KVARDI,2))</f>
        <v/>
      </c>
      <c r="AE13" s="39"/>
      <c r="AF13" s="40" t="str">
        <f aca="false">IF(OR(INDEX(Undirviðmið!$G$6:$G$105,(COLUMN()-7-1)/2+1)&lt;&gt;"Starfsbundið",AE13="",AE$8="",AE$7=""),"",ROUND(AE13/AE$8*AE$7*KVARDI,2))</f>
        <v/>
      </c>
      <c r="AG13" s="39"/>
      <c r="AH13" s="40" t="str">
        <f aca="false">IF(OR(INDEX(Undirviðmið!$G$6:$G$105,(COLUMN()-7-1)/2+1)&lt;&gt;"Starfsbundið",AG13="",AG$8="",AG$7=""),"",ROUND(AG13/AG$8*AG$7*KVARDI,2))</f>
        <v/>
      </c>
      <c r="AI13" s="39"/>
      <c r="AJ13" s="40" t="str">
        <f aca="false">IF(OR(INDEX(Undirviðmið!$G$6:$G$105,(COLUMN()-7-1)/2+1)&lt;&gt;"Starfsbundið",AI13="",AI$8="",AI$7=""),"",ROUND(AI13/AI$8*AI$7*KVARDI,2))</f>
        <v/>
      </c>
      <c r="AK13" s="39"/>
      <c r="AL13" s="40" t="str">
        <f aca="false">IF(OR(INDEX(Undirviðmið!$G$6:$G$105,(COLUMN()-7-1)/2+1)&lt;&gt;"Starfsbundið",AK13="",AK$8="",AK$7=""),"",ROUND(AK13/AK$8*AK$7*KVARDI,2))</f>
        <v/>
      </c>
      <c r="AM13" s="39"/>
      <c r="AN13" s="40" t="str">
        <f aca="false">IF(OR(INDEX(Undirviðmið!$G$6:$G$105,(COLUMN()-7-1)/2+1)&lt;&gt;"Starfsbundið",AM13="",AM$8="",AM$7=""),"",ROUND(AM13/AM$8*AM$7*KVARDI,2))</f>
        <v/>
      </c>
      <c r="AO13" s="39"/>
      <c r="AP13" s="40" t="str">
        <f aca="false">IF(OR(INDEX(Undirviðmið!$G$6:$G$105,(COLUMN()-7-1)/2+1)&lt;&gt;"Starfsbundið",AO13="",AO$8="",AO$7=""),"",ROUND(AO13/AO$8*AO$7*KVARDI,2))</f>
        <v/>
      </c>
      <c r="AQ13" s="39"/>
      <c r="AR13" s="40" t="str">
        <f aca="false">IF(OR(INDEX(Undirviðmið!$G$6:$G$105,(COLUMN()-7-1)/2+1)&lt;&gt;"Starfsbundið",AQ13="",AQ$8="",AQ$7=""),"",ROUND(AQ13/AQ$8*AQ$7*KVARDI,2))</f>
        <v/>
      </c>
      <c r="AS13" s="39"/>
      <c r="AT13" s="40" t="str">
        <f aca="false">IF(OR(INDEX(Undirviðmið!$G$6:$G$105,(COLUMN()-7-1)/2+1)&lt;&gt;"Starfsbundið",AS13="",AS$8="",AS$7=""),"",ROUND(AS13/AS$8*AS$7*KVARDI,2))</f>
        <v/>
      </c>
      <c r="AU13" s="39"/>
      <c r="AV13" s="40" t="str">
        <f aca="false">IF(OR(INDEX(Undirviðmið!$G$6:$G$105,(COLUMN()-7-1)/2+1)&lt;&gt;"Starfsbundið",AU13="",AU$8="",AU$7=""),"",ROUND(AU13/AU$8*AU$7*KVARDI,2))</f>
        <v/>
      </c>
      <c r="AW13" s="39"/>
      <c r="AX13" s="40" t="str">
        <f aca="false">IF(OR(INDEX(Undirviðmið!$G$6:$G$105,(COLUMN()-7-1)/2+1)&lt;&gt;"Starfsbundið",AW13="",AW$8="",AW$7=""),"",ROUND(AW13/AW$8*AW$7*KVARDI,2))</f>
        <v/>
      </c>
      <c r="AY13" s="39"/>
      <c r="AZ13" s="40" t="str">
        <f aca="false">IF(OR(INDEX(Undirviðmið!$G$6:$G$105,(COLUMN()-7-1)/2+1)&lt;&gt;"Starfsbundið",AY13="",AY$8="",AY$7=""),"",ROUND(AY13/AY$8*AY$7*KVARDI,2))</f>
        <v/>
      </c>
      <c r="BA13" s="39"/>
      <c r="BB13" s="40" t="str">
        <f aca="false">IF(OR(INDEX(Undirviðmið!$G$6:$G$105,(COLUMN()-7-1)/2+1)&lt;&gt;"Starfsbundið",BA13="",BA$8="",BA$7=""),"",ROUND(BA13/BA$8*BA$7*KVARDI,2))</f>
        <v/>
      </c>
      <c r="BC13" s="39"/>
      <c r="BD13" s="40" t="str">
        <f aca="false">IF(OR(INDEX(Undirviðmið!$G$6:$G$105,(COLUMN()-7-1)/2+1)&lt;&gt;"Starfsbundið",BC13="",BC$8="",BC$7=""),"",ROUND(BC13/BC$8*BC$7*KVARDI,2))</f>
        <v/>
      </c>
      <c r="BE13" s="39"/>
      <c r="BF13" s="40" t="str">
        <f aca="false">IF(OR(INDEX(Undirviðmið!$G$6:$G$105,(COLUMN()-7-1)/2+1)&lt;&gt;"Starfsbundið",BE13="",BE$8="",BE$7=""),"",ROUND(BE13/BE$8*BE$7*KVARDI,2))</f>
        <v/>
      </c>
      <c r="BG13" s="39"/>
      <c r="BH13" s="40" t="str">
        <f aca="false">IF(OR(INDEX(Undirviðmið!$G$6:$G$105,(COLUMN()-7-1)/2+1)&lt;&gt;"Starfsbundið",BG13="",BG$8="",BG$7=""),"",ROUND(BG13/BG$8*BG$7*KVARDI,2))</f>
        <v/>
      </c>
      <c r="BI13" s="39"/>
      <c r="BJ13" s="40" t="str">
        <f aca="false">IF(OR(INDEX(Undirviðmið!$G$6:$G$105,(COLUMN()-7-1)/2+1)&lt;&gt;"Starfsbundið",BI13="",BI$8="",BI$7=""),"",ROUND(BI13/BI$8*BI$7*KVARDI,2))</f>
        <v/>
      </c>
      <c r="BK13" s="39"/>
      <c r="BL13" s="40" t="str">
        <f aca="false">IF(OR(INDEX(Undirviðmið!$G$6:$G$105,(COLUMN()-7-1)/2+1)&lt;&gt;"Starfsbundið",BK13="",BK$8="",BK$7=""),"",ROUND(BK13/BK$8*BK$7*KVARDI,2))</f>
        <v/>
      </c>
      <c r="BM13" s="39"/>
      <c r="BN13" s="40" t="str">
        <f aca="false">IF(OR(INDEX(Undirviðmið!$G$6:$G$105,(COLUMN()-7-1)/2+1)&lt;&gt;"Starfsbundið",BM13="",BM$8="",BM$7=""),"",ROUND(BM13/BM$8*BM$7*KVARDI,2))</f>
        <v/>
      </c>
      <c r="BO13" s="39"/>
      <c r="BP13" s="40" t="str">
        <f aca="false">IF(OR(INDEX(Undirviðmið!$G$6:$G$105,(COLUMN()-7-1)/2+1)&lt;&gt;"Starfsbundið",BO13="",BO$8="",BO$7=""),"",ROUND(BO13/BO$8*BO$7*KVARDI,2))</f>
        <v/>
      </c>
      <c r="BQ13" s="39"/>
      <c r="BR13" s="40" t="str">
        <f aca="false">IF(OR(INDEX(Undirviðmið!$G$6:$G$105,(COLUMN()-7-1)/2+1)&lt;&gt;"Starfsbundið",BQ13="",BQ$8="",BQ$7=""),"",ROUND(BQ13/BQ$8*BQ$7*KVARDI,2))</f>
        <v/>
      </c>
      <c r="BS13" s="39"/>
      <c r="BT13" s="40" t="str">
        <f aca="false">IF(OR(INDEX(Undirviðmið!$G$6:$G$105,(COLUMN()-7-1)/2+1)&lt;&gt;"Starfsbundið",BS13="",BS$8="",BS$7=""),"",ROUND(BS13/BS$8*BS$7*KVARDI,2))</f>
        <v/>
      </c>
      <c r="BU13" s="39"/>
      <c r="BV13" s="40" t="str">
        <f aca="false">IF(OR(INDEX(Undirviðmið!$G$6:$G$105,(COLUMN()-7-1)/2+1)&lt;&gt;"Starfsbundið",BU13="",BU$8="",BU$7=""),"",ROUND(BU13/BU$8*BU$7*KVARDI,2))</f>
        <v/>
      </c>
      <c r="BW13" s="39"/>
      <c r="BX13" s="40" t="str">
        <f aca="false">IF(OR(INDEX(Undirviðmið!$G$6:$G$105,(COLUMN()-7-1)/2+1)&lt;&gt;"Starfsbundið",BW13="",BW$8="",BW$7=""),"",ROUND(BW13/BW$8*BW$7*KVARDI,2))</f>
        <v/>
      </c>
      <c r="BY13" s="39"/>
      <c r="BZ13" s="40" t="str">
        <f aca="false">IF(OR(INDEX(Undirviðmið!$G$6:$G$105,(COLUMN()-7-1)/2+1)&lt;&gt;"Starfsbundið",BY13="",BY$8="",BY$7=""),"",ROUND(BY13/BY$8*BY$7*KVARDI,2))</f>
        <v/>
      </c>
      <c r="CA13" s="39"/>
      <c r="CB13" s="40" t="str">
        <f aca="false">IF(OR(INDEX(Undirviðmið!$G$6:$G$105,(COLUMN()-7-1)/2+1)&lt;&gt;"Starfsbundið",CA13="",CA$8="",CA$7=""),"",ROUND(CA13/CA$8*CA$7*KVARDI,2))</f>
        <v/>
      </c>
      <c r="CC13" s="39"/>
      <c r="CD13" s="40" t="str">
        <f aca="false">IF(OR(INDEX(Undirviðmið!$G$6:$G$105,(COLUMN()-7-1)/2+1)&lt;&gt;"Starfsbundið",CC13="",CC$8="",CC$7=""),"",ROUND(CC13/CC$8*CC$7*KVARDI,2))</f>
        <v/>
      </c>
      <c r="CE13" s="39"/>
      <c r="CF13" s="40" t="str">
        <f aca="false">IF(OR(INDEX(Undirviðmið!$G$6:$G$105,(COLUMN()-7-1)/2+1)&lt;&gt;"Starfsbundið",CE13="",CE$8="",CE$7=""),"",ROUND(CE13/CE$8*CE$7*KVARDI,2))</f>
        <v/>
      </c>
      <c r="CG13" s="39"/>
      <c r="CH13" s="40" t="str">
        <f aca="false">IF(OR(INDEX(Undirviðmið!$G$6:$G$105,(COLUMN()-7-1)/2+1)&lt;&gt;"Starfsbundið",CG13="",CG$8="",CG$7=""),"",ROUND(CG13/CG$8*CG$7*KVARDI,2))</f>
        <v/>
      </c>
      <c r="CI13" s="39"/>
      <c r="CJ13" s="40" t="str">
        <f aca="false">IF(OR(INDEX(Undirviðmið!$G$6:$G$105,(COLUMN()-7-1)/2+1)&lt;&gt;"Starfsbundið",CI13="",CI$8="",CI$7=""),"",ROUND(CI13/CI$8*CI$7*KVARDI,2))</f>
        <v/>
      </c>
      <c r="CK13" s="39"/>
      <c r="CL13" s="40" t="str">
        <f aca="false">IF(OR(INDEX(Undirviðmið!$G$6:$G$105,(COLUMN()-7-1)/2+1)&lt;&gt;"Starfsbundið",CK13="",CK$8="",CK$7=""),"",ROUND(CK13/CK$8*CK$7*KVARDI,2))</f>
        <v/>
      </c>
      <c r="CM13" s="39"/>
      <c r="CN13" s="40" t="str">
        <f aca="false">IF(OR(INDEX(Undirviðmið!$G$6:$G$105,(COLUMN()-7-1)/2+1)&lt;&gt;"Starfsbundið",CM13="",CM$8="",CM$7=""),"",ROUND(CM13/CM$8*CM$7*KVARDI,2))</f>
        <v/>
      </c>
      <c r="CO13" s="39"/>
      <c r="CP13" s="40" t="str">
        <f aca="false">IF(OR(INDEX(Undirviðmið!$G$6:$G$105,(COLUMN()-7-1)/2+1)&lt;&gt;"Starfsbundið",CO13="",CO$8="",CO$7=""),"",ROUND(CO13/CO$8*CO$7*KVARDI,2))</f>
        <v/>
      </c>
      <c r="CQ13" s="39"/>
      <c r="CR13" s="40" t="str">
        <f aca="false">IF(OR(INDEX(Undirviðmið!$G$6:$G$105,(COLUMN()-7-1)/2+1)&lt;&gt;"Starfsbundið",CQ13="",CQ$8="",CQ$7=""),"",ROUND(CQ13/CQ$8*CQ$7*KVARDI,2))</f>
        <v/>
      </c>
      <c r="CS13" s="39"/>
      <c r="CT13" s="40" t="str">
        <f aca="false">IF(OR(INDEX(Undirviðmið!$G$6:$G$105,(COLUMN()-7-1)/2+1)&lt;&gt;"Starfsbundið",CS13="",CS$8="",CS$7=""),"",ROUND(CS13/CS$8*CS$7*KVARDI,2))</f>
        <v/>
      </c>
      <c r="CU13" s="39"/>
      <c r="CV13" s="40" t="str">
        <f aca="false">IF(OR(INDEX(Undirviðmið!$G$6:$G$105,(COLUMN()-7-1)/2+1)&lt;&gt;"Starfsbundið",CU13="",CU$8="",CU$7=""),"",ROUND(CU13/CU$8*CU$7*KVARDI,2))</f>
        <v/>
      </c>
      <c r="CW13" s="39"/>
      <c r="CX13" s="40" t="str">
        <f aca="false">IF(OR(INDEX(Undirviðmið!$G$6:$G$105,(COLUMN()-7-1)/2+1)&lt;&gt;"Starfsbundið",CW13="",CW$8="",CW$7=""),"",ROUND(CW13/CW$8*CW$7*KVARDI,2))</f>
        <v/>
      </c>
      <c r="CY13" s="39"/>
      <c r="CZ13" s="40" t="str">
        <f aca="false">IF(OR(INDEX(Undirviðmið!$G$6:$G$105,(COLUMN()-7-1)/2+1)&lt;&gt;"Starfsbundið",CY13="",CY$8="",CY$7=""),"",ROUND(CY13/CY$8*CY$7*KVARDI,2))</f>
        <v/>
      </c>
      <c r="DA13" s="39"/>
      <c r="DB13" s="40" t="str">
        <f aca="false">IF(OR(INDEX(Undirviðmið!$G$6:$G$105,(COLUMN()-7-1)/2+1)&lt;&gt;"Starfsbundið",DA13="",DA$8="",DA$7=""),"",ROUND(DA13/DA$8*DA$7*KVARDI,2))</f>
        <v/>
      </c>
      <c r="DC13" s="39"/>
      <c r="DD13" s="40" t="str">
        <f aca="false">IF(OR(INDEX(Undirviðmið!$G$6:$G$105,(COLUMN()-7-1)/2+1)&lt;&gt;"Starfsbundið",DC13="",DC$8="",DC$7=""),"",ROUND(DC13/DC$8*DC$7*KVARDI,2))</f>
        <v/>
      </c>
      <c r="DE13" s="39"/>
      <c r="DF13" s="40" t="str">
        <f aca="false">IF(OR(INDEX(Undirviðmið!$G$6:$G$105,(COLUMN()-7-1)/2+1)&lt;&gt;"Starfsbundið",DE13="",DE$8="",DE$7=""),"",ROUND(DE13/DE$8*DE$7*KVARDI,2))</f>
        <v/>
      </c>
      <c r="DG13" s="39"/>
      <c r="DH13" s="40" t="str">
        <f aca="false">IF(OR(INDEX(Undirviðmið!$G$6:$G$105,(COLUMN()-7-1)/2+1)&lt;&gt;"Starfsbundið",DG13="",DG$8="",DG$7=""),"",ROUND(DG13/DG$8*DG$7*KVARDI,2))</f>
        <v/>
      </c>
      <c r="DI13" s="39"/>
      <c r="DJ13" s="40" t="str">
        <f aca="false">IF(OR(INDEX(Undirviðmið!$G$6:$G$105,(COLUMN()-7-1)/2+1)&lt;&gt;"Starfsbundið",DI13="",DI$8="",DI$7=""),"",ROUND(DI13/DI$8*DI$7*KVARDI,2))</f>
        <v/>
      </c>
      <c r="DK13" s="39"/>
      <c r="DL13" s="40" t="str">
        <f aca="false">IF(OR(INDEX(Undirviðmið!$G$6:$G$105,(COLUMN()-7-1)/2+1)&lt;&gt;"Starfsbundið",DK13="",DK$8="",DK$7=""),"",ROUND(DK13/DK$8*DK$7*KVARDI,2))</f>
        <v/>
      </c>
      <c r="DM13" s="39"/>
      <c r="DN13" s="40" t="str">
        <f aca="false">IF(OR(INDEX(Undirviðmið!$G$6:$G$105,(COLUMN()-7-1)/2+1)&lt;&gt;"Starfsbundið",DM13="",DM$8="",DM$7=""),"",ROUND(DM13/DM$8*DM$7*KVARDI,2))</f>
        <v/>
      </c>
      <c r="DO13" s="39"/>
      <c r="DP13" s="40" t="str">
        <f aca="false">IF(OR(INDEX(Undirviðmið!$G$6:$G$105,(COLUMN()-7-1)/2+1)&lt;&gt;"Starfsbundið",DO13="",DO$8="",DO$7=""),"",ROUND(DO13/DO$8*DO$7*KVARDI,2))</f>
        <v/>
      </c>
      <c r="DQ13" s="39"/>
      <c r="DR13" s="40" t="str">
        <f aca="false">IF(OR(INDEX(Undirviðmið!$G$6:$G$105,(COLUMN()-7-1)/2+1)&lt;&gt;"Starfsbundið",DQ13="",DQ$8="",DQ$7=""),"",ROUND(DQ13/DQ$8*DQ$7*KVARDI,2))</f>
        <v/>
      </c>
      <c r="DS13" s="39"/>
      <c r="DT13" s="40" t="str">
        <f aca="false">IF(OR(INDEX(Undirviðmið!$G$6:$G$105,(COLUMN()-7-1)/2+1)&lt;&gt;"Starfsbundið",DS13="",DS$8="",DS$7=""),"",ROUND(DS13/DS$8*DS$7*KVARDI,2))</f>
        <v/>
      </c>
      <c r="DU13" s="39"/>
      <c r="DV13" s="40" t="str">
        <f aca="false">IF(OR(INDEX(Undirviðmið!$G$6:$G$105,(COLUMN()-7-1)/2+1)&lt;&gt;"Starfsbundið",DU13="",DU$8="",DU$7=""),"",ROUND(DU13/DU$8*DU$7*KVARDI,2))</f>
        <v/>
      </c>
      <c r="DW13" s="39"/>
      <c r="DX13" s="40" t="str">
        <f aca="false">IF(OR(INDEX(Undirviðmið!$G$6:$G$105,(COLUMN()-7-1)/2+1)&lt;&gt;"Starfsbundið",DW13="",DW$8="",DW$7=""),"",ROUND(DW13/DW$8*DW$7*KVARDI,2))</f>
        <v/>
      </c>
      <c r="DY13" s="39"/>
      <c r="DZ13" s="40" t="str">
        <f aca="false">IF(OR(INDEX(Undirviðmið!$G$6:$G$105,(COLUMN()-7-1)/2+1)&lt;&gt;"Starfsbundið",DY13="",DY$8="",DY$7=""),"",ROUND(DY13/DY$8*DY$7*KVARDI,2))</f>
        <v/>
      </c>
      <c r="EA13" s="39"/>
      <c r="EB13" s="40" t="str">
        <f aca="false">IF(OR(INDEX(Undirviðmið!$G$6:$G$105,(COLUMN()-7-1)/2+1)&lt;&gt;"Starfsbundið",EA13="",EA$8="",EA$7=""),"",ROUND(EA13/EA$8*EA$7*KVARDI,2))</f>
        <v/>
      </c>
      <c r="EC13" s="39"/>
      <c r="ED13" s="40" t="str">
        <f aca="false">IF(OR(INDEX(Undirviðmið!$G$6:$G$105,(COLUMN()-7-1)/2+1)&lt;&gt;"Starfsbundið",EC13="",EC$8="",EC$7=""),"",ROUND(EC13/EC$8*EC$7*KVARDI,2))</f>
        <v/>
      </c>
      <c r="EE13" s="39"/>
      <c r="EF13" s="40" t="str">
        <f aca="false">IF(OR(INDEX(Undirviðmið!$G$6:$G$105,(COLUMN()-7-1)/2+1)&lt;&gt;"Starfsbundið",EE13="",EE$8="",EE$7=""),"",ROUND(EE13/EE$8*EE$7*KVARDI,2))</f>
        <v/>
      </c>
      <c r="EG13" s="39"/>
      <c r="EH13" s="40" t="str">
        <f aca="false">IF(OR(INDEX(Undirviðmið!$G$6:$G$105,(COLUMN()-7-1)/2+1)&lt;&gt;"Starfsbundið",EG13="",EG$8="",EG$7=""),"",ROUND(EG13/EG$8*EG$7*KVARDI,2))</f>
        <v/>
      </c>
      <c r="EI13" s="39"/>
      <c r="EJ13" s="40" t="str">
        <f aca="false">IF(OR(INDEX(Undirviðmið!$G$6:$G$105,(COLUMN()-7-1)/2+1)&lt;&gt;"Starfsbundið",EI13="",EI$8="",EI$7=""),"",ROUND(EI13/EI$8*EI$7*KVARDI,2))</f>
        <v/>
      </c>
      <c r="EK13" s="39"/>
      <c r="EL13" s="40" t="str">
        <f aca="false">IF(OR(INDEX(Undirviðmið!$G$6:$G$105,(COLUMN()-7-1)/2+1)&lt;&gt;"Starfsbundið",EK13="",EK$8="",EK$7=""),"",ROUND(EK13/EK$8*EK$7*KVARDI,2))</f>
        <v/>
      </c>
      <c r="EM13" s="39"/>
      <c r="EN13" s="40" t="str">
        <f aca="false">IF(OR(INDEX(Undirviðmið!$G$6:$G$105,(COLUMN()-7-1)/2+1)&lt;&gt;"Starfsbundið",EM13="",EM$8="",EM$7=""),"",ROUND(EM13/EM$8*EM$7*KVARDI,2))</f>
        <v/>
      </c>
      <c r="EO13" s="39"/>
      <c r="EP13" s="40" t="str">
        <f aca="false">IF(OR(INDEX(Undirviðmið!$G$6:$G$105,(COLUMN()-7-1)/2+1)&lt;&gt;"Starfsbundið",EO13="",EO$8="",EO$7=""),"",ROUND(EO13/EO$8*EO$7*KVARDI,2))</f>
        <v/>
      </c>
      <c r="EQ13" s="39"/>
      <c r="ER13" s="40" t="str">
        <f aca="false">IF(OR(INDEX(Undirviðmið!$G$6:$G$105,(COLUMN()-7-1)/2+1)&lt;&gt;"Starfsbundið",EQ13="",EQ$8="",EQ$7=""),"",ROUND(EQ13/EQ$8*EQ$7*KVARDI,2))</f>
        <v/>
      </c>
      <c r="ES13" s="39"/>
      <c r="ET13" s="40" t="str">
        <f aca="false">IF(OR(INDEX(Undirviðmið!$G$6:$G$105,(COLUMN()-7-1)/2+1)&lt;&gt;"Starfsbundið",ES13="",ES$8="",ES$7=""),"",ROUND(ES13/ES$8*ES$7*KVARDI,2))</f>
        <v/>
      </c>
      <c r="EU13" s="39"/>
      <c r="EV13" s="40" t="str">
        <f aca="false">IF(OR(INDEX(Undirviðmið!$G$6:$G$105,(COLUMN()-7-1)/2+1)&lt;&gt;"Starfsbundið",EU13="",EU$8="",EU$7=""),"",ROUND(EU13/EU$8*EU$7*KVARDI,2))</f>
        <v/>
      </c>
      <c r="EW13" s="39"/>
      <c r="EX13" s="40" t="str">
        <f aca="false">IF(OR(INDEX(Undirviðmið!$G$6:$G$105,(COLUMN()-7-1)/2+1)&lt;&gt;"Starfsbundið",EW13="",EW$8="",EW$7=""),"",ROUND(EW13/EW$8*EW$7*KVARDI,2))</f>
        <v/>
      </c>
      <c r="EY13" s="39"/>
      <c r="EZ13" s="40" t="str">
        <f aca="false">IF(OR(INDEX(Undirviðmið!$G$6:$G$105,(COLUMN()-7-1)/2+1)&lt;&gt;"Starfsbundið",EY13="",EY$8="",EY$7=""),"",ROUND(EY13/EY$8*EY$7*KVARDI,2))</f>
        <v/>
      </c>
      <c r="FA13" s="39"/>
      <c r="FB13" s="40" t="str">
        <f aca="false">IF(OR(INDEX(Undirviðmið!$G$6:$G$105,(COLUMN()-7-1)/2+1)&lt;&gt;"Starfsbundið",FA13="",FA$8="",FA$7=""),"",ROUND(FA13/FA$8*FA$7*KVARDI,2))</f>
        <v/>
      </c>
      <c r="FC13" s="39"/>
      <c r="FD13" s="40" t="str">
        <f aca="false">IF(OR(INDEX(Undirviðmið!$G$6:$G$105,(COLUMN()-7-1)/2+1)&lt;&gt;"Starfsbundið",FC13="",FC$8="",FC$7=""),"",ROUND(FC13/FC$8*FC$7*KVARDI,2))</f>
        <v/>
      </c>
      <c r="FE13" s="39"/>
      <c r="FF13" s="40" t="str">
        <f aca="false">IF(OR(INDEX(Undirviðmið!$G$6:$G$105,(COLUMN()-7-1)/2+1)&lt;&gt;"Starfsbundið",FE13="",FE$8="",FE$7=""),"",ROUND(FE13/FE$8*FE$7*KVARDI,2))</f>
        <v/>
      </c>
      <c r="FG13" s="39"/>
      <c r="FH13" s="40" t="str">
        <f aca="false">IF(OR(INDEX(Undirviðmið!$G$6:$G$105,(COLUMN()-7-1)/2+1)&lt;&gt;"Starfsbundið",FG13="",FG$8="",FG$7=""),"",ROUND(FG13/FG$8*FG$7*KVARDI,2))</f>
        <v/>
      </c>
      <c r="FI13" s="39"/>
      <c r="FJ13" s="40" t="str">
        <f aca="false">IF(OR(INDEX(Undirviðmið!$G$6:$G$105,(COLUMN()-7-1)/2+1)&lt;&gt;"Starfsbundið",FI13="",FI$8="",FI$7=""),"",ROUND(FI13/FI$8*FI$7*KVARDI,2))</f>
        <v/>
      </c>
      <c r="FK13" s="39"/>
      <c r="FL13" s="40" t="str">
        <f aca="false">IF(OR(INDEX(Undirviðmið!$G$6:$G$105,(COLUMN()-7-1)/2+1)&lt;&gt;"Starfsbundið",FK13="",FK$8="",FK$7=""),"",ROUND(FK13/FK$8*FK$7*KVARDI,2))</f>
        <v/>
      </c>
      <c r="FM13" s="39"/>
      <c r="FN13" s="40" t="str">
        <f aca="false">IF(OR(INDEX(Undirviðmið!$G$6:$G$105,(COLUMN()-7-1)/2+1)&lt;&gt;"Starfsbundið",FM13="",FM$8="",FM$7=""),"",ROUND(FM13/FM$8*FM$7*KVARDI,2))</f>
        <v/>
      </c>
      <c r="FO13" s="39"/>
      <c r="FP13" s="40" t="str">
        <f aca="false">IF(OR(INDEX(Undirviðmið!$G$6:$G$105,(COLUMN()-7-1)/2+1)&lt;&gt;"Starfsbundið",FO13="",FO$8="",FO$7=""),"",ROUND(FO13/FO$8*FO$7*KVARDI,2))</f>
        <v/>
      </c>
      <c r="FQ13" s="39"/>
      <c r="FR13" s="40" t="str">
        <f aca="false">IF(OR(INDEX(Undirviðmið!$G$6:$G$105,(COLUMN()-7-1)/2+1)&lt;&gt;"Starfsbundið",FQ13="",FQ$8="",FQ$7=""),"",ROUND(FQ13/FQ$8*FQ$7*KVARDI,2))</f>
        <v/>
      </c>
      <c r="FS13" s="39"/>
      <c r="FT13" s="40" t="str">
        <f aca="false">IF(OR(INDEX(Undirviðmið!$G$6:$G$105,(COLUMN()-7-1)/2+1)&lt;&gt;"Starfsbundið",FS13="",FS$8="",FS$7=""),"",ROUND(FS13/FS$8*FS$7*KVARDI,2))</f>
        <v/>
      </c>
      <c r="FU13" s="39"/>
      <c r="FV13" s="40" t="str">
        <f aca="false">IF(OR(INDEX(Undirviðmið!$G$6:$G$105,(COLUMN()-7-1)/2+1)&lt;&gt;"Starfsbundið",FU13="",FU$8="",FU$7=""),"",ROUND(FU13/FU$8*FU$7*KVARDI,2))</f>
        <v/>
      </c>
      <c r="FW13" s="39"/>
      <c r="FX13" s="40" t="str">
        <f aca="false">IF(OR(INDEX(Undirviðmið!$G$6:$G$105,(COLUMN()-7-1)/2+1)&lt;&gt;"Starfsbundið",FW13="",FW$8="",FW$7=""),"",ROUND(FW13/FW$8*FW$7*KVARDI,2))</f>
        <v/>
      </c>
      <c r="FY13" s="39"/>
      <c r="FZ13" s="40" t="str">
        <f aca="false">IF(OR(INDEX(Undirviðmið!$G$6:$G$105,(COLUMN()-7-1)/2+1)&lt;&gt;"Starfsbundið",FY13="",FY$8="",FY$7=""),"",ROUND(FY13/FY$8*FY$7*KVARDI,2))</f>
        <v/>
      </c>
      <c r="GA13" s="39"/>
      <c r="GB13" s="40" t="str">
        <f aca="false">IF(OR(INDEX(Undirviðmið!$G$6:$G$105,(COLUMN()-7-1)/2+1)&lt;&gt;"Starfsbundið",GA13="",GA$8="",GA$7=""),"",ROUND(GA13/GA$8*GA$7*KVARDI,2))</f>
        <v/>
      </c>
      <c r="GC13" s="39"/>
      <c r="GD13" s="40" t="str">
        <f aca="false">IF(OR(INDEX(Undirviðmið!$G$6:$G$105,(COLUMN()-7-1)/2+1)&lt;&gt;"Starfsbundið",GC13="",GC$8="",GC$7=""),"",ROUND(GC13/GC$8*GC$7*KVARDI,2))</f>
        <v/>
      </c>
      <c r="GE13" s="39"/>
      <c r="GF13" s="40" t="str">
        <f aca="false">IF(OR(INDEX(Undirviðmið!$G$6:$G$105,(COLUMN()-7-1)/2+1)&lt;&gt;"Starfsbundið",GE13="",GE$8="",GE$7=""),"",ROUND(GE13/GE$8*GE$7*KVARDI,2))</f>
        <v/>
      </c>
      <c r="GG13" s="39"/>
      <c r="GH13" s="40" t="str">
        <f aca="false">IF(OR(INDEX(Undirviðmið!$G$6:$G$105,(COLUMN()-7-1)/2+1)&lt;&gt;"Starfsbundið",GG13="",GG$8="",GG$7=""),"",ROUND(GG13/GG$8*GG$7*KVARDI,2))</f>
        <v/>
      </c>
      <c r="GI13" s="39"/>
      <c r="GJ13" s="40" t="str">
        <f aca="false">IF(OR(INDEX(Undirviðmið!$G$6:$G$105,(COLUMN()-7-1)/2+1)&lt;&gt;"Starfsbundið",GI13="",GI$8="",GI$7=""),"",ROUND(GI13/GI$8*GI$7*KVARDI,2))</f>
        <v/>
      </c>
      <c r="GK13" s="39"/>
      <c r="GL13" s="40" t="str">
        <f aca="false">IF(OR(INDEX(Undirviðmið!$G$6:$G$105,(COLUMN()-7-1)/2+1)&lt;&gt;"Starfsbundið",GK13="",GK$8="",GK$7=""),"",ROUND(GK13/GK$8*GK$7*KVARDI,2))</f>
        <v/>
      </c>
      <c r="GM13" s="39"/>
      <c r="GN13" s="40" t="str">
        <f aca="false">IF(OR(INDEX(Undirviðmið!$G$6:$G$105,(COLUMN()-7-1)/2+1)&lt;&gt;"Starfsbundið",GM13="",GM$8="",GM$7=""),"",ROUND(GM13/GM$8*GM$7*KVARDI,2))</f>
        <v/>
      </c>
      <c r="GO13" s="39"/>
      <c r="GP13" s="40" t="str">
        <f aca="false">IF(OR(INDEX(Undirviðmið!$G$6:$G$105,(COLUMN()-7-1)/2+1)&lt;&gt;"Starfsbundið",GO13="",GO$8="",GO$7=""),"",ROUND(GO13/GO$8*GO$7*KVARDI,2))</f>
        <v/>
      </c>
      <c r="GQ13" s="39"/>
      <c r="GR13" s="40" t="str">
        <f aca="false">IF(OR(INDEX(Undirviðmið!$G$6:$G$105,(COLUMN()-7-1)/2+1)&lt;&gt;"Starfsbundið",GQ13="",GQ$8="",GQ$7=""),"",ROUND(GQ13/GQ$8*GQ$7*KVARDI,2))</f>
        <v/>
      </c>
      <c r="GS13" s="39"/>
      <c r="GT13" s="40" t="str">
        <f aca="false">IF(OR(INDEX(Undirviðmið!$G$6:$G$105,(COLUMN()-7-1)/2+1)&lt;&gt;"Starfsbundið",GS13="",GS$8="",GS$7=""),"",ROUND(GS13/GS$8*GS$7*KVARDI,2))</f>
        <v/>
      </c>
      <c r="GU13" s="39"/>
      <c r="GV13" s="40" t="str">
        <f aca="false">IF(OR(INDEX(Undirviðmið!$G$6:$G$105,(COLUMN()-7-1)/2+1)&lt;&gt;"Starfsbundið",GU13="",GU$8="",GU$7=""),"",ROUND(GU13/GU$8*GU$7*KVARDI,2))</f>
        <v/>
      </c>
      <c r="GW13" s="39"/>
      <c r="GX13" s="40" t="str">
        <f aca="false">IF(OR(INDEX(Undirviðmið!$G$6:$G$105,(COLUMN()-7-1)/2+1)&lt;&gt;"Starfsbundið",GW13="",GW$8="",GW$7=""),"",ROUND(GW13/GW$8*GW$7*KVARDI,2))</f>
        <v/>
      </c>
      <c r="GZ13" s="20"/>
    </row>
    <row r="14" customFormat="false" ht="15" hidden="false" customHeight="true" outlineLevel="0" collapsed="false">
      <c r="B14" s="37" t="str">
        <f aca="false" t="array" ref="B14:B14">IFERROR(INDEX(Starfsmenn!$C$6:$C$10005,MATCH(0,COUNTIF($B$11:B13,Starfsmenn!$C$6:$C$10005)+(Starfsmenn!$C$6:$C$10005=""),0)),"")</f>
        <v/>
      </c>
      <c r="C14" s="38" t="n">
        <f aca="false">IFERROR(SUMIF($G$10:$GX$10,"Stig",$G14:$GX14),0)</f>
        <v>0</v>
      </c>
      <c r="G14" s="39"/>
      <c r="H14" s="40" t="str">
        <f aca="false">IF(OR(INDEX(Undirviðmið!$G$6:$G$105,(COLUMN()-7-1)/2+1)&lt;&gt;"Starfsbundið",G14="",G$8="",G$7=""),"",ROUND(G14/G$8*G$7*KVARDI,2))</f>
        <v/>
      </c>
      <c r="I14" s="39"/>
      <c r="J14" s="40" t="str">
        <f aca="false">IF(OR(INDEX(Undirviðmið!$G$6:$G$105,(COLUMN()-7-1)/2+1)&lt;&gt;"Starfsbundið",I14="",I$8="",I$7=""),"",ROUND(I14/I$8*I$7*KVARDI,2))</f>
        <v/>
      </c>
      <c r="K14" s="39"/>
      <c r="L14" s="40" t="str">
        <f aca="false">IF(OR(INDEX(Undirviðmið!$G$6:$G$105,(COLUMN()-7-1)/2+1)&lt;&gt;"Starfsbundið",K14="",K$8="",K$7=""),"",ROUND(K14/K$8*K$7*KVARDI,2))</f>
        <v/>
      </c>
      <c r="M14" s="39"/>
      <c r="N14" s="40" t="str">
        <f aca="false">IF(OR(INDEX(Undirviðmið!$G$6:$G$105,(COLUMN()-7-1)/2+1)&lt;&gt;"Starfsbundið",M14="",M$8="",M$7=""),"",ROUND(M14/M$8*M$7*KVARDI,2))</f>
        <v/>
      </c>
      <c r="O14" s="39"/>
      <c r="P14" s="40" t="str">
        <f aca="false">IF(OR(INDEX(Undirviðmið!$G$6:$G$105,(COLUMN()-7-1)/2+1)&lt;&gt;"Starfsbundið",O14="",O$8="",O$7=""),"",ROUND(O14/O$8*O$7*KVARDI,2))</f>
        <v/>
      </c>
      <c r="Q14" s="39"/>
      <c r="R14" s="40" t="str">
        <f aca="false">IF(OR(INDEX(Undirviðmið!$G$6:$G$105,(COLUMN()-7-1)/2+1)&lt;&gt;"Starfsbundið",Q14="",Q$8="",Q$7=""),"",ROUND(Q14/Q$8*Q$7*KVARDI,2))</f>
        <v/>
      </c>
      <c r="S14" s="39"/>
      <c r="T14" s="40" t="str">
        <f aca="false">IF(OR(INDEX(Undirviðmið!$G$6:$G$105,(COLUMN()-7-1)/2+1)&lt;&gt;"Starfsbundið",S14="",S$8="",S$7=""),"",ROUND(S14/S$8*S$7*KVARDI,2))</f>
        <v/>
      </c>
      <c r="U14" s="39"/>
      <c r="V14" s="40" t="str">
        <f aca="false">IF(OR(INDEX(Undirviðmið!$G$6:$G$105,(COLUMN()-7-1)/2+1)&lt;&gt;"Starfsbundið",U14="",U$8="",U$7=""),"",ROUND(U14/U$8*U$7*KVARDI,2))</f>
        <v/>
      </c>
      <c r="W14" s="39"/>
      <c r="X14" s="40" t="str">
        <f aca="false">IF(OR(INDEX(Undirviðmið!$G$6:$G$105,(COLUMN()-7-1)/2+1)&lt;&gt;"Starfsbundið",W14="",W$8="",W$7=""),"",ROUND(W14/W$8*W$7*KVARDI,2))</f>
        <v/>
      </c>
      <c r="Y14" s="39"/>
      <c r="Z14" s="40" t="str">
        <f aca="false">IF(OR(INDEX(Undirviðmið!$G$6:$G$105,(COLUMN()-7-1)/2+1)&lt;&gt;"Starfsbundið",Y14="",Y$8="",Y$7=""),"",ROUND(Y14/Y$8*Y$7*KVARDI,2))</f>
        <v/>
      </c>
      <c r="AA14" s="39"/>
      <c r="AB14" s="40" t="str">
        <f aca="false">IF(OR(INDEX(Undirviðmið!$G$6:$G$105,(COLUMN()-7-1)/2+1)&lt;&gt;"Starfsbundið",AA14="",AA$8="",AA$7=""),"",ROUND(AA14/AA$8*AA$7*KVARDI,2))</f>
        <v/>
      </c>
      <c r="AC14" s="39"/>
      <c r="AD14" s="40" t="str">
        <f aca="false">IF(OR(INDEX(Undirviðmið!$G$6:$G$105,(COLUMN()-7-1)/2+1)&lt;&gt;"Starfsbundið",AC14="",AC$8="",AC$7=""),"",ROUND(AC14/AC$8*AC$7*KVARDI,2))</f>
        <v/>
      </c>
      <c r="AE14" s="39"/>
      <c r="AF14" s="40" t="str">
        <f aca="false">IF(OR(INDEX(Undirviðmið!$G$6:$G$105,(COLUMN()-7-1)/2+1)&lt;&gt;"Starfsbundið",AE14="",AE$8="",AE$7=""),"",ROUND(AE14/AE$8*AE$7*KVARDI,2))</f>
        <v/>
      </c>
      <c r="AG14" s="39"/>
      <c r="AH14" s="40" t="str">
        <f aca="false">IF(OR(INDEX(Undirviðmið!$G$6:$G$105,(COLUMN()-7-1)/2+1)&lt;&gt;"Starfsbundið",AG14="",AG$8="",AG$7=""),"",ROUND(AG14/AG$8*AG$7*KVARDI,2))</f>
        <v/>
      </c>
      <c r="AI14" s="39"/>
      <c r="AJ14" s="40" t="str">
        <f aca="false">IF(OR(INDEX(Undirviðmið!$G$6:$G$105,(COLUMN()-7-1)/2+1)&lt;&gt;"Starfsbundið",AI14="",AI$8="",AI$7=""),"",ROUND(AI14/AI$8*AI$7*KVARDI,2))</f>
        <v/>
      </c>
      <c r="AK14" s="39"/>
      <c r="AL14" s="40" t="str">
        <f aca="false">IF(OR(INDEX(Undirviðmið!$G$6:$G$105,(COLUMN()-7-1)/2+1)&lt;&gt;"Starfsbundið",AK14="",AK$8="",AK$7=""),"",ROUND(AK14/AK$8*AK$7*KVARDI,2))</f>
        <v/>
      </c>
      <c r="AM14" s="39"/>
      <c r="AN14" s="40" t="str">
        <f aca="false">IF(OR(INDEX(Undirviðmið!$G$6:$G$105,(COLUMN()-7-1)/2+1)&lt;&gt;"Starfsbundið",AM14="",AM$8="",AM$7=""),"",ROUND(AM14/AM$8*AM$7*KVARDI,2))</f>
        <v/>
      </c>
      <c r="AO14" s="39"/>
      <c r="AP14" s="40" t="str">
        <f aca="false">IF(OR(INDEX(Undirviðmið!$G$6:$G$105,(COLUMN()-7-1)/2+1)&lt;&gt;"Starfsbundið",AO14="",AO$8="",AO$7=""),"",ROUND(AO14/AO$8*AO$7*KVARDI,2))</f>
        <v/>
      </c>
      <c r="AQ14" s="39"/>
      <c r="AR14" s="40" t="str">
        <f aca="false">IF(OR(INDEX(Undirviðmið!$G$6:$G$105,(COLUMN()-7-1)/2+1)&lt;&gt;"Starfsbundið",AQ14="",AQ$8="",AQ$7=""),"",ROUND(AQ14/AQ$8*AQ$7*KVARDI,2))</f>
        <v/>
      </c>
      <c r="AS14" s="39"/>
      <c r="AT14" s="40" t="str">
        <f aca="false">IF(OR(INDEX(Undirviðmið!$G$6:$G$105,(COLUMN()-7-1)/2+1)&lt;&gt;"Starfsbundið",AS14="",AS$8="",AS$7=""),"",ROUND(AS14/AS$8*AS$7*KVARDI,2))</f>
        <v/>
      </c>
      <c r="AU14" s="39"/>
      <c r="AV14" s="40" t="str">
        <f aca="false">IF(OR(INDEX(Undirviðmið!$G$6:$G$105,(COLUMN()-7-1)/2+1)&lt;&gt;"Starfsbundið",AU14="",AU$8="",AU$7=""),"",ROUND(AU14/AU$8*AU$7*KVARDI,2))</f>
        <v/>
      </c>
      <c r="AW14" s="39"/>
      <c r="AX14" s="40" t="str">
        <f aca="false">IF(OR(INDEX(Undirviðmið!$G$6:$G$105,(COLUMN()-7-1)/2+1)&lt;&gt;"Starfsbundið",AW14="",AW$8="",AW$7=""),"",ROUND(AW14/AW$8*AW$7*KVARDI,2))</f>
        <v/>
      </c>
      <c r="AY14" s="39"/>
      <c r="AZ14" s="40" t="str">
        <f aca="false">IF(OR(INDEX(Undirviðmið!$G$6:$G$105,(COLUMN()-7-1)/2+1)&lt;&gt;"Starfsbundið",AY14="",AY$8="",AY$7=""),"",ROUND(AY14/AY$8*AY$7*KVARDI,2))</f>
        <v/>
      </c>
      <c r="BA14" s="39"/>
      <c r="BB14" s="40" t="str">
        <f aca="false">IF(OR(INDEX(Undirviðmið!$G$6:$G$105,(COLUMN()-7-1)/2+1)&lt;&gt;"Starfsbundið",BA14="",BA$8="",BA$7=""),"",ROUND(BA14/BA$8*BA$7*KVARDI,2))</f>
        <v/>
      </c>
      <c r="BC14" s="39"/>
      <c r="BD14" s="40" t="str">
        <f aca="false">IF(OR(INDEX(Undirviðmið!$G$6:$G$105,(COLUMN()-7-1)/2+1)&lt;&gt;"Starfsbundið",BC14="",BC$8="",BC$7=""),"",ROUND(BC14/BC$8*BC$7*KVARDI,2))</f>
        <v/>
      </c>
      <c r="BE14" s="39"/>
      <c r="BF14" s="40" t="str">
        <f aca="false">IF(OR(INDEX(Undirviðmið!$G$6:$G$105,(COLUMN()-7-1)/2+1)&lt;&gt;"Starfsbundið",BE14="",BE$8="",BE$7=""),"",ROUND(BE14/BE$8*BE$7*KVARDI,2))</f>
        <v/>
      </c>
      <c r="BG14" s="39"/>
      <c r="BH14" s="40" t="str">
        <f aca="false">IF(OR(INDEX(Undirviðmið!$G$6:$G$105,(COLUMN()-7-1)/2+1)&lt;&gt;"Starfsbundið",BG14="",BG$8="",BG$7=""),"",ROUND(BG14/BG$8*BG$7*KVARDI,2))</f>
        <v/>
      </c>
      <c r="BI14" s="39"/>
      <c r="BJ14" s="40" t="str">
        <f aca="false">IF(OR(INDEX(Undirviðmið!$G$6:$G$105,(COLUMN()-7-1)/2+1)&lt;&gt;"Starfsbundið",BI14="",BI$8="",BI$7=""),"",ROUND(BI14/BI$8*BI$7*KVARDI,2))</f>
        <v/>
      </c>
      <c r="BK14" s="39"/>
      <c r="BL14" s="40" t="str">
        <f aca="false">IF(OR(INDEX(Undirviðmið!$G$6:$G$105,(COLUMN()-7-1)/2+1)&lt;&gt;"Starfsbundið",BK14="",BK$8="",BK$7=""),"",ROUND(BK14/BK$8*BK$7*KVARDI,2))</f>
        <v/>
      </c>
      <c r="BM14" s="39"/>
      <c r="BN14" s="40" t="str">
        <f aca="false">IF(OR(INDEX(Undirviðmið!$G$6:$G$105,(COLUMN()-7-1)/2+1)&lt;&gt;"Starfsbundið",BM14="",BM$8="",BM$7=""),"",ROUND(BM14/BM$8*BM$7*KVARDI,2))</f>
        <v/>
      </c>
      <c r="BO14" s="39"/>
      <c r="BP14" s="40" t="str">
        <f aca="false">IF(OR(INDEX(Undirviðmið!$G$6:$G$105,(COLUMN()-7-1)/2+1)&lt;&gt;"Starfsbundið",BO14="",BO$8="",BO$7=""),"",ROUND(BO14/BO$8*BO$7*KVARDI,2))</f>
        <v/>
      </c>
      <c r="BQ14" s="39"/>
      <c r="BR14" s="40" t="str">
        <f aca="false">IF(OR(INDEX(Undirviðmið!$G$6:$G$105,(COLUMN()-7-1)/2+1)&lt;&gt;"Starfsbundið",BQ14="",BQ$8="",BQ$7=""),"",ROUND(BQ14/BQ$8*BQ$7*KVARDI,2))</f>
        <v/>
      </c>
      <c r="BS14" s="39"/>
      <c r="BT14" s="40" t="str">
        <f aca="false">IF(OR(INDEX(Undirviðmið!$G$6:$G$105,(COLUMN()-7-1)/2+1)&lt;&gt;"Starfsbundið",BS14="",BS$8="",BS$7=""),"",ROUND(BS14/BS$8*BS$7*KVARDI,2))</f>
        <v/>
      </c>
      <c r="BU14" s="39"/>
      <c r="BV14" s="40" t="str">
        <f aca="false">IF(OR(INDEX(Undirviðmið!$G$6:$G$105,(COLUMN()-7-1)/2+1)&lt;&gt;"Starfsbundið",BU14="",BU$8="",BU$7=""),"",ROUND(BU14/BU$8*BU$7*KVARDI,2))</f>
        <v/>
      </c>
      <c r="BW14" s="39"/>
      <c r="BX14" s="40" t="str">
        <f aca="false">IF(OR(INDEX(Undirviðmið!$G$6:$G$105,(COLUMN()-7-1)/2+1)&lt;&gt;"Starfsbundið",BW14="",BW$8="",BW$7=""),"",ROUND(BW14/BW$8*BW$7*KVARDI,2))</f>
        <v/>
      </c>
      <c r="BY14" s="39"/>
      <c r="BZ14" s="40" t="str">
        <f aca="false">IF(OR(INDEX(Undirviðmið!$G$6:$G$105,(COLUMN()-7-1)/2+1)&lt;&gt;"Starfsbundið",BY14="",BY$8="",BY$7=""),"",ROUND(BY14/BY$8*BY$7*KVARDI,2))</f>
        <v/>
      </c>
      <c r="CA14" s="39"/>
      <c r="CB14" s="40" t="str">
        <f aca="false">IF(OR(INDEX(Undirviðmið!$G$6:$G$105,(COLUMN()-7-1)/2+1)&lt;&gt;"Starfsbundið",CA14="",CA$8="",CA$7=""),"",ROUND(CA14/CA$8*CA$7*KVARDI,2))</f>
        <v/>
      </c>
      <c r="CC14" s="39"/>
      <c r="CD14" s="40" t="str">
        <f aca="false">IF(OR(INDEX(Undirviðmið!$G$6:$G$105,(COLUMN()-7-1)/2+1)&lt;&gt;"Starfsbundið",CC14="",CC$8="",CC$7=""),"",ROUND(CC14/CC$8*CC$7*KVARDI,2))</f>
        <v/>
      </c>
      <c r="CE14" s="39"/>
      <c r="CF14" s="40" t="str">
        <f aca="false">IF(OR(INDEX(Undirviðmið!$G$6:$G$105,(COLUMN()-7-1)/2+1)&lt;&gt;"Starfsbundið",CE14="",CE$8="",CE$7=""),"",ROUND(CE14/CE$8*CE$7*KVARDI,2))</f>
        <v/>
      </c>
      <c r="CG14" s="39"/>
      <c r="CH14" s="40" t="str">
        <f aca="false">IF(OR(INDEX(Undirviðmið!$G$6:$G$105,(COLUMN()-7-1)/2+1)&lt;&gt;"Starfsbundið",CG14="",CG$8="",CG$7=""),"",ROUND(CG14/CG$8*CG$7*KVARDI,2))</f>
        <v/>
      </c>
      <c r="CI14" s="39"/>
      <c r="CJ14" s="40" t="str">
        <f aca="false">IF(OR(INDEX(Undirviðmið!$G$6:$G$105,(COLUMN()-7-1)/2+1)&lt;&gt;"Starfsbundið",CI14="",CI$8="",CI$7=""),"",ROUND(CI14/CI$8*CI$7*KVARDI,2))</f>
        <v/>
      </c>
      <c r="CK14" s="39"/>
      <c r="CL14" s="40" t="str">
        <f aca="false">IF(OR(INDEX(Undirviðmið!$G$6:$G$105,(COLUMN()-7-1)/2+1)&lt;&gt;"Starfsbundið",CK14="",CK$8="",CK$7=""),"",ROUND(CK14/CK$8*CK$7*KVARDI,2))</f>
        <v/>
      </c>
      <c r="CM14" s="39"/>
      <c r="CN14" s="40" t="str">
        <f aca="false">IF(OR(INDEX(Undirviðmið!$G$6:$G$105,(COLUMN()-7-1)/2+1)&lt;&gt;"Starfsbundið",CM14="",CM$8="",CM$7=""),"",ROUND(CM14/CM$8*CM$7*KVARDI,2))</f>
        <v/>
      </c>
      <c r="CO14" s="39"/>
      <c r="CP14" s="40" t="str">
        <f aca="false">IF(OR(INDEX(Undirviðmið!$G$6:$G$105,(COLUMN()-7-1)/2+1)&lt;&gt;"Starfsbundið",CO14="",CO$8="",CO$7=""),"",ROUND(CO14/CO$8*CO$7*KVARDI,2))</f>
        <v/>
      </c>
      <c r="CQ14" s="39"/>
      <c r="CR14" s="40" t="str">
        <f aca="false">IF(OR(INDEX(Undirviðmið!$G$6:$G$105,(COLUMN()-7-1)/2+1)&lt;&gt;"Starfsbundið",CQ14="",CQ$8="",CQ$7=""),"",ROUND(CQ14/CQ$8*CQ$7*KVARDI,2))</f>
        <v/>
      </c>
      <c r="CS14" s="39"/>
      <c r="CT14" s="40" t="str">
        <f aca="false">IF(OR(INDEX(Undirviðmið!$G$6:$G$105,(COLUMN()-7-1)/2+1)&lt;&gt;"Starfsbundið",CS14="",CS$8="",CS$7=""),"",ROUND(CS14/CS$8*CS$7*KVARDI,2))</f>
        <v/>
      </c>
      <c r="CU14" s="39"/>
      <c r="CV14" s="40" t="str">
        <f aca="false">IF(OR(INDEX(Undirviðmið!$G$6:$G$105,(COLUMN()-7-1)/2+1)&lt;&gt;"Starfsbundið",CU14="",CU$8="",CU$7=""),"",ROUND(CU14/CU$8*CU$7*KVARDI,2))</f>
        <v/>
      </c>
      <c r="CW14" s="39"/>
      <c r="CX14" s="40" t="str">
        <f aca="false">IF(OR(INDEX(Undirviðmið!$G$6:$G$105,(COLUMN()-7-1)/2+1)&lt;&gt;"Starfsbundið",CW14="",CW$8="",CW$7=""),"",ROUND(CW14/CW$8*CW$7*KVARDI,2))</f>
        <v/>
      </c>
      <c r="CY14" s="39"/>
      <c r="CZ14" s="40" t="str">
        <f aca="false">IF(OR(INDEX(Undirviðmið!$G$6:$G$105,(COLUMN()-7-1)/2+1)&lt;&gt;"Starfsbundið",CY14="",CY$8="",CY$7=""),"",ROUND(CY14/CY$8*CY$7*KVARDI,2))</f>
        <v/>
      </c>
      <c r="DA14" s="39"/>
      <c r="DB14" s="40" t="str">
        <f aca="false">IF(OR(INDEX(Undirviðmið!$G$6:$G$105,(COLUMN()-7-1)/2+1)&lt;&gt;"Starfsbundið",DA14="",DA$8="",DA$7=""),"",ROUND(DA14/DA$8*DA$7*KVARDI,2))</f>
        <v/>
      </c>
      <c r="DC14" s="39"/>
      <c r="DD14" s="40" t="str">
        <f aca="false">IF(OR(INDEX(Undirviðmið!$G$6:$G$105,(COLUMN()-7-1)/2+1)&lt;&gt;"Starfsbundið",DC14="",DC$8="",DC$7=""),"",ROUND(DC14/DC$8*DC$7*KVARDI,2))</f>
        <v/>
      </c>
      <c r="DE14" s="39"/>
      <c r="DF14" s="40" t="str">
        <f aca="false">IF(OR(INDEX(Undirviðmið!$G$6:$G$105,(COLUMN()-7-1)/2+1)&lt;&gt;"Starfsbundið",DE14="",DE$8="",DE$7=""),"",ROUND(DE14/DE$8*DE$7*KVARDI,2))</f>
        <v/>
      </c>
      <c r="DG14" s="39"/>
      <c r="DH14" s="40" t="str">
        <f aca="false">IF(OR(INDEX(Undirviðmið!$G$6:$G$105,(COLUMN()-7-1)/2+1)&lt;&gt;"Starfsbundið",DG14="",DG$8="",DG$7=""),"",ROUND(DG14/DG$8*DG$7*KVARDI,2))</f>
        <v/>
      </c>
      <c r="DI14" s="39"/>
      <c r="DJ14" s="40" t="str">
        <f aca="false">IF(OR(INDEX(Undirviðmið!$G$6:$G$105,(COLUMN()-7-1)/2+1)&lt;&gt;"Starfsbundið",DI14="",DI$8="",DI$7=""),"",ROUND(DI14/DI$8*DI$7*KVARDI,2))</f>
        <v/>
      </c>
      <c r="DK14" s="39"/>
      <c r="DL14" s="40" t="str">
        <f aca="false">IF(OR(INDEX(Undirviðmið!$G$6:$G$105,(COLUMN()-7-1)/2+1)&lt;&gt;"Starfsbundið",DK14="",DK$8="",DK$7=""),"",ROUND(DK14/DK$8*DK$7*KVARDI,2))</f>
        <v/>
      </c>
      <c r="DM14" s="39"/>
      <c r="DN14" s="40" t="str">
        <f aca="false">IF(OR(INDEX(Undirviðmið!$G$6:$G$105,(COLUMN()-7-1)/2+1)&lt;&gt;"Starfsbundið",DM14="",DM$8="",DM$7=""),"",ROUND(DM14/DM$8*DM$7*KVARDI,2))</f>
        <v/>
      </c>
      <c r="DO14" s="39"/>
      <c r="DP14" s="40" t="str">
        <f aca="false">IF(OR(INDEX(Undirviðmið!$G$6:$G$105,(COLUMN()-7-1)/2+1)&lt;&gt;"Starfsbundið",DO14="",DO$8="",DO$7=""),"",ROUND(DO14/DO$8*DO$7*KVARDI,2))</f>
        <v/>
      </c>
      <c r="DQ14" s="39"/>
      <c r="DR14" s="40" t="str">
        <f aca="false">IF(OR(INDEX(Undirviðmið!$G$6:$G$105,(COLUMN()-7-1)/2+1)&lt;&gt;"Starfsbundið",DQ14="",DQ$8="",DQ$7=""),"",ROUND(DQ14/DQ$8*DQ$7*KVARDI,2))</f>
        <v/>
      </c>
      <c r="DS14" s="39"/>
      <c r="DT14" s="40" t="str">
        <f aca="false">IF(OR(INDEX(Undirviðmið!$G$6:$G$105,(COLUMN()-7-1)/2+1)&lt;&gt;"Starfsbundið",DS14="",DS$8="",DS$7=""),"",ROUND(DS14/DS$8*DS$7*KVARDI,2))</f>
        <v/>
      </c>
      <c r="DU14" s="39"/>
      <c r="DV14" s="40" t="str">
        <f aca="false">IF(OR(INDEX(Undirviðmið!$G$6:$G$105,(COLUMN()-7-1)/2+1)&lt;&gt;"Starfsbundið",DU14="",DU$8="",DU$7=""),"",ROUND(DU14/DU$8*DU$7*KVARDI,2))</f>
        <v/>
      </c>
      <c r="DW14" s="39"/>
      <c r="DX14" s="40" t="str">
        <f aca="false">IF(OR(INDEX(Undirviðmið!$G$6:$G$105,(COLUMN()-7-1)/2+1)&lt;&gt;"Starfsbundið",DW14="",DW$8="",DW$7=""),"",ROUND(DW14/DW$8*DW$7*KVARDI,2))</f>
        <v/>
      </c>
      <c r="DY14" s="39"/>
      <c r="DZ14" s="40" t="str">
        <f aca="false">IF(OR(INDEX(Undirviðmið!$G$6:$G$105,(COLUMN()-7-1)/2+1)&lt;&gt;"Starfsbundið",DY14="",DY$8="",DY$7=""),"",ROUND(DY14/DY$8*DY$7*KVARDI,2))</f>
        <v/>
      </c>
      <c r="EA14" s="39"/>
      <c r="EB14" s="40" t="str">
        <f aca="false">IF(OR(INDEX(Undirviðmið!$G$6:$G$105,(COLUMN()-7-1)/2+1)&lt;&gt;"Starfsbundið",EA14="",EA$8="",EA$7=""),"",ROUND(EA14/EA$8*EA$7*KVARDI,2))</f>
        <v/>
      </c>
      <c r="EC14" s="39"/>
      <c r="ED14" s="40" t="str">
        <f aca="false">IF(OR(INDEX(Undirviðmið!$G$6:$G$105,(COLUMN()-7-1)/2+1)&lt;&gt;"Starfsbundið",EC14="",EC$8="",EC$7=""),"",ROUND(EC14/EC$8*EC$7*KVARDI,2))</f>
        <v/>
      </c>
      <c r="EE14" s="39"/>
      <c r="EF14" s="40" t="str">
        <f aca="false">IF(OR(INDEX(Undirviðmið!$G$6:$G$105,(COLUMN()-7-1)/2+1)&lt;&gt;"Starfsbundið",EE14="",EE$8="",EE$7=""),"",ROUND(EE14/EE$8*EE$7*KVARDI,2))</f>
        <v/>
      </c>
      <c r="EG14" s="39"/>
      <c r="EH14" s="40" t="str">
        <f aca="false">IF(OR(INDEX(Undirviðmið!$G$6:$G$105,(COLUMN()-7-1)/2+1)&lt;&gt;"Starfsbundið",EG14="",EG$8="",EG$7=""),"",ROUND(EG14/EG$8*EG$7*KVARDI,2))</f>
        <v/>
      </c>
      <c r="EI14" s="39"/>
      <c r="EJ14" s="40" t="str">
        <f aca="false">IF(OR(INDEX(Undirviðmið!$G$6:$G$105,(COLUMN()-7-1)/2+1)&lt;&gt;"Starfsbundið",EI14="",EI$8="",EI$7=""),"",ROUND(EI14/EI$8*EI$7*KVARDI,2))</f>
        <v/>
      </c>
      <c r="EK14" s="39"/>
      <c r="EL14" s="40" t="str">
        <f aca="false">IF(OR(INDEX(Undirviðmið!$G$6:$G$105,(COLUMN()-7-1)/2+1)&lt;&gt;"Starfsbundið",EK14="",EK$8="",EK$7=""),"",ROUND(EK14/EK$8*EK$7*KVARDI,2))</f>
        <v/>
      </c>
      <c r="EM14" s="39"/>
      <c r="EN14" s="40" t="str">
        <f aca="false">IF(OR(INDEX(Undirviðmið!$G$6:$G$105,(COLUMN()-7-1)/2+1)&lt;&gt;"Starfsbundið",EM14="",EM$8="",EM$7=""),"",ROUND(EM14/EM$8*EM$7*KVARDI,2))</f>
        <v/>
      </c>
      <c r="EO14" s="39"/>
      <c r="EP14" s="40" t="str">
        <f aca="false">IF(OR(INDEX(Undirviðmið!$G$6:$G$105,(COLUMN()-7-1)/2+1)&lt;&gt;"Starfsbundið",EO14="",EO$8="",EO$7=""),"",ROUND(EO14/EO$8*EO$7*KVARDI,2))</f>
        <v/>
      </c>
      <c r="EQ14" s="39"/>
      <c r="ER14" s="40" t="str">
        <f aca="false">IF(OR(INDEX(Undirviðmið!$G$6:$G$105,(COLUMN()-7-1)/2+1)&lt;&gt;"Starfsbundið",EQ14="",EQ$8="",EQ$7=""),"",ROUND(EQ14/EQ$8*EQ$7*KVARDI,2))</f>
        <v/>
      </c>
      <c r="ES14" s="39"/>
      <c r="ET14" s="40" t="str">
        <f aca="false">IF(OR(INDEX(Undirviðmið!$G$6:$G$105,(COLUMN()-7-1)/2+1)&lt;&gt;"Starfsbundið",ES14="",ES$8="",ES$7=""),"",ROUND(ES14/ES$8*ES$7*KVARDI,2))</f>
        <v/>
      </c>
      <c r="EU14" s="39"/>
      <c r="EV14" s="40" t="str">
        <f aca="false">IF(OR(INDEX(Undirviðmið!$G$6:$G$105,(COLUMN()-7-1)/2+1)&lt;&gt;"Starfsbundið",EU14="",EU$8="",EU$7=""),"",ROUND(EU14/EU$8*EU$7*KVARDI,2))</f>
        <v/>
      </c>
      <c r="EW14" s="39"/>
      <c r="EX14" s="40" t="str">
        <f aca="false">IF(OR(INDEX(Undirviðmið!$G$6:$G$105,(COLUMN()-7-1)/2+1)&lt;&gt;"Starfsbundið",EW14="",EW$8="",EW$7=""),"",ROUND(EW14/EW$8*EW$7*KVARDI,2))</f>
        <v/>
      </c>
      <c r="EY14" s="39"/>
      <c r="EZ14" s="40" t="str">
        <f aca="false">IF(OR(INDEX(Undirviðmið!$G$6:$G$105,(COLUMN()-7-1)/2+1)&lt;&gt;"Starfsbundið",EY14="",EY$8="",EY$7=""),"",ROUND(EY14/EY$8*EY$7*KVARDI,2))</f>
        <v/>
      </c>
      <c r="FA14" s="39"/>
      <c r="FB14" s="40" t="str">
        <f aca="false">IF(OR(INDEX(Undirviðmið!$G$6:$G$105,(COLUMN()-7-1)/2+1)&lt;&gt;"Starfsbundið",FA14="",FA$8="",FA$7=""),"",ROUND(FA14/FA$8*FA$7*KVARDI,2))</f>
        <v/>
      </c>
      <c r="FC14" s="39"/>
      <c r="FD14" s="40" t="str">
        <f aca="false">IF(OR(INDEX(Undirviðmið!$G$6:$G$105,(COLUMN()-7-1)/2+1)&lt;&gt;"Starfsbundið",FC14="",FC$8="",FC$7=""),"",ROUND(FC14/FC$8*FC$7*KVARDI,2))</f>
        <v/>
      </c>
      <c r="FE14" s="39"/>
      <c r="FF14" s="40" t="str">
        <f aca="false">IF(OR(INDEX(Undirviðmið!$G$6:$G$105,(COLUMN()-7-1)/2+1)&lt;&gt;"Starfsbundið",FE14="",FE$8="",FE$7=""),"",ROUND(FE14/FE$8*FE$7*KVARDI,2))</f>
        <v/>
      </c>
      <c r="FG14" s="39"/>
      <c r="FH14" s="40" t="str">
        <f aca="false">IF(OR(INDEX(Undirviðmið!$G$6:$G$105,(COLUMN()-7-1)/2+1)&lt;&gt;"Starfsbundið",FG14="",FG$8="",FG$7=""),"",ROUND(FG14/FG$8*FG$7*KVARDI,2))</f>
        <v/>
      </c>
      <c r="FI14" s="39"/>
      <c r="FJ14" s="40" t="str">
        <f aca="false">IF(OR(INDEX(Undirviðmið!$G$6:$G$105,(COLUMN()-7-1)/2+1)&lt;&gt;"Starfsbundið",FI14="",FI$8="",FI$7=""),"",ROUND(FI14/FI$8*FI$7*KVARDI,2))</f>
        <v/>
      </c>
      <c r="FK14" s="39"/>
      <c r="FL14" s="40" t="str">
        <f aca="false">IF(OR(INDEX(Undirviðmið!$G$6:$G$105,(COLUMN()-7-1)/2+1)&lt;&gt;"Starfsbundið",FK14="",FK$8="",FK$7=""),"",ROUND(FK14/FK$8*FK$7*KVARDI,2))</f>
        <v/>
      </c>
      <c r="FM14" s="39"/>
      <c r="FN14" s="40" t="str">
        <f aca="false">IF(OR(INDEX(Undirviðmið!$G$6:$G$105,(COLUMN()-7-1)/2+1)&lt;&gt;"Starfsbundið",FM14="",FM$8="",FM$7=""),"",ROUND(FM14/FM$8*FM$7*KVARDI,2))</f>
        <v/>
      </c>
      <c r="FO14" s="39"/>
      <c r="FP14" s="40" t="str">
        <f aca="false">IF(OR(INDEX(Undirviðmið!$G$6:$G$105,(COLUMN()-7-1)/2+1)&lt;&gt;"Starfsbundið",FO14="",FO$8="",FO$7=""),"",ROUND(FO14/FO$8*FO$7*KVARDI,2))</f>
        <v/>
      </c>
      <c r="FQ14" s="39"/>
      <c r="FR14" s="40" t="str">
        <f aca="false">IF(OR(INDEX(Undirviðmið!$G$6:$G$105,(COLUMN()-7-1)/2+1)&lt;&gt;"Starfsbundið",FQ14="",FQ$8="",FQ$7=""),"",ROUND(FQ14/FQ$8*FQ$7*KVARDI,2))</f>
        <v/>
      </c>
      <c r="FS14" s="39"/>
      <c r="FT14" s="40" t="str">
        <f aca="false">IF(OR(INDEX(Undirviðmið!$G$6:$G$105,(COLUMN()-7-1)/2+1)&lt;&gt;"Starfsbundið",FS14="",FS$8="",FS$7=""),"",ROUND(FS14/FS$8*FS$7*KVARDI,2))</f>
        <v/>
      </c>
      <c r="FU14" s="39"/>
      <c r="FV14" s="40" t="str">
        <f aca="false">IF(OR(INDEX(Undirviðmið!$G$6:$G$105,(COLUMN()-7-1)/2+1)&lt;&gt;"Starfsbundið",FU14="",FU$8="",FU$7=""),"",ROUND(FU14/FU$8*FU$7*KVARDI,2))</f>
        <v/>
      </c>
      <c r="FW14" s="39"/>
      <c r="FX14" s="40" t="str">
        <f aca="false">IF(OR(INDEX(Undirviðmið!$G$6:$G$105,(COLUMN()-7-1)/2+1)&lt;&gt;"Starfsbundið",FW14="",FW$8="",FW$7=""),"",ROUND(FW14/FW$8*FW$7*KVARDI,2))</f>
        <v/>
      </c>
      <c r="FY14" s="39"/>
      <c r="FZ14" s="40" t="str">
        <f aca="false">IF(OR(INDEX(Undirviðmið!$G$6:$G$105,(COLUMN()-7-1)/2+1)&lt;&gt;"Starfsbundið",FY14="",FY$8="",FY$7=""),"",ROUND(FY14/FY$8*FY$7*KVARDI,2))</f>
        <v/>
      </c>
      <c r="GA14" s="39"/>
      <c r="GB14" s="40" t="str">
        <f aca="false">IF(OR(INDEX(Undirviðmið!$G$6:$G$105,(COLUMN()-7-1)/2+1)&lt;&gt;"Starfsbundið",GA14="",GA$8="",GA$7=""),"",ROUND(GA14/GA$8*GA$7*KVARDI,2))</f>
        <v/>
      </c>
      <c r="GC14" s="39"/>
      <c r="GD14" s="40" t="str">
        <f aca="false">IF(OR(INDEX(Undirviðmið!$G$6:$G$105,(COLUMN()-7-1)/2+1)&lt;&gt;"Starfsbundið",GC14="",GC$8="",GC$7=""),"",ROUND(GC14/GC$8*GC$7*KVARDI,2))</f>
        <v/>
      </c>
      <c r="GE14" s="39"/>
      <c r="GF14" s="40" t="str">
        <f aca="false">IF(OR(INDEX(Undirviðmið!$G$6:$G$105,(COLUMN()-7-1)/2+1)&lt;&gt;"Starfsbundið",GE14="",GE$8="",GE$7=""),"",ROUND(GE14/GE$8*GE$7*KVARDI,2))</f>
        <v/>
      </c>
      <c r="GG14" s="39"/>
      <c r="GH14" s="40" t="str">
        <f aca="false">IF(OR(INDEX(Undirviðmið!$G$6:$G$105,(COLUMN()-7-1)/2+1)&lt;&gt;"Starfsbundið",GG14="",GG$8="",GG$7=""),"",ROUND(GG14/GG$8*GG$7*KVARDI,2))</f>
        <v/>
      </c>
      <c r="GI14" s="39"/>
      <c r="GJ14" s="40" t="str">
        <f aca="false">IF(OR(INDEX(Undirviðmið!$G$6:$G$105,(COLUMN()-7-1)/2+1)&lt;&gt;"Starfsbundið",GI14="",GI$8="",GI$7=""),"",ROUND(GI14/GI$8*GI$7*KVARDI,2))</f>
        <v/>
      </c>
      <c r="GK14" s="39"/>
      <c r="GL14" s="40" t="str">
        <f aca="false">IF(OR(INDEX(Undirviðmið!$G$6:$G$105,(COLUMN()-7-1)/2+1)&lt;&gt;"Starfsbundið",GK14="",GK$8="",GK$7=""),"",ROUND(GK14/GK$8*GK$7*KVARDI,2))</f>
        <v/>
      </c>
      <c r="GM14" s="39"/>
      <c r="GN14" s="40" t="str">
        <f aca="false">IF(OR(INDEX(Undirviðmið!$G$6:$G$105,(COLUMN()-7-1)/2+1)&lt;&gt;"Starfsbundið",GM14="",GM$8="",GM$7=""),"",ROUND(GM14/GM$8*GM$7*KVARDI,2))</f>
        <v/>
      </c>
      <c r="GO14" s="39"/>
      <c r="GP14" s="40" t="str">
        <f aca="false">IF(OR(INDEX(Undirviðmið!$G$6:$G$105,(COLUMN()-7-1)/2+1)&lt;&gt;"Starfsbundið",GO14="",GO$8="",GO$7=""),"",ROUND(GO14/GO$8*GO$7*KVARDI,2))</f>
        <v/>
      </c>
      <c r="GQ14" s="39"/>
      <c r="GR14" s="40" t="str">
        <f aca="false">IF(OR(INDEX(Undirviðmið!$G$6:$G$105,(COLUMN()-7-1)/2+1)&lt;&gt;"Starfsbundið",GQ14="",GQ$8="",GQ$7=""),"",ROUND(GQ14/GQ$8*GQ$7*KVARDI,2))</f>
        <v/>
      </c>
      <c r="GS14" s="39"/>
      <c r="GT14" s="40" t="str">
        <f aca="false">IF(OR(INDEX(Undirviðmið!$G$6:$G$105,(COLUMN()-7-1)/2+1)&lt;&gt;"Starfsbundið",GS14="",GS$8="",GS$7=""),"",ROUND(GS14/GS$8*GS$7*KVARDI,2))</f>
        <v/>
      </c>
      <c r="GU14" s="39"/>
      <c r="GV14" s="40" t="str">
        <f aca="false">IF(OR(INDEX(Undirviðmið!$G$6:$G$105,(COLUMN()-7-1)/2+1)&lt;&gt;"Starfsbundið",GU14="",GU$8="",GU$7=""),"",ROUND(GU14/GU$8*GU$7*KVARDI,2))</f>
        <v/>
      </c>
      <c r="GW14" s="39"/>
      <c r="GX14" s="40" t="str">
        <f aca="false">IF(OR(INDEX(Undirviðmið!$G$6:$G$105,(COLUMN()-7-1)/2+1)&lt;&gt;"Starfsbundið",GW14="",GW$8="",GW$7=""),"",ROUND(GW14/GW$8*GW$7*KVARDI,2))</f>
        <v/>
      </c>
      <c r="GZ14" s="20"/>
    </row>
    <row r="15" customFormat="false" ht="15" hidden="false" customHeight="true" outlineLevel="0" collapsed="false">
      <c r="B15" s="37" t="str">
        <f aca="false" t="array" ref="B15:B15">IFERROR(INDEX(Starfsmenn!$C$6:$C$10005,MATCH(0,COUNTIF($B$11:B14,Starfsmenn!$C$6:$C$10005)+(Starfsmenn!$C$6:$C$10005=""),0)),"")</f>
        <v/>
      </c>
      <c r="C15" s="38" t="n">
        <f aca="false">IFERROR(SUMIF($G$10:$GX$10,"Stig",$G15:$GX15),0)</f>
        <v>0</v>
      </c>
      <c r="G15" s="39"/>
      <c r="H15" s="40" t="str">
        <f aca="false">IF(OR(INDEX(Undirviðmið!$G$6:$G$105,(COLUMN()-7-1)/2+1)&lt;&gt;"Starfsbundið",G15="",G$8="",G$7=""),"",ROUND(G15/G$8*G$7*KVARDI,2))</f>
        <v/>
      </c>
      <c r="I15" s="39"/>
      <c r="J15" s="40" t="str">
        <f aca="false">IF(OR(INDEX(Undirviðmið!$G$6:$G$105,(COLUMN()-7-1)/2+1)&lt;&gt;"Starfsbundið",I15="",I$8="",I$7=""),"",ROUND(I15/I$8*I$7*KVARDI,2))</f>
        <v/>
      </c>
      <c r="K15" s="39"/>
      <c r="L15" s="40" t="str">
        <f aca="false">IF(OR(INDEX(Undirviðmið!$G$6:$G$105,(COLUMN()-7-1)/2+1)&lt;&gt;"Starfsbundið",K15="",K$8="",K$7=""),"",ROUND(K15/K$8*K$7*KVARDI,2))</f>
        <v/>
      </c>
      <c r="M15" s="39"/>
      <c r="N15" s="40" t="str">
        <f aca="false">IF(OR(INDEX(Undirviðmið!$G$6:$G$105,(COLUMN()-7-1)/2+1)&lt;&gt;"Starfsbundið",M15="",M$8="",M$7=""),"",ROUND(M15/M$8*M$7*KVARDI,2))</f>
        <v/>
      </c>
      <c r="O15" s="39"/>
      <c r="P15" s="40" t="str">
        <f aca="false">IF(OR(INDEX(Undirviðmið!$G$6:$G$105,(COLUMN()-7-1)/2+1)&lt;&gt;"Starfsbundið",O15="",O$8="",O$7=""),"",ROUND(O15/O$8*O$7*KVARDI,2))</f>
        <v/>
      </c>
      <c r="Q15" s="39"/>
      <c r="R15" s="40" t="str">
        <f aca="false">IF(OR(INDEX(Undirviðmið!$G$6:$G$105,(COLUMN()-7-1)/2+1)&lt;&gt;"Starfsbundið",Q15="",Q$8="",Q$7=""),"",ROUND(Q15/Q$8*Q$7*KVARDI,2))</f>
        <v/>
      </c>
      <c r="S15" s="39"/>
      <c r="T15" s="40" t="str">
        <f aca="false">IF(OR(INDEX(Undirviðmið!$G$6:$G$105,(COLUMN()-7-1)/2+1)&lt;&gt;"Starfsbundið",S15="",S$8="",S$7=""),"",ROUND(S15/S$8*S$7*KVARDI,2))</f>
        <v/>
      </c>
      <c r="U15" s="39"/>
      <c r="V15" s="40" t="str">
        <f aca="false">IF(OR(INDEX(Undirviðmið!$G$6:$G$105,(COLUMN()-7-1)/2+1)&lt;&gt;"Starfsbundið",U15="",U$8="",U$7=""),"",ROUND(U15/U$8*U$7*KVARDI,2))</f>
        <v/>
      </c>
      <c r="W15" s="39"/>
      <c r="X15" s="40" t="str">
        <f aca="false">IF(OR(INDEX(Undirviðmið!$G$6:$G$105,(COLUMN()-7-1)/2+1)&lt;&gt;"Starfsbundið",W15="",W$8="",W$7=""),"",ROUND(W15/W$8*W$7*KVARDI,2))</f>
        <v/>
      </c>
      <c r="Y15" s="39"/>
      <c r="Z15" s="40" t="str">
        <f aca="false">IF(OR(INDEX(Undirviðmið!$G$6:$G$105,(COLUMN()-7-1)/2+1)&lt;&gt;"Starfsbundið",Y15="",Y$8="",Y$7=""),"",ROUND(Y15/Y$8*Y$7*KVARDI,2))</f>
        <v/>
      </c>
      <c r="AA15" s="39"/>
      <c r="AB15" s="40" t="str">
        <f aca="false">IF(OR(INDEX(Undirviðmið!$G$6:$G$105,(COLUMN()-7-1)/2+1)&lt;&gt;"Starfsbundið",AA15="",AA$8="",AA$7=""),"",ROUND(AA15/AA$8*AA$7*KVARDI,2))</f>
        <v/>
      </c>
      <c r="AC15" s="39"/>
      <c r="AD15" s="40" t="str">
        <f aca="false">IF(OR(INDEX(Undirviðmið!$G$6:$G$105,(COLUMN()-7-1)/2+1)&lt;&gt;"Starfsbundið",AC15="",AC$8="",AC$7=""),"",ROUND(AC15/AC$8*AC$7*KVARDI,2))</f>
        <v/>
      </c>
      <c r="AE15" s="39"/>
      <c r="AF15" s="40" t="str">
        <f aca="false">IF(OR(INDEX(Undirviðmið!$G$6:$G$105,(COLUMN()-7-1)/2+1)&lt;&gt;"Starfsbundið",AE15="",AE$8="",AE$7=""),"",ROUND(AE15/AE$8*AE$7*KVARDI,2))</f>
        <v/>
      </c>
      <c r="AG15" s="39"/>
      <c r="AH15" s="40" t="str">
        <f aca="false">IF(OR(INDEX(Undirviðmið!$G$6:$G$105,(COLUMN()-7-1)/2+1)&lt;&gt;"Starfsbundið",AG15="",AG$8="",AG$7=""),"",ROUND(AG15/AG$8*AG$7*KVARDI,2))</f>
        <v/>
      </c>
      <c r="AI15" s="39"/>
      <c r="AJ15" s="40" t="str">
        <f aca="false">IF(OR(INDEX(Undirviðmið!$G$6:$G$105,(COLUMN()-7-1)/2+1)&lt;&gt;"Starfsbundið",AI15="",AI$8="",AI$7=""),"",ROUND(AI15/AI$8*AI$7*KVARDI,2))</f>
        <v/>
      </c>
      <c r="AK15" s="39"/>
      <c r="AL15" s="40" t="str">
        <f aca="false">IF(OR(INDEX(Undirviðmið!$G$6:$G$105,(COLUMN()-7-1)/2+1)&lt;&gt;"Starfsbundið",AK15="",AK$8="",AK$7=""),"",ROUND(AK15/AK$8*AK$7*KVARDI,2))</f>
        <v/>
      </c>
      <c r="AM15" s="39"/>
      <c r="AN15" s="40" t="str">
        <f aca="false">IF(OR(INDEX(Undirviðmið!$G$6:$G$105,(COLUMN()-7-1)/2+1)&lt;&gt;"Starfsbundið",AM15="",AM$8="",AM$7=""),"",ROUND(AM15/AM$8*AM$7*KVARDI,2))</f>
        <v/>
      </c>
      <c r="AO15" s="39"/>
      <c r="AP15" s="40" t="str">
        <f aca="false">IF(OR(INDEX(Undirviðmið!$G$6:$G$105,(COLUMN()-7-1)/2+1)&lt;&gt;"Starfsbundið",AO15="",AO$8="",AO$7=""),"",ROUND(AO15/AO$8*AO$7*KVARDI,2))</f>
        <v/>
      </c>
      <c r="AQ15" s="39"/>
      <c r="AR15" s="40" t="str">
        <f aca="false">IF(OR(INDEX(Undirviðmið!$G$6:$G$105,(COLUMN()-7-1)/2+1)&lt;&gt;"Starfsbundið",AQ15="",AQ$8="",AQ$7=""),"",ROUND(AQ15/AQ$8*AQ$7*KVARDI,2))</f>
        <v/>
      </c>
      <c r="AS15" s="39"/>
      <c r="AT15" s="40" t="str">
        <f aca="false">IF(OR(INDEX(Undirviðmið!$G$6:$G$105,(COLUMN()-7-1)/2+1)&lt;&gt;"Starfsbundið",AS15="",AS$8="",AS$7=""),"",ROUND(AS15/AS$8*AS$7*KVARDI,2))</f>
        <v/>
      </c>
      <c r="AU15" s="39"/>
      <c r="AV15" s="40" t="str">
        <f aca="false">IF(OR(INDEX(Undirviðmið!$G$6:$G$105,(COLUMN()-7-1)/2+1)&lt;&gt;"Starfsbundið",AU15="",AU$8="",AU$7=""),"",ROUND(AU15/AU$8*AU$7*KVARDI,2))</f>
        <v/>
      </c>
      <c r="AW15" s="39"/>
      <c r="AX15" s="40" t="str">
        <f aca="false">IF(OR(INDEX(Undirviðmið!$G$6:$G$105,(COLUMN()-7-1)/2+1)&lt;&gt;"Starfsbundið",AW15="",AW$8="",AW$7=""),"",ROUND(AW15/AW$8*AW$7*KVARDI,2))</f>
        <v/>
      </c>
      <c r="AY15" s="39"/>
      <c r="AZ15" s="40" t="str">
        <f aca="false">IF(OR(INDEX(Undirviðmið!$G$6:$G$105,(COLUMN()-7-1)/2+1)&lt;&gt;"Starfsbundið",AY15="",AY$8="",AY$7=""),"",ROUND(AY15/AY$8*AY$7*KVARDI,2))</f>
        <v/>
      </c>
      <c r="BA15" s="39"/>
      <c r="BB15" s="40" t="str">
        <f aca="false">IF(OR(INDEX(Undirviðmið!$G$6:$G$105,(COLUMN()-7-1)/2+1)&lt;&gt;"Starfsbundið",BA15="",BA$8="",BA$7=""),"",ROUND(BA15/BA$8*BA$7*KVARDI,2))</f>
        <v/>
      </c>
      <c r="BC15" s="39"/>
      <c r="BD15" s="40" t="str">
        <f aca="false">IF(OR(INDEX(Undirviðmið!$G$6:$G$105,(COLUMN()-7-1)/2+1)&lt;&gt;"Starfsbundið",BC15="",BC$8="",BC$7=""),"",ROUND(BC15/BC$8*BC$7*KVARDI,2))</f>
        <v/>
      </c>
      <c r="BE15" s="39"/>
      <c r="BF15" s="40" t="str">
        <f aca="false">IF(OR(INDEX(Undirviðmið!$G$6:$G$105,(COLUMN()-7-1)/2+1)&lt;&gt;"Starfsbundið",BE15="",BE$8="",BE$7=""),"",ROUND(BE15/BE$8*BE$7*KVARDI,2))</f>
        <v/>
      </c>
      <c r="BG15" s="39"/>
      <c r="BH15" s="40" t="str">
        <f aca="false">IF(OR(INDEX(Undirviðmið!$G$6:$G$105,(COLUMN()-7-1)/2+1)&lt;&gt;"Starfsbundið",BG15="",BG$8="",BG$7=""),"",ROUND(BG15/BG$8*BG$7*KVARDI,2))</f>
        <v/>
      </c>
      <c r="BI15" s="39"/>
      <c r="BJ15" s="40" t="str">
        <f aca="false">IF(OR(INDEX(Undirviðmið!$G$6:$G$105,(COLUMN()-7-1)/2+1)&lt;&gt;"Starfsbundið",BI15="",BI$8="",BI$7=""),"",ROUND(BI15/BI$8*BI$7*KVARDI,2))</f>
        <v/>
      </c>
      <c r="BK15" s="39"/>
      <c r="BL15" s="40" t="str">
        <f aca="false">IF(OR(INDEX(Undirviðmið!$G$6:$G$105,(COLUMN()-7-1)/2+1)&lt;&gt;"Starfsbundið",BK15="",BK$8="",BK$7=""),"",ROUND(BK15/BK$8*BK$7*KVARDI,2))</f>
        <v/>
      </c>
      <c r="BM15" s="39"/>
      <c r="BN15" s="40" t="str">
        <f aca="false">IF(OR(INDEX(Undirviðmið!$G$6:$G$105,(COLUMN()-7-1)/2+1)&lt;&gt;"Starfsbundið",BM15="",BM$8="",BM$7=""),"",ROUND(BM15/BM$8*BM$7*KVARDI,2))</f>
        <v/>
      </c>
      <c r="BO15" s="39"/>
      <c r="BP15" s="40" t="str">
        <f aca="false">IF(OR(INDEX(Undirviðmið!$G$6:$G$105,(COLUMN()-7-1)/2+1)&lt;&gt;"Starfsbundið",BO15="",BO$8="",BO$7=""),"",ROUND(BO15/BO$8*BO$7*KVARDI,2))</f>
        <v/>
      </c>
      <c r="BQ15" s="39"/>
      <c r="BR15" s="40" t="str">
        <f aca="false">IF(OR(INDEX(Undirviðmið!$G$6:$G$105,(COLUMN()-7-1)/2+1)&lt;&gt;"Starfsbundið",BQ15="",BQ$8="",BQ$7=""),"",ROUND(BQ15/BQ$8*BQ$7*KVARDI,2))</f>
        <v/>
      </c>
      <c r="BS15" s="39"/>
      <c r="BT15" s="40" t="str">
        <f aca="false">IF(OR(INDEX(Undirviðmið!$G$6:$G$105,(COLUMN()-7-1)/2+1)&lt;&gt;"Starfsbundið",BS15="",BS$8="",BS$7=""),"",ROUND(BS15/BS$8*BS$7*KVARDI,2))</f>
        <v/>
      </c>
      <c r="BU15" s="39"/>
      <c r="BV15" s="40" t="str">
        <f aca="false">IF(OR(INDEX(Undirviðmið!$G$6:$G$105,(COLUMN()-7-1)/2+1)&lt;&gt;"Starfsbundið",BU15="",BU$8="",BU$7=""),"",ROUND(BU15/BU$8*BU$7*KVARDI,2))</f>
        <v/>
      </c>
      <c r="BW15" s="39"/>
      <c r="BX15" s="40" t="str">
        <f aca="false">IF(OR(INDEX(Undirviðmið!$G$6:$G$105,(COLUMN()-7-1)/2+1)&lt;&gt;"Starfsbundið",BW15="",BW$8="",BW$7=""),"",ROUND(BW15/BW$8*BW$7*KVARDI,2))</f>
        <v/>
      </c>
      <c r="BY15" s="39"/>
      <c r="BZ15" s="40" t="str">
        <f aca="false">IF(OR(INDEX(Undirviðmið!$G$6:$G$105,(COLUMN()-7-1)/2+1)&lt;&gt;"Starfsbundið",BY15="",BY$8="",BY$7=""),"",ROUND(BY15/BY$8*BY$7*KVARDI,2))</f>
        <v/>
      </c>
      <c r="CA15" s="39"/>
      <c r="CB15" s="40" t="str">
        <f aca="false">IF(OR(INDEX(Undirviðmið!$G$6:$G$105,(COLUMN()-7-1)/2+1)&lt;&gt;"Starfsbundið",CA15="",CA$8="",CA$7=""),"",ROUND(CA15/CA$8*CA$7*KVARDI,2))</f>
        <v/>
      </c>
      <c r="CC15" s="39"/>
      <c r="CD15" s="40" t="str">
        <f aca="false">IF(OR(INDEX(Undirviðmið!$G$6:$G$105,(COLUMN()-7-1)/2+1)&lt;&gt;"Starfsbundið",CC15="",CC$8="",CC$7=""),"",ROUND(CC15/CC$8*CC$7*KVARDI,2))</f>
        <v/>
      </c>
      <c r="CE15" s="39"/>
      <c r="CF15" s="40" t="str">
        <f aca="false">IF(OR(INDEX(Undirviðmið!$G$6:$G$105,(COLUMN()-7-1)/2+1)&lt;&gt;"Starfsbundið",CE15="",CE$8="",CE$7=""),"",ROUND(CE15/CE$8*CE$7*KVARDI,2))</f>
        <v/>
      </c>
      <c r="CG15" s="39"/>
      <c r="CH15" s="40" t="str">
        <f aca="false">IF(OR(INDEX(Undirviðmið!$G$6:$G$105,(COLUMN()-7-1)/2+1)&lt;&gt;"Starfsbundið",CG15="",CG$8="",CG$7=""),"",ROUND(CG15/CG$8*CG$7*KVARDI,2))</f>
        <v/>
      </c>
      <c r="CI15" s="39"/>
      <c r="CJ15" s="40" t="str">
        <f aca="false">IF(OR(INDEX(Undirviðmið!$G$6:$G$105,(COLUMN()-7-1)/2+1)&lt;&gt;"Starfsbundið",CI15="",CI$8="",CI$7=""),"",ROUND(CI15/CI$8*CI$7*KVARDI,2))</f>
        <v/>
      </c>
      <c r="CK15" s="39"/>
      <c r="CL15" s="40" t="str">
        <f aca="false">IF(OR(INDEX(Undirviðmið!$G$6:$G$105,(COLUMN()-7-1)/2+1)&lt;&gt;"Starfsbundið",CK15="",CK$8="",CK$7=""),"",ROUND(CK15/CK$8*CK$7*KVARDI,2))</f>
        <v/>
      </c>
      <c r="CM15" s="39"/>
      <c r="CN15" s="40" t="str">
        <f aca="false">IF(OR(INDEX(Undirviðmið!$G$6:$G$105,(COLUMN()-7-1)/2+1)&lt;&gt;"Starfsbundið",CM15="",CM$8="",CM$7=""),"",ROUND(CM15/CM$8*CM$7*KVARDI,2))</f>
        <v/>
      </c>
      <c r="CO15" s="39"/>
      <c r="CP15" s="40" t="str">
        <f aca="false">IF(OR(INDEX(Undirviðmið!$G$6:$G$105,(COLUMN()-7-1)/2+1)&lt;&gt;"Starfsbundið",CO15="",CO$8="",CO$7=""),"",ROUND(CO15/CO$8*CO$7*KVARDI,2))</f>
        <v/>
      </c>
      <c r="CQ15" s="39"/>
      <c r="CR15" s="40" t="str">
        <f aca="false">IF(OR(INDEX(Undirviðmið!$G$6:$G$105,(COLUMN()-7-1)/2+1)&lt;&gt;"Starfsbundið",CQ15="",CQ$8="",CQ$7=""),"",ROUND(CQ15/CQ$8*CQ$7*KVARDI,2))</f>
        <v/>
      </c>
      <c r="CS15" s="39"/>
      <c r="CT15" s="40" t="str">
        <f aca="false">IF(OR(INDEX(Undirviðmið!$G$6:$G$105,(COLUMN()-7-1)/2+1)&lt;&gt;"Starfsbundið",CS15="",CS$8="",CS$7=""),"",ROUND(CS15/CS$8*CS$7*KVARDI,2))</f>
        <v/>
      </c>
      <c r="CU15" s="39"/>
      <c r="CV15" s="40" t="str">
        <f aca="false">IF(OR(INDEX(Undirviðmið!$G$6:$G$105,(COLUMN()-7-1)/2+1)&lt;&gt;"Starfsbundið",CU15="",CU$8="",CU$7=""),"",ROUND(CU15/CU$8*CU$7*KVARDI,2))</f>
        <v/>
      </c>
      <c r="CW15" s="39"/>
      <c r="CX15" s="40" t="str">
        <f aca="false">IF(OR(INDEX(Undirviðmið!$G$6:$G$105,(COLUMN()-7-1)/2+1)&lt;&gt;"Starfsbundið",CW15="",CW$8="",CW$7=""),"",ROUND(CW15/CW$8*CW$7*KVARDI,2))</f>
        <v/>
      </c>
      <c r="CY15" s="39"/>
      <c r="CZ15" s="40" t="str">
        <f aca="false">IF(OR(INDEX(Undirviðmið!$G$6:$G$105,(COLUMN()-7-1)/2+1)&lt;&gt;"Starfsbundið",CY15="",CY$8="",CY$7=""),"",ROUND(CY15/CY$8*CY$7*KVARDI,2))</f>
        <v/>
      </c>
      <c r="DA15" s="39"/>
      <c r="DB15" s="40" t="str">
        <f aca="false">IF(OR(INDEX(Undirviðmið!$G$6:$G$105,(COLUMN()-7-1)/2+1)&lt;&gt;"Starfsbundið",DA15="",DA$8="",DA$7=""),"",ROUND(DA15/DA$8*DA$7*KVARDI,2))</f>
        <v/>
      </c>
      <c r="DC15" s="39"/>
      <c r="DD15" s="40" t="str">
        <f aca="false">IF(OR(INDEX(Undirviðmið!$G$6:$G$105,(COLUMN()-7-1)/2+1)&lt;&gt;"Starfsbundið",DC15="",DC$8="",DC$7=""),"",ROUND(DC15/DC$8*DC$7*KVARDI,2))</f>
        <v/>
      </c>
      <c r="DE15" s="39"/>
      <c r="DF15" s="40" t="str">
        <f aca="false">IF(OR(INDEX(Undirviðmið!$G$6:$G$105,(COLUMN()-7-1)/2+1)&lt;&gt;"Starfsbundið",DE15="",DE$8="",DE$7=""),"",ROUND(DE15/DE$8*DE$7*KVARDI,2))</f>
        <v/>
      </c>
      <c r="DG15" s="39"/>
      <c r="DH15" s="40" t="str">
        <f aca="false">IF(OR(INDEX(Undirviðmið!$G$6:$G$105,(COLUMN()-7-1)/2+1)&lt;&gt;"Starfsbundið",DG15="",DG$8="",DG$7=""),"",ROUND(DG15/DG$8*DG$7*KVARDI,2))</f>
        <v/>
      </c>
      <c r="DI15" s="39"/>
      <c r="DJ15" s="40" t="str">
        <f aca="false">IF(OR(INDEX(Undirviðmið!$G$6:$G$105,(COLUMN()-7-1)/2+1)&lt;&gt;"Starfsbundið",DI15="",DI$8="",DI$7=""),"",ROUND(DI15/DI$8*DI$7*KVARDI,2))</f>
        <v/>
      </c>
      <c r="DK15" s="39"/>
      <c r="DL15" s="40" t="str">
        <f aca="false">IF(OR(INDEX(Undirviðmið!$G$6:$G$105,(COLUMN()-7-1)/2+1)&lt;&gt;"Starfsbundið",DK15="",DK$8="",DK$7=""),"",ROUND(DK15/DK$8*DK$7*KVARDI,2))</f>
        <v/>
      </c>
      <c r="DM15" s="39"/>
      <c r="DN15" s="40" t="str">
        <f aca="false">IF(OR(INDEX(Undirviðmið!$G$6:$G$105,(COLUMN()-7-1)/2+1)&lt;&gt;"Starfsbundið",DM15="",DM$8="",DM$7=""),"",ROUND(DM15/DM$8*DM$7*KVARDI,2))</f>
        <v/>
      </c>
      <c r="DO15" s="39"/>
      <c r="DP15" s="40" t="str">
        <f aca="false">IF(OR(INDEX(Undirviðmið!$G$6:$G$105,(COLUMN()-7-1)/2+1)&lt;&gt;"Starfsbundið",DO15="",DO$8="",DO$7=""),"",ROUND(DO15/DO$8*DO$7*KVARDI,2))</f>
        <v/>
      </c>
      <c r="DQ15" s="39"/>
      <c r="DR15" s="40" t="str">
        <f aca="false">IF(OR(INDEX(Undirviðmið!$G$6:$G$105,(COLUMN()-7-1)/2+1)&lt;&gt;"Starfsbundið",DQ15="",DQ$8="",DQ$7=""),"",ROUND(DQ15/DQ$8*DQ$7*KVARDI,2))</f>
        <v/>
      </c>
      <c r="DS15" s="39"/>
      <c r="DT15" s="40" t="str">
        <f aca="false">IF(OR(INDEX(Undirviðmið!$G$6:$G$105,(COLUMN()-7-1)/2+1)&lt;&gt;"Starfsbundið",DS15="",DS$8="",DS$7=""),"",ROUND(DS15/DS$8*DS$7*KVARDI,2))</f>
        <v/>
      </c>
      <c r="DU15" s="39"/>
      <c r="DV15" s="40" t="str">
        <f aca="false">IF(OR(INDEX(Undirviðmið!$G$6:$G$105,(COLUMN()-7-1)/2+1)&lt;&gt;"Starfsbundið",DU15="",DU$8="",DU$7=""),"",ROUND(DU15/DU$8*DU$7*KVARDI,2))</f>
        <v/>
      </c>
      <c r="DW15" s="39"/>
      <c r="DX15" s="40" t="str">
        <f aca="false">IF(OR(INDEX(Undirviðmið!$G$6:$G$105,(COLUMN()-7-1)/2+1)&lt;&gt;"Starfsbundið",DW15="",DW$8="",DW$7=""),"",ROUND(DW15/DW$8*DW$7*KVARDI,2))</f>
        <v/>
      </c>
      <c r="DY15" s="39"/>
      <c r="DZ15" s="40" t="str">
        <f aca="false">IF(OR(INDEX(Undirviðmið!$G$6:$G$105,(COLUMN()-7-1)/2+1)&lt;&gt;"Starfsbundið",DY15="",DY$8="",DY$7=""),"",ROUND(DY15/DY$8*DY$7*KVARDI,2))</f>
        <v/>
      </c>
      <c r="EA15" s="39"/>
      <c r="EB15" s="40" t="str">
        <f aca="false">IF(OR(INDEX(Undirviðmið!$G$6:$G$105,(COLUMN()-7-1)/2+1)&lt;&gt;"Starfsbundið",EA15="",EA$8="",EA$7=""),"",ROUND(EA15/EA$8*EA$7*KVARDI,2))</f>
        <v/>
      </c>
      <c r="EC15" s="39"/>
      <c r="ED15" s="40" t="str">
        <f aca="false">IF(OR(INDEX(Undirviðmið!$G$6:$G$105,(COLUMN()-7-1)/2+1)&lt;&gt;"Starfsbundið",EC15="",EC$8="",EC$7=""),"",ROUND(EC15/EC$8*EC$7*KVARDI,2))</f>
        <v/>
      </c>
      <c r="EE15" s="39"/>
      <c r="EF15" s="40" t="str">
        <f aca="false">IF(OR(INDEX(Undirviðmið!$G$6:$G$105,(COLUMN()-7-1)/2+1)&lt;&gt;"Starfsbundið",EE15="",EE$8="",EE$7=""),"",ROUND(EE15/EE$8*EE$7*KVARDI,2))</f>
        <v/>
      </c>
      <c r="EG15" s="39"/>
      <c r="EH15" s="40" t="str">
        <f aca="false">IF(OR(INDEX(Undirviðmið!$G$6:$G$105,(COLUMN()-7-1)/2+1)&lt;&gt;"Starfsbundið",EG15="",EG$8="",EG$7=""),"",ROUND(EG15/EG$8*EG$7*KVARDI,2))</f>
        <v/>
      </c>
      <c r="EI15" s="39"/>
      <c r="EJ15" s="40" t="str">
        <f aca="false">IF(OR(INDEX(Undirviðmið!$G$6:$G$105,(COLUMN()-7-1)/2+1)&lt;&gt;"Starfsbundið",EI15="",EI$8="",EI$7=""),"",ROUND(EI15/EI$8*EI$7*KVARDI,2))</f>
        <v/>
      </c>
      <c r="EK15" s="39"/>
      <c r="EL15" s="40" t="str">
        <f aca="false">IF(OR(INDEX(Undirviðmið!$G$6:$G$105,(COLUMN()-7-1)/2+1)&lt;&gt;"Starfsbundið",EK15="",EK$8="",EK$7=""),"",ROUND(EK15/EK$8*EK$7*KVARDI,2))</f>
        <v/>
      </c>
      <c r="EM15" s="39"/>
      <c r="EN15" s="40" t="str">
        <f aca="false">IF(OR(INDEX(Undirviðmið!$G$6:$G$105,(COLUMN()-7-1)/2+1)&lt;&gt;"Starfsbundið",EM15="",EM$8="",EM$7=""),"",ROUND(EM15/EM$8*EM$7*KVARDI,2))</f>
        <v/>
      </c>
      <c r="EO15" s="39"/>
      <c r="EP15" s="40" t="str">
        <f aca="false">IF(OR(INDEX(Undirviðmið!$G$6:$G$105,(COLUMN()-7-1)/2+1)&lt;&gt;"Starfsbundið",EO15="",EO$8="",EO$7=""),"",ROUND(EO15/EO$8*EO$7*KVARDI,2))</f>
        <v/>
      </c>
      <c r="EQ15" s="39"/>
      <c r="ER15" s="40" t="str">
        <f aca="false">IF(OR(INDEX(Undirviðmið!$G$6:$G$105,(COLUMN()-7-1)/2+1)&lt;&gt;"Starfsbundið",EQ15="",EQ$8="",EQ$7=""),"",ROUND(EQ15/EQ$8*EQ$7*KVARDI,2))</f>
        <v/>
      </c>
      <c r="ES15" s="39"/>
      <c r="ET15" s="40" t="str">
        <f aca="false">IF(OR(INDEX(Undirviðmið!$G$6:$G$105,(COLUMN()-7-1)/2+1)&lt;&gt;"Starfsbundið",ES15="",ES$8="",ES$7=""),"",ROUND(ES15/ES$8*ES$7*KVARDI,2))</f>
        <v/>
      </c>
      <c r="EU15" s="39"/>
      <c r="EV15" s="40" t="str">
        <f aca="false">IF(OR(INDEX(Undirviðmið!$G$6:$G$105,(COLUMN()-7-1)/2+1)&lt;&gt;"Starfsbundið",EU15="",EU$8="",EU$7=""),"",ROUND(EU15/EU$8*EU$7*KVARDI,2))</f>
        <v/>
      </c>
      <c r="EW15" s="39"/>
      <c r="EX15" s="40" t="str">
        <f aca="false">IF(OR(INDEX(Undirviðmið!$G$6:$G$105,(COLUMN()-7-1)/2+1)&lt;&gt;"Starfsbundið",EW15="",EW$8="",EW$7=""),"",ROUND(EW15/EW$8*EW$7*KVARDI,2))</f>
        <v/>
      </c>
      <c r="EY15" s="39"/>
      <c r="EZ15" s="40" t="str">
        <f aca="false">IF(OR(INDEX(Undirviðmið!$G$6:$G$105,(COLUMN()-7-1)/2+1)&lt;&gt;"Starfsbundið",EY15="",EY$8="",EY$7=""),"",ROUND(EY15/EY$8*EY$7*KVARDI,2))</f>
        <v/>
      </c>
      <c r="FA15" s="39"/>
      <c r="FB15" s="40" t="str">
        <f aca="false">IF(OR(INDEX(Undirviðmið!$G$6:$G$105,(COLUMN()-7-1)/2+1)&lt;&gt;"Starfsbundið",FA15="",FA$8="",FA$7=""),"",ROUND(FA15/FA$8*FA$7*KVARDI,2))</f>
        <v/>
      </c>
      <c r="FC15" s="39"/>
      <c r="FD15" s="40" t="str">
        <f aca="false">IF(OR(INDEX(Undirviðmið!$G$6:$G$105,(COLUMN()-7-1)/2+1)&lt;&gt;"Starfsbundið",FC15="",FC$8="",FC$7=""),"",ROUND(FC15/FC$8*FC$7*KVARDI,2))</f>
        <v/>
      </c>
      <c r="FE15" s="39"/>
      <c r="FF15" s="40" t="str">
        <f aca="false">IF(OR(INDEX(Undirviðmið!$G$6:$G$105,(COLUMN()-7-1)/2+1)&lt;&gt;"Starfsbundið",FE15="",FE$8="",FE$7=""),"",ROUND(FE15/FE$8*FE$7*KVARDI,2))</f>
        <v/>
      </c>
      <c r="FG15" s="39"/>
      <c r="FH15" s="40" t="str">
        <f aca="false">IF(OR(INDEX(Undirviðmið!$G$6:$G$105,(COLUMN()-7-1)/2+1)&lt;&gt;"Starfsbundið",FG15="",FG$8="",FG$7=""),"",ROUND(FG15/FG$8*FG$7*KVARDI,2))</f>
        <v/>
      </c>
      <c r="FI15" s="39"/>
      <c r="FJ15" s="40" t="str">
        <f aca="false">IF(OR(INDEX(Undirviðmið!$G$6:$G$105,(COLUMN()-7-1)/2+1)&lt;&gt;"Starfsbundið",FI15="",FI$8="",FI$7=""),"",ROUND(FI15/FI$8*FI$7*KVARDI,2))</f>
        <v/>
      </c>
      <c r="FK15" s="39"/>
      <c r="FL15" s="40" t="str">
        <f aca="false">IF(OR(INDEX(Undirviðmið!$G$6:$G$105,(COLUMN()-7-1)/2+1)&lt;&gt;"Starfsbundið",FK15="",FK$8="",FK$7=""),"",ROUND(FK15/FK$8*FK$7*KVARDI,2))</f>
        <v/>
      </c>
      <c r="FM15" s="39"/>
      <c r="FN15" s="40" t="str">
        <f aca="false">IF(OR(INDEX(Undirviðmið!$G$6:$G$105,(COLUMN()-7-1)/2+1)&lt;&gt;"Starfsbundið",FM15="",FM$8="",FM$7=""),"",ROUND(FM15/FM$8*FM$7*KVARDI,2))</f>
        <v/>
      </c>
      <c r="FO15" s="39"/>
      <c r="FP15" s="40" t="str">
        <f aca="false">IF(OR(INDEX(Undirviðmið!$G$6:$G$105,(COLUMN()-7-1)/2+1)&lt;&gt;"Starfsbundið",FO15="",FO$8="",FO$7=""),"",ROUND(FO15/FO$8*FO$7*KVARDI,2))</f>
        <v/>
      </c>
      <c r="FQ15" s="39"/>
      <c r="FR15" s="40" t="str">
        <f aca="false">IF(OR(INDEX(Undirviðmið!$G$6:$G$105,(COLUMN()-7-1)/2+1)&lt;&gt;"Starfsbundið",FQ15="",FQ$8="",FQ$7=""),"",ROUND(FQ15/FQ$8*FQ$7*KVARDI,2))</f>
        <v/>
      </c>
      <c r="FS15" s="39"/>
      <c r="FT15" s="40" t="str">
        <f aca="false">IF(OR(INDEX(Undirviðmið!$G$6:$G$105,(COLUMN()-7-1)/2+1)&lt;&gt;"Starfsbundið",FS15="",FS$8="",FS$7=""),"",ROUND(FS15/FS$8*FS$7*KVARDI,2))</f>
        <v/>
      </c>
      <c r="FU15" s="39"/>
      <c r="FV15" s="40" t="str">
        <f aca="false">IF(OR(INDEX(Undirviðmið!$G$6:$G$105,(COLUMN()-7-1)/2+1)&lt;&gt;"Starfsbundið",FU15="",FU$8="",FU$7=""),"",ROUND(FU15/FU$8*FU$7*KVARDI,2))</f>
        <v/>
      </c>
      <c r="FW15" s="39"/>
      <c r="FX15" s="40" t="str">
        <f aca="false">IF(OR(INDEX(Undirviðmið!$G$6:$G$105,(COLUMN()-7-1)/2+1)&lt;&gt;"Starfsbundið",FW15="",FW$8="",FW$7=""),"",ROUND(FW15/FW$8*FW$7*KVARDI,2))</f>
        <v/>
      </c>
      <c r="FY15" s="39"/>
      <c r="FZ15" s="40" t="str">
        <f aca="false">IF(OR(INDEX(Undirviðmið!$G$6:$G$105,(COLUMN()-7-1)/2+1)&lt;&gt;"Starfsbundið",FY15="",FY$8="",FY$7=""),"",ROUND(FY15/FY$8*FY$7*KVARDI,2))</f>
        <v/>
      </c>
      <c r="GA15" s="39"/>
      <c r="GB15" s="40" t="str">
        <f aca="false">IF(OR(INDEX(Undirviðmið!$G$6:$G$105,(COLUMN()-7-1)/2+1)&lt;&gt;"Starfsbundið",GA15="",GA$8="",GA$7=""),"",ROUND(GA15/GA$8*GA$7*KVARDI,2))</f>
        <v/>
      </c>
      <c r="GC15" s="39"/>
      <c r="GD15" s="40" t="str">
        <f aca="false">IF(OR(INDEX(Undirviðmið!$G$6:$G$105,(COLUMN()-7-1)/2+1)&lt;&gt;"Starfsbundið",GC15="",GC$8="",GC$7=""),"",ROUND(GC15/GC$8*GC$7*KVARDI,2))</f>
        <v/>
      </c>
      <c r="GE15" s="39"/>
      <c r="GF15" s="40" t="str">
        <f aca="false">IF(OR(INDEX(Undirviðmið!$G$6:$G$105,(COLUMN()-7-1)/2+1)&lt;&gt;"Starfsbundið",GE15="",GE$8="",GE$7=""),"",ROUND(GE15/GE$8*GE$7*KVARDI,2))</f>
        <v/>
      </c>
      <c r="GG15" s="39"/>
      <c r="GH15" s="40" t="str">
        <f aca="false">IF(OR(INDEX(Undirviðmið!$G$6:$G$105,(COLUMN()-7-1)/2+1)&lt;&gt;"Starfsbundið",GG15="",GG$8="",GG$7=""),"",ROUND(GG15/GG$8*GG$7*KVARDI,2))</f>
        <v/>
      </c>
      <c r="GI15" s="39"/>
      <c r="GJ15" s="40" t="str">
        <f aca="false">IF(OR(INDEX(Undirviðmið!$G$6:$G$105,(COLUMN()-7-1)/2+1)&lt;&gt;"Starfsbundið",GI15="",GI$8="",GI$7=""),"",ROUND(GI15/GI$8*GI$7*KVARDI,2))</f>
        <v/>
      </c>
      <c r="GK15" s="39"/>
      <c r="GL15" s="40" t="str">
        <f aca="false">IF(OR(INDEX(Undirviðmið!$G$6:$G$105,(COLUMN()-7-1)/2+1)&lt;&gt;"Starfsbundið",GK15="",GK$8="",GK$7=""),"",ROUND(GK15/GK$8*GK$7*KVARDI,2))</f>
        <v/>
      </c>
      <c r="GM15" s="39"/>
      <c r="GN15" s="40" t="str">
        <f aca="false">IF(OR(INDEX(Undirviðmið!$G$6:$G$105,(COLUMN()-7-1)/2+1)&lt;&gt;"Starfsbundið",GM15="",GM$8="",GM$7=""),"",ROUND(GM15/GM$8*GM$7*KVARDI,2))</f>
        <v/>
      </c>
      <c r="GO15" s="39"/>
      <c r="GP15" s="40" t="str">
        <f aca="false">IF(OR(INDEX(Undirviðmið!$G$6:$G$105,(COLUMN()-7-1)/2+1)&lt;&gt;"Starfsbundið",GO15="",GO$8="",GO$7=""),"",ROUND(GO15/GO$8*GO$7*KVARDI,2))</f>
        <v/>
      </c>
      <c r="GQ15" s="39"/>
      <c r="GR15" s="40" t="str">
        <f aca="false">IF(OR(INDEX(Undirviðmið!$G$6:$G$105,(COLUMN()-7-1)/2+1)&lt;&gt;"Starfsbundið",GQ15="",GQ$8="",GQ$7=""),"",ROUND(GQ15/GQ$8*GQ$7*KVARDI,2))</f>
        <v/>
      </c>
      <c r="GS15" s="39"/>
      <c r="GT15" s="40" t="str">
        <f aca="false">IF(OR(INDEX(Undirviðmið!$G$6:$G$105,(COLUMN()-7-1)/2+1)&lt;&gt;"Starfsbundið",GS15="",GS$8="",GS$7=""),"",ROUND(GS15/GS$8*GS$7*KVARDI,2))</f>
        <v/>
      </c>
      <c r="GU15" s="39"/>
      <c r="GV15" s="40" t="str">
        <f aca="false">IF(OR(INDEX(Undirviðmið!$G$6:$G$105,(COLUMN()-7-1)/2+1)&lt;&gt;"Starfsbundið",GU15="",GU$8="",GU$7=""),"",ROUND(GU15/GU$8*GU$7*KVARDI,2))</f>
        <v/>
      </c>
      <c r="GW15" s="39"/>
      <c r="GX15" s="40" t="str">
        <f aca="false">IF(OR(INDEX(Undirviðmið!$G$6:$G$105,(COLUMN()-7-1)/2+1)&lt;&gt;"Starfsbundið",GW15="",GW$8="",GW$7=""),"",ROUND(GW15/GW$8*GW$7*KVARDI,2))</f>
        <v/>
      </c>
      <c r="GZ15" s="20"/>
    </row>
    <row r="16" customFormat="false" ht="15" hidden="false" customHeight="true" outlineLevel="0" collapsed="false">
      <c r="B16" s="37" t="str">
        <f aca="false" t="array" ref="B16:B16">IFERROR(INDEX(Starfsmenn!$C$6:$C$10005,MATCH(0,COUNTIF($B$11:B15,Starfsmenn!$C$6:$C$10005)+(Starfsmenn!$C$6:$C$10005=""),0)),"")</f>
        <v/>
      </c>
      <c r="C16" s="38" t="n">
        <f aca="false">IFERROR(SUMIF($G$10:$GX$10,"Stig",$G16:$GX16),0)</f>
        <v>0</v>
      </c>
      <c r="G16" s="39"/>
      <c r="H16" s="40" t="str">
        <f aca="false">IF(OR(INDEX(Undirviðmið!$G$6:$G$105,(COLUMN()-7-1)/2+1)&lt;&gt;"Starfsbundið",G16="",G$8="",G$7=""),"",ROUND(G16/G$8*G$7*KVARDI,2))</f>
        <v/>
      </c>
      <c r="I16" s="39"/>
      <c r="J16" s="40" t="str">
        <f aca="false">IF(OR(INDEX(Undirviðmið!$G$6:$G$105,(COLUMN()-7-1)/2+1)&lt;&gt;"Starfsbundið",I16="",I$8="",I$7=""),"",ROUND(I16/I$8*I$7*KVARDI,2))</f>
        <v/>
      </c>
      <c r="K16" s="39"/>
      <c r="L16" s="40" t="str">
        <f aca="false">IF(OR(INDEX(Undirviðmið!$G$6:$G$105,(COLUMN()-7-1)/2+1)&lt;&gt;"Starfsbundið",K16="",K$8="",K$7=""),"",ROUND(K16/K$8*K$7*KVARDI,2))</f>
        <v/>
      </c>
      <c r="M16" s="39"/>
      <c r="N16" s="40" t="str">
        <f aca="false">IF(OR(INDEX(Undirviðmið!$G$6:$G$105,(COLUMN()-7-1)/2+1)&lt;&gt;"Starfsbundið",M16="",M$8="",M$7=""),"",ROUND(M16/M$8*M$7*KVARDI,2))</f>
        <v/>
      </c>
      <c r="O16" s="39"/>
      <c r="P16" s="40" t="str">
        <f aca="false">IF(OR(INDEX(Undirviðmið!$G$6:$G$105,(COLUMN()-7-1)/2+1)&lt;&gt;"Starfsbundið",O16="",O$8="",O$7=""),"",ROUND(O16/O$8*O$7*KVARDI,2))</f>
        <v/>
      </c>
      <c r="Q16" s="39"/>
      <c r="R16" s="40" t="str">
        <f aca="false">IF(OR(INDEX(Undirviðmið!$G$6:$G$105,(COLUMN()-7-1)/2+1)&lt;&gt;"Starfsbundið",Q16="",Q$8="",Q$7=""),"",ROUND(Q16/Q$8*Q$7*KVARDI,2))</f>
        <v/>
      </c>
      <c r="S16" s="39"/>
      <c r="T16" s="40" t="str">
        <f aca="false">IF(OR(INDEX(Undirviðmið!$G$6:$G$105,(COLUMN()-7-1)/2+1)&lt;&gt;"Starfsbundið",S16="",S$8="",S$7=""),"",ROUND(S16/S$8*S$7*KVARDI,2))</f>
        <v/>
      </c>
      <c r="U16" s="39"/>
      <c r="V16" s="40" t="str">
        <f aca="false">IF(OR(INDEX(Undirviðmið!$G$6:$G$105,(COLUMN()-7-1)/2+1)&lt;&gt;"Starfsbundið",U16="",U$8="",U$7=""),"",ROUND(U16/U$8*U$7*KVARDI,2))</f>
        <v/>
      </c>
      <c r="W16" s="39"/>
      <c r="X16" s="40" t="str">
        <f aca="false">IF(OR(INDEX(Undirviðmið!$G$6:$G$105,(COLUMN()-7-1)/2+1)&lt;&gt;"Starfsbundið",W16="",W$8="",W$7=""),"",ROUND(W16/W$8*W$7*KVARDI,2))</f>
        <v/>
      </c>
      <c r="Y16" s="39"/>
      <c r="Z16" s="40" t="str">
        <f aca="false">IF(OR(INDEX(Undirviðmið!$G$6:$G$105,(COLUMN()-7-1)/2+1)&lt;&gt;"Starfsbundið",Y16="",Y$8="",Y$7=""),"",ROUND(Y16/Y$8*Y$7*KVARDI,2))</f>
        <v/>
      </c>
      <c r="AA16" s="39"/>
      <c r="AB16" s="40" t="str">
        <f aca="false">IF(OR(INDEX(Undirviðmið!$G$6:$G$105,(COLUMN()-7-1)/2+1)&lt;&gt;"Starfsbundið",AA16="",AA$8="",AA$7=""),"",ROUND(AA16/AA$8*AA$7*KVARDI,2))</f>
        <v/>
      </c>
      <c r="AC16" s="39"/>
      <c r="AD16" s="40" t="str">
        <f aca="false">IF(OR(INDEX(Undirviðmið!$G$6:$G$105,(COLUMN()-7-1)/2+1)&lt;&gt;"Starfsbundið",AC16="",AC$8="",AC$7=""),"",ROUND(AC16/AC$8*AC$7*KVARDI,2))</f>
        <v/>
      </c>
      <c r="AE16" s="39"/>
      <c r="AF16" s="40" t="str">
        <f aca="false">IF(OR(INDEX(Undirviðmið!$G$6:$G$105,(COLUMN()-7-1)/2+1)&lt;&gt;"Starfsbundið",AE16="",AE$8="",AE$7=""),"",ROUND(AE16/AE$8*AE$7*KVARDI,2))</f>
        <v/>
      </c>
      <c r="AG16" s="39"/>
      <c r="AH16" s="40" t="str">
        <f aca="false">IF(OR(INDEX(Undirviðmið!$G$6:$G$105,(COLUMN()-7-1)/2+1)&lt;&gt;"Starfsbundið",AG16="",AG$8="",AG$7=""),"",ROUND(AG16/AG$8*AG$7*KVARDI,2))</f>
        <v/>
      </c>
      <c r="AI16" s="39"/>
      <c r="AJ16" s="40" t="str">
        <f aca="false">IF(OR(INDEX(Undirviðmið!$G$6:$G$105,(COLUMN()-7-1)/2+1)&lt;&gt;"Starfsbundið",AI16="",AI$8="",AI$7=""),"",ROUND(AI16/AI$8*AI$7*KVARDI,2))</f>
        <v/>
      </c>
      <c r="AK16" s="39"/>
      <c r="AL16" s="40" t="str">
        <f aca="false">IF(OR(INDEX(Undirviðmið!$G$6:$G$105,(COLUMN()-7-1)/2+1)&lt;&gt;"Starfsbundið",AK16="",AK$8="",AK$7=""),"",ROUND(AK16/AK$8*AK$7*KVARDI,2))</f>
        <v/>
      </c>
      <c r="AM16" s="39"/>
      <c r="AN16" s="40" t="str">
        <f aca="false">IF(OR(INDEX(Undirviðmið!$G$6:$G$105,(COLUMN()-7-1)/2+1)&lt;&gt;"Starfsbundið",AM16="",AM$8="",AM$7=""),"",ROUND(AM16/AM$8*AM$7*KVARDI,2))</f>
        <v/>
      </c>
      <c r="AO16" s="39"/>
      <c r="AP16" s="40" t="str">
        <f aca="false">IF(OR(INDEX(Undirviðmið!$G$6:$G$105,(COLUMN()-7-1)/2+1)&lt;&gt;"Starfsbundið",AO16="",AO$8="",AO$7=""),"",ROUND(AO16/AO$8*AO$7*KVARDI,2))</f>
        <v/>
      </c>
      <c r="AQ16" s="39"/>
      <c r="AR16" s="40" t="str">
        <f aca="false">IF(OR(INDEX(Undirviðmið!$G$6:$G$105,(COLUMN()-7-1)/2+1)&lt;&gt;"Starfsbundið",AQ16="",AQ$8="",AQ$7=""),"",ROUND(AQ16/AQ$8*AQ$7*KVARDI,2))</f>
        <v/>
      </c>
      <c r="AS16" s="39"/>
      <c r="AT16" s="40" t="str">
        <f aca="false">IF(OR(INDEX(Undirviðmið!$G$6:$G$105,(COLUMN()-7-1)/2+1)&lt;&gt;"Starfsbundið",AS16="",AS$8="",AS$7=""),"",ROUND(AS16/AS$8*AS$7*KVARDI,2))</f>
        <v/>
      </c>
      <c r="AU16" s="39"/>
      <c r="AV16" s="40" t="str">
        <f aca="false">IF(OR(INDEX(Undirviðmið!$G$6:$G$105,(COLUMN()-7-1)/2+1)&lt;&gt;"Starfsbundið",AU16="",AU$8="",AU$7=""),"",ROUND(AU16/AU$8*AU$7*KVARDI,2))</f>
        <v/>
      </c>
      <c r="AW16" s="39"/>
      <c r="AX16" s="40" t="str">
        <f aca="false">IF(OR(INDEX(Undirviðmið!$G$6:$G$105,(COLUMN()-7-1)/2+1)&lt;&gt;"Starfsbundið",AW16="",AW$8="",AW$7=""),"",ROUND(AW16/AW$8*AW$7*KVARDI,2))</f>
        <v/>
      </c>
      <c r="AY16" s="39"/>
      <c r="AZ16" s="40" t="str">
        <f aca="false">IF(OR(INDEX(Undirviðmið!$G$6:$G$105,(COLUMN()-7-1)/2+1)&lt;&gt;"Starfsbundið",AY16="",AY$8="",AY$7=""),"",ROUND(AY16/AY$8*AY$7*KVARDI,2))</f>
        <v/>
      </c>
      <c r="BA16" s="39"/>
      <c r="BB16" s="40" t="str">
        <f aca="false">IF(OR(INDEX(Undirviðmið!$G$6:$G$105,(COLUMN()-7-1)/2+1)&lt;&gt;"Starfsbundið",BA16="",BA$8="",BA$7=""),"",ROUND(BA16/BA$8*BA$7*KVARDI,2))</f>
        <v/>
      </c>
      <c r="BC16" s="39"/>
      <c r="BD16" s="40" t="str">
        <f aca="false">IF(OR(INDEX(Undirviðmið!$G$6:$G$105,(COLUMN()-7-1)/2+1)&lt;&gt;"Starfsbundið",BC16="",BC$8="",BC$7=""),"",ROUND(BC16/BC$8*BC$7*KVARDI,2))</f>
        <v/>
      </c>
      <c r="BE16" s="39"/>
      <c r="BF16" s="40" t="str">
        <f aca="false">IF(OR(INDEX(Undirviðmið!$G$6:$G$105,(COLUMN()-7-1)/2+1)&lt;&gt;"Starfsbundið",BE16="",BE$8="",BE$7=""),"",ROUND(BE16/BE$8*BE$7*KVARDI,2))</f>
        <v/>
      </c>
      <c r="BG16" s="39"/>
      <c r="BH16" s="40" t="str">
        <f aca="false">IF(OR(INDEX(Undirviðmið!$G$6:$G$105,(COLUMN()-7-1)/2+1)&lt;&gt;"Starfsbundið",BG16="",BG$8="",BG$7=""),"",ROUND(BG16/BG$8*BG$7*KVARDI,2))</f>
        <v/>
      </c>
      <c r="BI16" s="39"/>
      <c r="BJ16" s="40" t="str">
        <f aca="false">IF(OR(INDEX(Undirviðmið!$G$6:$G$105,(COLUMN()-7-1)/2+1)&lt;&gt;"Starfsbundið",BI16="",BI$8="",BI$7=""),"",ROUND(BI16/BI$8*BI$7*KVARDI,2))</f>
        <v/>
      </c>
      <c r="BK16" s="39"/>
      <c r="BL16" s="40" t="str">
        <f aca="false">IF(OR(INDEX(Undirviðmið!$G$6:$G$105,(COLUMN()-7-1)/2+1)&lt;&gt;"Starfsbundið",BK16="",BK$8="",BK$7=""),"",ROUND(BK16/BK$8*BK$7*KVARDI,2))</f>
        <v/>
      </c>
      <c r="BM16" s="39"/>
      <c r="BN16" s="40" t="str">
        <f aca="false">IF(OR(INDEX(Undirviðmið!$G$6:$G$105,(COLUMN()-7-1)/2+1)&lt;&gt;"Starfsbundið",BM16="",BM$8="",BM$7=""),"",ROUND(BM16/BM$8*BM$7*KVARDI,2))</f>
        <v/>
      </c>
      <c r="BO16" s="39"/>
      <c r="BP16" s="40" t="str">
        <f aca="false">IF(OR(INDEX(Undirviðmið!$G$6:$G$105,(COLUMN()-7-1)/2+1)&lt;&gt;"Starfsbundið",BO16="",BO$8="",BO$7=""),"",ROUND(BO16/BO$8*BO$7*KVARDI,2))</f>
        <v/>
      </c>
      <c r="BQ16" s="39"/>
      <c r="BR16" s="40" t="str">
        <f aca="false">IF(OR(INDEX(Undirviðmið!$G$6:$G$105,(COLUMN()-7-1)/2+1)&lt;&gt;"Starfsbundið",BQ16="",BQ$8="",BQ$7=""),"",ROUND(BQ16/BQ$8*BQ$7*KVARDI,2))</f>
        <v/>
      </c>
      <c r="BS16" s="39"/>
      <c r="BT16" s="40" t="str">
        <f aca="false">IF(OR(INDEX(Undirviðmið!$G$6:$G$105,(COLUMN()-7-1)/2+1)&lt;&gt;"Starfsbundið",BS16="",BS$8="",BS$7=""),"",ROUND(BS16/BS$8*BS$7*KVARDI,2))</f>
        <v/>
      </c>
      <c r="BU16" s="39"/>
      <c r="BV16" s="40" t="str">
        <f aca="false">IF(OR(INDEX(Undirviðmið!$G$6:$G$105,(COLUMN()-7-1)/2+1)&lt;&gt;"Starfsbundið",BU16="",BU$8="",BU$7=""),"",ROUND(BU16/BU$8*BU$7*KVARDI,2))</f>
        <v/>
      </c>
      <c r="BW16" s="39"/>
      <c r="BX16" s="40" t="str">
        <f aca="false">IF(OR(INDEX(Undirviðmið!$G$6:$G$105,(COLUMN()-7-1)/2+1)&lt;&gt;"Starfsbundið",BW16="",BW$8="",BW$7=""),"",ROUND(BW16/BW$8*BW$7*KVARDI,2))</f>
        <v/>
      </c>
      <c r="BY16" s="39"/>
      <c r="BZ16" s="40" t="str">
        <f aca="false">IF(OR(INDEX(Undirviðmið!$G$6:$G$105,(COLUMN()-7-1)/2+1)&lt;&gt;"Starfsbundið",BY16="",BY$8="",BY$7=""),"",ROUND(BY16/BY$8*BY$7*KVARDI,2))</f>
        <v/>
      </c>
      <c r="CA16" s="39"/>
      <c r="CB16" s="40" t="str">
        <f aca="false">IF(OR(INDEX(Undirviðmið!$G$6:$G$105,(COLUMN()-7-1)/2+1)&lt;&gt;"Starfsbundið",CA16="",CA$8="",CA$7=""),"",ROUND(CA16/CA$8*CA$7*KVARDI,2))</f>
        <v/>
      </c>
      <c r="CC16" s="39"/>
      <c r="CD16" s="40" t="str">
        <f aca="false">IF(OR(INDEX(Undirviðmið!$G$6:$G$105,(COLUMN()-7-1)/2+1)&lt;&gt;"Starfsbundið",CC16="",CC$8="",CC$7=""),"",ROUND(CC16/CC$8*CC$7*KVARDI,2))</f>
        <v/>
      </c>
      <c r="CE16" s="39"/>
      <c r="CF16" s="40" t="str">
        <f aca="false">IF(OR(INDEX(Undirviðmið!$G$6:$G$105,(COLUMN()-7-1)/2+1)&lt;&gt;"Starfsbundið",CE16="",CE$8="",CE$7=""),"",ROUND(CE16/CE$8*CE$7*KVARDI,2))</f>
        <v/>
      </c>
      <c r="CG16" s="39"/>
      <c r="CH16" s="40" t="str">
        <f aca="false">IF(OR(INDEX(Undirviðmið!$G$6:$G$105,(COLUMN()-7-1)/2+1)&lt;&gt;"Starfsbundið",CG16="",CG$8="",CG$7=""),"",ROUND(CG16/CG$8*CG$7*KVARDI,2))</f>
        <v/>
      </c>
      <c r="CI16" s="39"/>
      <c r="CJ16" s="40" t="str">
        <f aca="false">IF(OR(INDEX(Undirviðmið!$G$6:$G$105,(COLUMN()-7-1)/2+1)&lt;&gt;"Starfsbundið",CI16="",CI$8="",CI$7=""),"",ROUND(CI16/CI$8*CI$7*KVARDI,2))</f>
        <v/>
      </c>
      <c r="CK16" s="39"/>
      <c r="CL16" s="40" t="str">
        <f aca="false">IF(OR(INDEX(Undirviðmið!$G$6:$G$105,(COLUMN()-7-1)/2+1)&lt;&gt;"Starfsbundið",CK16="",CK$8="",CK$7=""),"",ROUND(CK16/CK$8*CK$7*KVARDI,2))</f>
        <v/>
      </c>
      <c r="CM16" s="39"/>
      <c r="CN16" s="40" t="str">
        <f aca="false">IF(OR(INDEX(Undirviðmið!$G$6:$G$105,(COLUMN()-7-1)/2+1)&lt;&gt;"Starfsbundið",CM16="",CM$8="",CM$7=""),"",ROUND(CM16/CM$8*CM$7*KVARDI,2))</f>
        <v/>
      </c>
      <c r="CO16" s="39"/>
      <c r="CP16" s="40" t="str">
        <f aca="false">IF(OR(INDEX(Undirviðmið!$G$6:$G$105,(COLUMN()-7-1)/2+1)&lt;&gt;"Starfsbundið",CO16="",CO$8="",CO$7=""),"",ROUND(CO16/CO$8*CO$7*KVARDI,2))</f>
        <v/>
      </c>
      <c r="CQ16" s="39"/>
      <c r="CR16" s="40" t="str">
        <f aca="false">IF(OR(INDEX(Undirviðmið!$G$6:$G$105,(COLUMN()-7-1)/2+1)&lt;&gt;"Starfsbundið",CQ16="",CQ$8="",CQ$7=""),"",ROUND(CQ16/CQ$8*CQ$7*KVARDI,2))</f>
        <v/>
      </c>
      <c r="CS16" s="39"/>
      <c r="CT16" s="40" t="str">
        <f aca="false">IF(OR(INDEX(Undirviðmið!$G$6:$G$105,(COLUMN()-7-1)/2+1)&lt;&gt;"Starfsbundið",CS16="",CS$8="",CS$7=""),"",ROUND(CS16/CS$8*CS$7*KVARDI,2))</f>
        <v/>
      </c>
      <c r="CU16" s="39"/>
      <c r="CV16" s="40" t="str">
        <f aca="false">IF(OR(INDEX(Undirviðmið!$G$6:$G$105,(COLUMN()-7-1)/2+1)&lt;&gt;"Starfsbundið",CU16="",CU$8="",CU$7=""),"",ROUND(CU16/CU$8*CU$7*KVARDI,2))</f>
        <v/>
      </c>
      <c r="CW16" s="39"/>
      <c r="CX16" s="40" t="str">
        <f aca="false">IF(OR(INDEX(Undirviðmið!$G$6:$G$105,(COLUMN()-7-1)/2+1)&lt;&gt;"Starfsbundið",CW16="",CW$8="",CW$7=""),"",ROUND(CW16/CW$8*CW$7*KVARDI,2))</f>
        <v/>
      </c>
      <c r="CY16" s="39"/>
      <c r="CZ16" s="40" t="str">
        <f aca="false">IF(OR(INDEX(Undirviðmið!$G$6:$G$105,(COLUMN()-7-1)/2+1)&lt;&gt;"Starfsbundið",CY16="",CY$8="",CY$7=""),"",ROUND(CY16/CY$8*CY$7*KVARDI,2))</f>
        <v/>
      </c>
      <c r="DA16" s="39"/>
      <c r="DB16" s="40" t="str">
        <f aca="false">IF(OR(INDEX(Undirviðmið!$G$6:$G$105,(COLUMN()-7-1)/2+1)&lt;&gt;"Starfsbundið",DA16="",DA$8="",DA$7=""),"",ROUND(DA16/DA$8*DA$7*KVARDI,2))</f>
        <v/>
      </c>
      <c r="DC16" s="39"/>
      <c r="DD16" s="40" t="str">
        <f aca="false">IF(OR(INDEX(Undirviðmið!$G$6:$G$105,(COLUMN()-7-1)/2+1)&lt;&gt;"Starfsbundið",DC16="",DC$8="",DC$7=""),"",ROUND(DC16/DC$8*DC$7*KVARDI,2))</f>
        <v/>
      </c>
      <c r="DE16" s="39"/>
      <c r="DF16" s="40" t="str">
        <f aca="false">IF(OR(INDEX(Undirviðmið!$G$6:$G$105,(COLUMN()-7-1)/2+1)&lt;&gt;"Starfsbundið",DE16="",DE$8="",DE$7=""),"",ROUND(DE16/DE$8*DE$7*KVARDI,2))</f>
        <v/>
      </c>
      <c r="DG16" s="39"/>
      <c r="DH16" s="40" t="str">
        <f aca="false">IF(OR(INDEX(Undirviðmið!$G$6:$G$105,(COLUMN()-7-1)/2+1)&lt;&gt;"Starfsbundið",DG16="",DG$8="",DG$7=""),"",ROUND(DG16/DG$8*DG$7*KVARDI,2))</f>
        <v/>
      </c>
      <c r="DI16" s="39"/>
      <c r="DJ16" s="40" t="str">
        <f aca="false">IF(OR(INDEX(Undirviðmið!$G$6:$G$105,(COLUMN()-7-1)/2+1)&lt;&gt;"Starfsbundið",DI16="",DI$8="",DI$7=""),"",ROUND(DI16/DI$8*DI$7*KVARDI,2))</f>
        <v/>
      </c>
      <c r="DK16" s="39"/>
      <c r="DL16" s="40" t="str">
        <f aca="false">IF(OR(INDEX(Undirviðmið!$G$6:$G$105,(COLUMN()-7-1)/2+1)&lt;&gt;"Starfsbundið",DK16="",DK$8="",DK$7=""),"",ROUND(DK16/DK$8*DK$7*KVARDI,2))</f>
        <v/>
      </c>
      <c r="DM16" s="39"/>
      <c r="DN16" s="40" t="str">
        <f aca="false">IF(OR(INDEX(Undirviðmið!$G$6:$G$105,(COLUMN()-7-1)/2+1)&lt;&gt;"Starfsbundið",DM16="",DM$8="",DM$7=""),"",ROUND(DM16/DM$8*DM$7*KVARDI,2))</f>
        <v/>
      </c>
      <c r="DO16" s="39"/>
      <c r="DP16" s="40" t="str">
        <f aca="false">IF(OR(INDEX(Undirviðmið!$G$6:$G$105,(COLUMN()-7-1)/2+1)&lt;&gt;"Starfsbundið",DO16="",DO$8="",DO$7=""),"",ROUND(DO16/DO$8*DO$7*KVARDI,2))</f>
        <v/>
      </c>
      <c r="DQ16" s="39"/>
      <c r="DR16" s="40" t="str">
        <f aca="false">IF(OR(INDEX(Undirviðmið!$G$6:$G$105,(COLUMN()-7-1)/2+1)&lt;&gt;"Starfsbundið",DQ16="",DQ$8="",DQ$7=""),"",ROUND(DQ16/DQ$8*DQ$7*KVARDI,2))</f>
        <v/>
      </c>
      <c r="DS16" s="39"/>
      <c r="DT16" s="40" t="str">
        <f aca="false">IF(OR(INDEX(Undirviðmið!$G$6:$G$105,(COLUMN()-7-1)/2+1)&lt;&gt;"Starfsbundið",DS16="",DS$8="",DS$7=""),"",ROUND(DS16/DS$8*DS$7*KVARDI,2))</f>
        <v/>
      </c>
      <c r="DU16" s="39"/>
      <c r="DV16" s="40" t="str">
        <f aca="false">IF(OR(INDEX(Undirviðmið!$G$6:$G$105,(COLUMN()-7-1)/2+1)&lt;&gt;"Starfsbundið",DU16="",DU$8="",DU$7=""),"",ROUND(DU16/DU$8*DU$7*KVARDI,2))</f>
        <v/>
      </c>
      <c r="DW16" s="39"/>
      <c r="DX16" s="40" t="str">
        <f aca="false">IF(OR(INDEX(Undirviðmið!$G$6:$G$105,(COLUMN()-7-1)/2+1)&lt;&gt;"Starfsbundið",DW16="",DW$8="",DW$7=""),"",ROUND(DW16/DW$8*DW$7*KVARDI,2))</f>
        <v/>
      </c>
      <c r="DY16" s="39"/>
      <c r="DZ16" s="40" t="str">
        <f aca="false">IF(OR(INDEX(Undirviðmið!$G$6:$G$105,(COLUMN()-7-1)/2+1)&lt;&gt;"Starfsbundið",DY16="",DY$8="",DY$7=""),"",ROUND(DY16/DY$8*DY$7*KVARDI,2))</f>
        <v/>
      </c>
      <c r="EA16" s="39"/>
      <c r="EB16" s="40" t="str">
        <f aca="false">IF(OR(INDEX(Undirviðmið!$G$6:$G$105,(COLUMN()-7-1)/2+1)&lt;&gt;"Starfsbundið",EA16="",EA$8="",EA$7=""),"",ROUND(EA16/EA$8*EA$7*KVARDI,2))</f>
        <v/>
      </c>
      <c r="EC16" s="39"/>
      <c r="ED16" s="40" t="str">
        <f aca="false">IF(OR(INDEX(Undirviðmið!$G$6:$G$105,(COLUMN()-7-1)/2+1)&lt;&gt;"Starfsbundið",EC16="",EC$8="",EC$7=""),"",ROUND(EC16/EC$8*EC$7*KVARDI,2))</f>
        <v/>
      </c>
      <c r="EE16" s="39"/>
      <c r="EF16" s="40" t="str">
        <f aca="false">IF(OR(INDEX(Undirviðmið!$G$6:$G$105,(COLUMN()-7-1)/2+1)&lt;&gt;"Starfsbundið",EE16="",EE$8="",EE$7=""),"",ROUND(EE16/EE$8*EE$7*KVARDI,2))</f>
        <v/>
      </c>
      <c r="EG16" s="39"/>
      <c r="EH16" s="40" t="str">
        <f aca="false">IF(OR(INDEX(Undirviðmið!$G$6:$G$105,(COLUMN()-7-1)/2+1)&lt;&gt;"Starfsbundið",EG16="",EG$8="",EG$7=""),"",ROUND(EG16/EG$8*EG$7*KVARDI,2))</f>
        <v/>
      </c>
      <c r="EI16" s="39"/>
      <c r="EJ16" s="40" t="str">
        <f aca="false">IF(OR(INDEX(Undirviðmið!$G$6:$G$105,(COLUMN()-7-1)/2+1)&lt;&gt;"Starfsbundið",EI16="",EI$8="",EI$7=""),"",ROUND(EI16/EI$8*EI$7*KVARDI,2))</f>
        <v/>
      </c>
      <c r="EK16" s="39"/>
      <c r="EL16" s="40" t="str">
        <f aca="false">IF(OR(INDEX(Undirviðmið!$G$6:$G$105,(COLUMN()-7-1)/2+1)&lt;&gt;"Starfsbundið",EK16="",EK$8="",EK$7=""),"",ROUND(EK16/EK$8*EK$7*KVARDI,2))</f>
        <v/>
      </c>
      <c r="EM16" s="39"/>
      <c r="EN16" s="40" t="str">
        <f aca="false">IF(OR(INDEX(Undirviðmið!$G$6:$G$105,(COLUMN()-7-1)/2+1)&lt;&gt;"Starfsbundið",EM16="",EM$8="",EM$7=""),"",ROUND(EM16/EM$8*EM$7*KVARDI,2))</f>
        <v/>
      </c>
      <c r="EO16" s="39"/>
      <c r="EP16" s="40" t="str">
        <f aca="false">IF(OR(INDEX(Undirviðmið!$G$6:$G$105,(COLUMN()-7-1)/2+1)&lt;&gt;"Starfsbundið",EO16="",EO$8="",EO$7=""),"",ROUND(EO16/EO$8*EO$7*KVARDI,2))</f>
        <v/>
      </c>
      <c r="EQ16" s="39"/>
      <c r="ER16" s="40" t="str">
        <f aca="false">IF(OR(INDEX(Undirviðmið!$G$6:$G$105,(COLUMN()-7-1)/2+1)&lt;&gt;"Starfsbundið",EQ16="",EQ$8="",EQ$7=""),"",ROUND(EQ16/EQ$8*EQ$7*KVARDI,2))</f>
        <v/>
      </c>
      <c r="ES16" s="39"/>
      <c r="ET16" s="40" t="str">
        <f aca="false">IF(OR(INDEX(Undirviðmið!$G$6:$G$105,(COLUMN()-7-1)/2+1)&lt;&gt;"Starfsbundið",ES16="",ES$8="",ES$7=""),"",ROUND(ES16/ES$8*ES$7*KVARDI,2))</f>
        <v/>
      </c>
      <c r="EU16" s="39"/>
      <c r="EV16" s="40" t="str">
        <f aca="false">IF(OR(INDEX(Undirviðmið!$G$6:$G$105,(COLUMN()-7-1)/2+1)&lt;&gt;"Starfsbundið",EU16="",EU$8="",EU$7=""),"",ROUND(EU16/EU$8*EU$7*KVARDI,2))</f>
        <v/>
      </c>
      <c r="EW16" s="39"/>
      <c r="EX16" s="40" t="str">
        <f aca="false">IF(OR(INDEX(Undirviðmið!$G$6:$G$105,(COLUMN()-7-1)/2+1)&lt;&gt;"Starfsbundið",EW16="",EW$8="",EW$7=""),"",ROUND(EW16/EW$8*EW$7*KVARDI,2))</f>
        <v/>
      </c>
      <c r="EY16" s="39"/>
      <c r="EZ16" s="40" t="str">
        <f aca="false">IF(OR(INDEX(Undirviðmið!$G$6:$G$105,(COLUMN()-7-1)/2+1)&lt;&gt;"Starfsbundið",EY16="",EY$8="",EY$7=""),"",ROUND(EY16/EY$8*EY$7*KVARDI,2))</f>
        <v/>
      </c>
      <c r="FA16" s="39"/>
      <c r="FB16" s="40" t="str">
        <f aca="false">IF(OR(INDEX(Undirviðmið!$G$6:$G$105,(COLUMN()-7-1)/2+1)&lt;&gt;"Starfsbundið",FA16="",FA$8="",FA$7=""),"",ROUND(FA16/FA$8*FA$7*KVARDI,2))</f>
        <v/>
      </c>
      <c r="FC16" s="39"/>
      <c r="FD16" s="40" t="str">
        <f aca="false">IF(OR(INDEX(Undirviðmið!$G$6:$G$105,(COLUMN()-7-1)/2+1)&lt;&gt;"Starfsbundið",FC16="",FC$8="",FC$7=""),"",ROUND(FC16/FC$8*FC$7*KVARDI,2))</f>
        <v/>
      </c>
      <c r="FE16" s="39"/>
      <c r="FF16" s="40" t="str">
        <f aca="false">IF(OR(INDEX(Undirviðmið!$G$6:$G$105,(COLUMN()-7-1)/2+1)&lt;&gt;"Starfsbundið",FE16="",FE$8="",FE$7=""),"",ROUND(FE16/FE$8*FE$7*KVARDI,2))</f>
        <v/>
      </c>
      <c r="FG16" s="39"/>
      <c r="FH16" s="40" t="str">
        <f aca="false">IF(OR(INDEX(Undirviðmið!$G$6:$G$105,(COLUMN()-7-1)/2+1)&lt;&gt;"Starfsbundið",FG16="",FG$8="",FG$7=""),"",ROUND(FG16/FG$8*FG$7*KVARDI,2))</f>
        <v/>
      </c>
      <c r="FI16" s="39"/>
      <c r="FJ16" s="40" t="str">
        <f aca="false">IF(OR(INDEX(Undirviðmið!$G$6:$G$105,(COLUMN()-7-1)/2+1)&lt;&gt;"Starfsbundið",FI16="",FI$8="",FI$7=""),"",ROUND(FI16/FI$8*FI$7*KVARDI,2))</f>
        <v/>
      </c>
      <c r="FK16" s="39"/>
      <c r="FL16" s="40" t="str">
        <f aca="false">IF(OR(INDEX(Undirviðmið!$G$6:$G$105,(COLUMN()-7-1)/2+1)&lt;&gt;"Starfsbundið",FK16="",FK$8="",FK$7=""),"",ROUND(FK16/FK$8*FK$7*KVARDI,2))</f>
        <v/>
      </c>
      <c r="FM16" s="39"/>
      <c r="FN16" s="40" t="str">
        <f aca="false">IF(OR(INDEX(Undirviðmið!$G$6:$G$105,(COLUMN()-7-1)/2+1)&lt;&gt;"Starfsbundið",FM16="",FM$8="",FM$7=""),"",ROUND(FM16/FM$8*FM$7*KVARDI,2))</f>
        <v/>
      </c>
      <c r="FO16" s="39"/>
      <c r="FP16" s="40" t="str">
        <f aca="false">IF(OR(INDEX(Undirviðmið!$G$6:$G$105,(COLUMN()-7-1)/2+1)&lt;&gt;"Starfsbundið",FO16="",FO$8="",FO$7=""),"",ROUND(FO16/FO$8*FO$7*KVARDI,2))</f>
        <v/>
      </c>
      <c r="FQ16" s="39"/>
      <c r="FR16" s="40" t="str">
        <f aca="false">IF(OR(INDEX(Undirviðmið!$G$6:$G$105,(COLUMN()-7-1)/2+1)&lt;&gt;"Starfsbundið",FQ16="",FQ$8="",FQ$7=""),"",ROUND(FQ16/FQ$8*FQ$7*KVARDI,2))</f>
        <v/>
      </c>
      <c r="FS16" s="39"/>
      <c r="FT16" s="40" t="str">
        <f aca="false">IF(OR(INDEX(Undirviðmið!$G$6:$G$105,(COLUMN()-7-1)/2+1)&lt;&gt;"Starfsbundið",FS16="",FS$8="",FS$7=""),"",ROUND(FS16/FS$8*FS$7*KVARDI,2))</f>
        <v/>
      </c>
      <c r="FU16" s="39"/>
      <c r="FV16" s="40" t="str">
        <f aca="false">IF(OR(INDEX(Undirviðmið!$G$6:$G$105,(COLUMN()-7-1)/2+1)&lt;&gt;"Starfsbundið",FU16="",FU$8="",FU$7=""),"",ROUND(FU16/FU$8*FU$7*KVARDI,2))</f>
        <v/>
      </c>
      <c r="FW16" s="39"/>
      <c r="FX16" s="40" t="str">
        <f aca="false">IF(OR(INDEX(Undirviðmið!$G$6:$G$105,(COLUMN()-7-1)/2+1)&lt;&gt;"Starfsbundið",FW16="",FW$8="",FW$7=""),"",ROUND(FW16/FW$8*FW$7*KVARDI,2))</f>
        <v/>
      </c>
      <c r="FY16" s="39"/>
      <c r="FZ16" s="40" t="str">
        <f aca="false">IF(OR(INDEX(Undirviðmið!$G$6:$G$105,(COLUMN()-7-1)/2+1)&lt;&gt;"Starfsbundið",FY16="",FY$8="",FY$7=""),"",ROUND(FY16/FY$8*FY$7*KVARDI,2))</f>
        <v/>
      </c>
      <c r="GA16" s="39"/>
      <c r="GB16" s="40" t="str">
        <f aca="false">IF(OR(INDEX(Undirviðmið!$G$6:$G$105,(COLUMN()-7-1)/2+1)&lt;&gt;"Starfsbundið",GA16="",GA$8="",GA$7=""),"",ROUND(GA16/GA$8*GA$7*KVARDI,2))</f>
        <v/>
      </c>
      <c r="GC16" s="39"/>
      <c r="GD16" s="40" t="str">
        <f aca="false">IF(OR(INDEX(Undirviðmið!$G$6:$G$105,(COLUMN()-7-1)/2+1)&lt;&gt;"Starfsbundið",GC16="",GC$8="",GC$7=""),"",ROUND(GC16/GC$8*GC$7*KVARDI,2))</f>
        <v/>
      </c>
      <c r="GE16" s="39"/>
      <c r="GF16" s="40" t="str">
        <f aca="false">IF(OR(INDEX(Undirviðmið!$G$6:$G$105,(COLUMN()-7-1)/2+1)&lt;&gt;"Starfsbundið",GE16="",GE$8="",GE$7=""),"",ROUND(GE16/GE$8*GE$7*KVARDI,2))</f>
        <v/>
      </c>
      <c r="GG16" s="39"/>
      <c r="GH16" s="40" t="str">
        <f aca="false">IF(OR(INDEX(Undirviðmið!$G$6:$G$105,(COLUMN()-7-1)/2+1)&lt;&gt;"Starfsbundið",GG16="",GG$8="",GG$7=""),"",ROUND(GG16/GG$8*GG$7*KVARDI,2))</f>
        <v/>
      </c>
      <c r="GI16" s="39"/>
      <c r="GJ16" s="40" t="str">
        <f aca="false">IF(OR(INDEX(Undirviðmið!$G$6:$G$105,(COLUMN()-7-1)/2+1)&lt;&gt;"Starfsbundið",GI16="",GI$8="",GI$7=""),"",ROUND(GI16/GI$8*GI$7*KVARDI,2))</f>
        <v/>
      </c>
      <c r="GK16" s="39"/>
      <c r="GL16" s="40" t="str">
        <f aca="false">IF(OR(INDEX(Undirviðmið!$G$6:$G$105,(COLUMN()-7-1)/2+1)&lt;&gt;"Starfsbundið",GK16="",GK$8="",GK$7=""),"",ROUND(GK16/GK$8*GK$7*KVARDI,2))</f>
        <v/>
      </c>
      <c r="GM16" s="39"/>
      <c r="GN16" s="40" t="str">
        <f aca="false">IF(OR(INDEX(Undirviðmið!$G$6:$G$105,(COLUMN()-7-1)/2+1)&lt;&gt;"Starfsbundið",GM16="",GM$8="",GM$7=""),"",ROUND(GM16/GM$8*GM$7*KVARDI,2))</f>
        <v/>
      </c>
      <c r="GO16" s="39"/>
      <c r="GP16" s="40" t="str">
        <f aca="false">IF(OR(INDEX(Undirviðmið!$G$6:$G$105,(COLUMN()-7-1)/2+1)&lt;&gt;"Starfsbundið",GO16="",GO$8="",GO$7=""),"",ROUND(GO16/GO$8*GO$7*KVARDI,2))</f>
        <v/>
      </c>
      <c r="GQ16" s="39"/>
      <c r="GR16" s="40" t="str">
        <f aca="false">IF(OR(INDEX(Undirviðmið!$G$6:$G$105,(COLUMN()-7-1)/2+1)&lt;&gt;"Starfsbundið",GQ16="",GQ$8="",GQ$7=""),"",ROUND(GQ16/GQ$8*GQ$7*KVARDI,2))</f>
        <v/>
      </c>
      <c r="GS16" s="39"/>
      <c r="GT16" s="40" t="str">
        <f aca="false">IF(OR(INDEX(Undirviðmið!$G$6:$G$105,(COLUMN()-7-1)/2+1)&lt;&gt;"Starfsbundið",GS16="",GS$8="",GS$7=""),"",ROUND(GS16/GS$8*GS$7*KVARDI,2))</f>
        <v/>
      </c>
      <c r="GU16" s="39"/>
      <c r="GV16" s="40" t="str">
        <f aca="false">IF(OR(INDEX(Undirviðmið!$G$6:$G$105,(COLUMN()-7-1)/2+1)&lt;&gt;"Starfsbundið",GU16="",GU$8="",GU$7=""),"",ROUND(GU16/GU$8*GU$7*KVARDI,2))</f>
        <v/>
      </c>
      <c r="GW16" s="39"/>
      <c r="GX16" s="40" t="str">
        <f aca="false">IF(OR(INDEX(Undirviðmið!$G$6:$G$105,(COLUMN()-7-1)/2+1)&lt;&gt;"Starfsbundið",GW16="",GW$8="",GW$7=""),"",ROUND(GW16/GW$8*GW$7*KVARDI,2))</f>
        <v/>
      </c>
      <c r="GZ16" s="20"/>
    </row>
    <row r="17" customFormat="false" ht="15" hidden="false" customHeight="true" outlineLevel="0" collapsed="false">
      <c r="B17" s="37" t="str">
        <f aca="false" t="array" ref="B17:B17">IFERROR(INDEX(Starfsmenn!$C$6:$C$10005,MATCH(0,COUNTIF($B$11:B16,Starfsmenn!$C$6:$C$10005)+(Starfsmenn!$C$6:$C$10005=""),0)),"")</f>
        <v/>
      </c>
      <c r="C17" s="38" t="n">
        <f aca="false">IFERROR(SUMIF($G$10:$GX$10,"Stig",$G17:$GX17),0)</f>
        <v>0</v>
      </c>
      <c r="G17" s="39"/>
      <c r="H17" s="40" t="str">
        <f aca="false">IF(OR(INDEX(Undirviðmið!$G$6:$G$105,(COLUMN()-7-1)/2+1)&lt;&gt;"Starfsbundið",G17="",G$8="",G$7=""),"",ROUND(G17/G$8*G$7*KVARDI,2))</f>
        <v/>
      </c>
      <c r="I17" s="39"/>
      <c r="J17" s="40" t="str">
        <f aca="false">IF(OR(INDEX(Undirviðmið!$G$6:$G$105,(COLUMN()-7-1)/2+1)&lt;&gt;"Starfsbundið",I17="",I$8="",I$7=""),"",ROUND(I17/I$8*I$7*KVARDI,2))</f>
        <v/>
      </c>
      <c r="K17" s="39"/>
      <c r="L17" s="40" t="str">
        <f aca="false">IF(OR(INDEX(Undirviðmið!$G$6:$G$105,(COLUMN()-7-1)/2+1)&lt;&gt;"Starfsbundið",K17="",K$8="",K$7=""),"",ROUND(K17/K$8*K$7*KVARDI,2))</f>
        <v/>
      </c>
      <c r="M17" s="39"/>
      <c r="N17" s="40" t="str">
        <f aca="false">IF(OR(INDEX(Undirviðmið!$G$6:$G$105,(COLUMN()-7-1)/2+1)&lt;&gt;"Starfsbundið",M17="",M$8="",M$7=""),"",ROUND(M17/M$8*M$7*KVARDI,2))</f>
        <v/>
      </c>
      <c r="O17" s="39"/>
      <c r="P17" s="40" t="str">
        <f aca="false">IF(OR(INDEX(Undirviðmið!$G$6:$G$105,(COLUMN()-7-1)/2+1)&lt;&gt;"Starfsbundið",O17="",O$8="",O$7=""),"",ROUND(O17/O$8*O$7*KVARDI,2))</f>
        <v/>
      </c>
      <c r="Q17" s="39"/>
      <c r="R17" s="40" t="str">
        <f aca="false">IF(OR(INDEX(Undirviðmið!$G$6:$G$105,(COLUMN()-7-1)/2+1)&lt;&gt;"Starfsbundið",Q17="",Q$8="",Q$7=""),"",ROUND(Q17/Q$8*Q$7*KVARDI,2))</f>
        <v/>
      </c>
      <c r="S17" s="39"/>
      <c r="T17" s="40" t="str">
        <f aca="false">IF(OR(INDEX(Undirviðmið!$G$6:$G$105,(COLUMN()-7-1)/2+1)&lt;&gt;"Starfsbundið",S17="",S$8="",S$7=""),"",ROUND(S17/S$8*S$7*KVARDI,2))</f>
        <v/>
      </c>
      <c r="U17" s="39"/>
      <c r="V17" s="40" t="str">
        <f aca="false">IF(OR(INDEX(Undirviðmið!$G$6:$G$105,(COLUMN()-7-1)/2+1)&lt;&gt;"Starfsbundið",U17="",U$8="",U$7=""),"",ROUND(U17/U$8*U$7*KVARDI,2))</f>
        <v/>
      </c>
      <c r="W17" s="39"/>
      <c r="X17" s="40" t="str">
        <f aca="false">IF(OR(INDEX(Undirviðmið!$G$6:$G$105,(COLUMN()-7-1)/2+1)&lt;&gt;"Starfsbundið",W17="",W$8="",W$7=""),"",ROUND(W17/W$8*W$7*KVARDI,2))</f>
        <v/>
      </c>
      <c r="Y17" s="39"/>
      <c r="Z17" s="40" t="str">
        <f aca="false">IF(OR(INDEX(Undirviðmið!$G$6:$G$105,(COLUMN()-7-1)/2+1)&lt;&gt;"Starfsbundið",Y17="",Y$8="",Y$7=""),"",ROUND(Y17/Y$8*Y$7*KVARDI,2))</f>
        <v/>
      </c>
      <c r="AA17" s="39"/>
      <c r="AB17" s="40" t="str">
        <f aca="false">IF(OR(INDEX(Undirviðmið!$G$6:$G$105,(COLUMN()-7-1)/2+1)&lt;&gt;"Starfsbundið",AA17="",AA$8="",AA$7=""),"",ROUND(AA17/AA$8*AA$7*KVARDI,2))</f>
        <v/>
      </c>
      <c r="AC17" s="39"/>
      <c r="AD17" s="40" t="str">
        <f aca="false">IF(OR(INDEX(Undirviðmið!$G$6:$G$105,(COLUMN()-7-1)/2+1)&lt;&gt;"Starfsbundið",AC17="",AC$8="",AC$7=""),"",ROUND(AC17/AC$8*AC$7*KVARDI,2))</f>
        <v/>
      </c>
      <c r="AE17" s="39"/>
      <c r="AF17" s="40" t="str">
        <f aca="false">IF(OR(INDEX(Undirviðmið!$G$6:$G$105,(COLUMN()-7-1)/2+1)&lt;&gt;"Starfsbundið",AE17="",AE$8="",AE$7=""),"",ROUND(AE17/AE$8*AE$7*KVARDI,2))</f>
        <v/>
      </c>
      <c r="AG17" s="39"/>
      <c r="AH17" s="40" t="str">
        <f aca="false">IF(OR(INDEX(Undirviðmið!$G$6:$G$105,(COLUMN()-7-1)/2+1)&lt;&gt;"Starfsbundið",AG17="",AG$8="",AG$7=""),"",ROUND(AG17/AG$8*AG$7*KVARDI,2))</f>
        <v/>
      </c>
      <c r="AI17" s="39"/>
      <c r="AJ17" s="40" t="str">
        <f aca="false">IF(OR(INDEX(Undirviðmið!$G$6:$G$105,(COLUMN()-7-1)/2+1)&lt;&gt;"Starfsbundið",AI17="",AI$8="",AI$7=""),"",ROUND(AI17/AI$8*AI$7*KVARDI,2))</f>
        <v/>
      </c>
      <c r="AK17" s="39"/>
      <c r="AL17" s="40" t="str">
        <f aca="false">IF(OR(INDEX(Undirviðmið!$G$6:$G$105,(COLUMN()-7-1)/2+1)&lt;&gt;"Starfsbundið",AK17="",AK$8="",AK$7=""),"",ROUND(AK17/AK$8*AK$7*KVARDI,2))</f>
        <v/>
      </c>
      <c r="AM17" s="39"/>
      <c r="AN17" s="40" t="str">
        <f aca="false">IF(OR(INDEX(Undirviðmið!$G$6:$G$105,(COLUMN()-7-1)/2+1)&lt;&gt;"Starfsbundið",AM17="",AM$8="",AM$7=""),"",ROUND(AM17/AM$8*AM$7*KVARDI,2))</f>
        <v/>
      </c>
      <c r="AO17" s="39"/>
      <c r="AP17" s="40" t="str">
        <f aca="false">IF(OR(INDEX(Undirviðmið!$G$6:$G$105,(COLUMN()-7-1)/2+1)&lt;&gt;"Starfsbundið",AO17="",AO$8="",AO$7=""),"",ROUND(AO17/AO$8*AO$7*KVARDI,2))</f>
        <v/>
      </c>
      <c r="AQ17" s="39"/>
      <c r="AR17" s="40" t="str">
        <f aca="false">IF(OR(INDEX(Undirviðmið!$G$6:$G$105,(COLUMN()-7-1)/2+1)&lt;&gt;"Starfsbundið",AQ17="",AQ$8="",AQ$7=""),"",ROUND(AQ17/AQ$8*AQ$7*KVARDI,2))</f>
        <v/>
      </c>
      <c r="AS17" s="39"/>
      <c r="AT17" s="40" t="str">
        <f aca="false">IF(OR(INDEX(Undirviðmið!$G$6:$G$105,(COLUMN()-7-1)/2+1)&lt;&gt;"Starfsbundið",AS17="",AS$8="",AS$7=""),"",ROUND(AS17/AS$8*AS$7*KVARDI,2))</f>
        <v/>
      </c>
      <c r="AU17" s="39"/>
      <c r="AV17" s="40" t="str">
        <f aca="false">IF(OR(INDEX(Undirviðmið!$G$6:$G$105,(COLUMN()-7-1)/2+1)&lt;&gt;"Starfsbundið",AU17="",AU$8="",AU$7=""),"",ROUND(AU17/AU$8*AU$7*KVARDI,2))</f>
        <v/>
      </c>
      <c r="AW17" s="39"/>
      <c r="AX17" s="40" t="str">
        <f aca="false">IF(OR(INDEX(Undirviðmið!$G$6:$G$105,(COLUMN()-7-1)/2+1)&lt;&gt;"Starfsbundið",AW17="",AW$8="",AW$7=""),"",ROUND(AW17/AW$8*AW$7*KVARDI,2))</f>
        <v/>
      </c>
      <c r="AY17" s="39"/>
      <c r="AZ17" s="40" t="str">
        <f aca="false">IF(OR(INDEX(Undirviðmið!$G$6:$G$105,(COLUMN()-7-1)/2+1)&lt;&gt;"Starfsbundið",AY17="",AY$8="",AY$7=""),"",ROUND(AY17/AY$8*AY$7*KVARDI,2))</f>
        <v/>
      </c>
      <c r="BA17" s="39"/>
      <c r="BB17" s="40" t="str">
        <f aca="false">IF(OR(INDEX(Undirviðmið!$G$6:$G$105,(COLUMN()-7-1)/2+1)&lt;&gt;"Starfsbundið",BA17="",BA$8="",BA$7=""),"",ROUND(BA17/BA$8*BA$7*KVARDI,2))</f>
        <v/>
      </c>
      <c r="BC17" s="39"/>
      <c r="BD17" s="40" t="str">
        <f aca="false">IF(OR(INDEX(Undirviðmið!$G$6:$G$105,(COLUMN()-7-1)/2+1)&lt;&gt;"Starfsbundið",BC17="",BC$8="",BC$7=""),"",ROUND(BC17/BC$8*BC$7*KVARDI,2))</f>
        <v/>
      </c>
      <c r="BE17" s="39"/>
      <c r="BF17" s="40" t="str">
        <f aca="false">IF(OR(INDEX(Undirviðmið!$G$6:$G$105,(COLUMN()-7-1)/2+1)&lt;&gt;"Starfsbundið",BE17="",BE$8="",BE$7=""),"",ROUND(BE17/BE$8*BE$7*KVARDI,2))</f>
        <v/>
      </c>
      <c r="BG17" s="39"/>
      <c r="BH17" s="40" t="str">
        <f aca="false">IF(OR(INDEX(Undirviðmið!$G$6:$G$105,(COLUMN()-7-1)/2+1)&lt;&gt;"Starfsbundið",BG17="",BG$8="",BG$7=""),"",ROUND(BG17/BG$8*BG$7*KVARDI,2))</f>
        <v/>
      </c>
      <c r="BI17" s="39"/>
      <c r="BJ17" s="40" t="str">
        <f aca="false">IF(OR(INDEX(Undirviðmið!$G$6:$G$105,(COLUMN()-7-1)/2+1)&lt;&gt;"Starfsbundið",BI17="",BI$8="",BI$7=""),"",ROUND(BI17/BI$8*BI$7*KVARDI,2))</f>
        <v/>
      </c>
      <c r="BK17" s="39"/>
      <c r="BL17" s="40" t="str">
        <f aca="false">IF(OR(INDEX(Undirviðmið!$G$6:$G$105,(COLUMN()-7-1)/2+1)&lt;&gt;"Starfsbundið",BK17="",BK$8="",BK$7=""),"",ROUND(BK17/BK$8*BK$7*KVARDI,2))</f>
        <v/>
      </c>
      <c r="BM17" s="39"/>
      <c r="BN17" s="40" t="str">
        <f aca="false">IF(OR(INDEX(Undirviðmið!$G$6:$G$105,(COLUMN()-7-1)/2+1)&lt;&gt;"Starfsbundið",BM17="",BM$8="",BM$7=""),"",ROUND(BM17/BM$8*BM$7*KVARDI,2))</f>
        <v/>
      </c>
      <c r="BO17" s="39"/>
      <c r="BP17" s="40" t="str">
        <f aca="false">IF(OR(INDEX(Undirviðmið!$G$6:$G$105,(COLUMN()-7-1)/2+1)&lt;&gt;"Starfsbundið",BO17="",BO$8="",BO$7=""),"",ROUND(BO17/BO$8*BO$7*KVARDI,2))</f>
        <v/>
      </c>
      <c r="BQ17" s="39"/>
      <c r="BR17" s="40" t="str">
        <f aca="false">IF(OR(INDEX(Undirviðmið!$G$6:$G$105,(COLUMN()-7-1)/2+1)&lt;&gt;"Starfsbundið",BQ17="",BQ$8="",BQ$7=""),"",ROUND(BQ17/BQ$8*BQ$7*KVARDI,2))</f>
        <v/>
      </c>
      <c r="BS17" s="39"/>
      <c r="BT17" s="40" t="str">
        <f aca="false">IF(OR(INDEX(Undirviðmið!$G$6:$G$105,(COLUMN()-7-1)/2+1)&lt;&gt;"Starfsbundið",BS17="",BS$8="",BS$7=""),"",ROUND(BS17/BS$8*BS$7*KVARDI,2))</f>
        <v/>
      </c>
      <c r="BU17" s="39"/>
      <c r="BV17" s="40" t="str">
        <f aca="false">IF(OR(INDEX(Undirviðmið!$G$6:$G$105,(COLUMN()-7-1)/2+1)&lt;&gt;"Starfsbundið",BU17="",BU$8="",BU$7=""),"",ROUND(BU17/BU$8*BU$7*KVARDI,2))</f>
        <v/>
      </c>
      <c r="BW17" s="39"/>
      <c r="BX17" s="40" t="str">
        <f aca="false">IF(OR(INDEX(Undirviðmið!$G$6:$G$105,(COLUMN()-7-1)/2+1)&lt;&gt;"Starfsbundið",BW17="",BW$8="",BW$7=""),"",ROUND(BW17/BW$8*BW$7*KVARDI,2))</f>
        <v/>
      </c>
      <c r="BY17" s="39"/>
      <c r="BZ17" s="40" t="str">
        <f aca="false">IF(OR(INDEX(Undirviðmið!$G$6:$G$105,(COLUMN()-7-1)/2+1)&lt;&gt;"Starfsbundið",BY17="",BY$8="",BY$7=""),"",ROUND(BY17/BY$8*BY$7*KVARDI,2))</f>
        <v/>
      </c>
      <c r="CA17" s="39"/>
      <c r="CB17" s="40" t="str">
        <f aca="false">IF(OR(INDEX(Undirviðmið!$G$6:$G$105,(COLUMN()-7-1)/2+1)&lt;&gt;"Starfsbundið",CA17="",CA$8="",CA$7=""),"",ROUND(CA17/CA$8*CA$7*KVARDI,2))</f>
        <v/>
      </c>
      <c r="CC17" s="39"/>
      <c r="CD17" s="40" t="str">
        <f aca="false">IF(OR(INDEX(Undirviðmið!$G$6:$G$105,(COLUMN()-7-1)/2+1)&lt;&gt;"Starfsbundið",CC17="",CC$8="",CC$7=""),"",ROUND(CC17/CC$8*CC$7*KVARDI,2))</f>
        <v/>
      </c>
      <c r="CE17" s="39"/>
      <c r="CF17" s="40" t="str">
        <f aca="false">IF(OR(INDEX(Undirviðmið!$G$6:$G$105,(COLUMN()-7-1)/2+1)&lt;&gt;"Starfsbundið",CE17="",CE$8="",CE$7=""),"",ROUND(CE17/CE$8*CE$7*KVARDI,2))</f>
        <v/>
      </c>
      <c r="CG17" s="39"/>
      <c r="CH17" s="40" t="str">
        <f aca="false">IF(OR(INDEX(Undirviðmið!$G$6:$G$105,(COLUMN()-7-1)/2+1)&lt;&gt;"Starfsbundið",CG17="",CG$8="",CG$7=""),"",ROUND(CG17/CG$8*CG$7*KVARDI,2))</f>
        <v/>
      </c>
      <c r="CI17" s="39"/>
      <c r="CJ17" s="40" t="str">
        <f aca="false">IF(OR(INDEX(Undirviðmið!$G$6:$G$105,(COLUMN()-7-1)/2+1)&lt;&gt;"Starfsbundið",CI17="",CI$8="",CI$7=""),"",ROUND(CI17/CI$8*CI$7*KVARDI,2))</f>
        <v/>
      </c>
      <c r="CK17" s="39"/>
      <c r="CL17" s="40" t="str">
        <f aca="false">IF(OR(INDEX(Undirviðmið!$G$6:$G$105,(COLUMN()-7-1)/2+1)&lt;&gt;"Starfsbundið",CK17="",CK$8="",CK$7=""),"",ROUND(CK17/CK$8*CK$7*KVARDI,2))</f>
        <v/>
      </c>
      <c r="CM17" s="39"/>
      <c r="CN17" s="40" t="str">
        <f aca="false">IF(OR(INDEX(Undirviðmið!$G$6:$G$105,(COLUMN()-7-1)/2+1)&lt;&gt;"Starfsbundið",CM17="",CM$8="",CM$7=""),"",ROUND(CM17/CM$8*CM$7*KVARDI,2))</f>
        <v/>
      </c>
      <c r="CO17" s="39"/>
      <c r="CP17" s="40" t="str">
        <f aca="false">IF(OR(INDEX(Undirviðmið!$G$6:$G$105,(COLUMN()-7-1)/2+1)&lt;&gt;"Starfsbundið",CO17="",CO$8="",CO$7=""),"",ROUND(CO17/CO$8*CO$7*KVARDI,2))</f>
        <v/>
      </c>
      <c r="CQ17" s="39"/>
      <c r="CR17" s="40" t="str">
        <f aca="false">IF(OR(INDEX(Undirviðmið!$G$6:$G$105,(COLUMN()-7-1)/2+1)&lt;&gt;"Starfsbundið",CQ17="",CQ$8="",CQ$7=""),"",ROUND(CQ17/CQ$8*CQ$7*KVARDI,2))</f>
        <v/>
      </c>
      <c r="CS17" s="39"/>
      <c r="CT17" s="40" t="str">
        <f aca="false">IF(OR(INDEX(Undirviðmið!$G$6:$G$105,(COLUMN()-7-1)/2+1)&lt;&gt;"Starfsbundið",CS17="",CS$8="",CS$7=""),"",ROUND(CS17/CS$8*CS$7*KVARDI,2))</f>
        <v/>
      </c>
      <c r="CU17" s="39"/>
      <c r="CV17" s="40" t="str">
        <f aca="false">IF(OR(INDEX(Undirviðmið!$G$6:$G$105,(COLUMN()-7-1)/2+1)&lt;&gt;"Starfsbundið",CU17="",CU$8="",CU$7=""),"",ROUND(CU17/CU$8*CU$7*KVARDI,2))</f>
        <v/>
      </c>
      <c r="CW17" s="39"/>
      <c r="CX17" s="40" t="str">
        <f aca="false">IF(OR(INDEX(Undirviðmið!$G$6:$G$105,(COLUMN()-7-1)/2+1)&lt;&gt;"Starfsbundið",CW17="",CW$8="",CW$7=""),"",ROUND(CW17/CW$8*CW$7*KVARDI,2))</f>
        <v/>
      </c>
      <c r="CY17" s="39"/>
      <c r="CZ17" s="40" t="str">
        <f aca="false">IF(OR(INDEX(Undirviðmið!$G$6:$G$105,(COLUMN()-7-1)/2+1)&lt;&gt;"Starfsbundið",CY17="",CY$8="",CY$7=""),"",ROUND(CY17/CY$8*CY$7*KVARDI,2))</f>
        <v/>
      </c>
      <c r="DA17" s="39"/>
      <c r="DB17" s="40" t="str">
        <f aca="false">IF(OR(INDEX(Undirviðmið!$G$6:$G$105,(COLUMN()-7-1)/2+1)&lt;&gt;"Starfsbundið",DA17="",DA$8="",DA$7=""),"",ROUND(DA17/DA$8*DA$7*KVARDI,2))</f>
        <v/>
      </c>
      <c r="DC17" s="39"/>
      <c r="DD17" s="40" t="str">
        <f aca="false">IF(OR(INDEX(Undirviðmið!$G$6:$G$105,(COLUMN()-7-1)/2+1)&lt;&gt;"Starfsbundið",DC17="",DC$8="",DC$7=""),"",ROUND(DC17/DC$8*DC$7*KVARDI,2))</f>
        <v/>
      </c>
      <c r="DE17" s="39"/>
      <c r="DF17" s="40" t="str">
        <f aca="false">IF(OR(INDEX(Undirviðmið!$G$6:$G$105,(COLUMN()-7-1)/2+1)&lt;&gt;"Starfsbundið",DE17="",DE$8="",DE$7=""),"",ROUND(DE17/DE$8*DE$7*KVARDI,2))</f>
        <v/>
      </c>
      <c r="DG17" s="39"/>
      <c r="DH17" s="40" t="str">
        <f aca="false">IF(OR(INDEX(Undirviðmið!$G$6:$G$105,(COLUMN()-7-1)/2+1)&lt;&gt;"Starfsbundið",DG17="",DG$8="",DG$7=""),"",ROUND(DG17/DG$8*DG$7*KVARDI,2))</f>
        <v/>
      </c>
      <c r="DI17" s="39"/>
      <c r="DJ17" s="40" t="str">
        <f aca="false">IF(OR(INDEX(Undirviðmið!$G$6:$G$105,(COLUMN()-7-1)/2+1)&lt;&gt;"Starfsbundið",DI17="",DI$8="",DI$7=""),"",ROUND(DI17/DI$8*DI$7*KVARDI,2))</f>
        <v/>
      </c>
      <c r="DK17" s="39"/>
      <c r="DL17" s="40" t="str">
        <f aca="false">IF(OR(INDEX(Undirviðmið!$G$6:$G$105,(COLUMN()-7-1)/2+1)&lt;&gt;"Starfsbundið",DK17="",DK$8="",DK$7=""),"",ROUND(DK17/DK$8*DK$7*KVARDI,2))</f>
        <v/>
      </c>
      <c r="DM17" s="39"/>
      <c r="DN17" s="40" t="str">
        <f aca="false">IF(OR(INDEX(Undirviðmið!$G$6:$G$105,(COLUMN()-7-1)/2+1)&lt;&gt;"Starfsbundið",DM17="",DM$8="",DM$7=""),"",ROUND(DM17/DM$8*DM$7*KVARDI,2))</f>
        <v/>
      </c>
      <c r="DO17" s="39"/>
      <c r="DP17" s="40" t="str">
        <f aca="false">IF(OR(INDEX(Undirviðmið!$G$6:$G$105,(COLUMN()-7-1)/2+1)&lt;&gt;"Starfsbundið",DO17="",DO$8="",DO$7=""),"",ROUND(DO17/DO$8*DO$7*KVARDI,2))</f>
        <v/>
      </c>
      <c r="DQ17" s="39"/>
      <c r="DR17" s="40" t="str">
        <f aca="false">IF(OR(INDEX(Undirviðmið!$G$6:$G$105,(COLUMN()-7-1)/2+1)&lt;&gt;"Starfsbundið",DQ17="",DQ$8="",DQ$7=""),"",ROUND(DQ17/DQ$8*DQ$7*KVARDI,2))</f>
        <v/>
      </c>
      <c r="DS17" s="39"/>
      <c r="DT17" s="40" t="str">
        <f aca="false">IF(OR(INDEX(Undirviðmið!$G$6:$G$105,(COLUMN()-7-1)/2+1)&lt;&gt;"Starfsbundið",DS17="",DS$8="",DS$7=""),"",ROUND(DS17/DS$8*DS$7*KVARDI,2))</f>
        <v/>
      </c>
      <c r="DU17" s="39"/>
      <c r="DV17" s="40" t="str">
        <f aca="false">IF(OR(INDEX(Undirviðmið!$G$6:$G$105,(COLUMN()-7-1)/2+1)&lt;&gt;"Starfsbundið",DU17="",DU$8="",DU$7=""),"",ROUND(DU17/DU$8*DU$7*KVARDI,2))</f>
        <v/>
      </c>
      <c r="DW17" s="39"/>
      <c r="DX17" s="40" t="str">
        <f aca="false">IF(OR(INDEX(Undirviðmið!$G$6:$G$105,(COLUMN()-7-1)/2+1)&lt;&gt;"Starfsbundið",DW17="",DW$8="",DW$7=""),"",ROUND(DW17/DW$8*DW$7*KVARDI,2))</f>
        <v/>
      </c>
      <c r="DY17" s="39"/>
      <c r="DZ17" s="40" t="str">
        <f aca="false">IF(OR(INDEX(Undirviðmið!$G$6:$G$105,(COLUMN()-7-1)/2+1)&lt;&gt;"Starfsbundið",DY17="",DY$8="",DY$7=""),"",ROUND(DY17/DY$8*DY$7*KVARDI,2))</f>
        <v/>
      </c>
      <c r="EA17" s="39"/>
      <c r="EB17" s="40" t="str">
        <f aca="false">IF(OR(INDEX(Undirviðmið!$G$6:$G$105,(COLUMN()-7-1)/2+1)&lt;&gt;"Starfsbundið",EA17="",EA$8="",EA$7=""),"",ROUND(EA17/EA$8*EA$7*KVARDI,2))</f>
        <v/>
      </c>
      <c r="EC17" s="39"/>
      <c r="ED17" s="40" t="str">
        <f aca="false">IF(OR(INDEX(Undirviðmið!$G$6:$G$105,(COLUMN()-7-1)/2+1)&lt;&gt;"Starfsbundið",EC17="",EC$8="",EC$7=""),"",ROUND(EC17/EC$8*EC$7*KVARDI,2))</f>
        <v/>
      </c>
      <c r="EE17" s="39"/>
      <c r="EF17" s="40" t="str">
        <f aca="false">IF(OR(INDEX(Undirviðmið!$G$6:$G$105,(COLUMN()-7-1)/2+1)&lt;&gt;"Starfsbundið",EE17="",EE$8="",EE$7=""),"",ROUND(EE17/EE$8*EE$7*KVARDI,2))</f>
        <v/>
      </c>
      <c r="EG17" s="39"/>
      <c r="EH17" s="40" t="str">
        <f aca="false">IF(OR(INDEX(Undirviðmið!$G$6:$G$105,(COLUMN()-7-1)/2+1)&lt;&gt;"Starfsbundið",EG17="",EG$8="",EG$7=""),"",ROUND(EG17/EG$8*EG$7*KVARDI,2))</f>
        <v/>
      </c>
      <c r="EI17" s="39"/>
      <c r="EJ17" s="40" t="str">
        <f aca="false">IF(OR(INDEX(Undirviðmið!$G$6:$G$105,(COLUMN()-7-1)/2+1)&lt;&gt;"Starfsbundið",EI17="",EI$8="",EI$7=""),"",ROUND(EI17/EI$8*EI$7*KVARDI,2))</f>
        <v/>
      </c>
      <c r="EK17" s="39"/>
      <c r="EL17" s="40" t="str">
        <f aca="false">IF(OR(INDEX(Undirviðmið!$G$6:$G$105,(COLUMN()-7-1)/2+1)&lt;&gt;"Starfsbundið",EK17="",EK$8="",EK$7=""),"",ROUND(EK17/EK$8*EK$7*KVARDI,2))</f>
        <v/>
      </c>
      <c r="EM17" s="39"/>
      <c r="EN17" s="40" t="str">
        <f aca="false">IF(OR(INDEX(Undirviðmið!$G$6:$G$105,(COLUMN()-7-1)/2+1)&lt;&gt;"Starfsbundið",EM17="",EM$8="",EM$7=""),"",ROUND(EM17/EM$8*EM$7*KVARDI,2))</f>
        <v/>
      </c>
      <c r="EO17" s="39"/>
      <c r="EP17" s="40" t="str">
        <f aca="false">IF(OR(INDEX(Undirviðmið!$G$6:$G$105,(COLUMN()-7-1)/2+1)&lt;&gt;"Starfsbundið",EO17="",EO$8="",EO$7=""),"",ROUND(EO17/EO$8*EO$7*KVARDI,2))</f>
        <v/>
      </c>
      <c r="EQ17" s="39"/>
      <c r="ER17" s="40" t="str">
        <f aca="false">IF(OR(INDEX(Undirviðmið!$G$6:$G$105,(COLUMN()-7-1)/2+1)&lt;&gt;"Starfsbundið",EQ17="",EQ$8="",EQ$7=""),"",ROUND(EQ17/EQ$8*EQ$7*KVARDI,2))</f>
        <v/>
      </c>
      <c r="ES17" s="39"/>
      <c r="ET17" s="40" t="str">
        <f aca="false">IF(OR(INDEX(Undirviðmið!$G$6:$G$105,(COLUMN()-7-1)/2+1)&lt;&gt;"Starfsbundið",ES17="",ES$8="",ES$7=""),"",ROUND(ES17/ES$8*ES$7*KVARDI,2))</f>
        <v/>
      </c>
      <c r="EU17" s="39"/>
      <c r="EV17" s="40" t="str">
        <f aca="false">IF(OR(INDEX(Undirviðmið!$G$6:$G$105,(COLUMN()-7-1)/2+1)&lt;&gt;"Starfsbundið",EU17="",EU$8="",EU$7=""),"",ROUND(EU17/EU$8*EU$7*KVARDI,2))</f>
        <v/>
      </c>
      <c r="EW17" s="39"/>
      <c r="EX17" s="40" t="str">
        <f aca="false">IF(OR(INDEX(Undirviðmið!$G$6:$G$105,(COLUMN()-7-1)/2+1)&lt;&gt;"Starfsbundið",EW17="",EW$8="",EW$7=""),"",ROUND(EW17/EW$8*EW$7*KVARDI,2))</f>
        <v/>
      </c>
      <c r="EY17" s="39"/>
      <c r="EZ17" s="40" t="str">
        <f aca="false">IF(OR(INDEX(Undirviðmið!$G$6:$G$105,(COLUMN()-7-1)/2+1)&lt;&gt;"Starfsbundið",EY17="",EY$8="",EY$7=""),"",ROUND(EY17/EY$8*EY$7*KVARDI,2))</f>
        <v/>
      </c>
      <c r="FA17" s="39"/>
      <c r="FB17" s="40" t="str">
        <f aca="false">IF(OR(INDEX(Undirviðmið!$G$6:$G$105,(COLUMN()-7-1)/2+1)&lt;&gt;"Starfsbundið",FA17="",FA$8="",FA$7=""),"",ROUND(FA17/FA$8*FA$7*KVARDI,2))</f>
        <v/>
      </c>
      <c r="FC17" s="39"/>
      <c r="FD17" s="40" t="str">
        <f aca="false">IF(OR(INDEX(Undirviðmið!$G$6:$G$105,(COLUMN()-7-1)/2+1)&lt;&gt;"Starfsbundið",FC17="",FC$8="",FC$7=""),"",ROUND(FC17/FC$8*FC$7*KVARDI,2))</f>
        <v/>
      </c>
      <c r="FE17" s="39"/>
      <c r="FF17" s="40" t="str">
        <f aca="false">IF(OR(INDEX(Undirviðmið!$G$6:$G$105,(COLUMN()-7-1)/2+1)&lt;&gt;"Starfsbundið",FE17="",FE$8="",FE$7=""),"",ROUND(FE17/FE$8*FE$7*KVARDI,2))</f>
        <v/>
      </c>
      <c r="FG17" s="39"/>
      <c r="FH17" s="40" t="str">
        <f aca="false">IF(OR(INDEX(Undirviðmið!$G$6:$G$105,(COLUMN()-7-1)/2+1)&lt;&gt;"Starfsbundið",FG17="",FG$8="",FG$7=""),"",ROUND(FG17/FG$8*FG$7*KVARDI,2))</f>
        <v/>
      </c>
      <c r="FI17" s="39"/>
      <c r="FJ17" s="40" t="str">
        <f aca="false">IF(OR(INDEX(Undirviðmið!$G$6:$G$105,(COLUMN()-7-1)/2+1)&lt;&gt;"Starfsbundið",FI17="",FI$8="",FI$7=""),"",ROUND(FI17/FI$8*FI$7*KVARDI,2))</f>
        <v/>
      </c>
      <c r="FK17" s="39"/>
      <c r="FL17" s="40" t="str">
        <f aca="false">IF(OR(INDEX(Undirviðmið!$G$6:$G$105,(COLUMN()-7-1)/2+1)&lt;&gt;"Starfsbundið",FK17="",FK$8="",FK$7=""),"",ROUND(FK17/FK$8*FK$7*KVARDI,2))</f>
        <v/>
      </c>
      <c r="FM17" s="39"/>
      <c r="FN17" s="40" t="str">
        <f aca="false">IF(OR(INDEX(Undirviðmið!$G$6:$G$105,(COLUMN()-7-1)/2+1)&lt;&gt;"Starfsbundið",FM17="",FM$8="",FM$7=""),"",ROUND(FM17/FM$8*FM$7*KVARDI,2))</f>
        <v/>
      </c>
      <c r="FO17" s="39"/>
      <c r="FP17" s="40" t="str">
        <f aca="false">IF(OR(INDEX(Undirviðmið!$G$6:$G$105,(COLUMN()-7-1)/2+1)&lt;&gt;"Starfsbundið",FO17="",FO$8="",FO$7=""),"",ROUND(FO17/FO$8*FO$7*KVARDI,2))</f>
        <v/>
      </c>
      <c r="FQ17" s="39"/>
      <c r="FR17" s="40" t="str">
        <f aca="false">IF(OR(INDEX(Undirviðmið!$G$6:$G$105,(COLUMN()-7-1)/2+1)&lt;&gt;"Starfsbundið",FQ17="",FQ$8="",FQ$7=""),"",ROUND(FQ17/FQ$8*FQ$7*KVARDI,2))</f>
        <v/>
      </c>
      <c r="FS17" s="39"/>
      <c r="FT17" s="40" t="str">
        <f aca="false">IF(OR(INDEX(Undirviðmið!$G$6:$G$105,(COLUMN()-7-1)/2+1)&lt;&gt;"Starfsbundið",FS17="",FS$8="",FS$7=""),"",ROUND(FS17/FS$8*FS$7*KVARDI,2))</f>
        <v/>
      </c>
      <c r="FU17" s="39"/>
      <c r="FV17" s="40" t="str">
        <f aca="false">IF(OR(INDEX(Undirviðmið!$G$6:$G$105,(COLUMN()-7-1)/2+1)&lt;&gt;"Starfsbundið",FU17="",FU$8="",FU$7=""),"",ROUND(FU17/FU$8*FU$7*KVARDI,2))</f>
        <v/>
      </c>
      <c r="FW17" s="39"/>
      <c r="FX17" s="40" t="str">
        <f aca="false">IF(OR(INDEX(Undirviðmið!$G$6:$G$105,(COLUMN()-7-1)/2+1)&lt;&gt;"Starfsbundið",FW17="",FW$8="",FW$7=""),"",ROUND(FW17/FW$8*FW$7*KVARDI,2))</f>
        <v/>
      </c>
      <c r="FY17" s="39"/>
      <c r="FZ17" s="40" t="str">
        <f aca="false">IF(OR(INDEX(Undirviðmið!$G$6:$G$105,(COLUMN()-7-1)/2+1)&lt;&gt;"Starfsbundið",FY17="",FY$8="",FY$7=""),"",ROUND(FY17/FY$8*FY$7*KVARDI,2))</f>
        <v/>
      </c>
      <c r="GA17" s="39"/>
      <c r="GB17" s="40" t="str">
        <f aca="false">IF(OR(INDEX(Undirviðmið!$G$6:$G$105,(COLUMN()-7-1)/2+1)&lt;&gt;"Starfsbundið",GA17="",GA$8="",GA$7=""),"",ROUND(GA17/GA$8*GA$7*KVARDI,2))</f>
        <v/>
      </c>
      <c r="GC17" s="39"/>
      <c r="GD17" s="40" t="str">
        <f aca="false">IF(OR(INDEX(Undirviðmið!$G$6:$G$105,(COLUMN()-7-1)/2+1)&lt;&gt;"Starfsbundið",GC17="",GC$8="",GC$7=""),"",ROUND(GC17/GC$8*GC$7*KVARDI,2))</f>
        <v/>
      </c>
      <c r="GE17" s="39"/>
      <c r="GF17" s="40" t="str">
        <f aca="false">IF(OR(INDEX(Undirviðmið!$G$6:$G$105,(COLUMN()-7-1)/2+1)&lt;&gt;"Starfsbundið",GE17="",GE$8="",GE$7=""),"",ROUND(GE17/GE$8*GE$7*KVARDI,2))</f>
        <v/>
      </c>
      <c r="GG17" s="39"/>
      <c r="GH17" s="40" t="str">
        <f aca="false">IF(OR(INDEX(Undirviðmið!$G$6:$G$105,(COLUMN()-7-1)/2+1)&lt;&gt;"Starfsbundið",GG17="",GG$8="",GG$7=""),"",ROUND(GG17/GG$8*GG$7*KVARDI,2))</f>
        <v/>
      </c>
      <c r="GI17" s="39"/>
      <c r="GJ17" s="40" t="str">
        <f aca="false">IF(OR(INDEX(Undirviðmið!$G$6:$G$105,(COLUMN()-7-1)/2+1)&lt;&gt;"Starfsbundið",GI17="",GI$8="",GI$7=""),"",ROUND(GI17/GI$8*GI$7*KVARDI,2))</f>
        <v/>
      </c>
      <c r="GK17" s="39"/>
      <c r="GL17" s="40" t="str">
        <f aca="false">IF(OR(INDEX(Undirviðmið!$G$6:$G$105,(COLUMN()-7-1)/2+1)&lt;&gt;"Starfsbundið",GK17="",GK$8="",GK$7=""),"",ROUND(GK17/GK$8*GK$7*KVARDI,2))</f>
        <v/>
      </c>
      <c r="GM17" s="39"/>
      <c r="GN17" s="40" t="str">
        <f aca="false">IF(OR(INDEX(Undirviðmið!$G$6:$G$105,(COLUMN()-7-1)/2+1)&lt;&gt;"Starfsbundið",GM17="",GM$8="",GM$7=""),"",ROUND(GM17/GM$8*GM$7*KVARDI,2))</f>
        <v/>
      </c>
      <c r="GO17" s="39"/>
      <c r="GP17" s="40" t="str">
        <f aca="false">IF(OR(INDEX(Undirviðmið!$G$6:$G$105,(COLUMN()-7-1)/2+1)&lt;&gt;"Starfsbundið",GO17="",GO$8="",GO$7=""),"",ROUND(GO17/GO$8*GO$7*KVARDI,2))</f>
        <v/>
      </c>
      <c r="GQ17" s="39"/>
      <c r="GR17" s="40" t="str">
        <f aca="false">IF(OR(INDEX(Undirviðmið!$G$6:$G$105,(COLUMN()-7-1)/2+1)&lt;&gt;"Starfsbundið",GQ17="",GQ$8="",GQ$7=""),"",ROUND(GQ17/GQ$8*GQ$7*KVARDI,2))</f>
        <v/>
      </c>
      <c r="GS17" s="39"/>
      <c r="GT17" s="40" t="str">
        <f aca="false">IF(OR(INDEX(Undirviðmið!$G$6:$G$105,(COLUMN()-7-1)/2+1)&lt;&gt;"Starfsbundið",GS17="",GS$8="",GS$7=""),"",ROUND(GS17/GS$8*GS$7*KVARDI,2))</f>
        <v/>
      </c>
      <c r="GU17" s="39"/>
      <c r="GV17" s="40" t="str">
        <f aca="false">IF(OR(INDEX(Undirviðmið!$G$6:$G$105,(COLUMN()-7-1)/2+1)&lt;&gt;"Starfsbundið",GU17="",GU$8="",GU$7=""),"",ROUND(GU17/GU$8*GU$7*KVARDI,2))</f>
        <v/>
      </c>
      <c r="GW17" s="39"/>
      <c r="GX17" s="40" t="str">
        <f aca="false">IF(OR(INDEX(Undirviðmið!$G$6:$G$105,(COLUMN()-7-1)/2+1)&lt;&gt;"Starfsbundið",GW17="",GW$8="",GW$7=""),"",ROUND(GW17/GW$8*GW$7*KVARDI,2))</f>
        <v/>
      </c>
      <c r="GZ17" s="20"/>
    </row>
    <row r="18" customFormat="false" ht="15" hidden="false" customHeight="true" outlineLevel="0" collapsed="false">
      <c r="B18" s="37" t="str">
        <f aca="false" t="array" ref="B18:B18">IFERROR(INDEX(Starfsmenn!$C$6:$C$10005,MATCH(0,COUNTIF($B$11:B17,Starfsmenn!$C$6:$C$10005)+(Starfsmenn!$C$6:$C$10005=""),0)),"")</f>
        <v/>
      </c>
      <c r="C18" s="38" t="n">
        <f aca="false">IFERROR(SUMIF($G$10:$GX$10,"Stig",$G18:$GX18),0)</f>
        <v>0</v>
      </c>
      <c r="G18" s="39"/>
      <c r="H18" s="40" t="str">
        <f aca="false">IF(OR(INDEX(Undirviðmið!$G$6:$G$105,(COLUMN()-7-1)/2+1)&lt;&gt;"Starfsbundið",G18="",G$8="",G$7=""),"",ROUND(G18/G$8*G$7*KVARDI,2))</f>
        <v/>
      </c>
      <c r="I18" s="39"/>
      <c r="J18" s="40" t="str">
        <f aca="false">IF(OR(INDEX(Undirviðmið!$G$6:$G$105,(COLUMN()-7-1)/2+1)&lt;&gt;"Starfsbundið",I18="",I$8="",I$7=""),"",ROUND(I18/I$8*I$7*KVARDI,2))</f>
        <v/>
      </c>
      <c r="K18" s="39"/>
      <c r="L18" s="40" t="str">
        <f aca="false">IF(OR(INDEX(Undirviðmið!$G$6:$G$105,(COLUMN()-7-1)/2+1)&lt;&gt;"Starfsbundið",K18="",K$8="",K$7=""),"",ROUND(K18/K$8*K$7*KVARDI,2))</f>
        <v/>
      </c>
      <c r="M18" s="39"/>
      <c r="N18" s="40" t="str">
        <f aca="false">IF(OR(INDEX(Undirviðmið!$G$6:$G$105,(COLUMN()-7-1)/2+1)&lt;&gt;"Starfsbundið",M18="",M$8="",M$7=""),"",ROUND(M18/M$8*M$7*KVARDI,2))</f>
        <v/>
      </c>
      <c r="O18" s="39"/>
      <c r="P18" s="40" t="str">
        <f aca="false">IF(OR(INDEX(Undirviðmið!$G$6:$G$105,(COLUMN()-7-1)/2+1)&lt;&gt;"Starfsbundið",O18="",O$8="",O$7=""),"",ROUND(O18/O$8*O$7*KVARDI,2))</f>
        <v/>
      </c>
      <c r="Q18" s="39"/>
      <c r="R18" s="40" t="str">
        <f aca="false">IF(OR(INDEX(Undirviðmið!$G$6:$G$105,(COLUMN()-7-1)/2+1)&lt;&gt;"Starfsbundið",Q18="",Q$8="",Q$7=""),"",ROUND(Q18/Q$8*Q$7*KVARDI,2))</f>
        <v/>
      </c>
      <c r="S18" s="39"/>
      <c r="T18" s="40" t="str">
        <f aca="false">IF(OR(INDEX(Undirviðmið!$G$6:$G$105,(COLUMN()-7-1)/2+1)&lt;&gt;"Starfsbundið",S18="",S$8="",S$7=""),"",ROUND(S18/S$8*S$7*KVARDI,2))</f>
        <v/>
      </c>
      <c r="U18" s="39"/>
      <c r="V18" s="40" t="str">
        <f aca="false">IF(OR(INDEX(Undirviðmið!$G$6:$G$105,(COLUMN()-7-1)/2+1)&lt;&gt;"Starfsbundið",U18="",U$8="",U$7=""),"",ROUND(U18/U$8*U$7*KVARDI,2))</f>
        <v/>
      </c>
      <c r="W18" s="39"/>
      <c r="X18" s="40" t="str">
        <f aca="false">IF(OR(INDEX(Undirviðmið!$G$6:$G$105,(COLUMN()-7-1)/2+1)&lt;&gt;"Starfsbundið",W18="",W$8="",W$7=""),"",ROUND(W18/W$8*W$7*KVARDI,2))</f>
        <v/>
      </c>
      <c r="Y18" s="39"/>
      <c r="Z18" s="40" t="str">
        <f aca="false">IF(OR(INDEX(Undirviðmið!$G$6:$G$105,(COLUMN()-7-1)/2+1)&lt;&gt;"Starfsbundið",Y18="",Y$8="",Y$7=""),"",ROUND(Y18/Y$8*Y$7*KVARDI,2))</f>
        <v/>
      </c>
      <c r="AA18" s="39"/>
      <c r="AB18" s="40" t="str">
        <f aca="false">IF(OR(INDEX(Undirviðmið!$G$6:$G$105,(COLUMN()-7-1)/2+1)&lt;&gt;"Starfsbundið",AA18="",AA$8="",AA$7=""),"",ROUND(AA18/AA$8*AA$7*KVARDI,2))</f>
        <v/>
      </c>
      <c r="AC18" s="39"/>
      <c r="AD18" s="40" t="str">
        <f aca="false">IF(OR(INDEX(Undirviðmið!$G$6:$G$105,(COLUMN()-7-1)/2+1)&lt;&gt;"Starfsbundið",AC18="",AC$8="",AC$7=""),"",ROUND(AC18/AC$8*AC$7*KVARDI,2))</f>
        <v/>
      </c>
      <c r="AE18" s="39"/>
      <c r="AF18" s="40" t="str">
        <f aca="false">IF(OR(INDEX(Undirviðmið!$G$6:$G$105,(COLUMN()-7-1)/2+1)&lt;&gt;"Starfsbundið",AE18="",AE$8="",AE$7=""),"",ROUND(AE18/AE$8*AE$7*KVARDI,2))</f>
        <v/>
      </c>
      <c r="AG18" s="39"/>
      <c r="AH18" s="40" t="str">
        <f aca="false">IF(OR(INDEX(Undirviðmið!$G$6:$G$105,(COLUMN()-7-1)/2+1)&lt;&gt;"Starfsbundið",AG18="",AG$8="",AG$7=""),"",ROUND(AG18/AG$8*AG$7*KVARDI,2))</f>
        <v/>
      </c>
      <c r="AI18" s="39"/>
      <c r="AJ18" s="40" t="str">
        <f aca="false">IF(OR(INDEX(Undirviðmið!$G$6:$G$105,(COLUMN()-7-1)/2+1)&lt;&gt;"Starfsbundið",AI18="",AI$8="",AI$7=""),"",ROUND(AI18/AI$8*AI$7*KVARDI,2))</f>
        <v/>
      </c>
      <c r="AK18" s="39"/>
      <c r="AL18" s="40" t="str">
        <f aca="false">IF(OR(INDEX(Undirviðmið!$G$6:$G$105,(COLUMN()-7-1)/2+1)&lt;&gt;"Starfsbundið",AK18="",AK$8="",AK$7=""),"",ROUND(AK18/AK$8*AK$7*KVARDI,2))</f>
        <v/>
      </c>
      <c r="AM18" s="39"/>
      <c r="AN18" s="40" t="str">
        <f aca="false">IF(OR(INDEX(Undirviðmið!$G$6:$G$105,(COLUMN()-7-1)/2+1)&lt;&gt;"Starfsbundið",AM18="",AM$8="",AM$7=""),"",ROUND(AM18/AM$8*AM$7*KVARDI,2))</f>
        <v/>
      </c>
      <c r="AO18" s="39"/>
      <c r="AP18" s="40" t="str">
        <f aca="false">IF(OR(INDEX(Undirviðmið!$G$6:$G$105,(COLUMN()-7-1)/2+1)&lt;&gt;"Starfsbundið",AO18="",AO$8="",AO$7=""),"",ROUND(AO18/AO$8*AO$7*KVARDI,2))</f>
        <v/>
      </c>
      <c r="AQ18" s="39"/>
      <c r="AR18" s="40" t="str">
        <f aca="false">IF(OR(INDEX(Undirviðmið!$G$6:$G$105,(COLUMN()-7-1)/2+1)&lt;&gt;"Starfsbundið",AQ18="",AQ$8="",AQ$7=""),"",ROUND(AQ18/AQ$8*AQ$7*KVARDI,2))</f>
        <v/>
      </c>
      <c r="AS18" s="39"/>
      <c r="AT18" s="40" t="str">
        <f aca="false">IF(OR(INDEX(Undirviðmið!$G$6:$G$105,(COLUMN()-7-1)/2+1)&lt;&gt;"Starfsbundið",AS18="",AS$8="",AS$7=""),"",ROUND(AS18/AS$8*AS$7*KVARDI,2))</f>
        <v/>
      </c>
      <c r="AU18" s="39"/>
      <c r="AV18" s="40" t="str">
        <f aca="false">IF(OR(INDEX(Undirviðmið!$G$6:$G$105,(COLUMN()-7-1)/2+1)&lt;&gt;"Starfsbundið",AU18="",AU$8="",AU$7=""),"",ROUND(AU18/AU$8*AU$7*KVARDI,2))</f>
        <v/>
      </c>
      <c r="AW18" s="39"/>
      <c r="AX18" s="40" t="str">
        <f aca="false">IF(OR(INDEX(Undirviðmið!$G$6:$G$105,(COLUMN()-7-1)/2+1)&lt;&gt;"Starfsbundið",AW18="",AW$8="",AW$7=""),"",ROUND(AW18/AW$8*AW$7*KVARDI,2))</f>
        <v/>
      </c>
      <c r="AY18" s="39"/>
      <c r="AZ18" s="40" t="str">
        <f aca="false">IF(OR(INDEX(Undirviðmið!$G$6:$G$105,(COLUMN()-7-1)/2+1)&lt;&gt;"Starfsbundið",AY18="",AY$8="",AY$7=""),"",ROUND(AY18/AY$8*AY$7*KVARDI,2))</f>
        <v/>
      </c>
      <c r="BA18" s="39"/>
      <c r="BB18" s="40" t="str">
        <f aca="false">IF(OR(INDEX(Undirviðmið!$G$6:$G$105,(COLUMN()-7-1)/2+1)&lt;&gt;"Starfsbundið",BA18="",BA$8="",BA$7=""),"",ROUND(BA18/BA$8*BA$7*KVARDI,2))</f>
        <v/>
      </c>
      <c r="BC18" s="39"/>
      <c r="BD18" s="40" t="str">
        <f aca="false">IF(OR(INDEX(Undirviðmið!$G$6:$G$105,(COLUMN()-7-1)/2+1)&lt;&gt;"Starfsbundið",BC18="",BC$8="",BC$7=""),"",ROUND(BC18/BC$8*BC$7*KVARDI,2))</f>
        <v/>
      </c>
      <c r="BE18" s="39"/>
      <c r="BF18" s="40" t="str">
        <f aca="false">IF(OR(INDEX(Undirviðmið!$G$6:$G$105,(COLUMN()-7-1)/2+1)&lt;&gt;"Starfsbundið",BE18="",BE$8="",BE$7=""),"",ROUND(BE18/BE$8*BE$7*KVARDI,2))</f>
        <v/>
      </c>
      <c r="BG18" s="39"/>
      <c r="BH18" s="40" t="str">
        <f aca="false">IF(OR(INDEX(Undirviðmið!$G$6:$G$105,(COLUMN()-7-1)/2+1)&lt;&gt;"Starfsbundið",BG18="",BG$8="",BG$7=""),"",ROUND(BG18/BG$8*BG$7*KVARDI,2))</f>
        <v/>
      </c>
      <c r="BI18" s="39"/>
      <c r="BJ18" s="40" t="str">
        <f aca="false">IF(OR(INDEX(Undirviðmið!$G$6:$G$105,(COLUMN()-7-1)/2+1)&lt;&gt;"Starfsbundið",BI18="",BI$8="",BI$7=""),"",ROUND(BI18/BI$8*BI$7*KVARDI,2))</f>
        <v/>
      </c>
      <c r="BK18" s="39"/>
      <c r="BL18" s="40" t="str">
        <f aca="false">IF(OR(INDEX(Undirviðmið!$G$6:$G$105,(COLUMN()-7-1)/2+1)&lt;&gt;"Starfsbundið",BK18="",BK$8="",BK$7=""),"",ROUND(BK18/BK$8*BK$7*KVARDI,2))</f>
        <v/>
      </c>
      <c r="BM18" s="39"/>
      <c r="BN18" s="40" t="str">
        <f aca="false">IF(OR(INDEX(Undirviðmið!$G$6:$G$105,(COLUMN()-7-1)/2+1)&lt;&gt;"Starfsbundið",BM18="",BM$8="",BM$7=""),"",ROUND(BM18/BM$8*BM$7*KVARDI,2))</f>
        <v/>
      </c>
      <c r="BO18" s="39"/>
      <c r="BP18" s="40" t="str">
        <f aca="false">IF(OR(INDEX(Undirviðmið!$G$6:$G$105,(COLUMN()-7-1)/2+1)&lt;&gt;"Starfsbundið",BO18="",BO$8="",BO$7=""),"",ROUND(BO18/BO$8*BO$7*KVARDI,2))</f>
        <v/>
      </c>
      <c r="BQ18" s="39"/>
      <c r="BR18" s="40" t="str">
        <f aca="false">IF(OR(INDEX(Undirviðmið!$G$6:$G$105,(COLUMN()-7-1)/2+1)&lt;&gt;"Starfsbundið",BQ18="",BQ$8="",BQ$7=""),"",ROUND(BQ18/BQ$8*BQ$7*KVARDI,2))</f>
        <v/>
      </c>
      <c r="BS18" s="39"/>
      <c r="BT18" s="40" t="str">
        <f aca="false">IF(OR(INDEX(Undirviðmið!$G$6:$G$105,(COLUMN()-7-1)/2+1)&lt;&gt;"Starfsbundið",BS18="",BS$8="",BS$7=""),"",ROUND(BS18/BS$8*BS$7*KVARDI,2))</f>
        <v/>
      </c>
      <c r="BU18" s="39"/>
      <c r="BV18" s="40" t="str">
        <f aca="false">IF(OR(INDEX(Undirviðmið!$G$6:$G$105,(COLUMN()-7-1)/2+1)&lt;&gt;"Starfsbundið",BU18="",BU$8="",BU$7=""),"",ROUND(BU18/BU$8*BU$7*KVARDI,2))</f>
        <v/>
      </c>
      <c r="BW18" s="39"/>
      <c r="BX18" s="40" t="str">
        <f aca="false">IF(OR(INDEX(Undirviðmið!$G$6:$G$105,(COLUMN()-7-1)/2+1)&lt;&gt;"Starfsbundið",BW18="",BW$8="",BW$7=""),"",ROUND(BW18/BW$8*BW$7*KVARDI,2))</f>
        <v/>
      </c>
      <c r="BY18" s="39"/>
      <c r="BZ18" s="40" t="str">
        <f aca="false">IF(OR(INDEX(Undirviðmið!$G$6:$G$105,(COLUMN()-7-1)/2+1)&lt;&gt;"Starfsbundið",BY18="",BY$8="",BY$7=""),"",ROUND(BY18/BY$8*BY$7*KVARDI,2))</f>
        <v/>
      </c>
      <c r="CA18" s="39"/>
      <c r="CB18" s="40" t="str">
        <f aca="false">IF(OR(INDEX(Undirviðmið!$G$6:$G$105,(COLUMN()-7-1)/2+1)&lt;&gt;"Starfsbundið",CA18="",CA$8="",CA$7=""),"",ROUND(CA18/CA$8*CA$7*KVARDI,2))</f>
        <v/>
      </c>
      <c r="CC18" s="39"/>
      <c r="CD18" s="40" t="str">
        <f aca="false">IF(OR(INDEX(Undirviðmið!$G$6:$G$105,(COLUMN()-7-1)/2+1)&lt;&gt;"Starfsbundið",CC18="",CC$8="",CC$7=""),"",ROUND(CC18/CC$8*CC$7*KVARDI,2))</f>
        <v/>
      </c>
      <c r="CE18" s="39"/>
      <c r="CF18" s="40" t="str">
        <f aca="false">IF(OR(INDEX(Undirviðmið!$G$6:$G$105,(COLUMN()-7-1)/2+1)&lt;&gt;"Starfsbundið",CE18="",CE$8="",CE$7=""),"",ROUND(CE18/CE$8*CE$7*KVARDI,2))</f>
        <v/>
      </c>
      <c r="CG18" s="39"/>
      <c r="CH18" s="40" t="str">
        <f aca="false">IF(OR(INDEX(Undirviðmið!$G$6:$G$105,(COLUMN()-7-1)/2+1)&lt;&gt;"Starfsbundið",CG18="",CG$8="",CG$7=""),"",ROUND(CG18/CG$8*CG$7*KVARDI,2))</f>
        <v/>
      </c>
      <c r="CI18" s="39"/>
      <c r="CJ18" s="40" t="str">
        <f aca="false">IF(OR(INDEX(Undirviðmið!$G$6:$G$105,(COLUMN()-7-1)/2+1)&lt;&gt;"Starfsbundið",CI18="",CI$8="",CI$7=""),"",ROUND(CI18/CI$8*CI$7*KVARDI,2))</f>
        <v/>
      </c>
      <c r="CK18" s="39"/>
      <c r="CL18" s="40" t="str">
        <f aca="false">IF(OR(INDEX(Undirviðmið!$G$6:$G$105,(COLUMN()-7-1)/2+1)&lt;&gt;"Starfsbundið",CK18="",CK$8="",CK$7=""),"",ROUND(CK18/CK$8*CK$7*KVARDI,2))</f>
        <v/>
      </c>
      <c r="CM18" s="39"/>
      <c r="CN18" s="40" t="str">
        <f aca="false">IF(OR(INDEX(Undirviðmið!$G$6:$G$105,(COLUMN()-7-1)/2+1)&lt;&gt;"Starfsbundið",CM18="",CM$8="",CM$7=""),"",ROUND(CM18/CM$8*CM$7*KVARDI,2))</f>
        <v/>
      </c>
      <c r="CO18" s="39"/>
      <c r="CP18" s="40" t="str">
        <f aca="false">IF(OR(INDEX(Undirviðmið!$G$6:$G$105,(COLUMN()-7-1)/2+1)&lt;&gt;"Starfsbundið",CO18="",CO$8="",CO$7=""),"",ROUND(CO18/CO$8*CO$7*KVARDI,2))</f>
        <v/>
      </c>
      <c r="CQ18" s="39"/>
      <c r="CR18" s="40" t="str">
        <f aca="false">IF(OR(INDEX(Undirviðmið!$G$6:$G$105,(COLUMN()-7-1)/2+1)&lt;&gt;"Starfsbundið",CQ18="",CQ$8="",CQ$7=""),"",ROUND(CQ18/CQ$8*CQ$7*KVARDI,2))</f>
        <v/>
      </c>
      <c r="CS18" s="39"/>
      <c r="CT18" s="40" t="str">
        <f aca="false">IF(OR(INDEX(Undirviðmið!$G$6:$G$105,(COLUMN()-7-1)/2+1)&lt;&gt;"Starfsbundið",CS18="",CS$8="",CS$7=""),"",ROUND(CS18/CS$8*CS$7*KVARDI,2))</f>
        <v/>
      </c>
      <c r="CU18" s="39"/>
      <c r="CV18" s="40" t="str">
        <f aca="false">IF(OR(INDEX(Undirviðmið!$G$6:$G$105,(COLUMN()-7-1)/2+1)&lt;&gt;"Starfsbundið",CU18="",CU$8="",CU$7=""),"",ROUND(CU18/CU$8*CU$7*KVARDI,2))</f>
        <v/>
      </c>
      <c r="CW18" s="39"/>
      <c r="CX18" s="40" t="str">
        <f aca="false">IF(OR(INDEX(Undirviðmið!$G$6:$G$105,(COLUMN()-7-1)/2+1)&lt;&gt;"Starfsbundið",CW18="",CW$8="",CW$7=""),"",ROUND(CW18/CW$8*CW$7*KVARDI,2))</f>
        <v/>
      </c>
      <c r="CY18" s="39"/>
      <c r="CZ18" s="40" t="str">
        <f aca="false">IF(OR(INDEX(Undirviðmið!$G$6:$G$105,(COLUMN()-7-1)/2+1)&lt;&gt;"Starfsbundið",CY18="",CY$8="",CY$7=""),"",ROUND(CY18/CY$8*CY$7*KVARDI,2))</f>
        <v/>
      </c>
      <c r="DA18" s="39"/>
      <c r="DB18" s="40" t="str">
        <f aca="false">IF(OR(INDEX(Undirviðmið!$G$6:$G$105,(COLUMN()-7-1)/2+1)&lt;&gt;"Starfsbundið",DA18="",DA$8="",DA$7=""),"",ROUND(DA18/DA$8*DA$7*KVARDI,2))</f>
        <v/>
      </c>
      <c r="DC18" s="39"/>
      <c r="DD18" s="40" t="str">
        <f aca="false">IF(OR(INDEX(Undirviðmið!$G$6:$G$105,(COLUMN()-7-1)/2+1)&lt;&gt;"Starfsbundið",DC18="",DC$8="",DC$7=""),"",ROUND(DC18/DC$8*DC$7*KVARDI,2))</f>
        <v/>
      </c>
      <c r="DE18" s="39"/>
      <c r="DF18" s="40" t="str">
        <f aca="false">IF(OR(INDEX(Undirviðmið!$G$6:$G$105,(COLUMN()-7-1)/2+1)&lt;&gt;"Starfsbundið",DE18="",DE$8="",DE$7=""),"",ROUND(DE18/DE$8*DE$7*KVARDI,2))</f>
        <v/>
      </c>
      <c r="DG18" s="39"/>
      <c r="DH18" s="40" t="str">
        <f aca="false">IF(OR(INDEX(Undirviðmið!$G$6:$G$105,(COLUMN()-7-1)/2+1)&lt;&gt;"Starfsbundið",DG18="",DG$8="",DG$7=""),"",ROUND(DG18/DG$8*DG$7*KVARDI,2))</f>
        <v/>
      </c>
      <c r="DI18" s="39"/>
      <c r="DJ18" s="40" t="str">
        <f aca="false">IF(OR(INDEX(Undirviðmið!$G$6:$G$105,(COLUMN()-7-1)/2+1)&lt;&gt;"Starfsbundið",DI18="",DI$8="",DI$7=""),"",ROUND(DI18/DI$8*DI$7*KVARDI,2))</f>
        <v/>
      </c>
      <c r="DK18" s="39"/>
      <c r="DL18" s="40" t="str">
        <f aca="false">IF(OR(INDEX(Undirviðmið!$G$6:$G$105,(COLUMN()-7-1)/2+1)&lt;&gt;"Starfsbundið",DK18="",DK$8="",DK$7=""),"",ROUND(DK18/DK$8*DK$7*KVARDI,2))</f>
        <v/>
      </c>
      <c r="DM18" s="39"/>
      <c r="DN18" s="40" t="str">
        <f aca="false">IF(OR(INDEX(Undirviðmið!$G$6:$G$105,(COLUMN()-7-1)/2+1)&lt;&gt;"Starfsbundið",DM18="",DM$8="",DM$7=""),"",ROUND(DM18/DM$8*DM$7*KVARDI,2))</f>
        <v/>
      </c>
      <c r="DO18" s="39"/>
      <c r="DP18" s="40" t="str">
        <f aca="false">IF(OR(INDEX(Undirviðmið!$G$6:$G$105,(COLUMN()-7-1)/2+1)&lt;&gt;"Starfsbundið",DO18="",DO$8="",DO$7=""),"",ROUND(DO18/DO$8*DO$7*KVARDI,2))</f>
        <v/>
      </c>
      <c r="DQ18" s="39"/>
      <c r="DR18" s="40" t="str">
        <f aca="false">IF(OR(INDEX(Undirviðmið!$G$6:$G$105,(COLUMN()-7-1)/2+1)&lt;&gt;"Starfsbundið",DQ18="",DQ$8="",DQ$7=""),"",ROUND(DQ18/DQ$8*DQ$7*KVARDI,2))</f>
        <v/>
      </c>
      <c r="DS18" s="39"/>
      <c r="DT18" s="40" t="str">
        <f aca="false">IF(OR(INDEX(Undirviðmið!$G$6:$G$105,(COLUMN()-7-1)/2+1)&lt;&gt;"Starfsbundið",DS18="",DS$8="",DS$7=""),"",ROUND(DS18/DS$8*DS$7*KVARDI,2))</f>
        <v/>
      </c>
      <c r="DU18" s="39"/>
      <c r="DV18" s="40" t="str">
        <f aca="false">IF(OR(INDEX(Undirviðmið!$G$6:$G$105,(COLUMN()-7-1)/2+1)&lt;&gt;"Starfsbundið",DU18="",DU$8="",DU$7=""),"",ROUND(DU18/DU$8*DU$7*KVARDI,2))</f>
        <v/>
      </c>
      <c r="DW18" s="39"/>
      <c r="DX18" s="40" t="str">
        <f aca="false">IF(OR(INDEX(Undirviðmið!$G$6:$G$105,(COLUMN()-7-1)/2+1)&lt;&gt;"Starfsbundið",DW18="",DW$8="",DW$7=""),"",ROUND(DW18/DW$8*DW$7*KVARDI,2))</f>
        <v/>
      </c>
      <c r="DY18" s="39"/>
      <c r="DZ18" s="40" t="str">
        <f aca="false">IF(OR(INDEX(Undirviðmið!$G$6:$G$105,(COLUMN()-7-1)/2+1)&lt;&gt;"Starfsbundið",DY18="",DY$8="",DY$7=""),"",ROUND(DY18/DY$8*DY$7*KVARDI,2))</f>
        <v/>
      </c>
      <c r="EA18" s="39"/>
      <c r="EB18" s="40" t="str">
        <f aca="false">IF(OR(INDEX(Undirviðmið!$G$6:$G$105,(COLUMN()-7-1)/2+1)&lt;&gt;"Starfsbundið",EA18="",EA$8="",EA$7=""),"",ROUND(EA18/EA$8*EA$7*KVARDI,2))</f>
        <v/>
      </c>
      <c r="EC18" s="39"/>
      <c r="ED18" s="40" t="str">
        <f aca="false">IF(OR(INDEX(Undirviðmið!$G$6:$G$105,(COLUMN()-7-1)/2+1)&lt;&gt;"Starfsbundið",EC18="",EC$8="",EC$7=""),"",ROUND(EC18/EC$8*EC$7*KVARDI,2))</f>
        <v/>
      </c>
      <c r="EE18" s="39"/>
      <c r="EF18" s="40" t="str">
        <f aca="false">IF(OR(INDEX(Undirviðmið!$G$6:$G$105,(COLUMN()-7-1)/2+1)&lt;&gt;"Starfsbundið",EE18="",EE$8="",EE$7=""),"",ROUND(EE18/EE$8*EE$7*KVARDI,2))</f>
        <v/>
      </c>
      <c r="EG18" s="39"/>
      <c r="EH18" s="40" t="str">
        <f aca="false">IF(OR(INDEX(Undirviðmið!$G$6:$G$105,(COLUMN()-7-1)/2+1)&lt;&gt;"Starfsbundið",EG18="",EG$8="",EG$7=""),"",ROUND(EG18/EG$8*EG$7*KVARDI,2))</f>
        <v/>
      </c>
      <c r="EI18" s="39"/>
      <c r="EJ18" s="40" t="str">
        <f aca="false">IF(OR(INDEX(Undirviðmið!$G$6:$G$105,(COLUMN()-7-1)/2+1)&lt;&gt;"Starfsbundið",EI18="",EI$8="",EI$7=""),"",ROUND(EI18/EI$8*EI$7*KVARDI,2))</f>
        <v/>
      </c>
      <c r="EK18" s="39"/>
      <c r="EL18" s="40" t="str">
        <f aca="false">IF(OR(INDEX(Undirviðmið!$G$6:$G$105,(COLUMN()-7-1)/2+1)&lt;&gt;"Starfsbundið",EK18="",EK$8="",EK$7=""),"",ROUND(EK18/EK$8*EK$7*KVARDI,2))</f>
        <v/>
      </c>
      <c r="EM18" s="39"/>
      <c r="EN18" s="40" t="str">
        <f aca="false">IF(OR(INDEX(Undirviðmið!$G$6:$G$105,(COLUMN()-7-1)/2+1)&lt;&gt;"Starfsbundið",EM18="",EM$8="",EM$7=""),"",ROUND(EM18/EM$8*EM$7*KVARDI,2))</f>
        <v/>
      </c>
      <c r="EO18" s="39"/>
      <c r="EP18" s="40" t="str">
        <f aca="false">IF(OR(INDEX(Undirviðmið!$G$6:$G$105,(COLUMN()-7-1)/2+1)&lt;&gt;"Starfsbundið",EO18="",EO$8="",EO$7=""),"",ROUND(EO18/EO$8*EO$7*KVARDI,2))</f>
        <v/>
      </c>
      <c r="EQ18" s="39"/>
      <c r="ER18" s="40" t="str">
        <f aca="false">IF(OR(INDEX(Undirviðmið!$G$6:$G$105,(COLUMN()-7-1)/2+1)&lt;&gt;"Starfsbundið",EQ18="",EQ$8="",EQ$7=""),"",ROUND(EQ18/EQ$8*EQ$7*KVARDI,2))</f>
        <v/>
      </c>
      <c r="ES18" s="39"/>
      <c r="ET18" s="40" t="str">
        <f aca="false">IF(OR(INDEX(Undirviðmið!$G$6:$G$105,(COLUMN()-7-1)/2+1)&lt;&gt;"Starfsbundið",ES18="",ES$8="",ES$7=""),"",ROUND(ES18/ES$8*ES$7*KVARDI,2))</f>
        <v/>
      </c>
      <c r="EU18" s="39"/>
      <c r="EV18" s="40" t="str">
        <f aca="false">IF(OR(INDEX(Undirviðmið!$G$6:$G$105,(COLUMN()-7-1)/2+1)&lt;&gt;"Starfsbundið",EU18="",EU$8="",EU$7=""),"",ROUND(EU18/EU$8*EU$7*KVARDI,2))</f>
        <v/>
      </c>
      <c r="EW18" s="39"/>
      <c r="EX18" s="40" t="str">
        <f aca="false">IF(OR(INDEX(Undirviðmið!$G$6:$G$105,(COLUMN()-7-1)/2+1)&lt;&gt;"Starfsbundið",EW18="",EW$8="",EW$7=""),"",ROUND(EW18/EW$8*EW$7*KVARDI,2))</f>
        <v/>
      </c>
      <c r="EY18" s="39"/>
      <c r="EZ18" s="40" t="str">
        <f aca="false">IF(OR(INDEX(Undirviðmið!$G$6:$G$105,(COLUMN()-7-1)/2+1)&lt;&gt;"Starfsbundið",EY18="",EY$8="",EY$7=""),"",ROUND(EY18/EY$8*EY$7*KVARDI,2))</f>
        <v/>
      </c>
      <c r="FA18" s="39"/>
      <c r="FB18" s="40" t="str">
        <f aca="false">IF(OR(INDEX(Undirviðmið!$G$6:$G$105,(COLUMN()-7-1)/2+1)&lt;&gt;"Starfsbundið",FA18="",FA$8="",FA$7=""),"",ROUND(FA18/FA$8*FA$7*KVARDI,2))</f>
        <v/>
      </c>
      <c r="FC18" s="39"/>
      <c r="FD18" s="40" t="str">
        <f aca="false">IF(OR(INDEX(Undirviðmið!$G$6:$G$105,(COLUMN()-7-1)/2+1)&lt;&gt;"Starfsbundið",FC18="",FC$8="",FC$7=""),"",ROUND(FC18/FC$8*FC$7*KVARDI,2))</f>
        <v/>
      </c>
      <c r="FE18" s="39"/>
      <c r="FF18" s="40" t="str">
        <f aca="false">IF(OR(INDEX(Undirviðmið!$G$6:$G$105,(COLUMN()-7-1)/2+1)&lt;&gt;"Starfsbundið",FE18="",FE$8="",FE$7=""),"",ROUND(FE18/FE$8*FE$7*KVARDI,2))</f>
        <v/>
      </c>
      <c r="FG18" s="39"/>
      <c r="FH18" s="40" t="str">
        <f aca="false">IF(OR(INDEX(Undirviðmið!$G$6:$G$105,(COLUMN()-7-1)/2+1)&lt;&gt;"Starfsbundið",FG18="",FG$8="",FG$7=""),"",ROUND(FG18/FG$8*FG$7*KVARDI,2))</f>
        <v/>
      </c>
      <c r="FI18" s="39"/>
      <c r="FJ18" s="40" t="str">
        <f aca="false">IF(OR(INDEX(Undirviðmið!$G$6:$G$105,(COLUMN()-7-1)/2+1)&lt;&gt;"Starfsbundið",FI18="",FI$8="",FI$7=""),"",ROUND(FI18/FI$8*FI$7*KVARDI,2))</f>
        <v/>
      </c>
      <c r="FK18" s="39"/>
      <c r="FL18" s="40" t="str">
        <f aca="false">IF(OR(INDEX(Undirviðmið!$G$6:$G$105,(COLUMN()-7-1)/2+1)&lt;&gt;"Starfsbundið",FK18="",FK$8="",FK$7=""),"",ROUND(FK18/FK$8*FK$7*KVARDI,2))</f>
        <v/>
      </c>
      <c r="FM18" s="39"/>
      <c r="FN18" s="40" t="str">
        <f aca="false">IF(OR(INDEX(Undirviðmið!$G$6:$G$105,(COLUMN()-7-1)/2+1)&lt;&gt;"Starfsbundið",FM18="",FM$8="",FM$7=""),"",ROUND(FM18/FM$8*FM$7*KVARDI,2))</f>
        <v/>
      </c>
      <c r="FO18" s="39"/>
      <c r="FP18" s="40" t="str">
        <f aca="false">IF(OR(INDEX(Undirviðmið!$G$6:$G$105,(COLUMN()-7-1)/2+1)&lt;&gt;"Starfsbundið",FO18="",FO$8="",FO$7=""),"",ROUND(FO18/FO$8*FO$7*KVARDI,2))</f>
        <v/>
      </c>
      <c r="FQ18" s="39"/>
      <c r="FR18" s="40" t="str">
        <f aca="false">IF(OR(INDEX(Undirviðmið!$G$6:$G$105,(COLUMN()-7-1)/2+1)&lt;&gt;"Starfsbundið",FQ18="",FQ$8="",FQ$7=""),"",ROUND(FQ18/FQ$8*FQ$7*KVARDI,2))</f>
        <v/>
      </c>
      <c r="FS18" s="39"/>
      <c r="FT18" s="40" t="str">
        <f aca="false">IF(OR(INDEX(Undirviðmið!$G$6:$G$105,(COLUMN()-7-1)/2+1)&lt;&gt;"Starfsbundið",FS18="",FS$8="",FS$7=""),"",ROUND(FS18/FS$8*FS$7*KVARDI,2))</f>
        <v/>
      </c>
      <c r="FU18" s="39"/>
      <c r="FV18" s="40" t="str">
        <f aca="false">IF(OR(INDEX(Undirviðmið!$G$6:$G$105,(COLUMN()-7-1)/2+1)&lt;&gt;"Starfsbundið",FU18="",FU$8="",FU$7=""),"",ROUND(FU18/FU$8*FU$7*KVARDI,2))</f>
        <v/>
      </c>
      <c r="FW18" s="39"/>
      <c r="FX18" s="40" t="str">
        <f aca="false">IF(OR(INDEX(Undirviðmið!$G$6:$G$105,(COLUMN()-7-1)/2+1)&lt;&gt;"Starfsbundið",FW18="",FW$8="",FW$7=""),"",ROUND(FW18/FW$8*FW$7*KVARDI,2))</f>
        <v/>
      </c>
      <c r="FY18" s="39"/>
      <c r="FZ18" s="40" t="str">
        <f aca="false">IF(OR(INDEX(Undirviðmið!$G$6:$G$105,(COLUMN()-7-1)/2+1)&lt;&gt;"Starfsbundið",FY18="",FY$8="",FY$7=""),"",ROUND(FY18/FY$8*FY$7*KVARDI,2))</f>
        <v/>
      </c>
      <c r="GA18" s="39"/>
      <c r="GB18" s="40" t="str">
        <f aca="false">IF(OR(INDEX(Undirviðmið!$G$6:$G$105,(COLUMN()-7-1)/2+1)&lt;&gt;"Starfsbundið",GA18="",GA$8="",GA$7=""),"",ROUND(GA18/GA$8*GA$7*KVARDI,2))</f>
        <v/>
      </c>
      <c r="GC18" s="39"/>
      <c r="GD18" s="40" t="str">
        <f aca="false">IF(OR(INDEX(Undirviðmið!$G$6:$G$105,(COLUMN()-7-1)/2+1)&lt;&gt;"Starfsbundið",GC18="",GC$8="",GC$7=""),"",ROUND(GC18/GC$8*GC$7*KVARDI,2))</f>
        <v/>
      </c>
      <c r="GE18" s="39"/>
      <c r="GF18" s="40" t="str">
        <f aca="false">IF(OR(INDEX(Undirviðmið!$G$6:$G$105,(COLUMN()-7-1)/2+1)&lt;&gt;"Starfsbundið",GE18="",GE$8="",GE$7=""),"",ROUND(GE18/GE$8*GE$7*KVARDI,2))</f>
        <v/>
      </c>
      <c r="GG18" s="39"/>
      <c r="GH18" s="40" t="str">
        <f aca="false">IF(OR(INDEX(Undirviðmið!$G$6:$G$105,(COLUMN()-7-1)/2+1)&lt;&gt;"Starfsbundið",GG18="",GG$8="",GG$7=""),"",ROUND(GG18/GG$8*GG$7*KVARDI,2))</f>
        <v/>
      </c>
      <c r="GI18" s="39"/>
      <c r="GJ18" s="40" t="str">
        <f aca="false">IF(OR(INDEX(Undirviðmið!$G$6:$G$105,(COLUMN()-7-1)/2+1)&lt;&gt;"Starfsbundið",GI18="",GI$8="",GI$7=""),"",ROUND(GI18/GI$8*GI$7*KVARDI,2))</f>
        <v/>
      </c>
      <c r="GK18" s="39"/>
      <c r="GL18" s="40" t="str">
        <f aca="false">IF(OR(INDEX(Undirviðmið!$G$6:$G$105,(COLUMN()-7-1)/2+1)&lt;&gt;"Starfsbundið",GK18="",GK$8="",GK$7=""),"",ROUND(GK18/GK$8*GK$7*KVARDI,2))</f>
        <v/>
      </c>
      <c r="GM18" s="39"/>
      <c r="GN18" s="40" t="str">
        <f aca="false">IF(OR(INDEX(Undirviðmið!$G$6:$G$105,(COLUMN()-7-1)/2+1)&lt;&gt;"Starfsbundið",GM18="",GM$8="",GM$7=""),"",ROUND(GM18/GM$8*GM$7*KVARDI,2))</f>
        <v/>
      </c>
      <c r="GO18" s="39"/>
      <c r="GP18" s="40" t="str">
        <f aca="false">IF(OR(INDEX(Undirviðmið!$G$6:$G$105,(COLUMN()-7-1)/2+1)&lt;&gt;"Starfsbundið",GO18="",GO$8="",GO$7=""),"",ROUND(GO18/GO$8*GO$7*KVARDI,2))</f>
        <v/>
      </c>
      <c r="GQ18" s="39"/>
      <c r="GR18" s="40" t="str">
        <f aca="false">IF(OR(INDEX(Undirviðmið!$G$6:$G$105,(COLUMN()-7-1)/2+1)&lt;&gt;"Starfsbundið",GQ18="",GQ$8="",GQ$7=""),"",ROUND(GQ18/GQ$8*GQ$7*KVARDI,2))</f>
        <v/>
      </c>
      <c r="GS18" s="39"/>
      <c r="GT18" s="40" t="str">
        <f aca="false">IF(OR(INDEX(Undirviðmið!$G$6:$G$105,(COLUMN()-7-1)/2+1)&lt;&gt;"Starfsbundið",GS18="",GS$8="",GS$7=""),"",ROUND(GS18/GS$8*GS$7*KVARDI,2))</f>
        <v/>
      </c>
      <c r="GU18" s="39"/>
      <c r="GV18" s="40" t="str">
        <f aca="false">IF(OR(INDEX(Undirviðmið!$G$6:$G$105,(COLUMN()-7-1)/2+1)&lt;&gt;"Starfsbundið",GU18="",GU$8="",GU$7=""),"",ROUND(GU18/GU$8*GU$7*KVARDI,2))</f>
        <v/>
      </c>
      <c r="GW18" s="39"/>
      <c r="GX18" s="40" t="str">
        <f aca="false">IF(OR(INDEX(Undirviðmið!$G$6:$G$105,(COLUMN()-7-1)/2+1)&lt;&gt;"Starfsbundið",GW18="",GW$8="",GW$7=""),"",ROUND(GW18/GW$8*GW$7*KVARDI,2))</f>
        <v/>
      </c>
      <c r="GZ18" s="20"/>
    </row>
    <row r="19" customFormat="false" ht="15" hidden="true" customHeight="true" outlineLevel="1" collapsed="false">
      <c r="B19" s="37" t="str">
        <f aca="false" t="array" ref="B19:B19">IFERROR(INDEX(Starfsmenn!$C$6:$C$10005,MATCH(0,COUNTIF($B$11:B18,Starfsmenn!$C$6:$C$10005)+(Starfsmenn!$C$6:$C$10005=""),0)),"")</f>
        <v/>
      </c>
      <c r="C19" s="38" t="n">
        <f aca="false">IFERROR(SUMIF($G$10:$GX$10,"Stig",$G19:$GX19),0)</f>
        <v>0</v>
      </c>
      <c r="G19" s="39"/>
      <c r="H19" s="40" t="str">
        <f aca="false">IF(OR(INDEX(Undirviðmið!$G$6:$G$105,(COLUMN()-7-1)/2+1)&lt;&gt;"Starfsbundið",G19="",G$8="",G$7=""),"",ROUND(G19/G$8*G$7*KVARDI,2))</f>
        <v/>
      </c>
      <c r="I19" s="39"/>
      <c r="J19" s="40" t="str">
        <f aca="false">IF(OR(INDEX(Undirviðmið!$G$6:$G$105,(COLUMN()-7-1)/2+1)&lt;&gt;"Starfsbundið",I19="",I$8="",I$7=""),"",ROUND(I19/I$8*I$7*KVARDI,2))</f>
        <v/>
      </c>
      <c r="K19" s="39"/>
      <c r="L19" s="40" t="str">
        <f aca="false">IF(OR(INDEX(Undirviðmið!$G$6:$G$105,(COLUMN()-7-1)/2+1)&lt;&gt;"Starfsbundið",K19="",K$8="",K$7=""),"",ROUND(K19/K$8*K$7*KVARDI,2))</f>
        <v/>
      </c>
      <c r="M19" s="39"/>
      <c r="N19" s="40" t="str">
        <f aca="false">IF(OR(INDEX(Undirviðmið!$G$6:$G$105,(COLUMN()-7-1)/2+1)&lt;&gt;"Starfsbundið",M19="",M$8="",M$7=""),"",ROUND(M19/M$8*M$7*KVARDI,2))</f>
        <v/>
      </c>
      <c r="O19" s="39"/>
      <c r="P19" s="40" t="str">
        <f aca="false">IF(OR(INDEX(Undirviðmið!$G$6:$G$105,(COLUMN()-7-1)/2+1)&lt;&gt;"Starfsbundið",O19="",O$8="",O$7=""),"",ROUND(O19/O$8*O$7*KVARDI,2))</f>
        <v/>
      </c>
      <c r="Q19" s="39"/>
      <c r="R19" s="40" t="str">
        <f aca="false">IF(OR(INDEX(Undirviðmið!$G$6:$G$105,(COLUMN()-7-1)/2+1)&lt;&gt;"Starfsbundið",Q19="",Q$8="",Q$7=""),"",ROUND(Q19/Q$8*Q$7*KVARDI,2))</f>
        <v/>
      </c>
      <c r="S19" s="39"/>
      <c r="T19" s="40" t="str">
        <f aca="false">IF(OR(INDEX(Undirviðmið!$G$6:$G$105,(COLUMN()-7-1)/2+1)&lt;&gt;"Starfsbundið",S19="",S$8="",S$7=""),"",ROUND(S19/S$8*S$7*KVARDI,2))</f>
        <v/>
      </c>
      <c r="U19" s="39"/>
      <c r="V19" s="40" t="str">
        <f aca="false">IF(OR(INDEX(Undirviðmið!$G$6:$G$105,(COLUMN()-7-1)/2+1)&lt;&gt;"Starfsbundið",U19="",U$8="",U$7=""),"",ROUND(U19/U$8*U$7*KVARDI,2))</f>
        <v/>
      </c>
      <c r="W19" s="39"/>
      <c r="X19" s="40" t="str">
        <f aca="false">IF(OR(INDEX(Undirviðmið!$G$6:$G$105,(COLUMN()-7-1)/2+1)&lt;&gt;"Starfsbundið",W19="",W$8="",W$7=""),"",ROUND(W19/W$8*W$7*KVARDI,2))</f>
        <v/>
      </c>
      <c r="Y19" s="39"/>
      <c r="Z19" s="40" t="str">
        <f aca="false">IF(OR(INDEX(Undirviðmið!$G$6:$G$105,(COLUMN()-7-1)/2+1)&lt;&gt;"Starfsbundið",Y19="",Y$8="",Y$7=""),"",ROUND(Y19/Y$8*Y$7*KVARDI,2))</f>
        <v/>
      </c>
      <c r="AA19" s="39"/>
      <c r="AB19" s="40" t="str">
        <f aca="false">IF(OR(INDEX(Undirviðmið!$G$6:$G$105,(COLUMN()-7-1)/2+1)&lt;&gt;"Starfsbundið",AA19="",AA$8="",AA$7=""),"",ROUND(AA19/AA$8*AA$7*KVARDI,2))</f>
        <v/>
      </c>
      <c r="AC19" s="39"/>
      <c r="AD19" s="40" t="str">
        <f aca="false">IF(OR(INDEX(Undirviðmið!$G$6:$G$105,(COLUMN()-7-1)/2+1)&lt;&gt;"Starfsbundið",AC19="",AC$8="",AC$7=""),"",ROUND(AC19/AC$8*AC$7*KVARDI,2))</f>
        <v/>
      </c>
      <c r="AE19" s="39"/>
      <c r="AF19" s="40" t="str">
        <f aca="false">IF(OR(INDEX(Undirviðmið!$G$6:$G$105,(COLUMN()-7-1)/2+1)&lt;&gt;"Starfsbundið",AE19="",AE$8="",AE$7=""),"",ROUND(AE19/AE$8*AE$7*KVARDI,2))</f>
        <v/>
      </c>
      <c r="AG19" s="39"/>
      <c r="AH19" s="40" t="str">
        <f aca="false">IF(OR(INDEX(Undirviðmið!$G$6:$G$105,(COLUMN()-7-1)/2+1)&lt;&gt;"Starfsbundið",AG19="",AG$8="",AG$7=""),"",ROUND(AG19/AG$8*AG$7*KVARDI,2))</f>
        <v/>
      </c>
      <c r="AI19" s="39"/>
      <c r="AJ19" s="40" t="str">
        <f aca="false">IF(OR(INDEX(Undirviðmið!$G$6:$G$105,(COLUMN()-7-1)/2+1)&lt;&gt;"Starfsbundið",AI19="",AI$8="",AI$7=""),"",ROUND(AI19/AI$8*AI$7*KVARDI,2))</f>
        <v/>
      </c>
      <c r="AK19" s="39"/>
      <c r="AL19" s="40" t="str">
        <f aca="false">IF(OR(INDEX(Undirviðmið!$G$6:$G$105,(COLUMN()-7-1)/2+1)&lt;&gt;"Starfsbundið",AK19="",AK$8="",AK$7=""),"",ROUND(AK19/AK$8*AK$7*KVARDI,2))</f>
        <v/>
      </c>
      <c r="AM19" s="39"/>
      <c r="AN19" s="40" t="str">
        <f aca="false">IF(OR(INDEX(Undirviðmið!$G$6:$G$105,(COLUMN()-7-1)/2+1)&lt;&gt;"Starfsbundið",AM19="",AM$8="",AM$7=""),"",ROUND(AM19/AM$8*AM$7*KVARDI,2))</f>
        <v/>
      </c>
      <c r="AO19" s="39"/>
      <c r="AP19" s="40" t="str">
        <f aca="false">IF(OR(INDEX(Undirviðmið!$G$6:$G$105,(COLUMN()-7-1)/2+1)&lt;&gt;"Starfsbundið",AO19="",AO$8="",AO$7=""),"",ROUND(AO19/AO$8*AO$7*KVARDI,2))</f>
        <v/>
      </c>
      <c r="AQ19" s="39"/>
      <c r="AR19" s="40" t="str">
        <f aca="false">IF(OR(INDEX(Undirviðmið!$G$6:$G$105,(COLUMN()-7-1)/2+1)&lt;&gt;"Starfsbundið",AQ19="",AQ$8="",AQ$7=""),"",ROUND(AQ19/AQ$8*AQ$7*KVARDI,2))</f>
        <v/>
      </c>
      <c r="AS19" s="39"/>
      <c r="AT19" s="40" t="str">
        <f aca="false">IF(OR(INDEX(Undirviðmið!$G$6:$G$105,(COLUMN()-7-1)/2+1)&lt;&gt;"Starfsbundið",AS19="",AS$8="",AS$7=""),"",ROUND(AS19/AS$8*AS$7*KVARDI,2))</f>
        <v/>
      </c>
      <c r="AU19" s="39"/>
      <c r="AV19" s="40" t="str">
        <f aca="false">IF(OR(INDEX(Undirviðmið!$G$6:$G$105,(COLUMN()-7-1)/2+1)&lt;&gt;"Starfsbundið",AU19="",AU$8="",AU$7=""),"",ROUND(AU19/AU$8*AU$7*KVARDI,2))</f>
        <v/>
      </c>
      <c r="AW19" s="39"/>
      <c r="AX19" s="40" t="str">
        <f aca="false">IF(OR(INDEX(Undirviðmið!$G$6:$G$105,(COLUMN()-7-1)/2+1)&lt;&gt;"Starfsbundið",AW19="",AW$8="",AW$7=""),"",ROUND(AW19/AW$8*AW$7*KVARDI,2))</f>
        <v/>
      </c>
      <c r="AY19" s="39"/>
      <c r="AZ19" s="40" t="str">
        <f aca="false">IF(OR(INDEX(Undirviðmið!$G$6:$G$105,(COLUMN()-7-1)/2+1)&lt;&gt;"Starfsbundið",AY19="",AY$8="",AY$7=""),"",ROUND(AY19/AY$8*AY$7*KVARDI,2))</f>
        <v/>
      </c>
      <c r="BA19" s="39"/>
      <c r="BB19" s="40" t="str">
        <f aca="false">IF(OR(INDEX(Undirviðmið!$G$6:$G$105,(COLUMN()-7-1)/2+1)&lt;&gt;"Starfsbundið",BA19="",BA$8="",BA$7=""),"",ROUND(BA19/BA$8*BA$7*KVARDI,2))</f>
        <v/>
      </c>
      <c r="BC19" s="39"/>
      <c r="BD19" s="40" t="str">
        <f aca="false">IF(OR(INDEX(Undirviðmið!$G$6:$G$105,(COLUMN()-7-1)/2+1)&lt;&gt;"Starfsbundið",BC19="",BC$8="",BC$7=""),"",ROUND(BC19/BC$8*BC$7*KVARDI,2))</f>
        <v/>
      </c>
      <c r="BE19" s="39"/>
      <c r="BF19" s="40" t="str">
        <f aca="false">IF(OR(INDEX(Undirviðmið!$G$6:$G$105,(COLUMN()-7-1)/2+1)&lt;&gt;"Starfsbundið",BE19="",BE$8="",BE$7=""),"",ROUND(BE19/BE$8*BE$7*KVARDI,2))</f>
        <v/>
      </c>
      <c r="BG19" s="39"/>
      <c r="BH19" s="40" t="str">
        <f aca="false">IF(OR(INDEX(Undirviðmið!$G$6:$G$105,(COLUMN()-7-1)/2+1)&lt;&gt;"Starfsbundið",BG19="",BG$8="",BG$7=""),"",ROUND(BG19/BG$8*BG$7*KVARDI,2))</f>
        <v/>
      </c>
      <c r="BI19" s="39"/>
      <c r="BJ19" s="40" t="str">
        <f aca="false">IF(OR(INDEX(Undirviðmið!$G$6:$G$105,(COLUMN()-7-1)/2+1)&lt;&gt;"Starfsbundið",BI19="",BI$8="",BI$7=""),"",ROUND(BI19/BI$8*BI$7*KVARDI,2))</f>
        <v/>
      </c>
      <c r="BK19" s="39"/>
      <c r="BL19" s="40" t="str">
        <f aca="false">IF(OR(INDEX(Undirviðmið!$G$6:$G$105,(COLUMN()-7-1)/2+1)&lt;&gt;"Starfsbundið",BK19="",BK$8="",BK$7=""),"",ROUND(BK19/BK$8*BK$7*KVARDI,2))</f>
        <v/>
      </c>
      <c r="BM19" s="39"/>
      <c r="BN19" s="40" t="str">
        <f aca="false">IF(OR(INDEX(Undirviðmið!$G$6:$G$105,(COLUMN()-7-1)/2+1)&lt;&gt;"Starfsbundið",BM19="",BM$8="",BM$7=""),"",ROUND(BM19/BM$8*BM$7*KVARDI,2))</f>
        <v/>
      </c>
      <c r="BO19" s="39"/>
      <c r="BP19" s="40" t="str">
        <f aca="false">IF(OR(INDEX(Undirviðmið!$G$6:$G$105,(COLUMN()-7-1)/2+1)&lt;&gt;"Starfsbundið",BO19="",BO$8="",BO$7=""),"",ROUND(BO19/BO$8*BO$7*KVARDI,2))</f>
        <v/>
      </c>
      <c r="BQ19" s="39"/>
      <c r="BR19" s="40" t="str">
        <f aca="false">IF(OR(INDEX(Undirviðmið!$G$6:$G$105,(COLUMN()-7-1)/2+1)&lt;&gt;"Starfsbundið",BQ19="",BQ$8="",BQ$7=""),"",ROUND(BQ19/BQ$8*BQ$7*KVARDI,2))</f>
        <v/>
      </c>
      <c r="BS19" s="39"/>
      <c r="BT19" s="40" t="str">
        <f aca="false">IF(OR(INDEX(Undirviðmið!$G$6:$G$105,(COLUMN()-7-1)/2+1)&lt;&gt;"Starfsbundið",BS19="",BS$8="",BS$7=""),"",ROUND(BS19/BS$8*BS$7*KVARDI,2))</f>
        <v/>
      </c>
      <c r="BU19" s="39"/>
      <c r="BV19" s="40" t="str">
        <f aca="false">IF(OR(INDEX(Undirviðmið!$G$6:$G$105,(COLUMN()-7-1)/2+1)&lt;&gt;"Starfsbundið",BU19="",BU$8="",BU$7=""),"",ROUND(BU19/BU$8*BU$7*KVARDI,2))</f>
        <v/>
      </c>
      <c r="BW19" s="39"/>
      <c r="BX19" s="40" t="str">
        <f aca="false">IF(OR(INDEX(Undirviðmið!$G$6:$G$105,(COLUMN()-7-1)/2+1)&lt;&gt;"Starfsbundið",BW19="",BW$8="",BW$7=""),"",ROUND(BW19/BW$8*BW$7*KVARDI,2))</f>
        <v/>
      </c>
      <c r="BY19" s="39"/>
      <c r="BZ19" s="40" t="str">
        <f aca="false">IF(OR(INDEX(Undirviðmið!$G$6:$G$105,(COLUMN()-7-1)/2+1)&lt;&gt;"Starfsbundið",BY19="",BY$8="",BY$7=""),"",ROUND(BY19/BY$8*BY$7*KVARDI,2))</f>
        <v/>
      </c>
      <c r="CA19" s="39"/>
      <c r="CB19" s="40" t="str">
        <f aca="false">IF(OR(INDEX(Undirviðmið!$G$6:$G$105,(COLUMN()-7-1)/2+1)&lt;&gt;"Starfsbundið",CA19="",CA$8="",CA$7=""),"",ROUND(CA19/CA$8*CA$7*KVARDI,2))</f>
        <v/>
      </c>
      <c r="CC19" s="39"/>
      <c r="CD19" s="40" t="str">
        <f aca="false">IF(OR(INDEX(Undirviðmið!$G$6:$G$105,(COLUMN()-7-1)/2+1)&lt;&gt;"Starfsbundið",CC19="",CC$8="",CC$7=""),"",ROUND(CC19/CC$8*CC$7*KVARDI,2))</f>
        <v/>
      </c>
      <c r="CE19" s="39"/>
      <c r="CF19" s="40" t="str">
        <f aca="false">IF(OR(INDEX(Undirviðmið!$G$6:$G$105,(COLUMN()-7-1)/2+1)&lt;&gt;"Starfsbundið",CE19="",CE$8="",CE$7=""),"",ROUND(CE19/CE$8*CE$7*KVARDI,2))</f>
        <v/>
      </c>
      <c r="CG19" s="39"/>
      <c r="CH19" s="40" t="str">
        <f aca="false">IF(OR(INDEX(Undirviðmið!$G$6:$G$105,(COLUMN()-7-1)/2+1)&lt;&gt;"Starfsbundið",CG19="",CG$8="",CG$7=""),"",ROUND(CG19/CG$8*CG$7*KVARDI,2))</f>
        <v/>
      </c>
      <c r="CI19" s="39"/>
      <c r="CJ19" s="40" t="str">
        <f aca="false">IF(OR(INDEX(Undirviðmið!$G$6:$G$105,(COLUMN()-7-1)/2+1)&lt;&gt;"Starfsbundið",CI19="",CI$8="",CI$7=""),"",ROUND(CI19/CI$8*CI$7*KVARDI,2))</f>
        <v/>
      </c>
      <c r="CK19" s="39"/>
      <c r="CL19" s="40" t="str">
        <f aca="false">IF(OR(INDEX(Undirviðmið!$G$6:$G$105,(COLUMN()-7-1)/2+1)&lt;&gt;"Starfsbundið",CK19="",CK$8="",CK$7=""),"",ROUND(CK19/CK$8*CK$7*KVARDI,2))</f>
        <v/>
      </c>
      <c r="CM19" s="39"/>
      <c r="CN19" s="40" t="str">
        <f aca="false">IF(OR(INDEX(Undirviðmið!$G$6:$G$105,(COLUMN()-7-1)/2+1)&lt;&gt;"Starfsbundið",CM19="",CM$8="",CM$7=""),"",ROUND(CM19/CM$8*CM$7*KVARDI,2))</f>
        <v/>
      </c>
      <c r="CO19" s="39"/>
      <c r="CP19" s="40" t="str">
        <f aca="false">IF(OR(INDEX(Undirviðmið!$G$6:$G$105,(COLUMN()-7-1)/2+1)&lt;&gt;"Starfsbundið",CO19="",CO$8="",CO$7=""),"",ROUND(CO19/CO$8*CO$7*KVARDI,2))</f>
        <v/>
      </c>
      <c r="CQ19" s="39"/>
      <c r="CR19" s="40" t="str">
        <f aca="false">IF(OR(INDEX(Undirviðmið!$G$6:$G$105,(COLUMN()-7-1)/2+1)&lt;&gt;"Starfsbundið",CQ19="",CQ$8="",CQ$7=""),"",ROUND(CQ19/CQ$8*CQ$7*KVARDI,2))</f>
        <v/>
      </c>
      <c r="CS19" s="39"/>
      <c r="CT19" s="40" t="str">
        <f aca="false">IF(OR(INDEX(Undirviðmið!$G$6:$G$105,(COLUMN()-7-1)/2+1)&lt;&gt;"Starfsbundið",CS19="",CS$8="",CS$7=""),"",ROUND(CS19/CS$8*CS$7*KVARDI,2))</f>
        <v/>
      </c>
      <c r="CU19" s="39"/>
      <c r="CV19" s="40" t="str">
        <f aca="false">IF(OR(INDEX(Undirviðmið!$G$6:$G$105,(COLUMN()-7-1)/2+1)&lt;&gt;"Starfsbundið",CU19="",CU$8="",CU$7=""),"",ROUND(CU19/CU$8*CU$7*KVARDI,2))</f>
        <v/>
      </c>
      <c r="CW19" s="39"/>
      <c r="CX19" s="40" t="str">
        <f aca="false">IF(OR(INDEX(Undirviðmið!$G$6:$G$105,(COLUMN()-7-1)/2+1)&lt;&gt;"Starfsbundið",CW19="",CW$8="",CW$7=""),"",ROUND(CW19/CW$8*CW$7*KVARDI,2))</f>
        <v/>
      </c>
      <c r="CY19" s="39"/>
      <c r="CZ19" s="40" t="str">
        <f aca="false">IF(OR(INDEX(Undirviðmið!$G$6:$G$105,(COLUMN()-7-1)/2+1)&lt;&gt;"Starfsbundið",CY19="",CY$8="",CY$7=""),"",ROUND(CY19/CY$8*CY$7*KVARDI,2))</f>
        <v/>
      </c>
      <c r="DA19" s="39"/>
      <c r="DB19" s="40" t="str">
        <f aca="false">IF(OR(INDEX(Undirviðmið!$G$6:$G$105,(COLUMN()-7-1)/2+1)&lt;&gt;"Starfsbundið",DA19="",DA$8="",DA$7=""),"",ROUND(DA19/DA$8*DA$7*KVARDI,2))</f>
        <v/>
      </c>
      <c r="DC19" s="39"/>
      <c r="DD19" s="40" t="str">
        <f aca="false">IF(OR(INDEX(Undirviðmið!$G$6:$G$105,(COLUMN()-7-1)/2+1)&lt;&gt;"Starfsbundið",DC19="",DC$8="",DC$7=""),"",ROUND(DC19/DC$8*DC$7*KVARDI,2))</f>
        <v/>
      </c>
      <c r="DE19" s="39"/>
      <c r="DF19" s="40" t="str">
        <f aca="false">IF(OR(INDEX(Undirviðmið!$G$6:$G$105,(COLUMN()-7-1)/2+1)&lt;&gt;"Starfsbundið",DE19="",DE$8="",DE$7=""),"",ROUND(DE19/DE$8*DE$7*KVARDI,2))</f>
        <v/>
      </c>
      <c r="DG19" s="39"/>
      <c r="DH19" s="40" t="str">
        <f aca="false">IF(OR(INDEX(Undirviðmið!$G$6:$G$105,(COLUMN()-7-1)/2+1)&lt;&gt;"Starfsbundið",DG19="",DG$8="",DG$7=""),"",ROUND(DG19/DG$8*DG$7*KVARDI,2))</f>
        <v/>
      </c>
      <c r="DI19" s="39"/>
      <c r="DJ19" s="40" t="str">
        <f aca="false">IF(OR(INDEX(Undirviðmið!$G$6:$G$105,(COLUMN()-7-1)/2+1)&lt;&gt;"Starfsbundið",DI19="",DI$8="",DI$7=""),"",ROUND(DI19/DI$8*DI$7*KVARDI,2))</f>
        <v/>
      </c>
      <c r="DK19" s="39"/>
      <c r="DL19" s="40" t="str">
        <f aca="false">IF(OR(INDEX(Undirviðmið!$G$6:$G$105,(COLUMN()-7-1)/2+1)&lt;&gt;"Starfsbundið",DK19="",DK$8="",DK$7=""),"",ROUND(DK19/DK$8*DK$7*KVARDI,2))</f>
        <v/>
      </c>
      <c r="DM19" s="39"/>
      <c r="DN19" s="40" t="str">
        <f aca="false">IF(OR(INDEX(Undirviðmið!$G$6:$G$105,(COLUMN()-7-1)/2+1)&lt;&gt;"Starfsbundið",DM19="",DM$8="",DM$7=""),"",ROUND(DM19/DM$8*DM$7*KVARDI,2))</f>
        <v/>
      </c>
      <c r="DO19" s="39"/>
      <c r="DP19" s="40" t="str">
        <f aca="false">IF(OR(INDEX(Undirviðmið!$G$6:$G$105,(COLUMN()-7-1)/2+1)&lt;&gt;"Starfsbundið",DO19="",DO$8="",DO$7=""),"",ROUND(DO19/DO$8*DO$7*KVARDI,2))</f>
        <v/>
      </c>
      <c r="DQ19" s="39"/>
      <c r="DR19" s="40" t="str">
        <f aca="false">IF(OR(INDEX(Undirviðmið!$G$6:$G$105,(COLUMN()-7-1)/2+1)&lt;&gt;"Starfsbundið",DQ19="",DQ$8="",DQ$7=""),"",ROUND(DQ19/DQ$8*DQ$7*KVARDI,2))</f>
        <v/>
      </c>
      <c r="DS19" s="39"/>
      <c r="DT19" s="40" t="str">
        <f aca="false">IF(OR(INDEX(Undirviðmið!$G$6:$G$105,(COLUMN()-7-1)/2+1)&lt;&gt;"Starfsbundið",DS19="",DS$8="",DS$7=""),"",ROUND(DS19/DS$8*DS$7*KVARDI,2))</f>
        <v/>
      </c>
      <c r="DU19" s="39"/>
      <c r="DV19" s="40" t="str">
        <f aca="false">IF(OR(INDEX(Undirviðmið!$G$6:$G$105,(COLUMN()-7-1)/2+1)&lt;&gt;"Starfsbundið",DU19="",DU$8="",DU$7=""),"",ROUND(DU19/DU$8*DU$7*KVARDI,2))</f>
        <v/>
      </c>
      <c r="DW19" s="39"/>
      <c r="DX19" s="40" t="str">
        <f aca="false">IF(OR(INDEX(Undirviðmið!$G$6:$G$105,(COLUMN()-7-1)/2+1)&lt;&gt;"Starfsbundið",DW19="",DW$8="",DW$7=""),"",ROUND(DW19/DW$8*DW$7*KVARDI,2))</f>
        <v/>
      </c>
      <c r="DY19" s="39"/>
      <c r="DZ19" s="40" t="str">
        <f aca="false">IF(OR(INDEX(Undirviðmið!$G$6:$G$105,(COLUMN()-7-1)/2+1)&lt;&gt;"Starfsbundið",DY19="",DY$8="",DY$7=""),"",ROUND(DY19/DY$8*DY$7*KVARDI,2))</f>
        <v/>
      </c>
      <c r="EA19" s="39"/>
      <c r="EB19" s="40" t="str">
        <f aca="false">IF(OR(INDEX(Undirviðmið!$G$6:$G$105,(COLUMN()-7-1)/2+1)&lt;&gt;"Starfsbundið",EA19="",EA$8="",EA$7=""),"",ROUND(EA19/EA$8*EA$7*KVARDI,2))</f>
        <v/>
      </c>
      <c r="EC19" s="39"/>
      <c r="ED19" s="40" t="str">
        <f aca="false">IF(OR(INDEX(Undirviðmið!$G$6:$G$105,(COLUMN()-7-1)/2+1)&lt;&gt;"Starfsbundið",EC19="",EC$8="",EC$7=""),"",ROUND(EC19/EC$8*EC$7*KVARDI,2))</f>
        <v/>
      </c>
      <c r="EE19" s="39"/>
      <c r="EF19" s="40" t="str">
        <f aca="false">IF(OR(INDEX(Undirviðmið!$G$6:$G$105,(COLUMN()-7-1)/2+1)&lt;&gt;"Starfsbundið",EE19="",EE$8="",EE$7=""),"",ROUND(EE19/EE$8*EE$7*KVARDI,2))</f>
        <v/>
      </c>
      <c r="EG19" s="39"/>
      <c r="EH19" s="40" t="str">
        <f aca="false">IF(OR(INDEX(Undirviðmið!$G$6:$G$105,(COLUMN()-7-1)/2+1)&lt;&gt;"Starfsbundið",EG19="",EG$8="",EG$7=""),"",ROUND(EG19/EG$8*EG$7*KVARDI,2))</f>
        <v/>
      </c>
      <c r="EI19" s="39"/>
      <c r="EJ19" s="40" t="str">
        <f aca="false">IF(OR(INDEX(Undirviðmið!$G$6:$G$105,(COLUMN()-7-1)/2+1)&lt;&gt;"Starfsbundið",EI19="",EI$8="",EI$7=""),"",ROUND(EI19/EI$8*EI$7*KVARDI,2))</f>
        <v/>
      </c>
      <c r="EK19" s="39"/>
      <c r="EL19" s="40" t="str">
        <f aca="false">IF(OR(INDEX(Undirviðmið!$G$6:$G$105,(COLUMN()-7-1)/2+1)&lt;&gt;"Starfsbundið",EK19="",EK$8="",EK$7=""),"",ROUND(EK19/EK$8*EK$7*KVARDI,2))</f>
        <v/>
      </c>
      <c r="EM19" s="39"/>
      <c r="EN19" s="40" t="str">
        <f aca="false">IF(OR(INDEX(Undirviðmið!$G$6:$G$105,(COLUMN()-7-1)/2+1)&lt;&gt;"Starfsbundið",EM19="",EM$8="",EM$7=""),"",ROUND(EM19/EM$8*EM$7*KVARDI,2))</f>
        <v/>
      </c>
      <c r="EO19" s="39"/>
      <c r="EP19" s="40" t="str">
        <f aca="false">IF(OR(INDEX(Undirviðmið!$G$6:$G$105,(COLUMN()-7-1)/2+1)&lt;&gt;"Starfsbundið",EO19="",EO$8="",EO$7=""),"",ROUND(EO19/EO$8*EO$7*KVARDI,2))</f>
        <v/>
      </c>
      <c r="EQ19" s="39"/>
      <c r="ER19" s="40" t="str">
        <f aca="false">IF(OR(INDEX(Undirviðmið!$G$6:$G$105,(COLUMN()-7-1)/2+1)&lt;&gt;"Starfsbundið",EQ19="",EQ$8="",EQ$7=""),"",ROUND(EQ19/EQ$8*EQ$7*KVARDI,2))</f>
        <v/>
      </c>
      <c r="ES19" s="39"/>
      <c r="ET19" s="40" t="str">
        <f aca="false">IF(OR(INDEX(Undirviðmið!$G$6:$G$105,(COLUMN()-7-1)/2+1)&lt;&gt;"Starfsbundið",ES19="",ES$8="",ES$7=""),"",ROUND(ES19/ES$8*ES$7*KVARDI,2))</f>
        <v/>
      </c>
      <c r="EU19" s="39"/>
      <c r="EV19" s="40" t="str">
        <f aca="false">IF(OR(INDEX(Undirviðmið!$G$6:$G$105,(COLUMN()-7-1)/2+1)&lt;&gt;"Starfsbundið",EU19="",EU$8="",EU$7=""),"",ROUND(EU19/EU$8*EU$7*KVARDI,2))</f>
        <v/>
      </c>
      <c r="EW19" s="39"/>
      <c r="EX19" s="40" t="str">
        <f aca="false">IF(OR(INDEX(Undirviðmið!$G$6:$G$105,(COLUMN()-7-1)/2+1)&lt;&gt;"Starfsbundið",EW19="",EW$8="",EW$7=""),"",ROUND(EW19/EW$8*EW$7*KVARDI,2))</f>
        <v/>
      </c>
      <c r="EY19" s="39"/>
      <c r="EZ19" s="40" t="str">
        <f aca="false">IF(OR(INDEX(Undirviðmið!$G$6:$G$105,(COLUMN()-7-1)/2+1)&lt;&gt;"Starfsbundið",EY19="",EY$8="",EY$7=""),"",ROUND(EY19/EY$8*EY$7*KVARDI,2))</f>
        <v/>
      </c>
      <c r="FA19" s="39"/>
      <c r="FB19" s="40" t="str">
        <f aca="false">IF(OR(INDEX(Undirviðmið!$G$6:$G$105,(COLUMN()-7-1)/2+1)&lt;&gt;"Starfsbundið",FA19="",FA$8="",FA$7=""),"",ROUND(FA19/FA$8*FA$7*KVARDI,2))</f>
        <v/>
      </c>
      <c r="FC19" s="39"/>
      <c r="FD19" s="40" t="str">
        <f aca="false">IF(OR(INDEX(Undirviðmið!$G$6:$G$105,(COLUMN()-7-1)/2+1)&lt;&gt;"Starfsbundið",FC19="",FC$8="",FC$7=""),"",ROUND(FC19/FC$8*FC$7*KVARDI,2))</f>
        <v/>
      </c>
      <c r="FE19" s="39"/>
      <c r="FF19" s="40" t="str">
        <f aca="false">IF(OR(INDEX(Undirviðmið!$G$6:$G$105,(COLUMN()-7-1)/2+1)&lt;&gt;"Starfsbundið",FE19="",FE$8="",FE$7=""),"",ROUND(FE19/FE$8*FE$7*KVARDI,2))</f>
        <v/>
      </c>
      <c r="FG19" s="39"/>
      <c r="FH19" s="40" t="str">
        <f aca="false">IF(OR(INDEX(Undirviðmið!$G$6:$G$105,(COLUMN()-7-1)/2+1)&lt;&gt;"Starfsbundið",FG19="",FG$8="",FG$7=""),"",ROUND(FG19/FG$8*FG$7*KVARDI,2))</f>
        <v/>
      </c>
      <c r="FI19" s="39"/>
      <c r="FJ19" s="40" t="str">
        <f aca="false">IF(OR(INDEX(Undirviðmið!$G$6:$G$105,(COLUMN()-7-1)/2+1)&lt;&gt;"Starfsbundið",FI19="",FI$8="",FI$7=""),"",ROUND(FI19/FI$8*FI$7*KVARDI,2))</f>
        <v/>
      </c>
      <c r="FK19" s="39"/>
      <c r="FL19" s="40" t="str">
        <f aca="false">IF(OR(INDEX(Undirviðmið!$G$6:$G$105,(COLUMN()-7-1)/2+1)&lt;&gt;"Starfsbundið",FK19="",FK$8="",FK$7=""),"",ROUND(FK19/FK$8*FK$7*KVARDI,2))</f>
        <v/>
      </c>
      <c r="FM19" s="39"/>
      <c r="FN19" s="40" t="str">
        <f aca="false">IF(OR(INDEX(Undirviðmið!$G$6:$G$105,(COLUMN()-7-1)/2+1)&lt;&gt;"Starfsbundið",FM19="",FM$8="",FM$7=""),"",ROUND(FM19/FM$8*FM$7*KVARDI,2))</f>
        <v/>
      </c>
      <c r="FO19" s="39"/>
      <c r="FP19" s="40" t="str">
        <f aca="false">IF(OR(INDEX(Undirviðmið!$G$6:$G$105,(COLUMN()-7-1)/2+1)&lt;&gt;"Starfsbundið",FO19="",FO$8="",FO$7=""),"",ROUND(FO19/FO$8*FO$7*KVARDI,2))</f>
        <v/>
      </c>
      <c r="FQ19" s="39"/>
      <c r="FR19" s="40" t="str">
        <f aca="false">IF(OR(INDEX(Undirviðmið!$G$6:$G$105,(COLUMN()-7-1)/2+1)&lt;&gt;"Starfsbundið",FQ19="",FQ$8="",FQ$7=""),"",ROUND(FQ19/FQ$8*FQ$7*KVARDI,2))</f>
        <v/>
      </c>
      <c r="FS19" s="39"/>
      <c r="FT19" s="40" t="str">
        <f aca="false">IF(OR(INDEX(Undirviðmið!$G$6:$G$105,(COLUMN()-7-1)/2+1)&lt;&gt;"Starfsbundið",FS19="",FS$8="",FS$7=""),"",ROUND(FS19/FS$8*FS$7*KVARDI,2))</f>
        <v/>
      </c>
      <c r="FU19" s="39"/>
      <c r="FV19" s="40" t="str">
        <f aca="false">IF(OR(INDEX(Undirviðmið!$G$6:$G$105,(COLUMN()-7-1)/2+1)&lt;&gt;"Starfsbundið",FU19="",FU$8="",FU$7=""),"",ROUND(FU19/FU$8*FU$7*KVARDI,2))</f>
        <v/>
      </c>
      <c r="FW19" s="39"/>
      <c r="FX19" s="40" t="str">
        <f aca="false">IF(OR(INDEX(Undirviðmið!$G$6:$G$105,(COLUMN()-7-1)/2+1)&lt;&gt;"Starfsbundið",FW19="",FW$8="",FW$7=""),"",ROUND(FW19/FW$8*FW$7*KVARDI,2))</f>
        <v/>
      </c>
      <c r="FY19" s="39"/>
      <c r="FZ19" s="40" t="str">
        <f aca="false">IF(OR(INDEX(Undirviðmið!$G$6:$G$105,(COLUMN()-7-1)/2+1)&lt;&gt;"Starfsbundið",FY19="",FY$8="",FY$7=""),"",ROUND(FY19/FY$8*FY$7*KVARDI,2))</f>
        <v/>
      </c>
      <c r="GA19" s="39"/>
      <c r="GB19" s="40" t="str">
        <f aca="false">IF(OR(INDEX(Undirviðmið!$G$6:$G$105,(COLUMN()-7-1)/2+1)&lt;&gt;"Starfsbundið",GA19="",GA$8="",GA$7=""),"",ROUND(GA19/GA$8*GA$7*KVARDI,2))</f>
        <v/>
      </c>
      <c r="GC19" s="39"/>
      <c r="GD19" s="40" t="str">
        <f aca="false">IF(OR(INDEX(Undirviðmið!$G$6:$G$105,(COLUMN()-7-1)/2+1)&lt;&gt;"Starfsbundið",GC19="",GC$8="",GC$7=""),"",ROUND(GC19/GC$8*GC$7*KVARDI,2))</f>
        <v/>
      </c>
      <c r="GE19" s="39"/>
      <c r="GF19" s="40" t="str">
        <f aca="false">IF(OR(INDEX(Undirviðmið!$G$6:$G$105,(COLUMN()-7-1)/2+1)&lt;&gt;"Starfsbundið",GE19="",GE$8="",GE$7=""),"",ROUND(GE19/GE$8*GE$7*KVARDI,2))</f>
        <v/>
      </c>
      <c r="GG19" s="39"/>
      <c r="GH19" s="40" t="str">
        <f aca="false">IF(OR(INDEX(Undirviðmið!$G$6:$G$105,(COLUMN()-7-1)/2+1)&lt;&gt;"Starfsbundið",GG19="",GG$8="",GG$7=""),"",ROUND(GG19/GG$8*GG$7*KVARDI,2))</f>
        <v/>
      </c>
      <c r="GI19" s="39"/>
      <c r="GJ19" s="40" t="str">
        <f aca="false">IF(OR(INDEX(Undirviðmið!$G$6:$G$105,(COLUMN()-7-1)/2+1)&lt;&gt;"Starfsbundið",GI19="",GI$8="",GI$7=""),"",ROUND(GI19/GI$8*GI$7*KVARDI,2))</f>
        <v/>
      </c>
      <c r="GK19" s="39"/>
      <c r="GL19" s="40" t="str">
        <f aca="false">IF(OR(INDEX(Undirviðmið!$G$6:$G$105,(COLUMN()-7-1)/2+1)&lt;&gt;"Starfsbundið",GK19="",GK$8="",GK$7=""),"",ROUND(GK19/GK$8*GK$7*KVARDI,2))</f>
        <v/>
      </c>
      <c r="GM19" s="39"/>
      <c r="GN19" s="40" t="str">
        <f aca="false">IF(OR(INDEX(Undirviðmið!$G$6:$G$105,(COLUMN()-7-1)/2+1)&lt;&gt;"Starfsbundið",GM19="",GM$8="",GM$7=""),"",ROUND(GM19/GM$8*GM$7*KVARDI,2))</f>
        <v/>
      </c>
      <c r="GO19" s="39"/>
      <c r="GP19" s="40" t="str">
        <f aca="false">IF(OR(INDEX(Undirviðmið!$G$6:$G$105,(COLUMN()-7-1)/2+1)&lt;&gt;"Starfsbundið",GO19="",GO$8="",GO$7=""),"",ROUND(GO19/GO$8*GO$7*KVARDI,2))</f>
        <v/>
      </c>
      <c r="GQ19" s="39"/>
      <c r="GR19" s="40" t="str">
        <f aca="false">IF(OR(INDEX(Undirviðmið!$G$6:$G$105,(COLUMN()-7-1)/2+1)&lt;&gt;"Starfsbundið",GQ19="",GQ$8="",GQ$7=""),"",ROUND(GQ19/GQ$8*GQ$7*KVARDI,2))</f>
        <v/>
      </c>
      <c r="GS19" s="39"/>
      <c r="GT19" s="40" t="str">
        <f aca="false">IF(OR(INDEX(Undirviðmið!$G$6:$G$105,(COLUMN()-7-1)/2+1)&lt;&gt;"Starfsbundið",GS19="",GS$8="",GS$7=""),"",ROUND(GS19/GS$8*GS$7*KVARDI,2))</f>
        <v/>
      </c>
      <c r="GU19" s="39"/>
      <c r="GV19" s="40" t="str">
        <f aca="false">IF(OR(INDEX(Undirviðmið!$G$6:$G$105,(COLUMN()-7-1)/2+1)&lt;&gt;"Starfsbundið",GU19="",GU$8="",GU$7=""),"",ROUND(GU19/GU$8*GU$7*KVARDI,2))</f>
        <v/>
      </c>
      <c r="GW19" s="39"/>
      <c r="GX19" s="40" t="str">
        <f aca="false">IF(OR(INDEX(Undirviðmið!$G$6:$G$105,(COLUMN()-7-1)/2+1)&lt;&gt;"Starfsbundið",GW19="",GW$8="",GW$7=""),"",ROUND(GW19/GW$8*GW$7*KVARDI,2))</f>
        <v/>
      </c>
      <c r="GZ19" s="20"/>
    </row>
    <row r="20" customFormat="false" ht="15" hidden="true" customHeight="true" outlineLevel="1" collapsed="false">
      <c r="B20" s="37" t="str">
        <f aca="false" t="array" ref="B20:B20">IFERROR(INDEX(Starfsmenn!$C$6:$C$10005,MATCH(0,COUNTIF($B$11:B19,Starfsmenn!$C$6:$C$10005)+(Starfsmenn!$C$6:$C$10005=""),0)),"")</f>
        <v/>
      </c>
      <c r="C20" s="38" t="n">
        <f aca="false">IFERROR(SUMIF($G$10:$GX$10,"Stig",$G20:$GX20),0)</f>
        <v>0</v>
      </c>
      <c r="G20" s="39"/>
      <c r="H20" s="40" t="str">
        <f aca="false">IF(OR(INDEX(Undirviðmið!$G$6:$G$105,(COLUMN()-7-1)/2+1)&lt;&gt;"Starfsbundið",G20="",G$8="",G$7=""),"",ROUND(G20/G$8*G$7*KVARDI,2))</f>
        <v/>
      </c>
      <c r="I20" s="39"/>
      <c r="J20" s="40" t="str">
        <f aca="false">IF(OR(INDEX(Undirviðmið!$G$6:$G$105,(COLUMN()-7-1)/2+1)&lt;&gt;"Starfsbundið",I20="",I$8="",I$7=""),"",ROUND(I20/I$8*I$7*KVARDI,2))</f>
        <v/>
      </c>
      <c r="K20" s="39"/>
      <c r="L20" s="40" t="str">
        <f aca="false">IF(OR(INDEX(Undirviðmið!$G$6:$G$105,(COLUMN()-7-1)/2+1)&lt;&gt;"Starfsbundið",K20="",K$8="",K$7=""),"",ROUND(K20/K$8*K$7*KVARDI,2))</f>
        <v/>
      </c>
      <c r="M20" s="39"/>
      <c r="N20" s="40" t="str">
        <f aca="false">IF(OR(INDEX(Undirviðmið!$G$6:$G$105,(COLUMN()-7-1)/2+1)&lt;&gt;"Starfsbundið",M20="",M$8="",M$7=""),"",ROUND(M20/M$8*M$7*KVARDI,2))</f>
        <v/>
      </c>
      <c r="O20" s="39"/>
      <c r="P20" s="40" t="str">
        <f aca="false">IF(OR(INDEX(Undirviðmið!$G$6:$G$105,(COLUMN()-7-1)/2+1)&lt;&gt;"Starfsbundið",O20="",O$8="",O$7=""),"",ROUND(O20/O$8*O$7*KVARDI,2))</f>
        <v/>
      </c>
      <c r="Q20" s="39"/>
      <c r="R20" s="40" t="str">
        <f aca="false">IF(OR(INDEX(Undirviðmið!$G$6:$G$105,(COLUMN()-7-1)/2+1)&lt;&gt;"Starfsbundið",Q20="",Q$8="",Q$7=""),"",ROUND(Q20/Q$8*Q$7*KVARDI,2))</f>
        <v/>
      </c>
      <c r="S20" s="39"/>
      <c r="T20" s="40" t="str">
        <f aca="false">IF(OR(INDEX(Undirviðmið!$G$6:$G$105,(COLUMN()-7-1)/2+1)&lt;&gt;"Starfsbundið",S20="",S$8="",S$7=""),"",ROUND(S20/S$8*S$7*KVARDI,2))</f>
        <v/>
      </c>
      <c r="U20" s="39"/>
      <c r="V20" s="40" t="str">
        <f aca="false">IF(OR(INDEX(Undirviðmið!$G$6:$G$105,(COLUMN()-7-1)/2+1)&lt;&gt;"Starfsbundið",U20="",U$8="",U$7=""),"",ROUND(U20/U$8*U$7*KVARDI,2))</f>
        <v/>
      </c>
      <c r="W20" s="39"/>
      <c r="X20" s="40" t="str">
        <f aca="false">IF(OR(INDEX(Undirviðmið!$G$6:$G$105,(COLUMN()-7-1)/2+1)&lt;&gt;"Starfsbundið",W20="",W$8="",W$7=""),"",ROUND(W20/W$8*W$7*KVARDI,2))</f>
        <v/>
      </c>
      <c r="Y20" s="39"/>
      <c r="Z20" s="40" t="str">
        <f aca="false">IF(OR(INDEX(Undirviðmið!$G$6:$G$105,(COLUMN()-7-1)/2+1)&lt;&gt;"Starfsbundið",Y20="",Y$8="",Y$7=""),"",ROUND(Y20/Y$8*Y$7*KVARDI,2))</f>
        <v/>
      </c>
      <c r="AA20" s="39"/>
      <c r="AB20" s="40" t="str">
        <f aca="false">IF(OR(INDEX(Undirviðmið!$G$6:$G$105,(COLUMN()-7-1)/2+1)&lt;&gt;"Starfsbundið",AA20="",AA$8="",AA$7=""),"",ROUND(AA20/AA$8*AA$7*KVARDI,2))</f>
        <v/>
      </c>
      <c r="AC20" s="39"/>
      <c r="AD20" s="40" t="str">
        <f aca="false">IF(OR(INDEX(Undirviðmið!$G$6:$G$105,(COLUMN()-7-1)/2+1)&lt;&gt;"Starfsbundið",AC20="",AC$8="",AC$7=""),"",ROUND(AC20/AC$8*AC$7*KVARDI,2))</f>
        <v/>
      </c>
      <c r="AE20" s="39"/>
      <c r="AF20" s="40" t="str">
        <f aca="false">IF(OR(INDEX(Undirviðmið!$G$6:$G$105,(COLUMN()-7-1)/2+1)&lt;&gt;"Starfsbundið",AE20="",AE$8="",AE$7=""),"",ROUND(AE20/AE$8*AE$7*KVARDI,2))</f>
        <v/>
      </c>
      <c r="AG20" s="39"/>
      <c r="AH20" s="40" t="str">
        <f aca="false">IF(OR(INDEX(Undirviðmið!$G$6:$G$105,(COLUMN()-7-1)/2+1)&lt;&gt;"Starfsbundið",AG20="",AG$8="",AG$7=""),"",ROUND(AG20/AG$8*AG$7*KVARDI,2))</f>
        <v/>
      </c>
      <c r="AI20" s="39"/>
      <c r="AJ20" s="40" t="str">
        <f aca="false">IF(OR(INDEX(Undirviðmið!$G$6:$G$105,(COLUMN()-7-1)/2+1)&lt;&gt;"Starfsbundið",AI20="",AI$8="",AI$7=""),"",ROUND(AI20/AI$8*AI$7*KVARDI,2))</f>
        <v/>
      </c>
      <c r="AK20" s="39"/>
      <c r="AL20" s="40" t="str">
        <f aca="false">IF(OR(INDEX(Undirviðmið!$G$6:$G$105,(COLUMN()-7-1)/2+1)&lt;&gt;"Starfsbundið",AK20="",AK$8="",AK$7=""),"",ROUND(AK20/AK$8*AK$7*KVARDI,2))</f>
        <v/>
      </c>
      <c r="AM20" s="39"/>
      <c r="AN20" s="40" t="str">
        <f aca="false">IF(OR(INDEX(Undirviðmið!$G$6:$G$105,(COLUMN()-7-1)/2+1)&lt;&gt;"Starfsbundið",AM20="",AM$8="",AM$7=""),"",ROUND(AM20/AM$8*AM$7*KVARDI,2))</f>
        <v/>
      </c>
      <c r="AO20" s="39"/>
      <c r="AP20" s="40" t="str">
        <f aca="false">IF(OR(INDEX(Undirviðmið!$G$6:$G$105,(COLUMN()-7-1)/2+1)&lt;&gt;"Starfsbundið",AO20="",AO$8="",AO$7=""),"",ROUND(AO20/AO$8*AO$7*KVARDI,2))</f>
        <v/>
      </c>
      <c r="AQ20" s="39"/>
      <c r="AR20" s="40" t="str">
        <f aca="false">IF(OR(INDEX(Undirviðmið!$G$6:$G$105,(COLUMN()-7-1)/2+1)&lt;&gt;"Starfsbundið",AQ20="",AQ$8="",AQ$7=""),"",ROUND(AQ20/AQ$8*AQ$7*KVARDI,2))</f>
        <v/>
      </c>
      <c r="AS20" s="39"/>
      <c r="AT20" s="40" t="str">
        <f aca="false">IF(OR(INDEX(Undirviðmið!$G$6:$G$105,(COLUMN()-7-1)/2+1)&lt;&gt;"Starfsbundið",AS20="",AS$8="",AS$7=""),"",ROUND(AS20/AS$8*AS$7*KVARDI,2))</f>
        <v/>
      </c>
      <c r="AU20" s="39"/>
      <c r="AV20" s="40" t="str">
        <f aca="false">IF(OR(INDEX(Undirviðmið!$G$6:$G$105,(COLUMN()-7-1)/2+1)&lt;&gt;"Starfsbundið",AU20="",AU$8="",AU$7=""),"",ROUND(AU20/AU$8*AU$7*KVARDI,2))</f>
        <v/>
      </c>
      <c r="AW20" s="39"/>
      <c r="AX20" s="40" t="str">
        <f aca="false">IF(OR(INDEX(Undirviðmið!$G$6:$G$105,(COLUMN()-7-1)/2+1)&lt;&gt;"Starfsbundið",AW20="",AW$8="",AW$7=""),"",ROUND(AW20/AW$8*AW$7*KVARDI,2))</f>
        <v/>
      </c>
      <c r="AY20" s="39"/>
      <c r="AZ20" s="40" t="str">
        <f aca="false">IF(OR(INDEX(Undirviðmið!$G$6:$G$105,(COLUMN()-7-1)/2+1)&lt;&gt;"Starfsbundið",AY20="",AY$8="",AY$7=""),"",ROUND(AY20/AY$8*AY$7*KVARDI,2))</f>
        <v/>
      </c>
      <c r="BA20" s="39"/>
      <c r="BB20" s="40" t="str">
        <f aca="false">IF(OR(INDEX(Undirviðmið!$G$6:$G$105,(COLUMN()-7-1)/2+1)&lt;&gt;"Starfsbundið",BA20="",BA$8="",BA$7=""),"",ROUND(BA20/BA$8*BA$7*KVARDI,2))</f>
        <v/>
      </c>
      <c r="BC20" s="39"/>
      <c r="BD20" s="40" t="str">
        <f aca="false">IF(OR(INDEX(Undirviðmið!$G$6:$G$105,(COLUMN()-7-1)/2+1)&lt;&gt;"Starfsbundið",BC20="",BC$8="",BC$7=""),"",ROUND(BC20/BC$8*BC$7*KVARDI,2))</f>
        <v/>
      </c>
      <c r="BE20" s="39"/>
      <c r="BF20" s="40" t="str">
        <f aca="false">IF(OR(INDEX(Undirviðmið!$G$6:$G$105,(COLUMN()-7-1)/2+1)&lt;&gt;"Starfsbundið",BE20="",BE$8="",BE$7=""),"",ROUND(BE20/BE$8*BE$7*KVARDI,2))</f>
        <v/>
      </c>
      <c r="BG20" s="39"/>
      <c r="BH20" s="40" t="str">
        <f aca="false">IF(OR(INDEX(Undirviðmið!$G$6:$G$105,(COLUMN()-7-1)/2+1)&lt;&gt;"Starfsbundið",BG20="",BG$8="",BG$7=""),"",ROUND(BG20/BG$8*BG$7*KVARDI,2))</f>
        <v/>
      </c>
      <c r="BI20" s="39"/>
      <c r="BJ20" s="40" t="str">
        <f aca="false">IF(OR(INDEX(Undirviðmið!$G$6:$G$105,(COLUMN()-7-1)/2+1)&lt;&gt;"Starfsbundið",BI20="",BI$8="",BI$7=""),"",ROUND(BI20/BI$8*BI$7*KVARDI,2))</f>
        <v/>
      </c>
      <c r="BK20" s="39"/>
      <c r="BL20" s="40" t="str">
        <f aca="false">IF(OR(INDEX(Undirviðmið!$G$6:$G$105,(COLUMN()-7-1)/2+1)&lt;&gt;"Starfsbundið",BK20="",BK$8="",BK$7=""),"",ROUND(BK20/BK$8*BK$7*KVARDI,2))</f>
        <v/>
      </c>
      <c r="BM20" s="39"/>
      <c r="BN20" s="40" t="str">
        <f aca="false">IF(OR(INDEX(Undirviðmið!$G$6:$G$105,(COLUMN()-7-1)/2+1)&lt;&gt;"Starfsbundið",BM20="",BM$8="",BM$7=""),"",ROUND(BM20/BM$8*BM$7*KVARDI,2))</f>
        <v/>
      </c>
      <c r="BO20" s="39"/>
      <c r="BP20" s="40" t="str">
        <f aca="false">IF(OR(INDEX(Undirviðmið!$G$6:$G$105,(COLUMN()-7-1)/2+1)&lt;&gt;"Starfsbundið",BO20="",BO$8="",BO$7=""),"",ROUND(BO20/BO$8*BO$7*KVARDI,2))</f>
        <v/>
      </c>
      <c r="BQ20" s="39"/>
      <c r="BR20" s="40" t="str">
        <f aca="false">IF(OR(INDEX(Undirviðmið!$G$6:$G$105,(COLUMN()-7-1)/2+1)&lt;&gt;"Starfsbundið",BQ20="",BQ$8="",BQ$7=""),"",ROUND(BQ20/BQ$8*BQ$7*KVARDI,2))</f>
        <v/>
      </c>
      <c r="BS20" s="39"/>
      <c r="BT20" s="40" t="str">
        <f aca="false">IF(OR(INDEX(Undirviðmið!$G$6:$G$105,(COLUMN()-7-1)/2+1)&lt;&gt;"Starfsbundið",BS20="",BS$8="",BS$7=""),"",ROUND(BS20/BS$8*BS$7*KVARDI,2))</f>
        <v/>
      </c>
      <c r="BU20" s="39"/>
      <c r="BV20" s="40" t="str">
        <f aca="false">IF(OR(INDEX(Undirviðmið!$G$6:$G$105,(COLUMN()-7-1)/2+1)&lt;&gt;"Starfsbundið",BU20="",BU$8="",BU$7=""),"",ROUND(BU20/BU$8*BU$7*KVARDI,2))</f>
        <v/>
      </c>
      <c r="BW20" s="39"/>
      <c r="BX20" s="40" t="str">
        <f aca="false">IF(OR(INDEX(Undirviðmið!$G$6:$G$105,(COLUMN()-7-1)/2+1)&lt;&gt;"Starfsbundið",BW20="",BW$8="",BW$7=""),"",ROUND(BW20/BW$8*BW$7*KVARDI,2))</f>
        <v/>
      </c>
      <c r="BY20" s="39"/>
      <c r="BZ20" s="40" t="str">
        <f aca="false">IF(OR(INDEX(Undirviðmið!$G$6:$G$105,(COLUMN()-7-1)/2+1)&lt;&gt;"Starfsbundið",BY20="",BY$8="",BY$7=""),"",ROUND(BY20/BY$8*BY$7*KVARDI,2))</f>
        <v/>
      </c>
      <c r="CA20" s="39"/>
      <c r="CB20" s="40" t="str">
        <f aca="false">IF(OR(INDEX(Undirviðmið!$G$6:$G$105,(COLUMN()-7-1)/2+1)&lt;&gt;"Starfsbundið",CA20="",CA$8="",CA$7=""),"",ROUND(CA20/CA$8*CA$7*KVARDI,2))</f>
        <v/>
      </c>
      <c r="CC20" s="39"/>
      <c r="CD20" s="40" t="str">
        <f aca="false">IF(OR(INDEX(Undirviðmið!$G$6:$G$105,(COLUMN()-7-1)/2+1)&lt;&gt;"Starfsbundið",CC20="",CC$8="",CC$7=""),"",ROUND(CC20/CC$8*CC$7*KVARDI,2))</f>
        <v/>
      </c>
      <c r="CE20" s="39"/>
      <c r="CF20" s="40" t="str">
        <f aca="false">IF(OR(INDEX(Undirviðmið!$G$6:$G$105,(COLUMN()-7-1)/2+1)&lt;&gt;"Starfsbundið",CE20="",CE$8="",CE$7=""),"",ROUND(CE20/CE$8*CE$7*KVARDI,2))</f>
        <v/>
      </c>
      <c r="CG20" s="39"/>
      <c r="CH20" s="40" t="str">
        <f aca="false">IF(OR(INDEX(Undirviðmið!$G$6:$G$105,(COLUMN()-7-1)/2+1)&lt;&gt;"Starfsbundið",CG20="",CG$8="",CG$7=""),"",ROUND(CG20/CG$8*CG$7*KVARDI,2))</f>
        <v/>
      </c>
      <c r="CI20" s="39"/>
      <c r="CJ20" s="40" t="str">
        <f aca="false">IF(OR(INDEX(Undirviðmið!$G$6:$G$105,(COLUMN()-7-1)/2+1)&lt;&gt;"Starfsbundið",CI20="",CI$8="",CI$7=""),"",ROUND(CI20/CI$8*CI$7*KVARDI,2))</f>
        <v/>
      </c>
      <c r="CK20" s="39"/>
      <c r="CL20" s="40" t="str">
        <f aca="false">IF(OR(INDEX(Undirviðmið!$G$6:$G$105,(COLUMN()-7-1)/2+1)&lt;&gt;"Starfsbundið",CK20="",CK$8="",CK$7=""),"",ROUND(CK20/CK$8*CK$7*KVARDI,2))</f>
        <v/>
      </c>
      <c r="CM20" s="39"/>
      <c r="CN20" s="40" t="str">
        <f aca="false">IF(OR(INDEX(Undirviðmið!$G$6:$G$105,(COLUMN()-7-1)/2+1)&lt;&gt;"Starfsbundið",CM20="",CM$8="",CM$7=""),"",ROUND(CM20/CM$8*CM$7*KVARDI,2))</f>
        <v/>
      </c>
      <c r="CO20" s="39"/>
      <c r="CP20" s="40" t="str">
        <f aca="false">IF(OR(INDEX(Undirviðmið!$G$6:$G$105,(COLUMN()-7-1)/2+1)&lt;&gt;"Starfsbundið",CO20="",CO$8="",CO$7=""),"",ROUND(CO20/CO$8*CO$7*KVARDI,2))</f>
        <v/>
      </c>
      <c r="CQ20" s="39"/>
      <c r="CR20" s="40" t="str">
        <f aca="false">IF(OR(INDEX(Undirviðmið!$G$6:$G$105,(COLUMN()-7-1)/2+1)&lt;&gt;"Starfsbundið",CQ20="",CQ$8="",CQ$7=""),"",ROUND(CQ20/CQ$8*CQ$7*KVARDI,2))</f>
        <v/>
      </c>
      <c r="CS20" s="39"/>
      <c r="CT20" s="40" t="str">
        <f aca="false">IF(OR(INDEX(Undirviðmið!$G$6:$G$105,(COLUMN()-7-1)/2+1)&lt;&gt;"Starfsbundið",CS20="",CS$8="",CS$7=""),"",ROUND(CS20/CS$8*CS$7*KVARDI,2))</f>
        <v/>
      </c>
      <c r="CU20" s="39"/>
      <c r="CV20" s="40" t="str">
        <f aca="false">IF(OR(INDEX(Undirviðmið!$G$6:$G$105,(COLUMN()-7-1)/2+1)&lt;&gt;"Starfsbundið",CU20="",CU$8="",CU$7=""),"",ROUND(CU20/CU$8*CU$7*KVARDI,2))</f>
        <v/>
      </c>
      <c r="CW20" s="39"/>
      <c r="CX20" s="40" t="str">
        <f aca="false">IF(OR(INDEX(Undirviðmið!$G$6:$G$105,(COLUMN()-7-1)/2+1)&lt;&gt;"Starfsbundið",CW20="",CW$8="",CW$7=""),"",ROUND(CW20/CW$8*CW$7*KVARDI,2))</f>
        <v/>
      </c>
      <c r="CY20" s="39"/>
      <c r="CZ20" s="40" t="str">
        <f aca="false">IF(OR(INDEX(Undirviðmið!$G$6:$G$105,(COLUMN()-7-1)/2+1)&lt;&gt;"Starfsbundið",CY20="",CY$8="",CY$7=""),"",ROUND(CY20/CY$8*CY$7*KVARDI,2))</f>
        <v/>
      </c>
      <c r="DA20" s="39"/>
      <c r="DB20" s="40" t="str">
        <f aca="false">IF(OR(INDEX(Undirviðmið!$G$6:$G$105,(COLUMN()-7-1)/2+1)&lt;&gt;"Starfsbundið",DA20="",DA$8="",DA$7=""),"",ROUND(DA20/DA$8*DA$7*KVARDI,2))</f>
        <v/>
      </c>
      <c r="DC20" s="39"/>
      <c r="DD20" s="40" t="str">
        <f aca="false">IF(OR(INDEX(Undirviðmið!$G$6:$G$105,(COLUMN()-7-1)/2+1)&lt;&gt;"Starfsbundið",DC20="",DC$8="",DC$7=""),"",ROUND(DC20/DC$8*DC$7*KVARDI,2))</f>
        <v/>
      </c>
      <c r="DE20" s="39"/>
      <c r="DF20" s="40" t="str">
        <f aca="false">IF(OR(INDEX(Undirviðmið!$G$6:$G$105,(COLUMN()-7-1)/2+1)&lt;&gt;"Starfsbundið",DE20="",DE$8="",DE$7=""),"",ROUND(DE20/DE$8*DE$7*KVARDI,2))</f>
        <v/>
      </c>
      <c r="DG20" s="39"/>
      <c r="DH20" s="40" t="str">
        <f aca="false">IF(OR(INDEX(Undirviðmið!$G$6:$G$105,(COLUMN()-7-1)/2+1)&lt;&gt;"Starfsbundið",DG20="",DG$8="",DG$7=""),"",ROUND(DG20/DG$8*DG$7*KVARDI,2))</f>
        <v/>
      </c>
      <c r="DI20" s="39"/>
      <c r="DJ20" s="40" t="str">
        <f aca="false">IF(OR(INDEX(Undirviðmið!$G$6:$G$105,(COLUMN()-7-1)/2+1)&lt;&gt;"Starfsbundið",DI20="",DI$8="",DI$7=""),"",ROUND(DI20/DI$8*DI$7*KVARDI,2))</f>
        <v/>
      </c>
      <c r="DK20" s="39"/>
      <c r="DL20" s="40" t="str">
        <f aca="false">IF(OR(INDEX(Undirviðmið!$G$6:$G$105,(COLUMN()-7-1)/2+1)&lt;&gt;"Starfsbundið",DK20="",DK$8="",DK$7=""),"",ROUND(DK20/DK$8*DK$7*KVARDI,2))</f>
        <v/>
      </c>
      <c r="DM20" s="39"/>
      <c r="DN20" s="40" t="str">
        <f aca="false">IF(OR(INDEX(Undirviðmið!$G$6:$G$105,(COLUMN()-7-1)/2+1)&lt;&gt;"Starfsbundið",DM20="",DM$8="",DM$7=""),"",ROUND(DM20/DM$8*DM$7*KVARDI,2))</f>
        <v/>
      </c>
      <c r="DO20" s="39"/>
      <c r="DP20" s="40" t="str">
        <f aca="false">IF(OR(INDEX(Undirviðmið!$G$6:$G$105,(COLUMN()-7-1)/2+1)&lt;&gt;"Starfsbundið",DO20="",DO$8="",DO$7=""),"",ROUND(DO20/DO$8*DO$7*KVARDI,2))</f>
        <v/>
      </c>
      <c r="DQ20" s="39"/>
      <c r="DR20" s="40" t="str">
        <f aca="false">IF(OR(INDEX(Undirviðmið!$G$6:$G$105,(COLUMN()-7-1)/2+1)&lt;&gt;"Starfsbundið",DQ20="",DQ$8="",DQ$7=""),"",ROUND(DQ20/DQ$8*DQ$7*KVARDI,2))</f>
        <v/>
      </c>
      <c r="DS20" s="39"/>
      <c r="DT20" s="40" t="str">
        <f aca="false">IF(OR(INDEX(Undirviðmið!$G$6:$G$105,(COLUMN()-7-1)/2+1)&lt;&gt;"Starfsbundið",DS20="",DS$8="",DS$7=""),"",ROUND(DS20/DS$8*DS$7*KVARDI,2))</f>
        <v/>
      </c>
      <c r="DU20" s="39"/>
      <c r="DV20" s="40" t="str">
        <f aca="false">IF(OR(INDEX(Undirviðmið!$G$6:$G$105,(COLUMN()-7-1)/2+1)&lt;&gt;"Starfsbundið",DU20="",DU$8="",DU$7=""),"",ROUND(DU20/DU$8*DU$7*KVARDI,2))</f>
        <v/>
      </c>
      <c r="DW20" s="39"/>
      <c r="DX20" s="40" t="str">
        <f aca="false">IF(OR(INDEX(Undirviðmið!$G$6:$G$105,(COLUMN()-7-1)/2+1)&lt;&gt;"Starfsbundið",DW20="",DW$8="",DW$7=""),"",ROUND(DW20/DW$8*DW$7*KVARDI,2))</f>
        <v/>
      </c>
      <c r="DY20" s="39"/>
      <c r="DZ20" s="40" t="str">
        <f aca="false">IF(OR(INDEX(Undirviðmið!$G$6:$G$105,(COLUMN()-7-1)/2+1)&lt;&gt;"Starfsbundið",DY20="",DY$8="",DY$7=""),"",ROUND(DY20/DY$8*DY$7*KVARDI,2))</f>
        <v/>
      </c>
      <c r="EA20" s="39"/>
      <c r="EB20" s="40" t="str">
        <f aca="false">IF(OR(INDEX(Undirviðmið!$G$6:$G$105,(COLUMN()-7-1)/2+1)&lt;&gt;"Starfsbundið",EA20="",EA$8="",EA$7=""),"",ROUND(EA20/EA$8*EA$7*KVARDI,2))</f>
        <v/>
      </c>
      <c r="EC20" s="39"/>
      <c r="ED20" s="40" t="str">
        <f aca="false">IF(OR(INDEX(Undirviðmið!$G$6:$G$105,(COLUMN()-7-1)/2+1)&lt;&gt;"Starfsbundið",EC20="",EC$8="",EC$7=""),"",ROUND(EC20/EC$8*EC$7*KVARDI,2))</f>
        <v/>
      </c>
      <c r="EE20" s="39"/>
      <c r="EF20" s="40" t="str">
        <f aca="false">IF(OR(INDEX(Undirviðmið!$G$6:$G$105,(COLUMN()-7-1)/2+1)&lt;&gt;"Starfsbundið",EE20="",EE$8="",EE$7=""),"",ROUND(EE20/EE$8*EE$7*KVARDI,2))</f>
        <v/>
      </c>
      <c r="EG20" s="39"/>
      <c r="EH20" s="40" t="str">
        <f aca="false">IF(OR(INDEX(Undirviðmið!$G$6:$G$105,(COLUMN()-7-1)/2+1)&lt;&gt;"Starfsbundið",EG20="",EG$8="",EG$7=""),"",ROUND(EG20/EG$8*EG$7*KVARDI,2))</f>
        <v/>
      </c>
      <c r="EI20" s="39"/>
      <c r="EJ20" s="40" t="str">
        <f aca="false">IF(OR(INDEX(Undirviðmið!$G$6:$G$105,(COLUMN()-7-1)/2+1)&lt;&gt;"Starfsbundið",EI20="",EI$8="",EI$7=""),"",ROUND(EI20/EI$8*EI$7*KVARDI,2))</f>
        <v/>
      </c>
      <c r="EK20" s="39"/>
      <c r="EL20" s="40" t="str">
        <f aca="false">IF(OR(INDEX(Undirviðmið!$G$6:$G$105,(COLUMN()-7-1)/2+1)&lt;&gt;"Starfsbundið",EK20="",EK$8="",EK$7=""),"",ROUND(EK20/EK$8*EK$7*KVARDI,2))</f>
        <v/>
      </c>
      <c r="EM20" s="39"/>
      <c r="EN20" s="40" t="str">
        <f aca="false">IF(OR(INDEX(Undirviðmið!$G$6:$G$105,(COLUMN()-7-1)/2+1)&lt;&gt;"Starfsbundið",EM20="",EM$8="",EM$7=""),"",ROUND(EM20/EM$8*EM$7*KVARDI,2))</f>
        <v/>
      </c>
      <c r="EO20" s="39"/>
      <c r="EP20" s="40" t="str">
        <f aca="false">IF(OR(INDEX(Undirviðmið!$G$6:$G$105,(COLUMN()-7-1)/2+1)&lt;&gt;"Starfsbundið",EO20="",EO$8="",EO$7=""),"",ROUND(EO20/EO$8*EO$7*KVARDI,2))</f>
        <v/>
      </c>
      <c r="EQ20" s="39"/>
      <c r="ER20" s="40" t="str">
        <f aca="false">IF(OR(INDEX(Undirviðmið!$G$6:$G$105,(COLUMN()-7-1)/2+1)&lt;&gt;"Starfsbundið",EQ20="",EQ$8="",EQ$7=""),"",ROUND(EQ20/EQ$8*EQ$7*KVARDI,2))</f>
        <v/>
      </c>
      <c r="ES20" s="39"/>
      <c r="ET20" s="40" t="str">
        <f aca="false">IF(OR(INDEX(Undirviðmið!$G$6:$G$105,(COLUMN()-7-1)/2+1)&lt;&gt;"Starfsbundið",ES20="",ES$8="",ES$7=""),"",ROUND(ES20/ES$8*ES$7*KVARDI,2))</f>
        <v/>
      </c>
      <c r="EU20" s="39"/>
      <c r="EV20" s="40" t="str">
        <f aca="false">IF(OR(INDEX(Undirviðmið!$G$6:$G$105,(COLUMN()-7-1)/2+1)&lt;&gt;"Starfsbundið",EU20="",EU$8="",EU$7=""),"",ROUND(EU20/EU$8*EU$7*KVARDI,2))</f>
        <v/>
      </c>
      <c r="EW20" s="39"/>
      <c r="EX20" s="40" t="str">
        <f aca="false">IF(OR(INDEX(Undirviðmið!$G$6:$G$105,(COLUMN()-7-1)/2+1)&lt;&gt;"Starfsbundið",EW20="",EW$8="",EW$7=""),"",ROUND(EW20/EW$8*EW$7*KVARDI,2))</f>
        <v/>
      </c>
      <c r="EY20" s="39"/>
      <c r="EZ20" s="40" t="str">
        <f aca="false">IF(OR(INDEX(Undirviðmið!$G$6:$G$105,(COLUMN()-7-1)/2+1)&lt;&gt;"Starfsbundið",EY20="",EY$8="",EY$7=""),"",ROUND(EY20/EY$8*EY$7*KVARDI,2))</f>
        <v/>
      </c>
      <c r="FA20" s="39"/>
      <c r="FB20" s="40" t="str">
        <f aca="false">IF(OR(INDEX(Undirviðmið!$G$6:$G$105,(COLUMN()-7-1)/2+1)&lt;&gt;"Starfsbundið",FA20="",FA$8="",FA$7=""),"",ROUND(FA20/FA$8*FA$7*KVARDI,2))</f>
        <v/>
      </c>
      <c r="FC20" s="39"/>
      <c r="FD20" s="40" t="str">
        <f aca="false">IF(OR(INDEX(Undirviðmið!$G$6:$G$105,(COLUMN()-7-1)/2+1)&lt;&gt;"Starfsbundið",FC20="",FC$8="",FC$7=""),"",ROUND(FC20/FC$8*FC$7*KVARDI,2))</f>
        <v/>
      </c>
      <c r="FE20" s="39"/>
      <c r="FF20" s="40" t="str">
        <f aca="false">IF(OR(INDEX(Undirviðmið!$G$6:$G$105,(COLUMN()-7-1)/2+1)&lt;&gt;"Starfsbundið",FE20="",FE$8="",FE$7=""),"",ROUND(FE20/FE$8*FE$7*KVARDI,2))</f>
        <v/>
      </c>
      <c r="FG20" s="39"/>
      <c r="FH20" s="40" t="str">
        <f aca="false">IF(OR(INDEX(Undirviðmið!$G$6:$G$105,(COLUMN()-7-1)/2+1)&lt;&gt;"Starfsbundið",FG20="",FG$8="",FG$7=""),"",ROUND(FG20/FG$8*FG$7*KVARDI,2))</f>
        <v/>
      </c>
      <c r="FI20" s="39"/>
      <c r="FJ20" s="40" t="str">
        <f aca="false">IF(OR(INDEX(Undirviðmið!$G$6:$G$105,(COLUMN()-7-1)/2+1)&lt;&gt;"Starfsbundið",FI20="",FI$8="",FI$7=""),"",ROUND(FI20/FI$8*FI$7*KVARDI,2))</f>
        <v/>
      </c>
      <c r="FK20" s="39"/>
      <c r="FL20" s="40" t="str">
        <f aca="false">IF(OR(INDEX(Undirviðmið!$G$6:$G$105,(COLUMN()-7-1)/2+1)&lt;&gt;"Starfsbundið",FK20="",FK$8="",FK$7=""),"",ROUND(FK20/FK$8*FK$7*KVARDI,2))</f>
        <v/>
      </c>
      <c r="FM20" s="39"/>
      <c r="FN20" s="40" t="str">
        <f aca="false">IF(OR(INDEX(Undirviðmið!$G$6:$G$105,(COLUMN()-7-1)/2+1)&lt;&gt;"Starfsbundið",FM20="",FM$8="",FM$7=""),"",ROUND(FM20/FM$8*FM$7*KVARDI,2))</f>
        <v/>
      </c>
      <c r="FO20" s="39"/>
      <c r="FP20" s="40" t="str">
        <f aca="false">IF(OR(INDEX(Undirviðmið!$G$6:$G$105,(COLUMN()-7-1)/2+1)&lt;&gt;"Starfsbundið",FO20="",FO$8="",FO$7=""),"",ROUND(FO20/FO$8*FO$7*KVARDI,2))</f>
        <v/>
      </c>
      <c r="FQ20" s="39"/>
      <c r="FR20" s="40" t="str">
        <f aca="false">IF(OR(INDEX(Undirviðmið!$G$6:$G$105,(COLUMN()-7-1)/2+1)&lt;&gt;"Starfsbundið",FQ20="",FQ$8="",FQ$7=""),"",ROUND(FQ20/FQ$8*FQ$7*KVARDI,2))</f>
        <v/>
      </c>
      <c r="FS20" s="39"/>
      <c r="FT20" s="40" t="str">
        <f aca="false">IF(OR(INDEX(Undirviðmið!$G$6:$G$105,(COLUMN()-7-1)/2+1)&lt;&gt;"Starfsbundið",FS20="",FS$8="",FS$7=""),"",ROUND(FS20/FS$8*FS$7*KVARDI,2))</f>
        <v/>
      </c>
      <c r="FU20" s="39"/>
      <c r="FV20" s="40" t="str">
        <f aca="false">IF(OR(INDEX(Undirviðmið!$G$6:$G$105,(COLUMN()-7-1)/2+1)&lt;&gt;"Starfsbundið",FU20="",FU$8="",FU$7=""),"",ROUND(FU20/FU$8*FU$7*KVARDI,2))</f>
        <v/>
      </c>
      <c r="FW20" s="39"/>
      <c r="FX20" s="40" t="str">
        <f aca="false">IF(OR(INDEX(Undirviðmið!$G$6:$G$105,(COLUMN()-7-1)/2+1)&lt;&gt;"Starfsbundið",FW20="",FW$8="",FW$7=""),"",ROUND(FW20/FW$8*FW$7*KVARDI,2))</f>
        <v/>
      </c>
      <c r="FY20" s="39"/>
      <c r="FZ20" s="40" t="str">
        <f aca="false">IF(OR(INDEX(Undirviðmið!$G$6:$G$105,(COLUMN()-7-1)/2+1)&lt;&gt;"Starfsbundið",FY20="",FY$8="",FY$7=""),"",ROUND(FY20/FY$8*FY$7*KVARDI,2))</f>
        <v/>
      </c>
      <c r="GA20" s="39"/>
      <c r="GB20" s="40" t="str">
        <f aca="false">IF(OR(INDEX(Undirviðmið!$G$6:$G$105,(COLUMN()-7-1)/2+1)&lt;&gt;"Starfsbundið",GA20="",GA$8="",GA$7=""),"",ROUND(GA20/GA$8*GA$7*KVARDI,2))</f>
        <v/>
      </c>
      <c r="GC20" s="39"/>
      <c r="GD20" s="40" t="str">
        <f aca="false">IF(OR(INDEX(Undirviðmið!$G$6:$G$105,(COLUMN()-7-1)/2+1)&lt;&gt;"Starfsbundið",GC20="",GC$8="",GC$7=""),"",ROUND(GC20/GC$8*GC$7*KVARDI,2))</f>
        <v/>
      </c>
      <c r="GE20" s="39"/>
      <c r="GF20" s="40" t="str">
        <f aca="false">IF(OR(INDEX(Undirviðmið!$G$6:$G$105,(COLUMN()-7-1)/2+1)&lt;&gt;"Starfsbundið",GE20="",GE$8="",GE$7=""),"",ROUND(GE20/GE$8*GE$7*KVARDI,2))</f>
        <v/>
      </c>
      <c r="GG20" s="39"/>
      <c r="GH20" s="40" t="str">
        <f aca="false">IF(OR(INDEX(Undirviðmið!$G$6:$G$105,(COLUMN()-7-1)/2+1)&lt;&gt;"Starfsbundið",GG20="",GG$8="",GG$7=""),"",ROUND(GG20/GG$8*GG$7*KVARDI,2))</f>
        <v/>
      </c>
      <c r="GI20" s="39"/>
      <c r="GJ20" s="40" t="str">
        <f aca="false">IF(OR(INDEX(Undirviðmið!$G$6:$G$105,(COLUMN()-7-1)/2+1)&lt;&gt;"Starfsbundið",GI20="",GI$8="",GI$7=""),"",ROUND(GI20/GI$8*GI$7*KVARDI,2))</f>
        <v/>
      </c>
      <c r="GK20" s="39"/>
      <c r="GL20" s="40" t="str">
        <f aca="false">IF(OR(INDEX(Undirviðmið!$G$6:$G$105,(COLUMN()-7-1)/2+1)&lt;&gt;"Starfsbundið",GK20="",GK$8="",GK$7=""),"",ROUND(GK20/GK$8*GK$7*KVARDI,2))</f>
        <v/>
      </c>
      <c r="GM20" s="39"/>
      <c r="GN20" s="40" t="str">
        <f aca="false">IF(OR(INDEX(Undirviðmið!$G$6:$G$105,(COLUMN()-7-1)/2+1)&lt;&gt;"Starfsbundið",GM20="",GM$8="",GM$7=""),"",ROUND(GM20/GM$8*GM$7*KVARDI,2))</f>
        <v/>
      </c>
      <c r="GO20" s="39"/>
      <c r="GP20" s="40" t="str">
        <f aca="false">IF(OR(INDEX(Undirviðmið!$G$6:$G$105,(COLUMN()-7-1)/2+1)&lt;&gt;"Starfsbundið",GO20="",GO$8="",GO$7=""),"",ROUND(GO20/GO$8*GO$7*KVARDI,2))</f>
        <v/>
      </c>
      <c r="GQ20" s="39"/>
      <c r="GR20" s="40" t="str">
        <f aca="false">IF(OR(INDEX(Undirviðmið!$G$6:$G$105,(COLUMN()-7-1)/2+1)&lt;&gt;"Starfsbundið",GQ20="",GQ$8="",GQ$7=""),"",ROUND(GQ20/GQ$8*GQ$7*KVARDI,2))</f>
        <v/>
      </c>
      <c r="GS20" s="39"/>
      <c r="GT20" s="40" t="str">
        <f aca="false">IF(OR(INDEX(Undirviðmið!$G$6:$G$105,(COLUMN()-7-1)/2+1)&lt;&gt;"Starfsbundið",GS20="",GS$8="",GS$7=""),"",ROUND(GS20/GS$8*GS$7*KVARDI,2))</f>
        <v/>
      </c>
      <c r="GU20" s="39"/>
      <c r="GV20" s="40" t="str">
        <f aca="false">IF(OR(INDEX(Undirviðmið!$G$6:$G$105,(COLUMN()-7-1)/2+1)&lt;&gt;"Starfsbundið",GU20="",GU$8="",GU$7=""),"",ROUND(GU20/GU$8*GU$7*KVARDI,2))</f>
        <v/>
      </c>
      <c r="GW20" s="39"/>
      <c r="GX20" s="40" t="str">
        <f aca="false">IF(OR(INDEX(Undirviðmið!$G$6:$G$105,(COLUMN()-7-1)/2+1)&lt;&gt;"Starfsbundið",GW20="",GW$8="",GW$7=""),"",ROUND(GW20/GW$8*GW$7*KVARDI,2))</f>
        <v/>
      </c>
      <c r="GZ20" s="20"/>
    </row>
    <row r="21" customFormat="false" ht="15" hidden="true" customHeight="true" outlineLevel="1" collapsed="false">
      <c r="B21" s="37" t="str">
        <f aca="false" t="array" ref="B21:B21">IFERROR(INDEX(Starfsmenn!$C$6:$C$10005,MATCH(0,COUNTIF($B$11:B20,Starfsmenn!$C$6:$C$10005)+(Starfsmenn!$C$6:$C$10005=""),0)),"")</f>
        <v/>
      </c>
      <c r="C21" s="38" t="n">
        <f aca="false">IFERROR(SUMIF($G$10:$GX$10,"Stig",$G21:$GX21),0)</f>
        <v>0</v>
      </c>
      <c r="G21" s="39"/>
      <c r="H21" s="40" t="str">
        <f aca="false">IF(OR(INDEX(Undirviðmið!$G$6:$G$105,(COLUMN()-7-1)/2+1)&lt;&gt;"Starfsbundið",G21="",G$8="",G$7=""),"",ROUND(G21/G$8*G$7*KVARDI,2))</f>
        <v/>
      </c>
      <c r="I21" s="39"/>
      <c r="J21" s="40" t="str">
        <f aca="false">IF(OR(INDEX(Undirviðmið!$G$6:$G$105,(COLUMN()-7-1)/2+1)&lt;&gt;"Starfsbundið",I21="",I$8="",I$7=""),"",ROUND(I21/I$8*I$7*KVARDI,2))</f>
        <v/>
      </c>
      <c r="K21" s="39"/>
      <c r="L21" s="40" t="str">
        <f aca="false">IF(OR(INDEX(Undirviðmið!$G$6:$G$105,(COLUMN()-7-1)/2+1)&lt;&gt;"Starfsbundið",K21="",K$8="",K$7=""),"",ROUND(K21/K$8*K$7*KVARDI,2))</f>
        <v/>
      </c>
      <c r="M21" s="39"/>
      <c r="N21" s="40" t="str">
        <f aca="false">IF(OR(INDEX(Undirviðmið!$G$6:$G$105,(COLUMN()-7-1)/2+1)&lt;&gt;"Starfsbundið",M21="",M$8="",M$7=""),"",ROUND(M21/M$8*M$7*KVARDI,2))</f>
        <v/>
      </c>
      <c r="O21" s="39"/>
      <c r="P21" s="40" t="str">
        <f aca="false">IF(OR(INDEX(Undirviðmið!$G$6:$G$105,(COLUMN()-7-1)/2+1)&lt;&gt;"Starfsbundið",O21="",O$8="",O$7=""),"",ROUND(O21/O$8*O$7*KVARDI,2))</f>
        <v/>
      </c>
      <c r="Q21" s="39"/>
      <c r="R21" s="40" t="str">
        <f aca="false">IF(OR(INDEX(Undirviðmið!$G$6:$G$105,(COLUMN()-7-1)/2+1)&lt;&gt;"Starfsbundið",Q21="",Q$8="",Q$7=""),"",ROUND(Q21/Q$8*Q$7*KVARDI,2))</f>
        <v/>
      </c>
      <c r="S21" s="39"/>
      <c r="T21" s="40" t="str">
        <f aca="false">IF(OR(INDEX(Undirviðmið!$G$6:$G$105,(COLUMN()-7-1)/2+1)&lt;&gt;"Starfsbundið",S21="",S$8="",S$7=""),"",ROUND(S21/S$8*S$7*KVARDI,2))</f>
        <v/>
      </c>
      <c r="U21" s="39"/>
      <c r="V21" s="40" t="str">
        <f aca="false">IF(OR(INDEX(Undirviðmið!$G$6:$G$105,(COLUMN()-7-1)/2+1)&lt;&gt;"Starfsbundið",U21="",U$8="",U$7=""),"",ROUND(U21/U$8*U$7*KVARDI,2))</f>
        <v/>
      </c>
      <c r="W21" s="39"/>
      <c r="X21" s="40" t="str">
        <f aca="false">IF(OR(INDEX(Undirviðmið!$G$6:$G$105,(COLUMN()-7-1)/2+1)&lt;&gt;"Starfsbundið",W21="",W$8="",W$7=""),"",ROUND(W21/W$8*W$7*KVARDI,2))</f>
        <v/>
      </c>
      <c r="Y21" s="39"/>
      <c r="Z21" s="40" t="str">
        <f aca="false">IF(OR(INDEX(Undirviðmið!$G$6:$G$105,(COLUMN()-7-1)/2+1)&lt;&gt;"Starfsbundið",Y21="",Y$8="",Y$7=""),"",ROUND(Y21/Y$8*Y$7*KVARDI,2))</f>
        <v/>
      </c>
      <c r="AA21" s="39"/>
      <c r="AB21" s="40" t="str">
        <f aca="false">IF(OR(INDEX(Undirviðmið!$G$6:$G$105,(COLUMN()-7-1)/2+1)&lt;&gt;"Starfsbundið",AA21="",AA$8="",AA$7=""),"",ROUND(AA21/AA$8*AA$7*KVARDI,2))</f>
        <v/>
      </c>
      <c r="AC21" s="39"/>
      <c r="AD21" s="40" t="str">
        <f aca="false">IF(OR(INDEX(Undirviðmið!$G$6:$G$105,(COLUMN()-7-1)/2+1)&lt;&gt;"Starfsbundið",AC21="",AC$8="",AC$7=""),"",ROUND(AC21/AC$8*AC$7*KVARDI,2))</f>
        <v/>
      </c>
      <c r="AE21" s="39"/>
      <c r="AF21" s="40" t="str">
        <f aca="false">IF(OR(INDEX(Undirviðmið!$G$6:$G$105,(COLUMN()-7-1)/2+1)&lt;&gt;"Starfsbundið",AE21="",AE$8="",AE$7=""),"",ROUND(AE21/AE$8*AE$7*KVARDI,2))</f>
        <v/>
      </c>
      <c r="AG21" s="39"/>
      <c r="AH21" s="40" t="str">
        <f aca="false">IF(OR(INDEX(Undirviðmið!$G$6:$G$105,(COLUMN()-7-1)/2+1)&lt;&gt;"Starfsbundið",AG21="",AG$8="",AG$7=""),"",ROUND(AG21/AG$8*AG$7*KVARDI,2))</f>
        <v/>
      </c>
      <c r="AI21" s="39"/>
      <c r="AJ21" s="40" t="str">
        <f aca="false">IF(OR(INDEX(Undirviðmið!$G$6:$G$105,(COLUMN()-7-1)/2+1)&lt;&gt;"Starfsbundið",AI21="",AI$8="",AI$7=""),"",ROUND(AI21/AI$8*AI$7*KVARDI,2))</f>
        <v/>
      </c>
      <c r="AK21" s="39"/>
      <c r="AL21" s="40" t="str">
        <f aca="false">IF(OR(INDEX(Undirviðmið!$G$6:$G$105,(COLUMN()-7-1)/2+1)&lt;&gt;"Starfsbundið",AK21="",AK$8="",AK$7=""),"",ROUND(AK21/AK$8*AK$7*KVARDI,2))</f>
        <v/>
      </c>
      <c r="AM21" s="39"/>
      <c r="AN21" s="40" t="str">
        <f aca="false">IF(OR(INDEX(Undirviðmið!$G$6:$G$105,(COLUMN()-7-1)/2+1)&lt;&gt;"Starfsbundið",AM21="",AM$8="",AM$7=""),"",ROUND(AM21/AM$8*AM$7*KVARDI,2))</f>
        <v/>
      </c>
      <c r="AO21" s="39"/>
      <c r="AP21" s="40" t="str">
        <f aca="false">IF(OR(INDEX(Undirviðmið!$G$6:$G$105,(COLUMN()-7-1)/2+1)&lt;&gt;"Starfsbundið",AO21="",AO$8="",AO$7=""),"",ROUND(AO21/AO$8*AO$7*KVARDI,2))</f>
        <v/>
      </c>
      <c r="AQ21" s="39"/>
      <c r="AR21" s="40" t="str">
        <f aca="false">IF(OR(INDEX(Undirviðmið!$G$6:$G$105,(COLUMN()-7-1)/2+1)&lt;&gt;"Starfsbundið",AQ21="",AQ$8="",AQ$7=""),"",ROUND(AQ21/AQ$8*AQ$7*KVARDI,2))</f>
        <v/>
      </c>
      <c r="AS21" s="39"/>
      <c r="AT21" s="40" t="str">
        <f aca="false">IF(OR(INDEX(Undirviðmið!$G$6:$G$105,(COLUMN()-7-1)/2+1)&lt;&gt;"Starfsbundið",AS21="",AS$8="",AS$7=""),"",ROUND(AS21/AS$8*AS$7*KVARDI,2))</f>
        <v/>
      </c>
      <c r="AU21" s="39"/>
      <c r="AV21" s="40" t="str">
        <f aca="false">IF(OR(INDEX(Undirviðmið!$G$6:$G$105,(COLUMN()-7-1)/2+1)&lt;&gt;"Starfsbundið",AU21="",AU$8="",AU$7=""),"",ROUND(AU21/AU$8*AU$7*KVARDI,2))</f>
        <v/>
      </c>
      <c r="AW21" s="39"/>
      <c r="AX21" s="40" t="str">
        <f aca="false">IF(OR(INDEX(Undirviðmið!$G$6:$G$105,(COLUMN()-7-1)/2+1)&lt;&gt;"Starfsbundið",AW21="",AW$8="",AW$7=""),"",ROUND(AW21/AW$8*AW$7*KVARDI,2))</f>
        <v/>
      </c>
      <c r="AY21" s="39"/>
      <c r="AZ21" s="40" t="str">
        <f aca="false">IF(OR(INDEX(Undirviðmið!$G$6:$G$105,(COLUMN()-7-1)/2+1)&lt;&gt;"Starfsbundið",AY21="",AY$8="",AY$7=""),"",ROUND(AY21/AY$8*AY$7*KVARDI,2))</f>
        <v/>
      </c>
      <c r="BA21" s="39"/>
      <c r="BB21" s="40" t="str">
        <f aca="false">IF(OR(INDEX(Undirviðmið!$G$6:$G$105,(COLUMN()-7-1)/2+1)&lt;&gt;"Starfsbundið",BA21="",BA$8="",BA$7=""),"",ROUND(BA21/BA$8*BA$7*KVARDI,2))</f>
        <v/>
      </c>
      <c r="BC21" s="39"/>
      <c r="BD21" s="40" t="str">
        <f aca="false">IF(OR(INDEX(Undirviðmið!$G$6:$G$105,(COLUMN()-7-1)/2+1)&lt;&gt;"Starfsbundið",BC21="",BC$8="",BC$7=""),"",ROUND(BC21/BC$8*BC$7*KVARDI,2))</f>
        <v/>
      </c>
      <c r="BE21" s="39"/>
      <c r="BF21" s="40" t="str">
        <f aca="false">IF(OR(INDEX(Undirviðmið!$G$6:$G$105,(COLUMN()-7-1)/2+1)&lt;&gt;"Starfsbundið",BE21="",BE$8="",BE$7=""),"",ROUND(BE21/BE$8*BE$7*KVARDI,2))</f>
        <v/>
      </c>
      <c r="BG21" s="39"/>
      <c r="BH21" s="40" t="str">
        <f aca="false">IF(OR(INDEX(Undirviðmið!$G$6:$G$105,(COLUMN()-7-1)/2+1)&lt;&gt;"Starfsbundið",BG21="",BG$8="",BG$7=""),"",ROUND(BG21/BG$8*BG$7*KVARDI,2))</f>
        <v/>
      </c>
      <c r="BI21" s="39"/>
      <c r="BJ21" s="40" t="str">
        <f aca="false">IF(OR(INDEX(Undirviðmið!$G$6:$G$105,(COLUMN()-7-1)/2+1)&lt;&gt;"Starfsbundið",BI21="",BI$8="",BI$7=""),"",ROUND(BI21/BI$8*BI$7*KVARDI,2))</f>
        <v/>
      </c>
      <c r="BK21" s="39"/>
      <c r="BL21" s="40" t="str">
        <f aca="false">IF(OR(INDEX(Undirviðmið!$G$6:$G$105,(COLUMN()-7-1)/2+1)&lt;&gt;"Starfsbundið",BK21="",BK$8="",BK$7=""),"",ROUND(BK21/BK$8*BK$7*KVARDI,2))</f>
        <v/>
      </c>
      <c r="BM21" s="39"/>
      <c r="BN21" s="40" t="str">
        <f aca="false">IF(OR(INDEX(Undirviðmið!$G$6:$G$105,(COLUMN()-7-1)/2+1)&lt;&gt;"Starfsbundið",BM21="",BM$8="",BM$7=""),"",ROUND(BM21/BM$8*BM$7*KVARDI,2))</f>
        <v/>
      </c>
      <c r="BO21" s="39"/>
      <c r="BP21" s="40" t="str">
        <f aca="false">IF(OR(INDEX(Undirviðmið!$G$6:$G$105,(COLUMN()-7-1)/2+1)&lt;&gt;"Starfsbundið",BO21="",BO$8="",BO$7=""),"",ROUND(BO21/BO$8*BO$7*KVARDI,2))</f>
        <v/>
      </c>
      <c r="BQ21" s="39"/>
      <c r="BR21" s="40" t="str">
        <f aca="false">IF(OR(INDEX(Undirviðmið!$G$6:$G$105,(COLUMN()-7-1)/2+1)&lt;&gt;"Starfsbundið",BQ21="",BQ$8="",BQ$7=""),"",ROUND(BQ21/BQ$8*BQ$7*KVARDI,2))</f>
        <v/>
      </c>
      <c r="BS21" s="39"/>
      <c r="BT21" s="40" t="str">
        <f aca="false">IF(OR(INDEX(Undirviðmið!$G$6:$G$105,(COLUMN()-7-1)/2+1)&lt;&gt;"Starfsbundið",BS21="",BS$8="",BS$7=""),"",ROUND(BS21/BS$8*BS$7*KVARDI,2))</f>
        <v/>
      </c>
      <c r="BU21" s="39"/>
      <c r="BV21" s="40" t="str">
        <f aca="false">IF(OR(INDEX(Undirviðmið!$G$6:$G$105,(COLUMN()-7-1)/2+1)&lt;&gt;"Starfsbundið",BU21="",BU$8="",BU$7=""),"",ROUND(BU21/BU$8*BU$7*KVARDI,2))</f>
        <v/>
      </c>
      <c r="BW21" s="39"/>
      <c r="BX21" s="40" t="str">
        <f aca="false">IF(OR(INDEX(Undirviðmið!$G$6:$G$105,(COLUMN()-7-1)/2+1)&lt;&gt;"Starfsbundið",BW21="",BW$8="",BW$7=""),"",ROUND(BW21/BW$8*BW$7*KVARDI,2))</f>
        <v/>
      </c>
      <c r="BY21" s="39"/>
      <c r="BZ21" s="40" t="str">
        <f aca="false">IF(OR(INDEX(Undirviðmið!$G$6:$G$105,(COLUMN()-7-1)/2+1)&lt;&gt;"Starfsbundið",BY21="",BY$8="",BY$7=""),"",ROUND(BY21/BY$8*BY$7*KVARDI,2))</f>
        <v/>
      </c>
      <c r="CA21" s="39"/>
      <c r="CB21" s="40" t="str">
        <f aca="false">IF(OR(INDEX(Undirviðmið!$G$6:$G$105,(COLUMN()-7-1)/2+1)&lt;&gt;"Starfsbundið",CA21="",CA$8="",CA$7=""),"",ROUND(CA21/CA$8*CA$7*KVARDI,2))</f>
        <v/>
      </c>
      <c r="CC21" s="39"/>
      <c r="CD21" s="40" t="str">
        <f aca="false">IF(OR(INDEX(Undirviðmið!$G$6:$G$105,(COLUMN()-7-1)/2+1)&lt;&gt;"Starfsbundið",CC21="",CC$8="",CC$7=""),"",ROUND(CC21/CC$8*CC$7*KVARDI,2))</f>
        <v/>
      </c>
      <c r="CE21" s="39"/>
      <c r="CF21" s="40" t="str">
        <f aca="false">IF(OR(INDEX(Undirviðmið!$G$6:$G$105,(COLUMN()-7-1)/2+1)&lt;&gt;"Starfsbundið",CE21="",CE$8="",CE$7=""),"",ROUND(CE21/CE$8*CE$7*KVARDI,2))</f>
        <v/>
      </c>
      <c r="CG21" s="39"/>
      <c r="CH21" s="40" t="str">
        <f aca="false">IF(OR(INDEX(Undirviðmið!$G$6:$G$105,(COLUMN()-7-1)/2+1)&lt;&gt;"Starfsbundið",CG21="",CG$8="",CG$7=""),"",ROUND(CG21/CG$8*CG$7*KVARDI,2))</f>
        <v/>
      </c>
      <c r="CI21" s="39"/>
      <c r="CJ21" s="40" t="str">
        <f aca="false">IF(OR(INDEX(Undirviðmið!$G$6:$G$105,(COLUMN()-7-1)/2+1)&lt;&gt;"Starfsbundið",CI21="",CI$8="",CI$7=""),"",ROUND(CI21/CI$8*CI$7*KVARDI,2))</f>
        <v/>
      </c>
      <c r="CK21" s="39"/>
      <c r="CL21" s="40" t="str">
        <f aca="false">IF(OR(INDEX(Undirviðmið!$G$6:$G$105,(COLUMN()-7-1)/2+1)&lt;&gt;"Starfsbundið",CK21="",CK$8="",CK$7=""),"",ROUND(CK21/CK$8*CK$7*KVARDI,2))</f>
        <v/>
      </c>
      <c r="CM21" s="39"/>
      <c r="CN21" s="40" t="str">
        <f aca="false">IF(OR(INDEX(Undirviðmið!$G$6:$G$105,(COLUMN()-7-1)/2+1)&lt;&gt;"Starfsbundið",CM21="",CM$8="",CM$7=""),"",ROUND(CM21/CM$8*CM$7*KVARDI,2))</f>
        <v/>
      </c>
      <c r="CO21" s="39"/>
      <c r="CP21" s="40" t="str">
        <f aca="false">IF(OR(INDEX(Undirviðmið!$G$6:$G$105,(COLUMN()-7-1)/2+1)&lt;&gt;"Starfsbundið",CO21="",CO$8="",CO$7=""),"",ROUND(CO21/CO$8*CO$7*KVARDI,2))</f>
        <v/>
      </c>
      <c r="CQ21" s="39"/>
      <c r="CR21" s="40" t="str">
        <f aca="false">IF(OR(INDEX(Undirviðmið!$G$6:$G$105,(COLUMN()-7-1)/2+1)&lt;&gt;"Starfsbundið",CQ21="",CQ$8="",CQ$7=""),"",ROUND(CQ21/CQ$8*CQ$7*KVARDI,2))</f>
        <v/>
      </c>
      <c r="CS21" s="39"/>
      <c r="CT21" s="40" t="str">
        <f aca="false">IF(OR(INDEX(Undirviðmið!$G$6:$G$105,(COLUMN()-7-1)/2+1)&lt;&gt;"Starfsbundið",CS21="",CS$8="",CS$7=""),"",ROUND(CS21/CS$8*CS$7*KVARDI,2))</f>
        <v/>
      </c>
      <c r="CU21" s="39"/>
      <c r="CV21" s="40" t="str">
        <f aca="false">IF(OR(INDEX(Undirviðmið!$G$6:$G$105,(COLUMN()-7-1)/2+1)&lt;&gt;"Starfsbundið",CU21="",CU$8="",CU$7=""),"",ROUND(CU21/CU$8*CU$7*KVARDI,2))</f>
        <v/>
      </c>
      <c r="CW21" s="39"/>
      <c r="CX21" s="40" t="str">
        <f aca="false">IF(OR(INDEX(Undirviðmið!$G$6:$G$105,(COLUMN()-7-1)/2+1)&lt;&gt;"Starfsbundið",CW21="",CW$8="",CW$7=""),"",ROUND(CW21/CW$8*CW$7*KVARDI,2))</f>
        <v/>
      </c>
      <c r="CY21" s="39"/>
      <c r="CZ21" s="40" t="str">
        <f aca="false">IF(OR(INDEX(Undirviðmið!$G$6:$G$105,(COLUMN()-7-1)/2+1)&lt;&gt;"Starfsbundið",CY21="",CY$8="",CY$7=""),"",ROUND(CY21/CY$8*CY$7*KVARDI,2))</f>
        <v/>
      </c>
      <c r="DA21" s="39"/>
      <c r="DB21" s="40" t="str">
        <f aca="false">IF(OR(INDEX(Undirviðmið!$G$6:$G$105,(COLUMN()-7-1)/2+1)&lt;&gt;"Starfsbundið",DA21="",DA$8="",DA$7=""),"",ROUND(DA21/DA$8*DA$7*KVARDI,2))</f>
        <v/>
      </c>
      <c r="DC21" s="39"/>
      <c r="DD21" s="40" t="str">
        <f aca="false">IF(OR(INDEX(Undirviðmið!$G$6:$G$105,(COLUMN()-7-1)/2+1)&lt;&gt;"Starfsbundið",DC21="",DC$8="",DC$7=""),"",ROUND(DC21/DC$8*DC$7*KVARDI,2))</f>
        <v/>
      </c>
      <c r="DE21" s="39"/>
      <c r="DF21" s="40" t="str">
        <f aca="false">IF(OR(INDEX(Undirviðmið!$G$6:$G$105,(COLUMN()-7-1)/2+1)&lt;&gt;"Starfsbundið",DE21="",DE$8="",DE$7=""),"",ROUND(DE21/DE$8*DE$7*KVARDI,2))</f>
        <v/>
      </c>
      <c r="DG21" s="39"/>
      <c r="DH21" s="40" t="str">
        <f aca="false">IF(OR(INDEX(Undirviðmið!$G$6:$G$105,(COLUMN()-7-1)/2+1)&lt;&gt;"Starfsbundið",DG21="",DG$8="",DG$7=""),"",ROUND(DG21/DG$8*DG$7*KVARDI,2))</f>
        <v/>
      </c>
      <c r="DI21" s="39"/>
      <c r="DJ21" s="40" t="str">
        <f aca="false">IF(OR(INDEX(Undirviðmið!$G$6:$G$105,(COLUMN()-7-1)/2+1)&lt;&gt;"Starfsbundið",DI21="",DI$8="",DI$7=""),"",ROUND(DI21/DI$8*DI$7*KVARDI,2))</f>
        <v/>
      </c>
      <c r="DK21" s="39"/>
      <c r="DL21" s="40" t="str">
        <f aca="false">IF(OR(INDEX(Undirviðmið!$G$6:$G$105,(COLUMN()-7-1)/2+1)&lt;&gt;"Starfsbundið",DK21="",DK$8="",DK$7=""),"",ROUND(DK21/DK$8*DK$7*KVARDI,2))</f>
        <v/>
      </c>
      <c r="DM21" s="39"/>
      <c r="DN21" s="40" t="str">
        <f aca="false">IF(OR(INDEX(Undirviðmið!$G$6:$G$105,(COLUMN()-7-1)/2+1)&lt;&gt;"Starfsbundið",DM21="",DM$8="",DM$7=""),"",ROUND(DM21/DM$8*DM$7*KVARDI,2))</f>
        <v/>
      </c>
      <c r="DO21" s="39"/>
      <c r="DP21" s="40" t="str">
        <f aca="false">IF(OR(INDEX(Undirviðmið!$G$6:$G$105,(COLUMN()-7-1)/2+1)&lt;&gt;"Starfsbundið",DO21="",DO$8="",DO$7=""),"",ROUND(DO21/DO$8*DO$7*KVARDI,2))</f>
        <v/>
      </c>
      <c r="DQ21" s="39"/>
      <c r="DR21" s="40" t="str">
        <f aca="false">IF(OR(INDEX(Undirviðmið!$G$6:$G$105,(COLUMN()-7-1)/2+1)&lt;&gt;"Starfsbundið",DQ21="",DQ$8="",DQ$7=""),"",ROUND(DQ21/DQ$8*DQ$7*KVARDI,2))</f>
        <v/>
      </c>
      <c r="DS21" s="39"/>
      <c r="DT21" s="40" t="str">
        <f aca="false">IF(OR(INDEX(Undirviðmið!$G$6:$G$105,(COLUMN()-7-1)/2+1)&lt;&gt;"Starfsbundið",DS21="",DS$8="",DS$7=""),"",ROUND(DS21/DS$8*DS$7*KVARDI,2))</f>
        <v/>
      </c>
      <c r="DU21" s="39"/>
      <c r="DV21" s="40" t="str">
        <f aca="false">IF(OR(INDEX(Undirviðmið!$G$6:$G$105,(COLUMN()-7-1)/2+1)&lt;&gt;"Starfsbundið",DU21="",DU$8="",DU$7=""),"",ROUND(DU21/DU$8*DU$7*KVARDI,2))</f>
        <v/>
      </c>
      <c r="DW21" s="39"/>
      <c r="DX21" s="40" t="str">
        <f aca="false">IF(OR(INDEX(Undirviðmið!$G$6:$G$105,(COLUMN()-7-1)/2+1)&lt;&gt;"Starfsbundið",DW21="",DW$8="",DW$7=""),"",ROUND(DW21/DW$8*DW$7*KVARDI,2))</f>
        <v/>
      </c>
      <c r="DY21" s="39"/>
      <c r="DZ21" s="40" t="str">
        <f aca="false">IF(OR(INDEX(Undirviðmið!$G$6:$G$105,(COLUMN()-7-1)/2+1)&lt;&gt;"Starfsbundið",DY21="",DY$8="",DY$7=""),"",ROUND(DY21/DY$8*DY$7*KVARDI,2))</f>
        <v/>
      </c>
      <c r="EA21" s="39"/>
      <c r="EB21" s="40" t="str">
        <f aca="false">IF(OR(INDEX(Undirviðmið!$G$6:$G$105,(COLUMN()-7-1)/2+1)&lt;&gt;"Starfsbundið",EA21="",EA$8="",EA$7=""),"",ROUND(EA21/EA$8*EA$7*KVARDI,2))</f>
        <v/>
      </c>
      <c r="EC21" s="39"/>
      <c r="ED21" s="40" t="str">
        <f aca="false">IF(OR(INDEX(Undirviðmið!$G$6:$G$105,(COLUMN()-7-1)/2+1)&lt;&gt;"Starfsbundið",EC21="",EC$8="",EC$7=""),"",ROUND(EC21/EC$8*EC$7*KVARDI,2))</f>
        <v/>
      </c>
      <c r="EE21" s="39"/>
      <c r="EF21" s="40" t="str">
        <f aca="false">IF(OR(INDEX(Undirviðmið!$G$6:$G$105,(COLUMN()-7-1)/2+1)&lt;&gt;"Starfsbundið",EE21="",EE$8="",EE$7=""),"",ROUND(EE21/EE$8*EE$7*KVARDI,2))</f>
        <v/>
      </c>
      <c r="EG21" s="39"/>
      <c r="EH21" s="40" t="str">
        <f aca="false">IF(OR(INDEX(Undirviðmið!$G$6:$G$105,(COLUMN()-7-1)/2+1)&lt;&gt;"Starfsbundið",EG21="",EG$8="",EG$7=""),"",ROUND(EG21/EG$8*EG$7*KVARDI,2))</f>
        <v/>
      </c>
      <c r="EI21" s="39"/>
      <c r="EJ21" s="40" t="str">
        <f aca="false">IF(OR(INDEX(Undirviðmið!$G$6:$G$105,(COLUMN()-7-1)/2+1)&lt;&gt;"Starfsbundið",EI21="",EI$8="",EI$7=""),"",ROUND(EI21/EI$8*EI$7*KVARDI,2))</f>
        <v/>
      </c>
      <c r="EK21" s="39"/>
      <c r="EL21" s="40" t="str">
        <f aca="false">IF(OR(INDEX(Undirviðmið!$G$6:$G$105,(COLUMN()-7-1)/2+1)&lt;&gt;"Starfsbundið",EK21="",EK$8="",EK$7=""),"",ROUND(EK21/EK$8*EK$7*KVARDI,2))</f>
        <v/>
      </c>
      <c r="EM21" s="39"/>
      <c r="EN21" s="40" t="str">
        <f aca="false">IF(OR(INDEX(Undirviðmið!$G$6:$G$105,(COLUMN()-7-1)/2+1)&lt;&gt;"Starfsbundið",EM21="",EM$8="",EM$7=""),"",ROUND(EM21/EM$8*EM$7*KVARDI,2))</f>
        <v/>
      </c>
      <c r="EO21" s="39"/>
      <c r="EP21" s="40" t="str">
        <f aca="false">IF(OR(INDEX(Undirviðmið!$G$6:$G$105,(COLUMN()-7-1)/2+1)&lt;&gt;"Starfsbundið",EO21="",EO$8="",EO$7=""),"",ROUND(EO21/EO$8*EO$7*KVARDI,2))</f>
        <v/>
      </c>
      <c r="EQ21" s="39"/>
      <c r="ER21" s="40" t="str">
        <f aca="false">IF(OR(INDEX(Undirviðmið!$G$6:$G$105,(COLUMN()-7-1)/2+1)&lt;&gt;"Starfsbundið",EQ21="",EQ$8="",EQ$7=""),"",ROUND(EQ21/EQ$8*EQ$7*KVARDI,2))</f>
        <v/>
      </c>
      <c r="ES21" s="39"/>
      <c r="ET21" s="40" t="str">
        <f aca="false">IF(OR(INDEX(Undirviðmið!$G$6:$G$105,(COLUMN()-7-1)/2+1)&lt;&gt;"Starfsbundið",ES21="",ES$8="",ES$7=""),"",ROUND(ES21/ES$8*ES$7*KVARDI,2))</f>
        <v/>
      </c>
      <c r="EU21" s="39"/>
      <c r="EV21" s="40" t="str">
        <f aca="false">IF(OR(INDEX(Undirviðmið!$G$6:$G$105,(COLUMN()-7-1)/2+1)&lt;&gt;"Starfsbundið",EU21="",EU$8="",EU$7=""),"",ROUND(EU21/EU$8*EU$7*KVARDI,2))</f>
        <v/>
      </c>
      <c r="EW21" s="39"/>
      <c r="EX21" s="40" t="str">
        <f aca="false">IF(OR(INDEX(Undirviðmið!$G$6:$G$105,(COLUMN()-7-1)/2+1)&lt;&gt;"Starfsbundið",EW21="",EW$8="",EW$7=""),"",ROUND(EW21/EW$8*EW$7*KVARDI,2))</f>
        <v/>
      </c>
      <c r="EY21" s="39"/>
      <c r="EZ21" s="40" t="str">
        <f aca="false">IF(OR(INDEX(Undirviðmið!$G$6:$G$105,(COLUMN()-7-1)/2+1)&lt;&gt;"Starfsbundið",EY21="",EY$8="",EY$7=""),"",ROUND(EY21/EY$8*EY$7*KVARDI,2))</f>
        <v/>
      </c>
      <c r="FA21" s="39"/>
      <c r="FB21" s="40" t="str">
        <f aca="false">IF(OR(INDEX(Undirviðmið!$G$6:$G$105,(COLUMN()-7-1)/2+1)&lt;&gt;"Starfsbundið",FA21="",FA$8="",FA$7=""),"",ROUND(FA21/FA$8*FA$7*KVARDI,2))</f>
        <v/>
      </c>
      <c r="FC21" s="39"/>
      <c r="FD21" s="40" t="str">
        <f aca="false">IF(OR(INDEX(Undirviðmið!$G$6:$G$105,(COLUMN()-7-1)/2+1)&lt;&gt;"Starfsbundið",FC21="",FC$8="",FC$7=""),"",ROUND(FC21/FC$8*FC$7*KVARDI,2))</f>
        <v/>
      </c>
      <c r="FE21" s="39"/>
      <c r="FF21" s="40" t="str">
        <f aca="false">IF(OR(INDEX(Undirviðmið!$G$6:$G$105,(COLUMN()-7-1)/2+1)&lt;&gt;"Starfsbundið",FE21="",FE$8="",FE$7=""),"",ROUND(FE21/FE$8*FE$7*KVARDI,2))</f>
        <v/>
      </c>
      <c r="FG21" s="39"/>
      <c r="FH21" s="40" t="str">
        <f aca="false">IF(OR(INDEX(Undirviðmið!$G$6:$G$105,(COLUMN()-7-1)/2+1)&lt;&gt;"Starfsbundið",FG21="",FG$8="",FG$7=""),"",ROUND(FG21/FG$8*FG$7*KVARDI,2))</f>
        <v/>
      </c>
      <c r="FI21" s="39"/>
      <c r="FJ21" s="40" t="str">
        <f aca="false">IF(OR(INDEX(Undirviðmið!$G$6:$G$105,(COLUMN()-7-1)/2+1)&lt;&gt;"Starfsbundið",FI21="",FI$8="",FI$7=""),"",ROUND(FI21/FI$8*FI$7*KVARDI,2))</f>
        <v/>
      </c>
      <c r="FK21" s="39"/>
      <c r="FL21" s="40" t="str">
        <f aca="false">IF(OR(INDEX(Undirviðmið!$G$6:$G$105,(COLUMN()-7-1)/2+1)&lt;&gt;"Starfsbundið",FK21="",FK$8="",FK$7=""),"",ROUND(FK21/FK$8*FK$7*KVARDI,2))</f>
        <v/>
      </c>
      <c r="FM21" s="39"/>
      <c r="FN21" s="40" t="str">
        <f aca="false">IF(OR(INDEX(Undirviðmið!$G$6:$G$105,(COLUMN()-7-1)/2+1)&lt;&gt;"Starfsbundið",FM21="",FM$8="",FM$7=""),"",ROUND(FM21/FM$8*FM$7*KVARDI,2))</f>
        <v/>
      </c>
      <c r="FO21" s="39"/>
      <c r="FP21" s="40" t="str">
        <f aca="false">IF(OR(INDEX(Undirviðmið!$G$6:$G$105,(COLUMN()-7-1)/2+1)&lt;&gt;"Starfsbundið",FO21="",FO$8="",FO$7=""),"",ROUND(FO21/FO$8*FO$7*KVARDI,2))</f>
        <v/>
      </c>
      <c r="FQ21" s="39"/>
      <c r="FR21" s="40" t="str">
        <f aca="false">IF(OR(INDEX(Undirviðmið!$G$6:$G$105,(COLUMN()-7-1)/2+1)&lt;&gt;"Starfsbundið",FQ21="",FQ$8="",FQ$7=""),"",ROUND(FQ21/FQ$8*FQ$7*KVARDI,2))</f>
        <v/>
      </c>
      <c r="FS21" s="39"/>
      <c r="FT21" s="40" t="str">
        <f aca="false">IF(OR(INDEX(Undirviðmið!$G$6:$G$105,(COLUMN()-7-1)/2+1)&lt;&gt;"Starfsbundið",FS21="",FS$8="",FS$7=""),"",ROUND(FS21/FS$8*FS$7*KVARDI,2))</f>
        <v/>
      </c>
      <c r="FU21" s="39"/>
      <c r="FV21" s="40" t="str">
        <f aca="false">IF(OR(INDEX(Undirviðmið!$G$6:$G$105,(COLUMN()-7-1)/2+1)&lt;&gt;"Starfsbundið",FU21="",FU$8="",FU$7=""),"",ROUND(FU21/FU$8*FU$7*KVARDI,2))</f>
        <v/>
      </c>
      <c r="FW21" s="39"/>
      <c r="FX21" s="40" t="str">
        <f aca="false">IF(OR(INDEX(Undirviðmið!$G$6:$G$105,(COLUMN()-7-1)/2+1)&lt;&gt;"Starfsbundið",FW21="",FW$8="",FW$7=""),"",ROUND(FW21/FW$8*FW$7*KVARDI,2))</f>
        <v/>
      </c>
      <c r="FY21" s="39"/>
      <c r="FZ21" s="40" t="str">
        <f aca="false">IF(OR(INDEX(Undirviðmið!$G$6:$G$105,(COLUMN()-7-1)/2+1)&lt;&gt;"Starfsbundið",FY21="",FY$8="",FY$7=""),"",ROUND(FY21/FY$8*FY$7*KVARDI,2))</f>
        <v/>
      </c>
      <c r="GA21" s="39"/>
      <c r="GB21" s="40" t="str">
        <f aca="false">IF(OR(INDEX(Undirviðmið!$G$6:$G$105,(COLUMN()-7-1)/2+1)&lt;&gt;"Starfsbundið",GA21="",GA$8="",GA$7=""),"",ROUND(GA21/GA$8*GA$7*KVARDI,2))</f>
        <v/>
      </c>
      <c r="GC21" s="39"/>
      <c r="GD21" s="40" t="str">
        <f aca="false">IF(OR(INDEX(Undirviðmið!$G$6:$G$105,(COLUMN()-7-1)/2+1)&lt;&gt;"Starfsbundið",GC21="",GC$8="",GC$7=""),"",ROUND(GC21/GC$8*GC$7*KVARDI,2))</f>
        <v/>
      </c>
      <c r="GE21" s="39"/>
      <c r="GF21" s="40" t="str">
        <f aca="false">IF(OR(INDEX(Undirviðmið!$G$6:$G$105,(COLUMN()-7-1)/2+1)&lt;&gt;"Starfsbundið",GE21="",GE$8="",GE$7=""),"",ROUND(GE21/GE$8*GE$7*KVARDI,2))</f>
        <v/>
      </c>
      <c r="GG21" s="39"/>
      <c r="GH21" s="40" t="str">
        <f aca="false">IF(OR(INDEX(Undirviðmið!$G$6:$G$105,(COLUMN()-7-1)/2+1)&lt;&gt;"Starfsbundið",GG21="",GG$8="",GG$7=""),"",ROUND(GG21/GG$8*GG$7*KVARDI,2))</f>
        <v/>
      </c>
      <c r="GI21" s="39"/>
      <c r="GJ21" s="40" t="str">
        <f aca="false">IF(OR(INDEX(Undirviðmið!$G$6:$G$105,(COLUMN()-7-1)/2+1)&lt;&gt;"Starfsbundið",GI21="",GI$8="",GI$7=""),"",ROUND(GI21/GI$8*GI$7*KVARDI,2))</f>
        <v/>
      </c>
      <c r="GK21" s="39"/>
      <c r="GL21" s="40" t="str">
        <f aca="false">IF(OR(INDEX(Undirviðmið!$G$6:$G$105,(COLUMN()-7-1)/2+1)&lt;&gt;"Starfsbundið",GK21="",GK$8="",GK$7=""),"",ROUND(GK21/GK$8*GK$7*KVARDI,2))</f>
        <v/>
      </c>
      <c r="GM21" s="39"/>
      <c r="GN21" s="40" t="str">
        <f aca="false">IF(OR(INDEX(Undirviðmið!$G$6:$G$105,(COLUMN()-7-1)/2+1)&lt;&gt;"Starfsbundið",GM21="",GM$8="",GM$7=""),"",ROUND(GM21/GM$8*GM$7*KVARDI,2))</f>
        <v/>
      </c>
      <c r="GO21" s="39"/>
      <c r="GP21" s="40" t="str">
        <f aca="false">IF(OR(INDEX(Undirviðmið!$G$6:$G$105,(COLUMN()-7-1)/2+1)&lt;&gt;"Starfsbundið",GO21="",GO$8="",GO$7=""),"",ROUND(GO21/GO$8*GO$7*KVARDI,2))</f>
        <v/>
      </c>
      <c r="GQ21" s="39"/>
      <c r="GR21" s="40" t="str">
        <f aca="false">IF(OR(INDEX(Undirviðmið!$G$6:$G$105,(COLUMN()-7-1)/2+1)&lt;&gt;"Starfsbundið",GQ21="",GQ$8="",GQ$7=""),"",ROUND(GQ21/GQ$8*GQ$7*KVARDI,2))</f>
        <v/>
      </c>
      <c r="GS21" s="39"/>
      <c r="GT21" s="40" t="str">
        <f aca="false">IF(OR(INDEX(Undirviðmið!$G$6:$G$105,(COLUMN()-7-1)/2+1)&lt;&gt;"Starfsbundið",GS21="",GS$8="",GS$7=""),"",ROUND(GS21/GS$8*GS$7*KVARDI,2))</f>
        <v/>
      </c>
      <c r="GU21" s="39"/>
      <c r="GV21" s="40" t="str">
        <f aca="false">IF(OR(INDEX(Undirviðmið!$G$6:$G$105,(COLUMN()-7-1)/2+1)&lt;&gt;"Starfsbundið",GU21="",GU$8="",GU$7=""),"",ROUND(GU21/GU$8*GU$7*KVARDI,2))</f>
        <v/>
      </c>
      <c r="GW21" s="39"/>
      <c r="GX21" s="40" t="str">
        <f aca="false">IF(OR(INDEX(Undirviðmið!$G$6:$G$105,(COLUMN()-7-1)/2+1)&lt;&gt;"Starfsbundið",GW21="",GW$8="",GW$7=""),"",ROUND(GW21/GW$8*GW$7*KVARDI,2))</f>
        <v/>
      </c>
      <c r="GZ21" s="20"/>
    </row>
    <row r="22" customFormat="false" ht="15" hidden="true" customHeight="true" outlineLevel="1" collapsed="false">
      <c r="B22" s="37" t="str">
        <f aca="false" t="array" ref="B22:B22">IFERROR(INDEX(Starfsmenn!$C$6:$C$10005,MATCH(0,COUNTIF($B$11:B21,Starfsmenn!$C$6:$C$10005)+(Starfsmenn!$C$6:$C$10005=""),0)),"")</f>
        <v/>
      </c>
      <c r="C22" s="38" t="n">
        <f aca="false">IFERROR(SUMIF($G$10:$GX$10,"Stig",$G22:$GX22),0)</f>
        <v>0</v>
      </c>
      <c r="G22" s="39"/>
      <c r="H22" s="40" t="str">
        <f aca="false">IF(OR(INDEX(Undirviðmið!$G$6:$G$105,(COLUMN()-7-1)/2+1)&lt;&gt;"Starfsbundið",G22="",G$8="",G$7=""),"",ROUND(G22/G$8*G$7*KVARDI,2))</f>
        <v/>
      </c>
      <c r="I22" s="39"/>
      <c r="J22" s="40" t="str">
        <f aca="false">IF(OR(INDEX(Undirviðmið!$G$6:$G$105,(COLUMN()-7-1)/2+1)&lt;&gt;"Starfsbundið",I22="",I$8="",I$7=""),"",ROUND(I22/I$8*I$7*KVARDI,2))</f>
        <v/>
      </c>
      <c r="K22" s="39"/>
      <c r="L22" s="40" t="str">
        <f aca="false">IF(OR(INDEX(Undirviðmið!$G$6:$G$105,(COLUMN()-7-1)/2+1)&lt;&gt;"Starfsbundið",K22="",K$8="",K$7=""),"",ROUND(K22/K$8*K$7*KVARDI,2))</f>
        <v/>
      </c>
      <c r="M22" s="39"/>
      <c r="N22" s="40" t="str">
        <f aca="false">IF(OR(INDEX(Undirviðmið!$G$6:$G$105,(COLUMN()-7-1)/2+1)&lt;&gt;"Starfsbundið",M22="",M$8="",M$7=""),"",ROUND(M22/M$8*M$7*KVARDI,2))</f>
        <v/>
      </c>
      <c r="O22" s="39"/>
      <c r="P22" s="40" t="str">
        <f aca="false">IF(OR(INDEX(Undirviðmið!$G$6:$G$105,(COLUMN()-7-1)/2+1)&lt;&gt;"Starfsbundið",O22="",O$8="",O$7=""),"",ROUND(O22/O$8*O$7*KVARDI,2))</f>
        <v/>
      </c>
      <c r="Q22" s="39"/>
      <c r="R22" s="40" t="str">
        <f aca="false">IF(OR(INDEX(Undirviðmið!$G$6:$G$105,(COLUMN()-7-1)/2+1)&lt;&gt;"Starfsbundið",Q22="",Q$8="",Q$7=""),"",ROUND(Q22/Q$8*Q$7*KVARDI,2))</f>
        <v/>
      </c>
      <c r="S22" s="39"/>
      <c r="T22" s="40" t="str">
        <f aca="false">IF(OR(INDEX(Undirviðmið!$G$6:$G$105,(COLUMN()-7-1)/2+1)&lt;&gt;"Starfsbundið",S22="",S$8="",S$7=""),"",ROUND(S22/S$8*S$7*KVARDI,2))</f>
        <v/>
      </c>
      <c r="U22" s="39"/>
      <c r="V22" s="40" t="str">
        <f aca="false">IF(OR(INDEX(Undirviðmið!$G$6:$G$105,(COLUMN()-7-1)/2+1)&lt;&gt;"Starfsbundið",U22="",U$8="",U$7=""),"",ROUND(U22/U$8*U$7*KVARDI,2))</f>
        <v/>
      </c>
      <c r="W22" s="39"/>
      <c r="X22" s="40" t="str">
        <f aca="false">IF(OR(INDEX(Undirviðmið!$G$6:$G$105,(COLUMN()-7-1)/2+1)&lt;&gt;"Starfsbundið",W22="",W$8="",W$7=""),"",ROUND(W22/W$8*W$7*KVARDI,2))</f>
        <v/>
      </c>
      <c r="Y22" s="39"/>
      <c r="Z22" s="40" t="str">
        <f aca="false">IF(OR(INDEX(Undirviðmið!$G$6:$G$105,(COLUMN()-7-1)/2+1)&lt;&gt;"Starfsbundið",Y22="",Y$8="",Y$7=""),"",ROUND(Y22/Y$8*Y$7*KVARDI,2))</f>
        <v/>
      </c>
      <c r="AA22" s="39"/>
      <c r="AB22" s="40" t="str">
        <f aca="false">IF(OR(INDEX(Undirviðmið!$G$6:$G$105,(COLUMN()-7-1)/2+1)&lt;&gt;"Starfsbundið",AA22="",AA$8="",AA$7=""),"",ROUND(AA22/AA$8*AA$7*KVARDI,2))</f>
        <v/>
      </c>
      <c r="AC22" s="39"/>
      <c r="AD22" s="40" t="str">
        <f aca="false">IF(OR(INDEX(Undirviðmið!$G$6:$G$105,(COLUMN()-7-1)/2+1)&lt;&gt;"Starfsbundið",AC22="",AC$8="",AC$7=""),"",ROUND(AC22/AC$8*AC$7*KVARDI,2))</f>
        <v/>
      </c>
      <c r="AE22" s="39"/>
      <c r="AF22" s="40" t="str">
        <f aca="false">IF(OR(INDEX(Undirviðmið!$G$6:$G$105,(COLUMN()-7-1)/2+1)&lt;&gt;"Starfsbundið",AE22="",AE$8="",AE$7=""),"",ROUND(AE22/AE$8*AE$7*KVARDI,2))</f>
        <v/>
      </c>
      <c r="AG22" s="39"/>
      <c r="AH22" s="40" t="str">
        <f aca="false">IF(OR(INDEX(Undirviðmið!$G$6:$G$105,(COLUMN()-7-1)/2+1)&lt;&gt;"Starfsbundið",AG22="",AG$8="",AG$7=""),"",ROUND(AG22/AG$8*AG$7*KVARDI,2))</f>
        <v/>
      </c>
      <c r="AI22" s="39"/>
      <c r="AJ22" s="40" t="str">
        <f aca="false">IF(OR(INDEX(Undirviðmið!$G$6:$G$105,(COLUMN()-7-1)/2+1)&lt;&gt;"Starfsbundið",AI22="",AI$8="",AI$7=""),"",ROUND(AI22/AI$8*AI$7*KVARDI,2))</f>
        <v/>
      </c>
      <c r="AK22" s="39"/>
      <c r="AL22" s="40" t="str">
        <f aca="false">IF(OR(INDEX(Undirviðmið!$G$6:$G$105,(COLUMN()-7-1)/2+1)&lt;&gt;"Starfsbundið",AK22="",AK$8="",AK$7=""),"",ROUND(AK22/AK$8*AK$7*KVARDI,2))</f>
        <v/>
      </c>
      <c r="AM22" s="39"/>
      <c r="AN22" s="40" t="str">
        <f aca="false">IF(OR(INDEX(Undirviðmið!$G$6:$G$105,(COLUMN()-7-1)/2+1)&lt;&gt;"Starfsbundið",AM22="",AM$8="",AM$7=""),"",ROUND(AM22/AM$8*AM$7*KVARDI,2))</f>
        <v/>
      </c>
      <c r="AO22" s="39"/>
      <c r="AP22" s="40" t="str">
        <f aca="false">IF(OR(INDEX(Undirviðmið!$G$6:$G$105,(COLUMN()-7-1)/2+1)&lt;&gt;"Starfsbundið",AO22="",AO$8="",AO$7=""),"",ROUND(AO22/AO$8*AO$7*KVARDI,2))</f>
        <v/>
      </c>
      <c r="AQ22" s="39"/>
      <c r="AR22" s="40" t="str">
        <f aca="false">IF(OR(INDEX(Undirviðmið!$G$6:$G$105,(COLUMN()-7-1)/2+1)&lt;&gt;"Starfsbundið",AQ22="",AQ$8="",AQ$7=""),"",ROUND(AQ22/AQ$8*AQ$7*KVARDI,2))</f>
        <v/>
      </c>
      <c r="AS22" s="39"/>
      <c r="AT22" s="40" t="str">
        <f aca="false">IF(OR(INDEX(Undirviðmið!$G$6:$G$105,(COLUMN()-7-1)/2+1)&lt;&gt;"Starfsbundið",AS22="",AS$8="",AS$7=""),"",ROUND(AS22/AS$8*AS$7*KVARDI,2))</f>
        <v/>
      </c>
      <c r="AU22" s="39"/>
      <c r="AV22" s="40" t="str">
        <f aca="false">IF(OR(INDEX(Undirviðmið!$G$6:$G$105,(COLUMN()-7-1)/2+1)&lt;&gt;"Starfsbundið",AU22="",AU$8="",AU$7=""),"",ROUND(AU22/AU$8*AU$7*KVARDI,2))</f>
        <v/>
      </c>
      <c r="AW22" s="39"/>
      <c r="AX22" s="40" t="str">
        <f aca="false">IF(OR(INDEX(Undirviðmið!$G$6:$G$105,(COLUMN()-7-1)/2+1)&lt;&gt;"Starfsbundið",AW22="",AW$8="",AW$7=""),"",ROUND(AW22/AW$8*AW$7*KVARDI,2))</f>
        <v/>
      </c>
      <c r="AY22" s="39"/>
      <c r="AZ22" s="40" t="str">
        <f aca="false">IF(OR(INDEX(Undirviðmið!$G$6:$G$105,(COLUMN()-7-1)/2+1)&lt;&gt;"Starfsbundið",AY22="",AY$8="",AY$7=""),"",ROUND(AY22/AY$8*AY$7*KVARDI,2))</f>
        <v/>
      </c>
      <c r="BA22" s="39"/>
      <c r="BB22" s="40" t="str">
        <f aca="false">IF(OR(INDEX(Undirviðmið!$G$6:$G$105,(COLUMN()-7-1)/2+1)&lt;&gt;"Starfsbundið",BA22="",BA$8="",BA$7=""),"",ROUND(BA22/BA$8*BA$7*KVARDI,2))</f>
        <v/>
      </c>
      <c r="BC22" s="39"/>
      <c r="BD22" s="40" t="str">
        <f aca="false">IF(OR(INDEX(Undirviðmið!$G$6:$G$105,(COLUMN()-7-1)/2+1)&lt;&gt;"Starfsbundið",BC22="",BC$8="",BC$7=""),"",ROUND(BC22/BC$8*BC$7*KVARDI,2))</f>
        <v/>
      </c>
      <c r="BE22" s="39"/>
      <c r="BF22" s="40" t="str">
        <f aca="false">IF(OR(INDEX(Undirviðmið!$G$6:$G$105,(COLUMN()-7-1)/2+1)&lt;&gt;"Starfsbundið",BE22="",BE$8="",BE$7=""),"",ROUND(BE22/BE$8*BE$7*KVARDI,2))</f>
        <v/>
      </c>
      <c r="BG22" s="39"/>
      <c r="BH22" s="40" t="str">
        <f aca="false">IF(OR(INDEX(Undirviðmið!$G$6:$G$105,(COLUMN()-7-1)/2+1)&lt;&gt;"Starfsbundið",BG22="",BG$8="",BG$7=""),"",ROUND(BG22/BG$8*BG$7*KVARDI,2))</f>
        <v/>
      </c>
      <c r="BI22" s="39"/>
      <c r="BJ22" s="40" t="str">
        <f aca="false">IF(OR(INDEX(Undirviðmið!$G$6:$G$105,(COLUMN()-7-1)/2+1)&lt;&gt;"Starfsbundið",BI22="",BI$8="",BI$7=""),"",ROUND(BI22/BI$8*BI$7*KVARDI,2))</f>
        <v/>
      </c>
      <c r="BK22" s="39"/>
      <c r="BL22" s="40" t="str">
        <f aca="false">IF(OR(INDEX(Undirviðmið!$G$6:$G$105,(COLUMN()-7-1)/2+1)&lt;&gt;"Starfsbundið",BK22="",BK$8="",BK$7=""),"",ROUND(BK22/BK$8*BK$7*KVARDI,2))</f>
        <v/>
      </c>
      <c r="BM22" s="39"/>
      <c r="BN22" s="40" t="str">
        <f aca="false">IF(OR(INDEX(Undirviðmið!$G$6:$G$105,(COLUMN()-7-1)/2+1)&lt;&gt;"Starfsbundið",BM22="",BM$8="",BM$7=""),"",ROUND(BM22/BM$8*BM$7*KVARDI,2))</f>
        <v/>
      </c>
      <c r="BO22" s="39"/>
      <c r="BP22" s="40" t="str">
        <f aca="false">IF(OR(INDEX(Undirviðmið!$G$6:$G$105,(COLUMN()-7-1)/2+1)&lt;&gt;"Starfsbundið",BO22="",BO$8="",BO$7=""),"",ROUND(BO22/BO$8*BO$7*KVARDI,2))</f>
        <v/>
      </c>
      <c r="BQ22" s="39"/>
      <c r="BR22" s="40" t="str">
        <f aca="false">IF(OR(INDEX(Undirviðmið!$G$6:$G$105,(COLUMN()-7-1)/2+1)&lt;&gt;"Starfsbundið",BQ22="",BQ$8="",BQ$7=""),"",ROUND(BQ22/BQ$8*BQ$7*KVARDI,2))</f>
        <v/>
      </c>
      <c r="BS22" s="39"/>
      <c r="BT22" s="40" t="str">
        <f aca="false">IF(OR(INDEX(Undirviðmið!$G$6:$G$105,(COLUMN()-7-1)/2+1)&lt;&gt;"Starfsbundið",BS22="",BS$8="",BS$7=""),"",ROUND(BS22/BS$8*BS$7*KVARDI,2))</f>
        <v/>
      </c>
      <c r="BU22" s="39"/>
      <c r="BV22" s="40" t="str">
        <f aca="false">IF(OR(INDEX(Undirviðmið!$G$6:$G$105,(COLUMN()-7-1)/2+1)&lt;&gt;"Starfsbundið",BU22="",BU$8="",BU$7=""),"",ROUND(BU22/BU$8*BU$7*KVARDI,2))</f>
        <v/>
      </c>
      <c r="BW22" s="39"/>
      <c r="BX22" s="40" t="str">
        <f aca="false">IF(OR(INDEX(Undirviðmið!$G$6:$G$105,(COLUMN()-7-1)/2+1)&lt;&gt;"Starfsbundið",BW22="",BW$8="",BW$7=""),"",ROUND(BW22/BW$8*BW$7*KVARDI,2))</f>
        <v/>
      </c>
      <c r="BY22" s="39"/>
      <c r="BZ22" s="40" t="str">
        <f aca="false">IF(OR(INDEX(Undirviðmið!$G$6:$G$105,(COLUMN()-7-1)/2+1)&lt;&gt;"Starfsbundið",BY22="",BY$8="",BY$7=""),"",ROUND(BY22/BY$8*BY$7*KVARDI,2))</f>
        <v/>
      </c>
      <c r="CA22" s="39"/>
      <c r="CB22" s="40" t="str">
        <f aca="false">IF(OR(INDEX(Undirviðmið!$G$6:$G$105,(COLUMN()-7-1)/2+1)&lt;&gt;"Starfsbundið",CA22="",CA$8="",CA$7=""),"",ROUND(CA22/CA$8*CA$7*KVARDI,2))</f>
        <v/>
      </c>
      <c r="CC22" s="39"/>
      <c r="CD22" s="40" t="str">
        <f aca="false">IF(OR(INDEX(Undirviðmið!$G$6:$G$105,(COLUMN()-7-1)/2+1)&lt;&gt;"Starfsbundið",CC22="",CC$8="",CC$7=""),"",ROUND(CC22/CC$8*CC$7*KVARDI,2))</f>
        <v/>
      </c>
      <c r="CE22" s="39"/>
      <c r="CF22" s="40" t="str">
        <f aca="false">IF(OR(INDEX(Undirviðmið!$G$6:$G$105,(COLUMN()-7-1)/2+1)&lt;&gt;"Starfsbundið",CE22="",CE$8="",CE$7=""),"",ROUND(CE22/CE$8*CE$7*KVARDI,2))</f>
        <v/>
      </c>
      <c r="CG22" s="39"/>
      <c r="CH22" s="40" t="str">
        <f aca="false">IF(OR(INDEX(Undirviðmið!$G$6:$G$105,(COLUMN()-7-1)/2+1)&lt;&gt;"Starfsbundið",CG22="",CG$8="",CG$7=""),"",ROUND(CG22/CG$8*CG$7*KVARDI,2))</f>
        <v/>
      </c>
      <c r="CI22" s="39"/>
      <c r="CJ22" s="40" t="str">
        <f aca="false">IF(OR(INDEX(Undirviðmið!$G$6:$G$105,(COLUMN()-7-1)/2+1)&lt;&gt;"Starfsbundið",CI22="",CI$8="",CI$7=""),"",ROUND(CI22/CI$8*CI$7*KVARDI,2))</f>
        <v/>
      </c>
      <c r="CK22" s="39"/>
      <c r="CL22" s="40" t="str">
        <f aca="false">IF(OR(INDEX(Undirviðmið!$G$6:$G$105,(COLUMN()-7-1)/2+1)&lt;&gt;"Starfsbundið",CK22="",CK$8="",CK$7=""),"",ROUND(CK22/CK$8*CK$7*KVARDI,2))</f>
        <v/>
      </c>
      <c r="CM22" s="39"/>
      <c r="CN22" s="40" t="str">
        <f aca="false">IF(OR(INDEX(Undirviðmið!$G$6:$G$105,(COLUMN()-7-1)/2+1)&lt;&gt;"Starfsbundið",CM22="",CM$8="",CM$7=""),"",ROUND(CM22/CM$8*CM$7*KVARDI,2))</f>
        <v/>
      </c>
      <c r="CO22" s="39"/>
      <c r="CP22" s="40" t="str">
        <f aca="false">IF(OR(INDEX(Undirviðmið!$G$6:$G$105,(COLUMN()-7-1)/2+1)&lt;&gt;"Starfsbundið",CO22="",CO$8="",CO$7=""),"",ROUND(CO22/CO$8*CO$7*KVARDI,2))</f>
        <v/>
      </c>
      <c r="CQ22" s="39"/>
      <c r="CR22" s="40" t="str">
        <f aca="false">IF(OR(INDEX(Undirviðmið!$G$6:$G$105,(COLUMN()-7-1)/2+1)&lt;&gt;"Starfsbundið",CQ22="",CQ$8="",CQ$7=""),"",ROUND(CQ22/CQ$8*CQ$7*KVARDI,2))</f>
        <v/>
      </c>
      <c r="CS22" s="39"/>
      <c r="CT22" s="40" t="str">
        <f aca="false">IF(OR(INDEX(Undirviðmið!$G$6:$G$105,(COLUMN()-7-1)/2+1)&lt;&gt;"Starfsbundið",CS22="",CS$8="",CS$7=""),"",ROUND(CS22/CS$8*CS$7*KVARDI,2))</f>
        <v/>
      </c>
      <c r="CU22" s="39"/>
      <c r="CV22" s="40" t="str">
        <f aca="false">IF(OR(INDEX(Undirviðmið!$G$6:$G$105,(COLUMN()-7-1)/2+1)&lt;&gt;"Starfsbundið",CU22="",CU$8="",CU$7=""),"",ROUND(CU22/CU$8*CU$7*KVARDI,2))</f>
        <v/>
      </c>
      <c r="CW22" s="39"/>
      <c r="CX22" s="40" t="str">
        <f aca="false">IF(OR(INDEX(Undirviðmið!$G$6:$G$105,(COLUMN()-7-1)/2+1)&lt;&gt;"Starfsbundið",CW22="",CW$8="",CW$7=""),"",ROUND(CW22/CW$8*CW$7*KVARDI,2))</f>
        <v/>
      </c>
      <c r="CY22" s="39"/>
      <c r="CZ22" s="40" t="str">
        <f aca="false">IF(OR(INDEX(Undirviðmið!$G$6:$G$105,(COLUMN()-7-1)/2+1)&lt;&gt;"Starfsbundið",CY22="",CY$8="",CY$7=""),"",ROUND(CY22/CY$8*CY$7*KVARDI,2))</f>
        <v/>
      </c>
      <c r="DA22" s="39"/>
      <c r="DB22" s="40" t="str">
        <f aca="false">IF(OR(INDEX(Undirviðmið!$G$6:$G$105,(COLUMN()-7-1)/2+1)&lt;&gt;"Starfsbundið",DA22="",DA$8="",DA$7=""),"",ROUND(DA22/DA$8*DA$7*KVARDI,2))</f>
        <v/>
      </c>
      <c r="DC22" s="39"/>
      <c r="DD22" s="40" t="str">
        <f aca="false">IF(OR(INDEX(Undirviðmið!$G$6:$G$105,(COLUMN()-7-1)/2+1)&lt;&gt;"Starfsbundið",DC22="",DC$8="",DC$7=""),"",ROUND(DC22/DC$8*DC$7*KVARDI,2))</f>
        <v/>
      </c>
      <c r="DE22" s="39"/>
      <c r="DF22" s="40" t="str">
        <f aca="false">IF(OR(INDEX(Undirviðmið!$G$6:$G$105,(COLUMN()-7-1)/2+1)&lt;&gt;"Starfsbundið",DE22="",DE$8="",DE$7=""),"",ROUND(DE22/DE$8*DE$7*KVARDI,2))</f>
        <v/>
      </c>
      <c r="DG22" s="39"/>
      <c r="DH22" s="40" t="str">
        <f aca="false">IF(OR(INDEX(Undirviðmið!$G$6:$G$105,(COLUMN()-7-1)/2+1)&lt;&gt;"Starfsbundið",DG22="",DG$8="",DG$7=""),"",ROUND(DG22/DG$8*DG$7*KVARDI,2))</f>
        <v/>
      </c>
      <c r="DI22" s="39"/>
      <c r="DJ22" s="40" t="str">
        <f aca="false">IF(OR(INDEX(Undirviðmið!$G$6:$G$105,(COLUMN()-7-1)/2+1)&lt;&gt;"Starfsbundið",DI22="",DI$8="",DI$7=""),"",ROUND(DI22/DI$8*DI$7*KVARDI,2))</f>
        <v/>
      </c>
      <c r="DK22" s="39"/>
      <c r="DL22" s="40" t="str">
        <f aca="false">IF(OR(INDEX(Undirviðmið!$G$6:$G$105,(COLUMN()-7-1)/2+1)&lt;&gt;"Starfsbundið",DK22="",DK$8="",DK$7=""),"",ROUND(DK22/DK$8*DK$7*KVARDI,2))</f>
        <v/>
      </c>
      <c r="DM22" s="39"/>
      <c r="DN22" s="40" t="str">
        <f aca="false">IF(OR(INDEX(Undirviðmið!$G$6:$G$105,(COLUMN()-7-1)/2+1)&lt;&gt;"Starfsbundið",DM22="",DM$8="",DM$7=""),"",ROUND(DM22/DM$8*DM$7*KVARDI,2))</f>
        <v/>
      </c>
      <c r="DO22" s="39"/>
      <c r="DP22" s="40" t="str">
        <f aca="false">IF(OR(INDEX(Undirviðmið!$G$6:$G$105,(COLUMN()-7-1)/2+1)&lt;&gt;"Starfsbundið",DO22="",DO$8="",DO$7=""),"",ROUND(DO22/DO$8*DO$7*KVARDI,2))</f>
        <v/>
      </c>
      <c r="DQ22" s="39"/>
      <c r="DR22" s="40" t="str">
        <f aca="false">IF(OR(INDEX(Undirviðmið!$G$6:$G$105,(COLUMN()-7-1)/2+1)&lt;&gt;"Starfsbundið",DQ22="",DQ$8="",DQ$7=""),"",ROUND(DQ22/DQ$8*DQ$7*KVARDI,2))</f>
        <v/>
      </c>
      <c r="DS22" s="39"/>
      <c r="DT22" s="40" t="str">
        <f aca="false">IF(OR(INDEX(Undirviðmið!$G$6:$G$105,(COLUMN()-7-1)/2+1)&lt;&gt;"Starfsbundið",DS22="",DS$8="",DS$7=""),"",ROUND(DS22/DS$8*DS$7*KVARDI,2))</f>
        <v/>
      </c>
      <c r="DU22" s="39"/>
      <c r="DV22" s="40" t="str">
        <f aca="false">IF(OR(INDEX(Undirviðmið!$G$6:$G$105,(COLUMN()-7-1)/2+1)&lt;&gt;"Starfsbundið",DU22="",DU$8="",DU$7=""),"",ROUND(DU22/DU$8*DU$7*KVARDI,2))</f>
        <v/>
      </c>
      <c r="DW22" s="39"/>
      <c r="DX22" s="40" t="str">
        <f aca="false">IF(OR(INDEX(Undirviðmið!$G$6:$G$105,(COLUMN()-7-1)/2+1)&lt;&gt;"Starfsbundið",DW22="",DW$8="",DW$7=""),"",ROUND(DW22/DW$8*DW$7*KVARDI,2))</f>
        <v/>
      </c>
      <c r="DY22" s="39"/>
      <c r="DZ22" s="40" t="str">
        <f aca="false">IF(OR(INDEX(Undirviðmið!$G$6:$G$105,(COLUMN()-7-1)/2+1)&lt;&gt;"Starfsbundið",DY22="",DY$8="",DY$7=""),"",ROUND(DY22/DY$8*DY$7*KVARDI,2))</f>
        <v/>
      </c>
      <c r="EA22" s="39"/>
      <c r="EB22" s="40" t="str">
        <f aca="false">IF(OR(INDEX(Undirviðmið!$G$6:$G$105,(COLUMN()-7-1)/2+1)&lt;&gt;"Starfsbundið",EA22="",EA$8="",EA$7=""),"",ROUND(EA22/EA$8*EA$7*KVARDI,2))</f>
        <v/>
      </c>
      <c r="EC22" s="39"/>
      <c r="ED22" s="40" t="str">
        <f aca="false">IF(OR(INDEX(Undirviðmið!$G$6:$G$105,(COLUMN()-7-1)/2+1)&lt;&gt;"Starfsbundið",EC22="",EC$8="",EC$7=""),"",ROUND(EC22/EC$8*EC$7*KVARDI,2))</f>
        <v/>
      </c>
      <c r="EE22" s="39"/>
      <c r="EF22" s="40" t="str">
        <f aca="false">IF(OR(INDEX(Undirviðmið!$G$6:$G$105,(COLUMN()-7-1)/2+1)&lt;&gt;"Starfsbundið",EE22="",EE$8="",EE$7=""),"",ROUND(EE22/EE$8*EE$7*KVARDI,2))</f>
        <v/>
      </c>
      <c r="EG22" s="39"/>
      <c r="EH22" s="40" t="str">
        <f aca="false">IF(OR(INDEX(Undirviðmið!$G$6:$G$105,(COLUMN()-7-1)/2+1)&lt;&gt;"Starfsbundið",EG22="",EG$8="",EG$7=""),"",ROUND(EG22/EG$8*EG$7*KVARDI,2))</f>
        <v/>
      </c>
      <c r="EI22" s="39"/>
      <c r="EJ22" s="40" t="str">
        <f aca="false">IF(OR(INDEX(Undirviðmið!$G$6:$G$105,(COLUMN()-7-1)/2+1)&lt;&gt;"Starfsbundið",EI22="",EI$8="",EI$7=""),"",ROUND(EI22/EI$8*EI$7*KVARDI,2))</f>
        <v/>
      </c>
      <c r="EK22" s="39"/>
      <c r="EL22" s="40" t="str">
        <f aca="false">IF(OR(INDEX(Undirviðmið!$G$6:$G$105,(COLUMN()-7-1)/2+1)&lt;&gt;"Starfsbundið",EK22="",EK$8="",EK$7=""),"",ROUND(EK22/EK$8*EK$7*KVARDI,2))</f>
        <v/>
      </c>
      <c r="EM22" s="39"/>
      <c r="EN22" s="40" t="str">
        <f aca="false">IF(OR(INDEX(Undirviðmið!$G$6:$G$105,(COLUMN()-7-1)/2+1)&lt;&gt;"Starfsbundið",EM22="",EM$8="",EM$7=""),"",ROUND(EM22/EM$8*EM$7*KVARDI,2))</f>
        <v/>
      </c>
      <c r="EO22" s="39"/>
      <c r="EP22" s="40" t="str">
        <f aca="false">IF(OR(INDEX(Undirviðmið!$G$6:$G$105,(COLUMN()-7-1)/2+1)&lt;&gt;"Starfsbundið",EO22="",EO$8="",EO$7=""),"",ROUND(EO22/EO$8*EO$7*KVARDI,2))</f>
        <v/>
      </c>
      <c r="EQ22" s="39"/>
      <c r="ER22" s="40" t="str">
        <f aca="false">IF(OR(INDEX(Undirviðmið!$G$6:$G$105,(COLUMN()-7-1)/2+1)&lt;&gt;"Starfsbundið",EQ22="",EQ$8="",EQ$7=""),"",ROUND(EQ22/EQ$8*EQ$7*KVARDI,2))</f>
        <v/>
      </c>
      <c r="ES22" s="39"/>
      <c r="ET22" s="40" t="str">
        <f aca="false">IF(OR(INDEX(Undirviðmið!$G$6:$G$105,(COLUMN()-7-1)/2+1)&lt;&gt;"Starfsbundið",ES22="",ES$8="",ES$7=""),"",ROUND(ES22/ES$8*ES$7*KVARDI,2))</f>
        <v/>
      </c>
      <c r="EU22" s="39"/>
      <c r="EV22" s="40" t="str">
        <f aca="false">IF(OR(INDEX(Undirviðmið!$G$6:$G$105,(COLUMN()-7-1)/2+1)&lt;&gt;"Starfsbundið",EU22="",EU$8="",EU$7=""),"",ROUND(EU22/EU$8*EU$7*KVARDI,2))</f>
        <v/>
      </c>
      <c r="EW22" s="39"/>
      <c r="EX22" s="40" t="str">
        <f aca="false">IF(OR(INDEX(Undirviðmið!$G$6:$G$105,(COLUMN()-7-1)/2+1)&lt;&gt;"Starfsbundið",EW22="",EW$8="",EW$7=""),"",ROUND(EW22/EW$8*EW$7*KVARDI,2))</f>
        <v/>
      </c>
      <c r="EY22" s="39"/>
      <c r="EZ22" s="40" t="str">
        <f aca="false">IF(OR(INDEX(Undirviðmið!$G$6:$G$105,(COLUMN()-7-1)/2+1)&lt;&gt;"Starfsbundið",EY22="",EY$8="",EY$7=""),"",ROUND(EY22/EY$8*EY$7*KVARDI,2))</f>
        <v/>
      </c>
      <c r="FA22" s="39"/>
      <c r="FB22" s="40" t="str">
        <f aca="false">IF(OR(INDEX(Undirviðmið!$G$6:$G$105,(COLUMN()-7-1)/2+1)&lt;&gt;"Starfsbundið",FA22="",FA$8="",FA$7=""),"",ROUND(FA22/FA$8*FA$7*KVARDI,2))</f>
        <v/>
      </c>
      <c r="FC22" s="39"/>
      <c r="FD22" s="40" t="str">
        <f aca="false">IF(OR(INDEX(Undirviðmið!$G$6:$G$105,(COLUMN()-7-1)/2+1)&lt;&gt;"Starfsbundið",FC22="",FC$8="",FC$7=""),"",ROUND(FC22/FC$8*FC$7*KVARDI,2))</f>
        <v/>
      </c>
      <c r="FE22" s="39"/>
      <c r="FF22" s="40" t="str">
        <f aca="false">IF(OR(INDEX(Undirviðmið!$G$6:$G$105,(COLUMN()-7-1)/2+1)&lt;&gt;"Starfsbundið",FE22="",FE$8="",FE$7=""),"",ROUND(FE22/FE$8*FE$7*KVARDI,2))</f>
        <v/>
      </c>
      <c r="FG22" s="39"/>
      <c r="FH22" s="40" t="str">
        <f aca="false">IF(OR(INDEX(Undirviðmið!$G$6:$G$105,(COLUMN()-7-1)/2+1)&lt;&gt;"Starfsbundið",FG22="",FG$8="",FG$7=""),"",ROUND(FG22/FG$8*FG$7*KVARDI,2))</f>
        <v/>
      </c>
      <c r="FI22" s="39"/>
      <c r="FJ22" s="40" t="str">
        <f aca="false">IF(OR(INDEX(Undirviðmið!$G$6:$G$105,(COLUMN()-7-1)/2+1)&lt;&gt;"Starfsbundið",FI22="",FI$8="",FI$7=""),"",ROUND(FI22/FI$8*FI$7*KVARDI,2))</f>
        <v/>
      </c>
      <c r="FK22" s="39"/>
      <c r="FL22" s="40" t="str">
        <f aca="false">IF(OR(INDEX(Undirviðmið!$G$6:$G$105,(COLUMN()-7-1)/2+1)&lt;&gt;"Starfsbundið",FK22="",FK$8="",FK$7=""),"",ROUND(FK22/FK$8*FK$7*KVARDI,2))</f>
        <v/>
      </c>
      <c r="FM22" s="39"/>
      <c r="FN22" s="40" t="str">
        <f aca="false">IF(OR(INDEX(Undirviðmið!$G$6:$G$105,(COLUMN()-7-1)/2+1)&lt;&gt;"Starfsbundið",FM22="",FM$8="",FM$7=""),"",ROUND(FM22/FM$8*FM$7*KVARDI,2))</f>
        <v/>
      </c>
      <c r="FO22" s="39"/>
      <c r="FP22" s="40" t="str">
        <f aca="false">IF(OR(INDEX(Undirviðmið!$G$6:$G$105,(COLUMN()-7-1)/2+1)&lt;&gt;"Starfsbundið",FO22="",FO$8="",FO$7=""),"",ROUND(FO22/FO$8*FO$7*KVARDI,2))</f>
        <v/>
      </c>
      <c r="FQ22" s="39"/>
      <c r="FR22" s="40" t="str">
        <f aca="false">IF(OR(INDEX(Undirviðmið!$G$6:$G$105,(COLUMN()-7-1)/2+1)&lt;&gt;"Starfsbundið",FQ22="",FQ$8="",FQ$7=""),"",ROUND(FQ22/FQ$8*FQ$7*KVARDI,2))</f>
        <v/>
      </c>
      <c r="FS22" s="39"/>
      <c r="FT22" s="40" t="str">
        <f aca="false">IF(OR(INDEX(Undirviðmið!$G$6:$G$105,(COLUMN()-7-1)/2+1)&lt;&gt;"Starfsbundið",FS22="",FS$8="",FS$7=""),"",ROUND(FS22/FS$8*FS$7*KVARDI,2))</f>
        <v/>
      </c>
      <c r="FU22" s="39"/>
      <c r="FV22" s="40" t="str">
        <f aca="false">IF(OR(INDEX(Undirviðmið!$G$6:$G$105,(COLUMN()-7-1)/2+1)&lt;&gt;"Starfsbundið",FU22="",FU$8="",FU$7=""),"",ROUND(FU22/FU$8*FU$7*KVARDI,2))</f>
        <v/>
      </c>
      <c r="FW22" s="39"/>
      <c r="FX22" s="40" t="str">
        <f aca="false">IF(OR(INDEX(Undirviðmið!$G$6:$G$105,(COLUMN()-7-1)/2+1)&lt;&gt;"Starfsbundið",FW22="",FW$8="",FW$7=""),"",ROUND(FW22/FW$8*FW$7*KVARDI,2))</f>
        <v/>
      </c>
      <c r="FY22" s="39"/>
      <c r="FZ22" s="40" t="str">
        <f aca="false">IF(OR(INDEX(Undirviðmið!$G$6:$G$105,(COLUMN()-7-1)/2+1)&lt;&gt;"Starfsbundið",FY22="",FY$8="",FY$7=""),"",ROUND(FY22/FY$8*FY$7*KVARDI,2))</f>
        <v/>
      </c>
      <c r="GA22" s="39"/>
      <c r="GB22" s="40" t="str">
        <f aca="false">IF(OR(INDEX(Undirviðmið!$G$6:$G$105,(COLUMN()-7-1)/2+1)&lt;&gt;"Starfsbundið",GA22="",GA$8="",GA$7=""),"",ROUND(GA22/GA$8*GA$7*KVARDI,2))</f>
        <v/>
      </c>
      <c r="GC22" s="39"/>
      <c r="GD22" s="40" t="str">
        <f aca="false">IF(OR(INDEX(Undirviðmið!$G$6:$G$105,(COLUMN()-7-1)/2+1)&lt;&gt;"Starfsbundið",GC22="",GC$8="",GC$7=""),"",ROUND(GC22/GC$8*GC$7*KVARDI,2))</f>
        <v/>
      </c>
      <c r="GE22" s="39"/>
      <c r="GF22" s="40" t="str">
        <f aca="false">IF(OR(INDEX(Undirviðmið!$G$6:$G$105,(COLUMN()-7-1)/2+1)&lt;&gt;"Starfsbundið",GE22="",GE$8="",GE$7=""),"",ROUND(GE22/GE$8*GE$7*KVARDI,2))</f>
        <v/>
      </c>
      <c r="GG22" s="39"/>
      <c r="GH22" s="40" t="str">
        <f aca="false">IF(OR(INDEX(Undirviðmið!$G$6:$G$105,(COLUMN()-7-1)/2+1)&lt;&gt;"Starfsbundið",GG22="",GG$8="",GG$7=""),"",ROUND(GG22/GG$8*GG$7*KVARDI,2))</f>
        <v/>
      </c>
      <c r="GI22" s="39"/>
      <c r="GJ22" s="40" t="str">
        <f aca="false">IF(OR(INDEX(Undirviðmið!$G$6:$G$105,(COLUMN()-7-1)/2+1)&lt;&gt;"Starfsbundið",GI22="",GI$8="",GI$7=""),"",ROUND(GI22/GI$8*GI$7*KVARDI,2))</f>
        <v/>
      </c>
      <c r="GK22" s="39"/>
      <c r="GL22" s="40" t="str">
        <f aca="false">IF(OR(INDEX(Undirviðmið!$G$6:$G$105,(COLUMN()-7-1)/2+1)&lt;&gt;"Starfsbundið",GK22="",GK$8="",GK$7=""),"",ROUND(GK22/GK$8*GK$7*KVARDI,2))</f>
        <v/>
      </c>
      <c r="GM22" s="39"/>
      <c r="GN22" s="40" t="str">
        <f aca="false">IF(OR(INDEX(Undirviðmið!$G$6:$G$105,(COLUMN()-7-1)/2+1)&lt;&gt;"Starfsbundið",GM22="",GM$8="",GM$7=""),"",ROUND(GM22/GM$8*GM$7*KVARDI,2))</f>
        <v/>
      </c>
      <c r="GO22" s="39"/>
      <c r="GP22" s="40" t="str">
        <f aca="false">IF(OR(INDEX(Undirviðmið!$G$6:$G$105,(COLUMN()-7-1)/2+1)&lt;&gt;"Starfsbundið",GO22="",GO$8="",GO$7=""),"",ROUND(GO22/GO$8*GO$7*KVARDI,2))</f>
        <v/>
      </c>
      <c r="GQ22" s="39"/>
      <c r="GR22" s="40" t="str">
        <f aca="false">IF(OR(INDEX(Undirviðmið!$G$6:$G$105,(COLUMN()-7-1)/2+1)&lt;&gt;"Starfsbundið",GQ22="",GQ$8="",GQ$7=""),"",ROUND(GQ22/GQ$8*GQ$7*KVARDI,2))</f>
        <v/>
      </c>
      <c r="GS22" s="39"/>
      <c r="GT22" s="40" t="str">
        <f aca="false">IF(OR(INDEX(Undirviðmið!$G$6:$G$105,(COLUMN()-7-1)/2+1)&lt;&gt;"Starfsbundið",GS22="",GS$8="",GS$7=""),"",ROUND(GS22/GS$8*GS$7*KVARDI,2))</f>
        <v/>
      </c>
      <c r="GU22" s="39"/>
      <c r="GV22" s="40" t="str">
        <f aca="false">IF(OR(INDEX(Undirviðmið!$G$6:$G$105,(COLUMN()-7-1)/2+1)&lt;&gt;"Starfsbundið",GU22="",GU$8="",GU$7=""),"",ROUND(GU22/GU$8*GU$7*KVARDI,2))</f>
        <v/>
      </c>
      <c r="GW22" s="39"/>
      <c r="GX22" s="40" t="str">
        <f aca="false">IF(OR(INDEX(Undirviðmið!$G$6:$G$105,(COLUMN()-7-1)/2+1)&lt;&gt;"Starfsbundið",GW22="",GW$8="",GW$7=""),"",ROUND(GW22/GW$8*GW$7*KVARDI,2))</f>
        <v/>
      </c>
      <c r="GZ22" s="20"/>
    </row>
    <row r="23" customFormat="false" ht="15" hidden="true" customHeight="true" outlineLevel="1" collapsed="false">
      <c r="B23" s="37" t="str">
        <f aca="false" t="array" ref="B23:B23">IFERROR(INDEX(Starfsmenn!$C$6:$C$10005,MATCH(0,COUNTIF($B$11:B22,Starfsmenn!$C$6:$C$10005)+(Starfsmenn!$C$6:$C$10005=""),0)),"")</f>
        <v/>
      </c>
      <c r="C23" s="38" t="n">
        <f aca="false">IFERROR(SUMIF($G$10:$GX$10,"Stig",$G23:$GX23),0)</f>
        <v>0</v>
      </c>
      <c r="G23" s="39"/>
      <c r="H23" s="40" t="str">
        <f aca="false">IF(OR(INDEX(Undirviðmið!$G$6:$G$105,(COLUMN()-7-1)/2+1)&lt;&gt;"Starfsbundið",G23="",G$8="",G$7=""),"",ROUND(G23/G$8*G$7*KVARDI,2))</f>
        <v/>
      </c>
      <c r="I23" s="39"/>
      <c r="J23" s="40" t="str">
        <f aca="false">IF(OR(INDEX(Undirviðmið!$G$6:$G$105,(COLUMN()-7-1)/2+1)&lt;&gt;"Starfsbundið",I23="",I$8="",I$7=""),"",ROUND(I23/I$8*I$7*KVARDI,2))</f>
        <v/>
      </c>
      <c r="K23" s="39"/>
      <c r="L23" s="40" t="str">
        <f aca="false">IF(OR(INDEX(Undirviðmið!$G$6:$G$105,(COLUMN()-7-1)/2+1)&lt;&gt;"Starfsbundið",K23="",K$8="",K$7=""),"",ROUND(K23/K$8*K$7*KVARDI,2))</f>
        <v/>
      </c>
      <c r="M23" s="39"/>
      <c r="N23" s="40" t="str">
        <f aca="false">IF(OR(INDEX(Undirviðmið!$G$6:$G$105,(COLUMN()-7-1)/2+1)&lt;&gt;"Starfsbundið",M23="",M$8="",M$7=""),"",ROUND(M23/M$8*M$7*KVARDI,2))</f>
        <v/>
      </c>
      <c r="O23" s="39"/>
      <c r="P23" s="40" t="str">
        <f aca="false">IF(OR(INDEX(Undirviðmið!$G$6:$G$105,(COLUMN()-7-1)/2+1)&lt;&gt;"Starfsbundið",O23="",O$8="",O$7=""),"",ROUND(O23/O$8*O$7*KVARDI,2))</f>
        <v/>
      </c>
      <c r="Q23" s="39"/>
      <c r="R23" s="40" t="str">
        <f aca="false">IF(OR(INDEX(Undirviðmið!$G$6:$G$105,(COLUMN()-7-1)/2+1)&lt;&gt;"Starfsbundið",Q23="",Q$8="",Q$7=""),"",ROUND(Q23/Q$8*Q$7*KVARDI,2))</f>
        <v/>
      </c>
      <c r="S23" s="39"/>
      <c r="T23" s="40" t="str">
        <f aca="false">IF(OR(INDEX(Undirviðmið!$G$6:$G$105,(COLUMN()-7-1)/2+1)&lt;&gt;"Starfsbundið",S23="",S$8="",S$7=""),"",ROUND(S23/S$8*S$7*KVARDI,2))</f>
        <v/>
      </c>
      <c r="U23" s="39"/>
      <c r="V23" s="40" t="str">
        <f aca="false">IF(OR(INDEX(Undirviðmið!$G$6:$G$105,(COLUMN()-7-1)/2+1)&lt;&gt;"Starfsbundið",U23="",U$8="",U$7=""),"",ROUND(U23/U$8*U$7*KVARDI,2))</f>
        <v/>
      </c>
      <c r="W23" s="39"/>
      <c r="X23" s="40" t="str">
        <f aca="false">IF(OR(INDEX(Undirviðmið!$G$6:$G$105,(COLUMN()-7-1)/2+1)&lt;&gt;"Starfsbundið",W23="",W$8="",W$7=""),"",ROUND(W23/W$8*W$7*KVARDI,2))</f>
        <v/>
      </c>
      <c r="Y23" s="39"/>
      <c r="Z23" s="40" t="str">
        <f aca="false">IF(OR(INDEX(Undirviðmið!$G$6:$G$105,(COLUMN()-7-1)/2+1)&lt;&gt;"Starfsbundið",Y23="",Y$8="",Y$7=""),"",ROUND(Y23/Y$8*Y$7*KVARDI,2))</f>
        <v/>
      </c>
      <c r="AA23" s="39"/>
      <c r="AB23" s="40" t="str">
        <f aca="false">IF(OR(INDEX(Undirviðmið!$G$6:$G$105,(COLUMN()-7-1)/2+1)&lt;&gt;"Starfsbundið",AA23="",AA$8="",AA$7=""),"",ROUND(AA23/AA$8*AA$7*KVARDI,2))</f>
        <v/>
      </c>
      <c r="AC23" s="39"/>
      <c r="AD23" s="40" t="str">
        <f aca="false">IF(OR(INDEX(Undirviðmið!$G$6:$G$105,(COLUMN()-7-1)/2+1)&lt;&gt;"Starfsbundið",AC23="",AC$8="",AC$7=""),"",ROUND(AC23/AC$8*AC$7*KVARDI,2))</f>
        <v/>
      </c>
      <c r="AE23" s="39"/>
      <c r="AF23" s="40" t="str">
        <f aca="false">IF(OR(INDEX(Undirviðmið!$G$6:$G$105,(COLUMN()-7-1)/2+1)&lt;&gt;"Starfsbundið",AE23="",AE$8="",AE$7=""),"",ROUND(AE23/AE$8*AE$7*KVARDI,2))</f>
        <v/>
      </c>
      <c r="AG23" s="39"/>
      <c r="AH23" s="40" t="str">
        <f aca="false">IF(OR(INDEX(Undirviðmið!$G$6:$G$105,(COLUMN()-7-1)/2+1)&lt;&gt;"Starfsbundið",AG23="",AG$8="",AG$7=""),"",ROUND(AG23/AG$8*AG$7*KVARDI,2))</f>
        <v/>
      </c>
      <c r="AI23" s="39"/>
      <c r="AJ23" s="40" t="str">
        <f aca="false">IF(OR(INDEX(Undirviðmið!$G$6:$G$105,(COLUMN()-7-1)/2+1)&lt;&gt;"Starfsbundið",AI23="",AI$8="",AI$7=""),"",ROUND(AI23/AI$8*AI$7*KVARDI,2))</f>
        <v/>
      </c>
      <c r="AK23" s="39"/>
      <c r="AL23" s="40" t="str">
        <f aca="false">IF(OR(INDEX(Undirviðmið!$G$6:$G$105,(COLUMN()-7-1)/2+1)&lt;&gt;"Starfsbundið",AK23="",AK$8="",AK$7=""),"",ROUND(AK23/AK$8*AK$7*KVARDI,2))</f>
        <v/>
      </c>
      <c r="AM23" s="39"/>
      <c r="AN23" s="40" t="str">
        <f aca="false">IF(OR(INDEX(Undirviðmið!$G$6:$G$105,(COLUMN()-7-1)/2+1)&lt;&gt;"Starfsbundið",AM23="",AM$8="",AM$7=""),"",ROUND(AM23/AM$8*AM$7*KVARDI,2))</f>
        <v/>
      </c>
      <c r="AO23" s="39"/>
      <c r="AP23" s="40" t="str">
        <f aca="false">IF(OR(INDEX(Undirviðmið!$G$6:$G$105,(COLUMN()-7-1)/2+1)&lt;&gt;"Starfsbundið",AO23="",AO$8="",AO$7=""),"",ROUND(AO23/AO$8*AO$7*KVARDI,2))</f>
        <v/>
      </c>
      <c r="AQ23" s="39"/>
      <c r="AR23" s="40" t="str">
        <f aca="false">IF(OR(INDEX(Undirviðmið!$G$6:$G$105,(COLUMN()-7-1)/2+1)&lt;&gt;"Starfsbundið",AQ23="",AQ$8="",AQ$7=""),"",ROUND(AQ23/AQ$8*AQ$7*KVARDI,2))</f>
        <v/>
      </c>
      <c r="AS23" s="39"/>
      <c r="AT23" s="40" t="str">
        <f aca="false">IF(OR(INDEX(Undirviðmið!$G$6:$G$105,(COLUMN()-7-1)/2+1)&lt;&gt;"Starfsbundið",AS23="",AS$8="",AS$7=""),"",ROUND(AS23/AS$8*AS$7*KVARDI,2))</f>
        <v/>
      </c>
      <c r="AU23" s="39"/>
      <c r="AV23" s="40" t="str">
        <f aca="false">IF(OR(INDEX(Undirviðmið!$G$6:$G$105,(COLUMN()-7-1)/2+1)&lt;&gt;"Starfsbundið",AU23="",AU$8="",AU$7=""),"",ROUND(AU23/AU$8*AU$7*KVARDI,2))</f>
        <v/>
      </c>
      <c r="AW23" s="39"/>
      <c r="AX23" s="40" t="str">
        <f aca="false">IF(OR(INDEX(Undirviðmið!$G$6:$G$105,(COLUMN()-7-1)/2+1)&lt;&gt;"Starfsbundið",AW23="",AW$8="",AW$7=""),"",ROUND(AW23/AW$8*AW$7*KVARDI,2))</f>
        <v/>
      </c>
      <c r="AY23" s="39"/>
      <c r="AZ23" s="40" t="str">
        <f aca="false">IF(OR(INDEX(Undirviðmið!$G$6:$G$105,(COLUMN()-7-1)/2+1)&lt;&gt;"Starfsbundið",AY23="",AY$8="",AY$7=""),"",ROUND(AY23/AY$8*AY$7*KVARDI,2))</f>
        <v/>
      </c>
      <c r="BA23" s="39"/>
      <c r="BB23" s="40" t="str">
        <f aca="false">IF(OR(INDEX(Undirviðmið!$G$6:$G$105,(COLUMN()-7-1)/2+1)&lt;&gt;"Starfsbundið",BA23="",BA$8="",BA$7=""),"",ROUND(BA23/BA$8*BA$7*KVARDI,2))</f>
        <v/>
      </c>
      <c r="BC23" s="39"/>
      <c r="BD23" s="40" t="str">
        <f aca="false">IF(OR(INDEX(Undirviðmið!$G$6:$G$105,(COLUMN()-7-1)/2+1)&lt;&gt;"Starfsbundið",BC23="",BC$8="",BC$7=""),"",ROUND(BC23/BC$8*BC$7*KVARDI,2))</f>
        <v/>
      </c>
      <c r="BE23" s="39"/>
      <c r="BF23" s="40" t="str">
        <f aca="false">IF(OR(INDEX(Undirviðmið!$G$6:$G$105,(COLUMN()-7-1)/2+1)&lt;&gt;"Starfsbundið",BE23="",BE$8="",BE$7=""),"",ROUND(BE23/BE$8*BE$7*KVARDI,2))</f>
        <v/>
      </c>
      <c r="BG23" s="39"/>
      <c r="BH23" s="40" t="str">
        <f aca="false">IF(OR(INDEX(Undirviðmið!$G$6:$G$105,(COLUMN()-7-1)/2+1)&lt;&gt;"Starfsbundið",BG23="",BG$8="",BG$7=""),"",ROUND(BG23/BG$8*BG$7*KVARDI,2))</f>
        <v/>
      </c>
      <c r="BI23" s="39"/>
      <c r="BJ23" s="40" t="str">
        <f aca="false">IF(OR(INDEX(Undirviðmið!$G$6:$G$105,(COLUMN()-7-1)/2+1)&lt;&gt;"Starfsbundið",BI23="",BI$8="",BI$7=""),"",ROUND(BI23/BI$8*BI$7*KVARDI,2))</f>
        <v/>
      </c>
      <c r="BK23" s="39"/>
      <c r="BL23" s="40" t="str">
        <f aca="false">IF(OR(INDEX(Undirviðmið!$G$6:$G$105,(COLUMN()-7-1)/2+1)&lt;&gt;"Starfsbundið",BK23="",BK$8="",BK$7=""),"",ROUND(BK23/BK$8*BK$7*KVARDI,2))</f>
        <v/>
      </c>
      <c r="BM23" s="39"/>
      <c r="BN23" s="40" t="str">
        <f aca="false">IF(OR(INDEX(Undirviðmið!$G$6:$G$105,(COLUMN()-7-1)/2+1)&lt;&gt;"Starfsbundið",BM23="",BM$8="",BM$7=""),"",ROUND(BM23/BM$8*BM$7*KVARDI,2))</f>
        <v/>
      </c>
      <c r="BO23" s="39"/>
      <c r="BP23" s="40" t="str">
        <f aca="false">IF(OR(INDEX(Undirviðmið!$G$6:$G$105,(COLUMN()-7-1)/2+1)&lt;&gt;"Starfsbundið",BO23="",BO$8="",BO$7=""),"",ROUND(BO23/BO$8*BO$7*KVARDI,2))</f>
        <v/>
      </c>
      <c r="BQ23" s="39"/>
      <c r="BR23" s="40" t="str">
        <f aca="false">IF(OR(INDEX(Undirviðmið!$G$6:$G$105,(COLUMN()-7-1)/2+1)&lt;&gt;"Starfsbundið",BQ23="",BQ$8="",BQ$7=""),"",ROUND(BQ23/BQ$8*BQ$7*KVARDI,2))</f>
        <v/>
      </c>
      <c r="BS23" s="39"/>
      <c r="BT23" s="40" t="str">
        <f aca="false">IF(OR(INDEX(Undirviðmið!$G$6:$G$105,(COLUMN()-7-1)/2+1)&lt;&gt;"Starfsbundið",BS23="",BS$8="",BS$7=""),"",ROUND(BS23/BS$8*BS$7*KVARDI,2))</f>
        <v/>
      </c>
      <c r="BU23" s="39"/>
      <c r="BV23" s="40" t="str">
        <f aca="false">IF(OR(INDEX(Undirviðmið!$G$6:$G$105,(COLUMN()-7-1)/2+1)&lt;&gt;"Starfsbundið",BU23="",BU$8="",BU$7=""),"",ROUND(BU23/BU$8*BU$7*KVARDI,2))</f>
        <v/>
      </c>
      <c r="BW23" s="39"/>
      <c r="BX23" s="40" t="str">
        <f aca="false">IF(OR(INDEX(Undirviðmið!$G$6:$G$105,(COLUMN()-7-1)/2+1)&lt;&gt;"Starfsbundið",BW23="",BW$8="",BW$7=""),"",ROUND(BW23/BW$8*BW$7*KVARDI,2))</f>
        <v/>
      </c>
      <c r="BY23" s="39"/>
      <c r="BZ23" s="40" t="str">
        <f aca="false">IF(OR(INDEX(Undirviðmið!$G$6:$G$105,(COLUMN()-7-1)/2+1)&lt;&gt;"Starfsbundið",BY23="",BY$8="",BY$7=""),"",ROUND(BY23/BY$8*BY$7*KVARDI,2))</f>
        <v/>
      </c>
      <c r="CA23" s="39"/>
      <c r="CB23" s="40" t="str">
        <f aca="false">IF(OR(INDEX(Undirviðmið!$G$6:$G$105,(COLUMN()-7-1)/2+1)&lt;&gt;"Starfsbundið",CA23="",CA$8="",CA$7=""),"",ROUND(CA23/CA$8*CA$7*KVARDI,2))</f>
        <v/>
      </c>
      <c r="CC23" s="39"/>
      <c r="CD23" s="40" t="str">
        <f aca="false">IF(OR(INDEX(Undirviðmið!$G$6:$G$105,(COLUMN()-7-1)/2+1)&lt;&gt;"Starfsbundið",CC23="",CC$8="",CC$7=""),"",ROUND(CC23/CC$8*CC$7*KVARDI,2))</f>
        <v/>
      </c>
      <c r="CE23" s="39"/>
      <c r="CF23" s="40" t="str">
        <f aca="false">IF(OR(INDEX(Undirviðmið!$G$6:$G$105,(COLUMN()-7-1)/2+1)&lt;&gt;"Starfsbundið",CE23="",CE$8="",CE$7=""),"",ROUND(CE23/CE$8*CE$7*KVARDI,2))</f>
        <v/>
      </c>
      <c r="CG23" s="39"/>
      <c r="CH23" s="40" t="str">
        <f aca="false">IF(OR(INDEX(Undirviðmið!$G$6:$G$105,(COLUMN()-7-1)/2+1)&lt;&gt;"Starfsbundið",CG23="",CG$8="",CG$7=""),"",ROUND(CG23/CG$8*CG$7*KVARDI,2))</f>
        <v/>
      </c>
      <c r="CI23" s="39"/>
      <c r="CJ23" s="40" t="str">
        <f aca="false">IF(OR(INDEX(Undirviðmið!$G$6:$G$105,(COLUMN()-7-1)/2+1)&lt;&gt;"Starfsbundið",CI23="",CI$8="",CI$7=""),"",ROUND(CI23/CI$8*CI$7*KVARDI,2))</f>
        <v/>
      </c>
      <c r="CK23" s="39"/>
      <c r="CL23" s="40" t="str">
        <f aca="false">IF(OR(INDEX(Undirviðmið!$G$6:$G$105,(COLUMN()-7-1)/2+1)&lt;&gt;"Starfsbundið",CK23="",CK$8="",CK$7=""),"",ROUND(CK23/CK$8*CK$7*KVARDI,2))</f>
        <v/>
      </c>
      <c r="CM23" s="39"/>
      <c r="CN23" s="40" t="str">
        <f aca="false">IF(OR(INDEX(Undirviðmið!$G$6:$G$105,(COLUMN()-7-1)/2+1)&lt;&gt;"Starfsbundið",CM23="",CM$8="",CM$7=""),"",ROUND(CM23/CM$8*CM$7*KVARDI,2))</f>
        <v/>
      </c>
      <c r="CO23" s="39"/>
      <c r="CP23" s="40" t="str">
        <f aca="false">IF(OR(INDEX(Undirviðmið!$G$6:$G$105,(COLUMN()-7-1)/2+1)&lt;&gt;"Starfsbundið",CO23="",CO$8="",CO$7=""),"",ROUND(CO23/CO$8*CO$7*KVARDI,2))</f>
        <v/>
      </c>
      <c r="CQ23" s="39"/>
      <c r="CR23" s="40" t="str">
        <f aca="false">IF(OR(INDEX(Undirviðmið!$G$6:$G$105,(COLUMN()-7-1)/2+1)&lt;&gt;"Starfsbundið",CQ23="",CQ$8="",CQ$7=""),"",ROUND(CQ23/CQ$8*CQ$7*KVARDI,2))</f>
        <v/>
      </c>
      <c r="CS23" s="39"/>
      <c r="CT23" s="40" t="str">
        <f aca="false">IF(OR(INDEX(Undirviðmið!$G$6:$G$105,(COLUMN()-7-1)/2+1)&lt;&gt;"Starfsbundið",CS23="",CS$8="",CS$7=""),"",ROUND(CS23/CS$8*CS$7*KVARDI,2))</f>
        <v/>
      </c>
      <c r="CU23" s="39"/>
      <c r="CV23" s="40" t="str">
        <f aca="false">IF(OR(INDEX(Undirviðmið!$G$6:$G$105,(COLUMN()-7-1)/2+1)&lt;&gt;"Starfsbundið",CU23="",CU$8="",CU$7=""),"",ROUND(CU23/CU$8*CU$7*KVARDI,2))</f>
        <v/>
      </c>
      <c r="CW23" s="39"/>
      <c r="CX23" s="40" t="str">
        <f aca="false">IF(OR(INDEX(Undirviðmið!$G$6:$G$105,(COLUMN()-7-1)/2+1)&lt;&gt;"Starfsbundið",CW23="",CW$8="",CW$7=""),"",ROUND(CW23/CW$8*CW$7*KVARDI,2))</f>
        <v/>
      </c>
      <c r="CY23" s="39"/>
      <c r="CZ23" s="40" t="str">
        <f aca="false">IF(OR(INDEX(Undirviðmið!$G$6:$G$105,(COLUMN()-7-1)/2+1)&lt;&gt;"Starfsbundið",CY23="",CY$8="",CY$7=""),"",ROUND(CY23/CY$8*CY$7*KVARDI,2))</f>
        <v/>
      </c>
      <c r="DA23" s="39"/>
      <c r="DB23" s="40" t="str">
        <f aca="false">IF(OR(INDEX(Undirviðmið!$G$6:$G$105,(COLUMN()-7-1)/2+1)&lt;&gt;"Starfsbundið",DA23="",DA$8="",DA$7=""),"",ROUND(DA23/DA$8*DA$7*KVARDI,2))</f>
        <v/>
      </c>
      <c r="DC23" s="39"/>
      <c r="DD23" s="40" t="str">
        <f aca="false">IF(OR(INDEX(Undirviðmið!$G$6:$G$105,(COLUMN()-7-1)/2+1)&lt;&gt;"Starfsbundið",DC23="",DC$8="",DC$7=""),"",ROUND(DC23/DC$8*DC$7*KVARDI,2))</f>
        <v/>
      </c>
      <c r="DE23" s="39"/>
      <c r="DF23" s="40" t="str">
        <f aca="false">IF(OR(INDEX(Undirviðmið!$G$6:$G$105,(COLUMN()-7-1)/2+1)&lt;&gt;"Starfsbundið",DE23="",DE$8="",DE$7=""),"",ROUND(DE23/DE$8*DE$7*KVARDI,2))</f>
        <v/>
      </c>
      <c r="DG23" s="39"/>
      <c r="DH23" s="40" t="str">
        <f aca="false">IF(OR(INDEX(Undirviðmið!$G$6:$G$105,(COLUMN()-7-1)/2+1)&lt;&gt;"Starfsbundið",DG23="",DG$8="",DG$7=""),"",ROUND(DG23/DG$8*DG$7*KVARDI,2))</f>
        <v/>
      </c>
      <c r="DI23" s="39"/>
      <c r="DJ23" s="40" t="str">
        <f aca="false">IF(OR(INDEX(Undirviðmið!$G$6:$G$105,(COLUMN()-7-1)/2+1)&lt;&gt;"Starfsbundið",DI23="",DI$8="",DI$7=""),"",ROUND(DI23/DI$8*DI$7*KVARDI,2))</f>
        <v/>
      </c>
      <c r="DK23" s="39"/>
      <c r="DL23" s="40" t="str">
        <f aca="false">IF(OR(INDEX(Undirviðmið!$G$6:$G$105,(COLUMN()-7-1)/2+1)&lt;&gt;"Starfsbundið",DK23="",DK$8="",DK$7=""),"",ROUND(DK23/DK$8*DK$7*KVARDI,2))</f>
        <v/>
      </c>
      <c r="DM23" s="39"/>
      <c r="DN23" s="40" t="str">
        <f aca="false">IF(OR(INDEX(Undirviðmið!$G$6:$G$105,(COLUMN()-7-1)/2+1)&lt;&gt;"Starfsbundið",DM23="",DM$8="",DM$7=""),"",ROUND(DM23/DM$8*DM$7*KVARDI,2))</f>
        <v/>
      </c>
      <c r="DO23" s="39"/>
      <c r="DP23" s="40" t="str">
        <f aca="false">IF(OR(INDEX(Undirviðmið!$G$6:$G$105,(COLUMN()-7-1)/2+1)&lt;&gt;"Starfsbundið",DO23="",DO$8="",DO$7=""),"",ROUND(DO23/DO$8*DO$7*KVARDI,2))</f>
        <v/>
      </c>
      <c r="DQ23" s="39"/>
      <c r="DR23" s="40" t="str">
        <f aca="false">IF(OR(INDEX(Undirviðmið!$G$6:$G$105,(COLUMN()-7-1)/2+1)&lt;&gt;"Starfsbundið",DQ23="",DQ$8="",DQ$7=""),"",ROUND(DQ23/DQ$8*DQ$7*KVARDI,2))</f>
        <v/>
      </c>
      <c r="DS23" s="39"/>
      <c r="DT23" s="40" t="str">
        <f aca="false">IF(OR(INDEX(Undirviðmið!$G$6:$G$105,(COLUMN()-7-1)/2+1)&lt;&gt;"Starfsbundið",DS23="",DS$8="",DS$7=""),"",ROUND(DS23/DS$8*DS$7*KVARDI,2))</f>
        <v/>
      </c>
      <c r="DU23" s="39"/>
      <c r="DV23" s="40" t="str">
        <f aca="false">IF(OR(INDEX(Undirviðmið!$G$6:$G$105,(COLUMN()-7-1)/2+1)&lt;&gt;"Starfsbundið",DU23="",DU$8="",DU$7=""),"",ROUND(DU23/DU$8*DU$7*KVARDI,2))</f>
        <v/>
      </c>
      <c r="DW23" s="39"/>
      <c r="DX23" s="40" t="str">
        <f aca="false">IF(OR(INDEX(Undirviðmið!$G$6:$G$105,(COLUMN()-7-1)/2+1)&lt;&gt;"Starfsbundið",DW23="",DW$8="",DW$7=""),"",ROUND(DW23/DW$8*DW$7*KVARDI,2))</f>
        <v/>
      </c>
      <c r="DY23" s="39"/>
      <c r="DZ23" s="40" t="str">
        <f aca="false">IF(OR(INDEX(Undirviðmið!$G$6:$G$105,(COLUMN()-7-1)/2+1)&lt;&gt;"Starfsbundið",DY23="",DY$8="",DY$7=""),"",ROUND(DY23/DY$8*DY$7*KVARDI,2))</f>
        <v/>
      </c>
      <c r="EA23" s="39"/>
      <c r="EB23" s="40" t="str">
        <f aca="false">IF(OR(INDEX(Undirviðmið!$G$6:$G$105,(COLUMN()-7-1)/2+1)&lt;&gt;"Starfsbundið",EA23="",EA$8="",EA$7=""),"",ROUND(EA23/EA$8*EA$7*KVARDI,2))</f>
        <v/>
      </c>
      <c r="EC23" s="39"/>
      <c r="ED23" s="40" t="str">
        <f aca="false">IF(OR(INDEX(Undirviðmið!$G$6:$G$105,(COLUMN()-7-1)/2+1)&lt;&gt;"Starfsbundið",EC23="",EC$8="",EC$7=""),"",ROUND(EC23/EC$8*EC$7*KVARDI,2))</f>
        <v/>
      </c>
      <c r="EE23" s="39"/>
      <c r="EF23" s="40" t="str">
        <f aca="false">IF(OR(INDEX(Undirviðmið!$G$6:$G$105,(COLUMN()-7-1)/2+1)&lt;&gt;"Starfsbundið",EE23="",EE$8="",EE$7=""),"",ROUND(EE23/EE$8*EE$7*KVARDI,2))</f>
        <v/>
      </c>
      <c r="EG23" s="39"/>
      <c r="EH23" s="40" t="str">
        <f aca="false">IF(OR(INDEX(Undirviðmið!$G$6:$G$105,(COLUMN()-7-1)/2+1)&lt;&gt;"Starfsbundið",EG23="",EG$8="",EG$7=""),"",ROUND(EG23/EG$8*EG$7*KVARDI,2))</f>
        <v/>
      </c>
      <c r="EI23" s="39"/>
      <c r="EJ23" s="40" t="str">
        <f aca="false">IF(OR(INDEX(Undirviðmið!$G$6:$G$105,(COLUMN()-7-1)/2+1)&lt;&gt;"Starfsbundið",EI23="",EI$8="",EI$7=""),"",ROUND(EI23/EI$8*EI$7*KVARDI,2))</f>
        <v/>
      </c>
      <c r="EK23" s="39"/>
      <c r="EL23" s="40" t="str">
        <f aca="false">IF(OR(INDEX(Undirviðmið!$G$6:$G$105,(COLUMN()-7-1)/2+1)&lt;&gt;"Starfsbundið",EK23="",EK$8="",EK$7=""),"",ROUND(EK23/EK$8*EK$7*KVARDI,2))</f>
        <v/>
      </c>
      <c r="EM23" s="39"/>
      <c r="EN23" s="40" t="str">
        <f aca="false">IF(OR(INDEX(Undirviðmið!$G$6:$G$105,(COLUMN()-7-1)/2+1)&lt;&gt;"Starfsbundið",EM23="",EM$8="",EM$7=""),"",ROUND(EM23/EM$8*EM$7*KVARDI,2))</f>
        <v/>
      </c>
      <c r="EO23" s="39"/>
      <c r="EP23" s="40" t="str">
        <f aca="false">IF(OR(INDEX(Undirviðmið!$G$6:$G$105,(COLUMN()-7-1)/2+1)&lt;&gt;"Starfsbundið",EO23="",EO$8="",EO$7=""),"",ROUND(EO23/EO$8*EO$7*KVARDI,2))</f>
        <v/>
      </c>
      <c r="EQ23" s="39"/>
      <c r="ER23" s="40" t="str">
        <f aca="false">IF(OR(INDEX(Undirviðmið!$G$6:$G$105,(COLUMN()-7-1)/2+1)&lt;&gt;"Starfsbundið",EQ23="",EQ$8="",EQ$7=""),"",ROUND(EQ23/EQ$8*EQ$7*KVARDI,2))</f>
        <v/>
      </c>
      <c r="ES23" s="39"/>
      <c r="ET23" s="40" t="str">
        <f aca="false">IF(OR(INDEX(Undirviðmið!$G$6:$G$105,(COLUMN()-7-1)/2+1)&lt;&gt;"Starfsbundið",ES23="",ES$8="",ES$7=""),"",ROUND(ES23/ES$8*ES$7*KVARDI,2))</f>
        <v/>
      </c>
      <c r="EU23" s="39"/>
      <c r="EV23" s="40" t="str">
        <f aca="false">IF(OR(INDEX(Undirviðmið!$G$6:$G$105,(COLUMN()-7-1)/2+1)&lt;&gt;"Starfsbundið",EU23="",EU$8="",EU$7=""),"",ROUND(EU23/EU$8*EU$7*KVARDI,2))</f>
        <v/>
      </c>
      <c r="EW23" s="39"/>
      <c r="EX23" s="40" t="str">
        <f aca="false">IF(OR(INDEX(Undirviðmið!$G$6:$G$105,(COLUMN()-7-1)/2+1)&lt;&gt;"Starfsbundið",EW23="",EW$8="",EW$7=""),"",ROUND(EW23/EW$8*EW$7*KVARDI,2))</f>
        <v/>
      </c>
      <c r="EY23" s="39"/>
      <c r="EZ23" s="40" t="str">
        <f aca="false">IF(OR(INDEX(Undirviðmið!$G$6:$G$105,(COLUMN()-7-1)/2+1)&lt;&gt;"Starfsbundið",EY23="",EY$8="",EY$7=""),"",ROUND(EY23/EY$8*EY$7*KVARDI,2))</f>
        <v/>
      </c>
      <c r="FA23" s="39"/>
      <c r="FB23" s="40" t="str">
        <f aca="false">IF(OR(INDEX(Undirviðmið!$G$6:$G$105,(COLUMN()-7-1)/2+1)&lt;&gt;"Starfsbundið",FA23="",FA$8="",FA$7=""),"",ROUND(FA23/FA$8*FA$7*KVARDI,2))</f>
        <v/>
      </c>
      <c r="FC23" s="39"/>
      <c r="FD23" s="40" t="str">
        <f aca="false">IF(OR(INDEX(Undirviðmið!$G$6:$G$105,(COLUMN()-7-1)/2+1)&lt;&gt;"Starfsbundið",FC23="",FC$8="",FC$7=""),"",ROUND(FC23/FC$8*FC$7*KVARDI,2))</f>
        <v/>
      </c>
      <c r="FE23" s="39"/>
      <c r="FF23" s="40" t="str">
        <f aca="false">IF(OR(INDEX(Undirviðmið!$G$6:$G$105,(COLUMN()-7-1)/2+1)&lt;&gt;"Starfsbundið",FE23="",FE$8="",FE$7=""),"",ROUND(FE23/FE$8*FE$7*KVARDI,2))</f>
        <v/>
      </c>
      <c r="FG23" s="39"/>
      <c r="FH23" s="40" t="str">
        <f aca="false">IF(OR(INDEX(Undirviðmið!$G$6:$G$105,(COLUMN()-7-1)/2+1)&lt;&gt;"Starfsbundið",FG23="",FG$8="",FG$7=""),"",ROUND(FG23/FG$8*FG$7*KVARDI,2))</f>
        <v/>
      </c>
      <c r="FI23" s="39"/>
      <c r="FJ23" s="40" t="str">
        <f aca="false">IF(OR(INDEX(Undirviðmið!$G$6:$G$105,(COLUMN()-7-1)/2+1)&lt;&gt;"Starfsbundið",FI23="",FI$8="",FI$7=""),"",ROUND(FI23/FI$8*FI$7*KVARDI,2))</f>
        <v/>
      </c>
      <c r="FK23" s="39"/>
      <c r="FL23" s="40" t="str">
        <f aca="false">IF(OR(INDEX(Undirviðmið!$G$6:$G$105,(COLUMN()-7-1)/2+1)&lt;&gt;"Starfsbundið",FK23="",FK$8="",FK$7=""),"",ROUND(FK23/FK$8*FK$7*KVARDI,2))</f>
        <v/>
      </c>
      <c r="FM23" s="39"/>
      <c r="FN23" s="40" t="str">
        <f aca="false">IF(OR(INDEX(Undirviðmið!$G$6:$G$105,(COLUMN()-7-1)/2+1)&lt;&gt;"Starfsbundið",FM23="",FM$8="",FM$7=""),"",ROUND(FM23/FM$8*FM$7*KVARDI,2))</f>
        <v/>
      </c>
      <c r="FO23" s="39"/>
      <c r="FP23" s="40" t="str">
        <f aca="false">IF(OR(INDEX(Undirviðmið!$G$6:$G$105,(COLUMN()-7-1)/2+1)&lt;&gt;"Starfsbundið",FO23="",FO$8="",FO$7=""),"",ROUND(FO23/FO$8*FO$7*KVARDI,2))</f>
        <v/>
      </c>
      <c r="FQ23" s="39"/>
      <c r="FR23" s="40" t="str">
        <f aca="false">IF(OR(INDEX(Undirviðmið!$G$6:$G$105,(COLUMN()-7-1)/2+1)&lt;&gt;"Starfsbundið",FQ23="",FQ$8="",FQ$7=""),"",ROUND(FQ23/FQ$8*FQ$7*KVARDI,2))</f>
        <v/>
      </c>
      <c r="FS23" s="39"/>
      <c r="FT23" s="40" t="str">
        <f aca="false">IF(OR(INDEX(Undirviðmið!$G$6:$G$105,(COLUMN()-7-1)/2+1)&lt;&gt;"Starfsbundið",FS23="",FS$8="",FS$7=""),"",ROUND(FS23/FS$8*FS$7*KVARDI,2))</f>
        <v/>
      </c>
      <c r="FU23" s="39"/>
      <c r="FV23" s="40" t="str">
        <f aca="false">IF(OR(INDEX(Undirviðmið!$G$6:$G$105,(COLUMN()-7-1)/2+1)&lt;&gt;"Starfsbundið",FU23="",FU$8="",FU$7=""),"",ROUND(FU23/FU$8*FU$7*KVARDI,2))</f>
        <v/>
      </c>
      <c r="FW23" s="39"/>
      <c r="FX23" s="40" t="str">
        <f aca="false">IF(OR(INDEX(Undirviðmið!$G$6:$G$105,(COLUMN()-7-1)/2+1)&lt;&gt;"Starfsbundið",FW23="",FW$8="",FW$7=""),"",ROUND(FW23/FW$8*FW$7*KVARDI,2))</f>
        <v/>
      </c>
      <c r="FY23" s="39"/>
      <c r="FZ23" s="40" t="str">
        <f aca="false">IF(OR(INDEX(Undirviðmið!$G$6:$G$105,(COLUMN()-7-1)/2+1)&lt;&gt;"Starfsbundið",FY23="",FY$8="",FY$7=""),"",ROUND(FY23/FY$8*FY$7*KVARDI,2))</f>
        <v/>
      </c>
      <c r="GA23" s="39"/>
      <c r="GB23" s="40" t="str">
        <f aca="false">IF(OR(INDEX(Undirviðmið!$G$6:$G$105,(COLUMN()-7-1)/2+1)&lt;&gt;"Starfsbundið",GA23="",GA$8="",GA$7=""),"",ROUND(GA23/GA$8*GA$7*KVARDI,2))</f>
        <v/>
      </c>
      <c r="GC23" s="39"/>
      <c r="GD23" s="40" t="str">
        <f aca="false">IF(OR(INDEX(Undirviðmið!$G$6:$G$105,(COLUMN()-7-1)/2+1)&lt;&gt;"Starfsbundið",GC23="",GC$8="",GC$7=""),"",ROUND(GC23/GC$8*GC$7*KVARDI,2))</f>
        <v/>
      </c>
      <c r="GE23" s="39"/>
      <c r="GF23" s="40" t="str">
        <f aca="false">IF(OR(INDEX(Undirviðmið!$G$6:$G$105,(COLUMN()-7-1)/2+1)&lt;&gt;"Starfsbundið",GE23="",GE$8="",GE$7=""),"",ROUND(GE23/GE$8*GE$7*KVARDI,2))</f>
        <v/>
      </c>
      <c r="GG23" s="39"/>
      <c r="GH23" s="40" t="str">
        <f aca="false">IF(OR(INDEX(Undirviðmið!$G$6:$G$105,(COLUMN()-7-1)/2+1)&lt;&gt;"Starfsbundið",GG23="",GG$8="",GG$7=""),"",ROUND(GG23/GG$8*GG$7*KVARDI,2))</f>
        <v/>
      </c>
      <c r="GI23" s="39"/>
      <c r="GJ23" s="40" t="str">
        <f aca="false">IF(OR(INDEX(Undirviðmið!$G$6:$G$105,(COLUMN()-7-1)/2+1)&lt;&gt;"Starfsbundið",GI23="",GI$8="",GI$7=""),"",ROUND(GI23/GI$8*GI$7*KVARDI,2))</f>
        <v/>
      </c>
      <c r="GK23" s="39"/>
      <c r="GL23" s="40" t="str">
        <f aca="false">IF(OR(INDEX(Undirviðmið!$G$6:$G$105,(COLUMN()-7-1)/2+1)&lt;&gt;"Starfsbundið",GK23="",GK$8="",GK$7=""),"",ROUND(GK23/GK$8*GK$7*KVARDI,2))</f>
        <v/>
      </c>
      <c r="GM23" s="39"/>
      <c r="GN23" s="40" t="str">
        <f aca="false">IF(OR(INDEX(Undirviðmið!$G$6:$G$105,(COLUMN()-7-1)/2+1)&lt;&gt;"Starfsbundið",GM23="",GM$8="",GM$7=""),"",ROUND(GM23/GM$8*GM$7*KVARDI,2))</f>
        <v/>
      </c>
      <c r="GO23" s="39"/>
      <c r="GP23" s="40" t="str">
        <f aca="false">IF(OR(INDEX(Undirviðmið!$G$6:$G$105,(COLUMN()-7-1)/2+1)&lt;&gt;"Starfsbundið",GO23="",GO$8="",GO$7=""),"",ROUND(GO23/GO$8*GO$7*KVARDI,2))</f>
        <v/>
      </c>
      <c r="GQ23" s="39"/>
      <c r="GR23" s="40" t="str">
        <f aca="false">IF(OR(INDEX(Undirviðmið!$G$6:$G$105,(COLUMN()-7-1)/2+1)&lt;&gt;"Starfsbundið",GQ23="",GQ$8="",GQ$7=""),"",ROUND(GQ23/GQ$8*GQ$7*KVARDI,2))</f>
        <v/>
      </c>
      <c r="GS23" s="39"/>
      <c r="GT23" s="40" t="str">
        <f aca="false">IF(OR(INDEX(Undirviðmið!$G$6:$G$105,(COLUMN()-7-1)/2+1)&lt;&gt;"Starfsbundið",GS23="",GS$8="",GS$7=""),"",ROUND(GS23/GS$8*GS$7*KVARDI,2))</f>
        <v/>
      </c>
      <c r="GU23" s="39"/>
      <c r="GV23" s="40" t="str">
        <f aca="false">IF(OR(INDEX(Undirviðmið!$G$6:$G$105,(COLUMN()-7-1)/2+1)&lt;&gt;"Starfsbundið",GU23="",GU$8="",GU$7=""),"",ROUND(GU23/GU$8*GU$7*KVARDI,2))</f>
        <v/>
      </c>
      <c r="GW23" s="39"/>
      <c r="GX23" s="40" t="str">
        <f aca="false">IF(OR(INDEX(Undirviðmið!$G$6:$G$105,(COLUMN()-7-1)/2+1)&lt;&gt;"Starfsbundið",GW23="",GW$8="",GW$7=""),"",ROUND(GW23/GW$8*GW$7*KVARDI,2))</f>
        <v/>
      </c>
      <c r="GZ23" s="20"/>
    </row>
    <row r="24" customFormat="false" ht="15" hidden="true" customHeight="true" outlineLevel="1" collapsed="false">
      <c r="B24" s="37" t="str">
        <f aca="false" t="array" ref="B24:B24">IFERROR(INDEX(Starfsmenn!$C$6:$C$10005,MATCH(0,COUNTIF($B$11:B23,Starfsmenn!$C$6:$C$10005)+(Starfsmenn!$C$6:$C$10005=""),0)),"")</f>
        <v/>
      </c>
      <c r="C24" s="38" t="n">
        <f aca="false">IFERROR(SUMIF($G$10:$GX$10,"Stig",$G24:$GX24),0)</f>
        <v>0</v>
      </c>
      <c r="G24" s="39"/>
      <c r="H24" s="40" t="str">
        <f aca="false">IF(OR(INDEX(Undirviðmið!$G$6:$G$105,(COLUMN()-7-1)/2+1)&lt;&gt;"Starfsbundið",G24="",G$8="",G$7=""),"",ROUND(G24/G$8*G$7*KVARDI,2))</f>
        <v/>
      </c>
      <c r="I24" s="39"/>
      <c r="J24" s="40" t="str">
        <f aca="false">IF(OR(INDEX(Undirviðmið!$G$6:$G$105,(COLUMN()-7-1)/2+1)&lt;&gt;"Starfsbundið",I24="",I$8="",I$7=""),"",ROUND(I24/I$8*I$7*KVARDI,2))</f>
        <v/>
      </c>
      <c r="K24" s="39"/>
      <c r="L24" s="40" t="str">
        <f aca="false">IF(OR(INDEX(Undirviðmið!$G$6:$G$105,(COLUMN()-7-1)/2+1)&lt;&gt;"Starfsbundið",K24="",K$8="",K$7=""),"",ROUND(K24/K$8*K$7*KVARDI,2))</f>
        <v/>
      </c>
      <c r="M24" s="39"/>
      <c r="N24" s="40" t="str">
        <f aca="false">IF(OR(INDEX(Undirviðmið!$G$6:$G$105,(COLUMN()-7-1)/2+1)&lt;&gt;"Starfsbundið",M24="",M$8="",M$7=""),"",ROUND(M24/M$8*M$7*KVARDI,2))</f>
        <v/>
      </c>
      <c r="O24" s="39"/>
      <c r="P24" s="40" t="str">
        <f aca="false">IF(OR(INDEX(Undirviðmið!$G$6:$G$105,(COLUMN()-7-1)/2+1)&lt;&gt;"Starfsbundið",O24="",O$8="",O$7=""),"",ROUND(O24/O$8*O$7*KVARDI,2))</f>
        <v/>
      </c>
      <c r="Q24" s="39"/>
      <c r="R24" s="40" t="str">
        <f aca="false">IF(OR(INDEX(Undirviðmið!$G$6:$G$105,(COLUMN()-7-1)/2+1)&lt;&gt;"Starfsbundið",Q24="",Q$8="",Q$7=""),"",ROUND(Q24/Q$8*Q$7*KVARDI,2))</f>
        <v/>
      </c>
      <c r="S24" s="39"/>
      <c r="T24" s="40" t="str">
        <f aca="false">IF(OR(INDEX(Undirviðmið!$G$6:$G$105,(COLUMN()-7-1)/2+1)&lt;&gt;"Starfsbundið",S24="",S$8="",S$7=""),"",ROUND(S24/S$8*S$7*KVARDI,2))</f>
        <v/>
      </c>
      <c r="U24" s="39"/>
      <c r="V24" s="40" t="str">
        <f aca="false">IF(OR(INDEX(Undirviðmið!$G$6:$G$105,(COLUMN()-7-1)/2+1)&lt;&gt;"Starfsbundið",U24="",U$8="",U$7=""),"",ROUND(U24/U$8*U$7*KVARDI,2))</f>
        <v/>
      </c>
      <c r="W24" s="39"/>
      <c r="X24" s="40" t="str">
        <f aca="false">IF(OR(INDEX(Undirviðmið!$G$6:$G$105,(COLUMN()-7-1)/2+1)&lt;&gt;"Starfsbundið",W24="",W$8="",W$7=""),"",ROUND(W24/W$8*W$7*KVARDI,2))</f>
        <v/>
      </c>
      <c r="Y24" s="39"/>
      <c r="Z24" s="40" t="str">
        <f aca="false">IF(OR(INDEX(Undirviðmið!$G$6:$G$105,(COLUMN()-7-1)/2+1)&lt;&gt;"Starfsbundið",Y24="",Y$8="",Y$7=""),"",ROUND(Y24/Y$8*Y$7*KVARDI,2))</f>
        <v/>
      </c>
      <c r="AA24" s="39"/>
      <c r="AB24" s="40" t="str">
        <f aca="false">IF(OR(INDEX(Undirviðmið!$G$6:$G$105,(COLUMN()-7-1)/2+1)&lt;&gt;"Starfsbundið",AA24="",AA$8="",AA$7=""),"",ROUND(AA24/AA$8*AA$7*KVARDI,2))</f>
        <v/>
      </c>
      <c r="AC24" s="39"/>
      <c r="AD24" s="40" t="str">
        <f aca="false">IF(OR(INDEX(Undirviðmið!$G$6:$G$105,(COLUMN()-7-1)/2+1)&lt;&gt;"Starfsbundið",AC24="",AC$8="",AC$7=""),"",ROUND(AC24/AC$8*AC$7*KVARDI,2))</f>
        <v/>
      </c>
      <c r="AE24" s="39"/>
      <c r="AF24" s="40" t="str">
        <f aca="false">IF(OR(INDEX(Undirviðmið!$G$6:$G$105,(COLUMN()-7-1)/2+1)&lt;&gt;"Starfsbundið",AE24="",AE$8="",AE$7=""),"",ROUND(AE24/AE$8*AE$7*KVARDI,2))</f>
        <v/>
      </c>
      <c r="AG24" s="39"/>
      <c r="AH24" s="40" t="str">
        <f aca="false">IF(OR(INDEX(Undirviðmið!$G$6:$G$105,(COLUMN()-7-1)/2+1)&lt;&gt;"Starfsbundið",AG24="",AG$8="",AG$7=""),"",ROUND(AG24/AG$8*AG$7*KVARDI,2))</f>
        <v/>
      </c>
      <c r="AI24" s="39"/>
      <c r="AJ24" s="40" t="str">
        <f aca="false">IF(OR(INDEX(Undirviðmið!$G$6:$G$105,(COLUMN()-7-1)/2+1)&lt;&gt;"Starfsbundið",AI24="",AI$8="",AI$7=""),"",ROUND(AI24/AI$8*AI$7*KVARDI,2))</f>
        <v/>
      </c>
      <c r="AK24" s="39"/>
      <c r="AL24" s="40" t="str">
        <f aca="false">IF(OR(INDEX(Undirviðmið!$G$6:$G$105,(COLUMN()-7-1)/2+1)&lt;&gt;"Starfsbundið",AK24="",AK$8="",AK$7=""),"",ROUND(AK24/AK$8*AK$7*KVARDI,2))</f>
        <v/>
      </c>
      <c r="AM24" s="39"/>
      <c r="AN24" s="40" t="str">
        <f aca="false">IF(OR(INDEX(Undirviðmið!$G$6:$G$105,(COLUMN()-7-1)/2+1)&lt;&gt;"Starfsbundið",AM24="",AM$8="",AM$7=""),"",ROUND(AM24/AM$8*AM$7*KVARDI,2))</f>
        <v/>
      </c>
      <c r="AO24" s="39"/>
      <c r="AP24" s="40" t="str">
        <f aca="false">IF(OR(INDEX(Undirviðmið!$G$6:$G$105,(COLUMN()-7-1)/2+1)&lt;&gt;"Starfsbundið",AO24="",AO$8="",AO$7=""),"",ROUND(AO24/AO$8*AO$7*KVARDI,2))</f>
        <v/>
      </c>
      <c r="AQ24" s="39"/>
      <c r="AR24" s="40" t="str">
        <f aca="false">IF(OR(INDEX(Undirviðmið!$G$6:$G$105,(COLUMN()-7-1)/2+1)&lt;&gt;"Starfsbundið",AQ24="",AQ$8="",AQ$7=""),"",ROUND(AQ24/AQ$8*AQ$7*KVARDI,2))</f>
        <v/>
      </c>
      <c r="AS24" s="39"/>
      <c r="AT24" s="40" t="str">
        <f aca="false">IF(OR(INDEX(Undirviðmið!$G$6:$G$105,(COLUMN()-7-1)/2+1)&lt;&gt;"Starfsbundið",AS24="",AS$8="",AS$7=""),"",ROUND(AS24/AS$8*AS$7*KVARDI,2))</f>
        <v/>
      </c>
      <c r="AU24" s="39"/>
      <c r="AV24" s="40" t="str">
        <f aca="false">IF(OR(INDEX(Undirviðmið!$G$6:$G$105,(COLUMN()-7-1)/2+1)&lt;&gt;"Starfsbundið",AU24="",AU$8="",AU$7=""),"",ROUND(AU24/AU$8*AU$7*KVARDI,2))</f>
        <v/>
      </c>
      <c r="AW24" s="39"/>
      <c r="AX24" s="40" t="str">
        <f aca="false">IF(OR(INDEX(Undirviðmið!$G$6:$G$105,(COLUMN()-7-1)/2+1)&lt;&gt;"Starfsbundið",AW24="",AW$8="",AW$7=""),"",ROUND(AW24/AW$8*AW$7*KVARDI,2))</f>
        <v/>
      </c>
      <c r="AY24" s="39"/>
      <c r="AZ24" s="40" t="str">
        <f aca="false">IF(OR(INDEX(Undirviðmið!$G$6:$G$105,(COLUMN()-7-1)/2+1)&lt;&gt;"Starfsbundið",AY24="",AY$8="",AY$7=""),"",ROUND(AY24/AY$8*AY$7*KVARDI,2))</f>
        <v/>
      </c>
      <c r="BA24" s="39"/>
      <c r="BB24" s="40" t="str">
        <f aca="false">IF(OR(INDEX(Undirviðmið!$G$6:$G$105,(COLUMN()-7-1)/2+1)&lt;&gt;"Starfsbundið",BA24="",BA$8="",BA$7=""),"",ROUND(BA24/BA$8*BA$7*KVARDI,2))</f>
        <v/>
      </c>
      <c r="BC24" s="39"/>
      <c r="BD24" s="40" t="str">
        <f aca="false">IF(OR(INDEX(Undirviðmið!$G$6:$G$105,(COLUMN()-7-1)/2+1)&lt;&gt;"Starfsbundið",BC24="",BC$8="",BC$7=""),"",ROUND(BC24/BC$8*BC$7*KVARDI,2))</f>
        <v/>
      </c>
      <c r="BE24" s="39"/>
      <c r="BF24" s="40" t="str">
        <f aca="false">IF(OR(INDEX(Undirviðmið!$G$6:$G$105,(COLUMN()-7-1)/2+1)&lt;&gt;"Starfsbundið",BE24="",BE$8="",BE$7=""),"",ROUND(BE24/BE$8*BE$7*KVARDI,2))</f>
        <v/>
      </c>
      <c r="BG24" s="39"/>
      <c r="BH24" s="40" t="str">
        <f aca="false">IF(OR(INDEX(Undirviðmið!$G$6:$G$105,(COLUMN()-7-1)/2+1)&lt;&gt;"Starfsbundið",BG24="",BG$8="",BG$7=""),"",ROUND(BG24/BG$8*BG$7*KVARDI,2))</f>
        <v/>
      </c>
      <c r="BI24" s="39"/>
      <c r="BJ24" s="40" t="str">
        <f aca="false">IF(OR(INDEX(Undirviðmið!$G$6:$G$105,(COLUMN()-7-1)/2+1)&lt;&gt;"Starfsbundið",BI24="",BI$8="",BI$7=""),"",ROUND(BI24/BI$8*BI$7*KVARDI,2))</f>
        <v/>
      </c>
      <c r="BK24" s="39"/>
      <c r="BL24" s="40" t="str">
        <f aca="false">IF(OR(INDEX(Undirviðmið!$G$6:$G$105,(COLUMN()-7-1)/2+1)&lt;&gt;"Starfsbundið",BK24="",BK$8="",BK$7=""),"",ROUND(BK24/BK$8*BK$7*KVARDI,2))</f>
        <v/>
      </c>
      <c r="BM24" s="39"/>
      <c r="BN24" s="40" t="str">
        <f aca="false">IF(OR(INDEX(Undirviðmið!$G$6:$G$105,(COLUMN()-7-1)/2+1)&lt;&gt;"Starfsbundið",BM24="",BM$8="",BM$7=""),"",ROUND(BM24/BM$8*BM$7*KVARDI,2))</f>
        <v/>
      </c>
      <c r="BO24" s="39"/>
      <c r="BP24" s="40" t="str">
        <f aca="false">IF(OR(INDEX(Undirviðmið!$G$6:$G$105,(COLUMN()-7-1)/2+1)&lt;&gt;"Starfsbundið",BO24="",BO$8="",BO$7=""),"",ROUND(BO24/BO$8*BO$7*KVARDI,2))</f>
        <v/>
      </c>
      <c r="BQ24" s="39"/>
      <c r="BR24" s="40" t="str">
        <f aca="false">IF(OR(INDEX(Undirviðmið!$G$6:$G$105,(COLUMN()-7-1)/2+1)&lt;&gt;"Starfsbundið",BQ24="",BQ$8="",BQ$7=""),"",ROUND(BQ24/BQ$8*BQ$7*KVARDI,2))</f>
        <v/>
      </c>
      <c r="BS24" s="39"/>
      <c r="BT24" s="40" t="str">
        <f aca="false">IF(OR(INDEX(Undirviðmið!$G$6:$G$105,(COLUMN()-7-1)/2+1)&lt;&gt;"Starfsbundið",BS24="",BS$8="",BS$7=""),"",ROUND(BS24/BS$8*BS$7*KVARDI,2))</f>
        <v/>
      </c>
      <c r="BU24" s="39"/>
      <c r="BV24" s="40" t="str">
        <f aca="false">IF(OR(INDEX(Undirviðmið!$G$6:$G$105,(COLUMN()-7-1)/2+1)&lt;&gt;"Starfsbundið",BU24="",BU$8="",BU$7=""),"",ROUND(BU24/BU$8*BU$7*KVARDI,2))</f>
        <v/>
      </c>
      <c r="BW24" s="39"/>
      <c r="BX24" s="40" t="str">
        <f aca="false">IF(OR(INDEX(Undirviðmið!$G$6:$G$105,(COLUMN()-7-1)/2+1)&lt;&gt;"Starfsbundið",BW24="",BW$8="",BW$7=""),"",ROUND(BW24/BW$8*BW$7*KVARDI,2))</f>
        <v/>
      </c>
      <c r="BY24" s="39"/>
      <c r="BZ24" s="40" t="str">
        <f aca="false">IF(OR(INDEX(Undirviðmið!$G$6:$G$105,(COLUMN()-7-1)/2+1)&lt;&gt;"Starfsbundið",BY24="",BY$8="",BY$7=""),"",ROUND(BY24/BY$8*BY$7*KVARDI,2))</f>
        <v/>
      </c>
      <c r="CA24" s="39"/>
      <c r="CB24" s="40" t="str">
        <f aca="false">IF(OR(INDEX(Undirviðmið!$G$6:$G$105,(COLUMN()-7-1)/2+1)&lt;&gt;"Starfsbundið",CA24="",CA$8="",CA$7=""),"",ROUND(CA24/CA$8*CA$7*KVARDI,2))</f>
        <v/>
      </c>
      <c r="CC24" s="39"/>
      <c r="CD24" s="40" t="str">
        <f aca="false">IF(OR(INDEX(Undirviðmið!$G$6:$G$105,(COLUMN()-7-1)/2+1)&lt;&gt;"Starfsbundið",CC24="",CC$8="",CC$7=""),"",ROUND(CC24/CC$8*CC$7*KVARDI,2))</f>
        <v/>
      </c>
      <c r="CE24" s="39"/>
      <c r="CF24" s="40" t="str">
        <f aca="false">IF(OR(INDEX(Undirviðmið!$G$6:$G$105,(COLUMN()-7-1)/2+1)&lt;&gt;"Starfsbundið",CE24="",CE$8="",CE$7=""),"",ROUND(CE24/CE$8*CE$7*KVARDI,2))</f>
        <v/>
      </c>
      <c r="CG24" s="39"/>
      <c r="CH24" s="40" t="str">
        <f aca="false">IF(OR(INDEX(Undirviðmið!$G$6:$G$105,(COLUMN()-7-1)/2+1)&lt;&gt;"Starfsbundið",CG24="",CG$8="",CG$7=""),"",ROUND(CG24/CG$8*CG$7*KVARDI,2))</f>
        <v/>
      </c>
      <c r="CI24" s="39"/>
      <c r="CJ24" s="40" t="str">
        <f aca="false">IF(OR(INDEX(Undirviðmið!$G$6:$G$105,(COLUMN()-7-1)/2+1)&lt;&gt;"Starfsbundið",CI24="",CI$8="",CI$7=""),"",ROUND(CI24/CI$8*CI$7*KVARDI,2))</f>
        <v/>
      </c>
      <c r="CK24" s="39"/>
      <c r="CL24" s="40" t="str">
        <f aca="false">IF(OR(INDEX(Undirviðmið!$G$6:$G$105,(COLUMN()-7-1)/2+1)&lt;&gt;"Starfsbundið",CK24="",CK$8="",CK$7=""),"",ROUND(CK24/CK$8*CK$7*KVARDI,2))</f>
        <v/>
      </c>
      <c r="CM24" s="39"/>
      <c r="CN24" s="40" t="str">
        <f aca="false">IF(OR(INDEX(Undirviðmið!$G$6:$G$105,(COLUMN()-7-1)/2+1)&lt;&gt;"Starfsbundið",CM24="",CM$8="",CM$7=""),"",ROUND(CM24/CM$8*CM$7*KVARDI,2))</f>
        <v/>
      </c>
      <c r="CO24" s="39"/>
      <c r="CP24" s="40" t="str">
        <f aca="false">IF(OR(INDEX(Undirviðmið!$G$6:$G$105,(COLUMN()-7-1)/2+1)&lt;&gt;"Starfsbundið",CO24="",CO$8="",CO$7=""),"",ROUND(CO24/CO$8*CO$7*KVARDI,2))</f>
        <v/>
      </c>
      <c r="CQ24" s="39"/>
      <c r="CR24" s="40" t="str">
        <f aca="false">IF(OR(INDEX(Undirviðmið!$G$6:$G$105,(COLUMN()-7-1)/2+1)&lt;&gt;"Starfsbundið",CQ24="",CQ$8="",CQ$7=""),"",ROUND(CQ24/CQ$8*CQ$7*KVARDI,2))</f>
        <v/>
      </c>
      <c r="CS24" s="39"/>
      <c r="CT24" s="40" t="str">
        <f aca="false">IF(OR(INDEX(Undirviðmið!$G$6:$G$105,(COLUMN()-7-1)/2+1)&lt;&gt;"Starfsbundið",CS24="",CS$8="",CS$7=""),"",ROUND(CS24/CS$8*CS$7*KVARDI,2))</f>
        <v/>
      </c>
      <c r="CU24" s="39"/>
      <c r="CV24" s="40" t="str">
        <f aca="false">IF(OR(INDEX(Undirviðmið!$G$6:$G$105,(COLUMN()-7-1)/2+1)&lt;&gt;"Starfsbundið",CU24="",CU$8="",CU$7=""),"",ROUND(CU24/CU$8*CU$7*KVARDI,2))</f>
        <v/>
      </c>
      <c r="CW24" s="39"/>
      <c r="CX24" s="40" t="str">
        <f aca="false">IF(OR(INDEX(Undirviðmið!$G$6:$G$105,(COLUMN()-7-1)/2+1)&lt;&gt;"Starfsbundið",CW24="",CW$8="",CW$7=""),"",ROUND(CW24/CW$8*CW$7*KVARDI,2))</f>
        <v/>
      </c>
      <c r="CY24" s="39"/>
      <c r="CZ24" s="40" t="str">
        <f aca="false">IF(OR(INDEX(Undirviðmið!$G$6:$G$105,(COLUMN()-7-1)/2+1)&lt;&gt;"Starfsbundið",CY24="",CY$8="",CY$7=""),"",ROUND(CY24/CY$8*CY$7*KVARDI,2))</f>
        <v/>
      </c>
      <c r="DA24" s="39"/>
      <c r="DB24" s="40" t="str">
        <f aca="false">IF(OR(INDEX(Undirviðmið!$G$6:$G$105,(COLUMN()-7-1)/2+1)&lt;&gt;"Starfsbundið",DA24="",DA$8="",DA$7=""),"",ROUND(DA24/DA$8*DA$7*KVARDI,2))</f>
        <v/>
      </c>
      <c r="DC24" s="39"/>
      <c r="DD24" s="40" t="str">
        <f aca="false">IF(OR(INDEX(Undirviðmið!$G$6:$G$105,(COLUMN()-7-1)/2+1)&lt;&gt;"Starfsbundið",DC24="",DC$8="",DC$7=""),"",ROUND(DC24/DC$8*DC$7*KVARDI,2))</f>
        <v/>
      </c>
      <c r="DE24" s="39"/>
      <c r="DF24" s="40" t="str">
        <f aca="false">IF(OR(INDEX(Undirviðmið!$G$6:$G$105,(COLUMN()-7-1)/2+1)&lt;&gt;"Starfsbundið",DE24="",DE$8="",DE$7=""),"",ROUND(DE24/DE$8*DE$7*KVARDI,2))</f>
        <v/>
      </c>
      <c r="DG24" s="39"/>
      <c r="DH24" s="40" t="str">
        <f aca="false">IF(OR(INDEX(Undirviðmið!$G$6:$G$105,(COLUMN()-7-1)/2+1)&lt;&gt;"Starfsbundið",DG24="",DG$8="",DG$7=""),"",ROUND(DG24/DG$8*DG$7*KVARDI,2))</f>
        <v/>
      </c>
      <c r="DI24" s="39"/>
      <c r="DJ24" s="40" t="str">
        <f aca="false">IF(OR(INDEX(Undirviðmið!$G$6:$G$105,(COLUMN()-7-1)/2+1)&lt;&gt;"Starfsbundið",DI24="",DI$8="",DI$7=""),"",ROUND(DI24/DI$8*DI$7*KVARDI,2))</f>
        <v/>
      </c>
      <c r="DK24" s="39"/>
      <c r="DL24" s="40" t="str">
        <f aca="false">IF(OR(INDEX(Undirviðmið!$G$6:$G$105,(COLUMN()-7-1)/2+1)&lt;&gt;"Starfsbundið",DK24="",DK$8="",DK$7=""),"",ROUND(DK24/DK$8*DK$7*KVARDI,2))</f>
        <v/>
      </c>
      <c r="DM24" s="39"/>
      <c r="DN24" s="40" t="str">
        <f aca="false">IF(OR(INDEX(Undirviðmið!$G$6:$G$105,(COLUMN()-7-1)/2+1)&lt;&gt;"Starfsbundið",DM24="",DM$8="",DM$7=""),"",ROUND(DM24/DM$8*DM$7*KVARDI,2))</f>
        <v/>
      </c>
      <c r="DO24" s="39"/>
      <c r="DP24" s="40" t="str">
        <f aca="false">IF(OR(INDEX(Undirviðmið!$G$6:$G$105,(COLUMN()-7-1)/2+1)&lt;&gt;"Starfsbundið",DO24="",DO$8="",DO$7=""),"",ROUND(DO24/DO$8*DO$7*KVARDI,2))</f>
        <v/>
      </c>
      <c r="DQ24" s="39"/>
      <c r="DR24" s="40" t="str">
        <f aca="false">IF(OR(INDEX(Undirviðmið!$G$6:$G$105,(COLUMN()-7-1)/2+1)&lt;&gt;"Starfsbundið",DQ24="",DQ$8="",DQ$7=""),"",ROUND(DQ24/DQ$8*DQ$7*KVARDI,2))</f>
        <v/>
      </c>
      <c r="DS24" s="39"/>
      <c r="DT24" s="40" t="str">
        <f aca="false">IF(OR(INDEX(Undirviðmið!$G$6:$G$105,(COLUMN()-7-1)/2+1)&lt;&gt;"Starfsbundið",DS24="",DS$8="",DS$7=""),"",ROUND(DS24/DS$8*DS$7*KVARDI,2))</f>
        <v/>
      </c>
      <c r="DU24" s="39"/>
      <c r="DV24" s="40" t="str">
        <f aca="false">IF(OR(INDEX(Undirviðmið!$G$6:$G$105,(COLUMN()-7-1)/2+1)&lt;&gt;"Starfsbundið",DU24="",DU$8="",DU$7=""),"",ROUND(DU24/DU$8*DU$7*KVARDI,2))</f>
        <v/>
      </c>
      <c r="DW24" s="39"/>
      <c r="DX24" s="40" t="str">
        <f aca="false">IF(OR(INDEX(Undirviðmið!$G$6:$G$105,(COLUMN()-7-1)/2+1)&lt;&gt;"Starfsbundið",DW24="",DW$8="",DW$7=""),"",ROUND(DW24/DW$8*DW$7*KVARDI,2))</f>
        <v/>
      </c>
      <c r="DY24" s="39"/>
      <c r="DZ24" s="40" t="str">
        <f aca="false">IF(OR(INDEX(Undirviðmið!$G$6:$G$105,(COLUMN()-7-1)/2+1)&lt;&gt;"Starfsbundið",DY24="",DY$8="",DY$7=""),"",ROUND(DY24/DY$8*DY$7*KVARDI,2))</f>
        <v/>
      </c>
      <c r="EA24" s="39"/>
      <c r="EB24" s="40" t="str">
        <f aca="false">IF(OR(INDEX(Undirviðmið!$G$6:$G$105,(COLUMN()-7-1)/2+1)&lt;&gt;"Starfsbundið",EA24="",EA$8="",EA$7=""),"",ROUND(EA24/EA$8*EA$7*KVARDI,2))</f>
        <v/>
      </c>
      <c r="EC24" s="39"/>
      <c r="ED24" s="40" t="str">
        <f aca="false">IF(OR(INDEX(Undirviðmið!$G$6:$G$105,(COLUMN()-7-1)/2+1)&lt;&gt;"Starfsbundið",EC24="",EC$8="",EC$7=""),"",ROUND(EC24/EC$8*EC$7*KVARDI,2))</f>
        <v/>
      </c>
      <c r="EE24" s="39"/>
      <c r="EF24" s="40" t="str">
        <f aca="false">IF(OR(INDEX(Undirviðmið!$G$6:$G$105,(COLUMN()-7-1)/2+1)&lt;&gt;"Starfsbundið",EE24="",EE$8="",EE$7=""),"",ROUND(EE24/EE$8*EE$7*KVARDI,2))</f>
        <v/>
      </c>
      <c r="EG24" s="39"/>
      <c r="EH24" s="40" t="str">
        <f aca="false">IF(OR(INDEX(Undirviðmið!$G$6:$G$105,(COLUMN()-7-1)/2+1)&lt;&gt;"Starfsbundið",EG24="",EG$8="",EG$7=""),"",ROUND(EG24/EG$8*EG$7*KVARDI,2))</f>
        <v/>
      </c>
      <c r="EI24" s="39"/>
      <c r="EJ24" s="40" t="str">
        <f aca="false">IF(OR(INDEX(Undirviðmið!$G$6:$G$105,(COLUMN()-7-1)/2+1)&lt;&gt;"Starfsbundið",EI24="",EI$8="",EI$7=""),"",ROUND(EI24/EI$8*EI$7*KVARDI,2))</f>
        <v/>
      </c>
      <c r="EK24" s="39"/>
      <c r="EL24" s="40" t="str">
        <f aca="false">IF(OR(INDEX(Undirviðmið!$G$6:$G$105,(COLUMN()-7-1)/2+1)&lt;&gt;"Starfsbundið",EK24="",EK$8="",EK$7=""),"",ROUND(EK24/EK$8*EK$7*KVARDI,2))</f>
        <v/>
      </c>
      <c r="EM24" s="39"/>
      <c r="EN24" s="40" t="str">
        <f aca="false">IF(OR(INDEX(Undirviðmið!$G$6:$G$105,(COLUMN()-7-1)/2+1)&lt;&gt;"Starfsbundið",EM24="",EM$8="",EM$7=""),"",ROUND(EM24/EM$8*EM$7*KVARDI,2))</f>
        <v/>
      </c>
      <c r="EO24" s="39"/>
      <c r="EP24" s="40" t="str">
        <f aca="false">IF(OR(INDEX(Undirviðmið!$G$6:$G$105,(COLUMN()-7-1)/2+1)&lt;&gt;"Starfsbundið",EO24="",EO$8="",EO$7=""),"",ROUND(EO24/EO$8*EO$7*KVARDI,2))</f>
        <v/>
      </c>
      <c r="EQ24" s="39"/>
      <c r="ER24" s="40" t="str">
        <f aca="false">IF(OR(INDEX(Undirviðmið!$G$6:$G$105,(COLUMN()-7-1)/2+1)&lt;&gt;"Starfsbundið",EQ24="",EQ$8="",EQ$7=""),"",ROUND(EQ24/EQ$8*EQ$7*KVARDI,2))</f>
        <v/>
      </c>
      <c r="ES24" s="39"/>
      <c r="ET24" s="40" t="str">
        <f aca="false">IF(OR(INDEX(Undirviðmið!$G$6:$G$105,(COLUMN()-7-1)/2+1)&lt;&gt;"Starfsbundið",ES24="",ES$8="",ES$7=""),"",ROUND(ES24/ES$8*ES$7*KVARDI,2))</f>
        <v/>
      </c>
      <c r="EU24" s="39"/>
      <c r="EV24" s="40" t="str">
        <f aca="false">IF(OR(INDEX(Undirviðmið!$G$6:$G$105,(COLUMN()-7-1)/2+1)&lt;&gt;"Starfsbundið",EU24="",EU$8="",EU$7=""),"",ROUND(EU24/EU$8*EU$7*KVARDI,2))</f>
        <v/>
      </c>
      <c r="EW24" s="39"/>
      <c r="EX24" s="40" t="str">
        <f aca="false">IF(OR(INDEX(Undirviðmið!$G$6:$G$105,(COLUMN()-7-1)/2+1)&lt;&gt;"Starfsbundið",EW24="",EW$8="",EW$7=""),"",ROUND(EW24/EW$8*EW$7*KVARDI,2))</f>
        <v/>
      </c>
      <c r="EY24" s="39"/>
      <c r="EZ24" s="40" t="str">
        <f aca="false">IF(OR(INDEX(Undirviðmið!$G$6:$G$105,(COLUMN()-7-1)/2+1)&lt;&gt;"Starfsbundið",EY24="",EY$8="",EY$7=""),"",ROUND(EY24/EY$8*EY$7*KVARDI,2))</f>
        <v/>
      </c>
      <c r="FA24" s="39"/>
      <c r="FB24" s="40" t="str">
        <f aca="false">IF(OR(INDEX(Undirviðmið!$G$6:$G$105,(COLUMN()-7-1)/2+1)&lt;&gt;"Starfsbundið",FA24="",FA$8="",FA$7=""),"",ROUND(FA24/FA$8*FA$7*KVARDI,2))</f>
        <v/>
      </c>
      <c r="FC24" s="39"/>
      <c r="FD24" s="40" t="str">
        <f aca="false">IF(OR(INDEX(Undirviðmið!$G$6:$G$105,(COLUMN()-7-1)/2+1)&lt;&gt;"Starfsbundið",FC24="",FC$8="",FC$7=""),"",ROUND(FC24/FC$8*FC$7*KVARDI,2))</f>
        <v/>
      </c>
      <c r="FE24" s="39"/>
      <c r="FF24" s="40" t="str">
        <f aca="false">IF(OR(INDEX(Undirviðmið!$G$6:$G$105,(COLUMN()-7-1)/2+1)&lt;&gt;"Starfsbundið",FE24="",FE$8="",FE$7=""),"",ROUND(FE24/FE$8*FE$7*KVARDI,2))</f>
        <v/>
      </c>
      <c r="FG24" s="39"/>
      <c r="FH24" s="40" t="str">
        <f aca="false">IF(OR(INDEX(Undirviðmið!$G$6:$G$105,(COLUMN()-7-1)/2+1)&lt;&gt;"Starfsbundið",FG24="",FG$8="",FG$7=""),"",ROUND(FG24/FG$8*FG$7*KVARDI,2))</f>
        <v/>
      </c>
      <c r="FI24" s="39"/>
      <c r="FJ24" s="40" t="str">
        <f aca="false">IF(OR(INDEX(Undirviðmið!$G$6:$G$105,(COLUMN()-7-1)/2+1)&lt;&gt;"Starfsbundið",FI24="",FI$8="",FI$7=""),"",ROUND(FI24/FI$8*FI$7*KVARDI,2))</f>
        <v/>
      </c>
      <c r="FK24" s="39"/>
      <c r="FL24" s="40" t="str">
        <f aca="false">IF(OR(INDEX(Undirviðmið!$G$6:$G$105,(COLUMN()-7-1)/2+1)&lt;&gt;"Starfsbundið",FK24="",FK$8="",FK$7=""),"",ROUND(FK24/FK$8*FK$7*KVARDI,2))</f>
        <v/>
      </c>
      <c r="FM24" s="39"/>
      <c r="FN24" s="40" t="str">
        <f aca="false">IF(OR(INDEX(Undirviðmið!$G$6:$G$105,(COLUMN()-7-1)/2+1)&lt;&gt;"Starfsbundið",FM24="",FM$8="",FM$7=""),"",ROUND(FM24/FM$8*FM$7*KVARDI,2))</f>
        <v/>
      </c>
      <c r="FO24" s="39"/>
      <c r="FP24" s="40" t="str">
        <f aca="false">IF(OR(INDEX(Undirviðmið!$G$6:$G$105,(COLUMN()-7-1)/2+1)&lt;&gt;"Starfsbundið",FO24="",FO$8="",FO$7=""),"",ROUND(FO24/FO$8*FO$7*KVARDI,2))</f>
        <v/>
      </c>
      <c r="FQ24" s="39"/>
      <c r="FR24" s="40" t="str">
        <f aca="false">IF(OR(INDEX(Undirviðmið!$G$6:$G$105,(COLUMN()-7-1)/2+1)&lt;&gt;"Starfsbundið",FQ24="",FQ$8="",FQ$7=""),"",ROUND(FQ24/FQ$8*FQ$7*KVARDI,2))</f>
        <v/>
      </c>
      <c r="FS24" s="39"/>
      <c r="FT24" s="40" t="str">
        <f aca="false">IF(OR(INDEX(Undirviðmið!$G$6:$G$105,(COLUMN()-7-1)/2+1)&lt;&gt;"Starfsbundið",FS24="",FS$8="",FS$7=""),"",ROUND(FS24/FS$8*FS$7*KVARDI,2))</f>
        <v/>
      </c>
      <c r="FU24" s="39"/>
      <c r="FV24" s="40" t="str">
        <f aca="false">IF(OR(INDEX(Undirviðmið!$G$6:$G$105,(COLUMN()-7-1)/2+1)&lt;&gt;"Starfsbundið",FU24="",FU$8="",FU$7=""),"",ROUND(FU24/FU$8*FU$7*KVARDI,2))</f>
        <v/>
      </c>
      <c r="FW24" s="39"/>
      <c r="FX24" s="40" t="str">
        <f aca="false">IF(OR(INDEX(Undirviðmið!$G$6:$G$105,(COLUMN()-7-1)/2+1)&lt;&gt;"Starfsbundið",FW24="",FW$8="",FW$7=""),"",ROUND(FW24/FW$8*FW$7*KVARDI,2))</f>
        <v/>
      </c>
      <c r="FY24" s="39"/>
      <c r="FZ24" s="40" t="str">
        <f aca="false">IF(OR(INDEX(Undirviðmið!$G$6:$G$105,(COLUMN()-7-1)/2+1)&lt;&gt;"Starfsbundið",FY24="",FY$8="",FY$7=""),"",ROUND(FY24/FY$8*FY$7*KVARDI,2))</f>
        <v/>
      </c>
      <c r="GA24" s="39"/>
      <c r="GB24" s="40" t="str">
        <f aca="false">IF(OR(INDEX(Undirviðmið!$G$6:$G$105,(COLUMN()-7-1)/2+1)&lt;&gt;"Starfsbundið",GA24="",GA$8="",GA$7=""),"",ROUND(GA24/GA$8*GA$7*KVARDI,2))</f>
        <v/>
      </c>
      <c r="GC24" s="39"/>
      <c r="GD24" s="40" t="str">
        <f aca="false">IF(OR(INDEX(Undirviðmið!$G$6:$G$105,(COLUMN()-7-1)/2+1)&lt;&gt;"Starfsbundið",GC24="",GC$8="",GC$7=""),"",ROUND(GC24/GC$8*GC$7*KVARDI,2))</f>
        <v/>
      </c>
      <c r="GE24" s="39"/>
      <c r="GF24" s="40" t="str">
        <f aca="false">IF(OR(INDEX(Undirviðmið!$G$6:$G$105,(COLUMN()-7-1)/2+1)&lt;&gt;"Starfsbundið",GE24="",GE$8="",GE$7=""),"",ROUND(GE24/GE$8*GE$7*KVARDI,2))</f>
        <v/>
      </c>
      <c r="GG24" s="39"/>
      <c r="GH24" s="40" t="str">
        <f aca="false">IF(OR(INDEX(Undirviðmið!$G$6:$G$105,(COLUMN()-7-1)/2+1)&lt;&gt;"Starfsbundið",GG24="",GG$8="",GG$7=""),"",ROUND(GG24/GG$8*GG$7*KVARDI,2))</f>
        <v/>
      </c>
      <c r="GI24" s="39"/>
      <c r="GJ24" s="40" t="str">
        <f aca="false">IF(OR(INDEX(Undirviðmið!$G$6:$G$105,(COLUMN()-7-1)/2+1)&lt;&gt;"Starfsbundið",GI24="",GI$8="",GI$7=""),"",ROUND(GI24/GI$8*GI$7*KVARDI,2))</f>
        <v/>
      </c>
      <c r="GK24" s="39"/>
      <c r="GL24" s="40" t="str">
        <f aca="false">IF(OR(INDEX(Undirviðmið!$G$6:$G$105,(COLUMN()-7-1)/2+1)&lt;&gt;"Starfsbundið",GK24="",GK$8="",GK$7=""),"",ROUND(GK24/GK$8*GK$7*KVARDI,2))</f>
        <v/>
      </c>
      <c r="GM24" s="39"/>
      <c r="GN24" s="40" t="str">
        <f aca="false">IF(OR(INDEX(Undirviðmið!$G$6:$G$105,(COLUMN()-7-1)/2+1)&lt;&gt;"Starfsbundið",GM24="",GM$8="",GM$7=""),"",ROUND(GM24/GM$8*GM$7*KVARDI,2))</f>
        <v/>
      </c>
      <c r="GO24" s="39"/>
      <c r="GP24" s="40" t="str">
        <f aca="false">IF(OR(INDEX(Undirviðmið!$G$6:$G$105,(COLUMN()-7-1)/2+1)&lt;&gt;"Starfsbundið",GO24="",GO$8="",GO$7=""),"",ROUND(GO24/GO$8*GO$7*KVARDI,2))</f>
        <v/>
      </c>
      <c r="GQ24" s="39"/>
      <c r="GR24" s="40" t="str">
        <f aca="false">IF(OR(INDEX(Undirviðmið!$G$6:$G$105,(COLUMN()-7-1)/2+1)&lt;&gt;"Starfsbundið",GQ24="",GQ$8="",GQ$7=""),"",ROUND(GQ24/GQ$8*GQ$7*KVARDI,2))</f>
        <v/>
      </c>
      <c r="GS24" s="39"/>
      <c r="GT24" s="40" t="str">
        <f aca="false">IF(OR(INDEX(Undirviðmið!$G$6:$G$105,(COLUMN()-7-1)/2+1)&lt;&gt;"Starfsbundið",GS24="",GS$8="",GS$7=""),"",ROUND(GS24/GS$8*GS$7*KVARDI,2))</f>
        <v/>
      </c>
      <c r="GU24" s="39"/>
      <c r="GV24" s="40" t="str">
        <f aca="false">IF(OR(INDEX(Undirviðmið!$G$6:$G$105,(COLUMN()-7-1)/2+1)&lt;&gt;"Starfsbundið",GU24="",GU$8="",GU$7=""),"",ROUND(GU24/GU$8*GU$7*KVARDI,2))</f>
        <v/>
      </c>
      <c r="GW24" s="39"/>
      <c r="GX24" s="40" t="str">
        <f aca="false">IF(OR(INDEX(Undirviðmið!$G$6:$G$105,(COLUMN()-7-1)/2+1)&lt;&gt;"Starfsbundið",GW24="",GW$8="",GW$7=""),"",ROUND(GW24/GW$8*GW$7*KVARDI,2))</f>
        <v/>
      </c>
      <c r="GZ24" s="20"/>
    </row>
    <row r="25" customFormat="false" ht="15" hidden="true" customHeight="true" outlineLevel="1" collapsed="false">
      <c r="B25" s="37" t="str">
        <f aca="false" t="array" ref="B25:B25">IFERROR(INDEX(Starfsmenn!$C$6:$C$10005,MATCH(0,COUNTIF($B$11:B24,Starfsmenn!$C$6:$C$10005)+(Starfsmenn!$C$6:$C$10005=""),0)),"")</f>
        <v/>
      </c>
      <c r="C25" s="38" t="n">
        <f aca="false">IFERROR(SUMIF($G$10:$GX$10,"Stig",$G25:$GX25),0)</f>
        <v>0</v>
      </c>
      <c r="G25" s="39"/>
      <c r="H25" s="40" t="str">
        <f aca="false">IF(OR(INDEX(Undirviðmið!$G$6:$G$105,(COLUMN()-7-1)/2+1)&lt;&gt;"Starfsbundið",G25="",G$8="",G$7=""),"",ROUND(G25/G$8*G$7*KVARDI,2))</f>
        <v/>
      </c>
      <c r="I25" s="39"/>
      <c r="J25" s="40" t="str">
        <f aca="false">IF(OR(INDEX(Undirviðmið!$G$6:$G$105,(COLUMN()-7-1)/2+1)&lt;&gt;"Starfsbundið",I25="",I$8="",I$7=""),"",ROUND(I25/I$8*I$7*KVARDI,2))</f>
        <v/>
      </c>
      <c r="K25" s="39"/>
      <c r="L25" s="40" t="str">
        <f aca="false">IF(OR(INDEX(Undirviðmið!$G$6:$G$105,(COLUMN()-7-1)/2+1)&lt;&gt;"Starfsbundið",K25="",K$8="",K$7=""),"",ROUND(K25/K$8*K$7*KVARDI,2))</f>
        <v/>
      </c>
      <c r="M25" s="39"/>
      <c r="N25" s="40" t="str">
        <f aca="false">IF(OR(INDEX(Undirviðmið!$G$6:$G$105,(COLUMN()-7-1)/2+1)&lt;&gt;"Starfsbundið",M25="",M$8="",M$7=""),"",ROUND(M25/M$8*M$7*KVARDI,2))</f>
        <v/>
      </c>
      <c r="O25" s="39"/>
      <c r="P25" s="40" t="str">
        <f aca="false">IF(OR(INDEX(Undirviðmið!$G$6:$G$105,(COLUMN()-7-1)/2+1)&lt;&gt;"Starfsbundið",O25="",O$8="",O$7=""),"",ROUND(O25/O$8*O$7*KVARDI,2))</f>
        <v/>
      </c>
      <c r="Q25" s="39"/>
      <c r="R25" s="40" t="str">
        <f aca="false">IF(OR(INDEX(Undirviðmið!$G$6:$G$105,(COLUMN()-7-1)/2+1)&lt;&gt;"Starfsbundið",Q25="",Q$8="",Q$7=""),"",ROUND(Q25/Q$8*Q$7*KVARDI,2))</f>
        <v/>
      </c>
      <c r="S25" s="39"/>
      <c r="T25" s="40" t="str">
        <f aca="false">IF(OR(INDEX(Undirviðmið!$G$6:$G$105,(COLUMN()-7-1)/2+1)&lt;&gt;"Starfsbundið",S25="",S$8="",S$7=""),"",ROUND(S25/S$8*S$7*KVARDI,2))</f>
        <v/>
      </c>
      <c r="U25" s="39"/>
      <c r="V25" s="40" t="str">
        <f aca="false">IF(OR(INDEX(Undirviðmið!$G$6:$G$105,(COLUMN()-7-1)/2+1)&lt;&gt;"Starfsbundið",U25="",U$8="",U$7=""),"",ROUND(U25/U$8*U$7*KVARDI,2))</f>
        <v/>
      </c>
      <c r="W25" s="39"/>
      <c r="X25" s="40" t="str">
        <f aca="false">IF(OR(INDEX(Undirviðmið!$G$6:$G$105,(COLUMN()-7-1)/2+1)&lt;&gt;"Starfsbundið",W25="",W$8="",W$7=""),"",ROUND(W25/W$8*W$7*KVARDI,2))</f>
        <v/>
      </c>
      <c r="Y25" s="39"/>
      <c r="Z25" s="40" t="str">
        <f aca="false">IF(OR(INDEX(Undirviðmið!$G$6:$G$105,(COLUMN()-7-1)/2+1)&lt;&gt;"Starfsbundið",Y25="",Y$8="",Y$7=""),"",ROUND(Y25/Y$8*Y$7*KVARDI,2))</f>
        <v/>
      </c>
      <c r="AA25" s="39"/>
      <c r="AB25" s="40" t="str">
        <f aca="false">IF(OR(INDEX(Undirviðmið!$G$6:$G$105,(COLUMN()-7-1)/2+1)&lt;&gt;"Starfsbundið",AA25="",AA$8="",AA$7=""),"",ROUND(AA25/AA$8*AA$7*KVARDI,2))</f>
        <v/>
      </c>
      <c r="AC25" s="39"/>
      <c r="AD25" s="40" t="str">
        <f aca="false">IF(OR(INDEX(Undirviðmið!$G$6:$G$105,(COLUMN()-7-1)/2+1)&lt;&gt;"Starfsbundið",AC25="",AC$8="",AC$7=""),"",ROUND(AC25/AC$8*AC$7*KVARDI,2))</f>
        <v/>
      </c>
      <c r="AE25" s="39"/>
      <c r="AF25" s="40" t="str">
        <f aca="false">IF(OR(INDEX(Undirviðmið!$G$6:$G$105,(COLUMN()-7-1)/2+1)&lt;&gt;"Starfsbundið",AE25="",AE$8="",AE$7=""),"",ROUND(AE25/AE$8*AE$7*KVARDI,2))</f>
        <v/>
      </c>
      <c r="AG25" s="39"/>
      <c r="AH25" s="40" t="str">
        <f aca="false">IF(OR(INDEX(Undirviðmið!$G$6:$G$105,(COLUMN()-7-1)/2+1)&lt;&gt;"Starfsbundið",AG25="",AG$8="",AG$7=""),"",ROUND(AG25/AG$8*AG$7*KVARDI,2))</f>
        <v/>
      </c>
      <c r="AI25" s="39"/>
      <c r="AJ25" s="40" t="str">
        <f aca="false">IF(OR(INDEX(Undirviðmið!$G$6:$G$105,(COLUMN()-7-1)/2+1)&lt;&gt;"Starfsbundið",AI25="",AI$8="",AI$7=""),"",ROUND(AI25/AI$8*AI$7*KVARDI,2))</f>
        <v/>
      </c>
      <c r="AK25" s="39"/>
      <c r="AL25" s="40" t="str">
        <f aca="false">IF(OR(INDEX(Undirviðmið!$G$6:$G$105,(COLUMN()-7-1)/2+1)&lt;&gt;"Starfsbundið",AK25="",AK$8="",AK$7=""),"",ROUND(AK25/AK$8*AK$7*KVARDI,2))</f>
        <v/>
      </c>
      <c r="AM25" s="39"/>
      <c r="AN25" s="40" t="str">
        <f aca="false">IF(OR(INDEX(Undirviðmið!$G$6:$G$105,(COLUMN()-7-1)/2+1)&lt;&gt;"Starfsbundið",AM25="",AM$8="",AM$7=""),"",ROUND(AM25/AM$8*AM$7*KVARDI,2))</f>
        <v/>
      </c>
      <c r="AO25" s="39"/>
      <c r="AP25" s="40" t="str">
        <f aca="false">IF(OR(INDEX(Undirviðmið!$G$6:$G$105,(COLUMN()-7-1)/2+1)&lt;&gt;"Starfsbundið",AO25="",AO$8="",AO$7=""),"",ROUND(AO25/AO$8*AO$7*KVARDI,2))</f>
        <v/>
      </c>
      <c r="AQ25" s="39"/>
      <c r="AR25" s="40" t="str">
        <f aca="false">IF(OR(INDEX(Undirviðmið!$G$6:$G$105,(COLUMN()-7-1)/2+1)&lt;&gt;"Starfsbundið",AQ25="",AQ$8="",AQ$7=""),"",ROUND(AQ25/AQ$8*AQ$7*KVARDI,2))</f>
        <v/>
      </c>
      <c r="AS25" s="39"/>
      <c r="AT25" s="40" t="str">
        <f aca="false">IF(OR(INDEX(Undirviðmið!$G$6:$G$105,(COLUMN()-7-1)/2+1)&lt;&gt;"Starfsbundið",AS25="",AS$8="",AS$7=""),"",ROUND(AS25/AS$8*AS$7*KVARDI,2))</f>
        <v/>
      </c>
      <c r="AU25" s="39"/>
      <c r="AV25" s="40" t="str">
        <f aca="false">IF(OR(INDEX(Undirviðmið!$G$6:$G$105,(COLUMN()-7-1)/2+1)&lt;&gt;"Starfsbundið",AU25="",AU$8="",AU$7=""),"",ROUND(AU25/AU$8*AU$7*KVARDI,2))</f>
        <v/>
      </c>
      <c r="AW25" s="39"/>
      <c r="AX25" s="40" t="str">
        <f aca="false">IF(OR(INDEX(Undirviðmið!$G$6:$G$105,(COLUMN()-7-1)/2+1)&lt;&gt;"Starfsbundið",AW25="",AW$8="",AW$7=""),"",ROUND(AW25/AW$8*AW$7*KVARDI,2))</f>
        <v/>
      </c>
      <c r="AY25" s="39"/>
      <c r="AZ25" s="40" t="str">
        <f aca="false">IF(OR(INDEX(Undirviðmið!$G$6:$G$105,(COLUMN()-7-1)/2+1)&lt;&gt;"Starfsbundið",AY25="",AY$8="",AY$7=""),"",ROUND(AY25/AY$8*AY$7*KVARDI,2))</f>
        <v/>
      </c>
      <c r="BA25" s="39"/>
      <c r="BB25" s="40" t="str">
        <f aca="false">IF(OR(INDEX(Undirviðmið!$G$6:$G$105,(COLUMN()-7-1)/2+1)&lt;&gt;"Starfsbundið",BA25="",BA$8="",BA$7=""),"",ROUND(BA25/BA$8*BA$7*KVARDI,2))</f>
        <v/>
      </c>
      <c r="BC25" s="39"/>
      <c r="BD25" s="40" t="str">
        <f aca="false">IF(OR(INDEX(Undirviðmið!$G$6:$G$105,(COLUMN()-7-1)/2+1)&lt;&gt;"Starfsbundið",BC25="",BC$8="",BC$7=""),"",ROUND(BC25/BC$8*BC$7*KVARDI,2))</f>
        <v/>
      </c>
      <c r="BE25" s="39"/>
      <c r="BF25" s="40" t="str">
        <f aca="false">IF(OR(INDEX(Undirviðmið!$G$6:$G$105,(COLUMN()-7-1)/2+1)&lt;&gt;"Starfsbundið",BE25="",BE$8="",BE$7=""),"",ROUND(BE25/BE$8*BE$7*KVARDI,2))</f>
        <v/>
      </c>
      <c r="BG25" s="39"/>
      <c r="BH25" s="40" t="str">
        <f aca="false">IF(OR(INDEX(Undirviðmið!$G$6:$G$105,(COLUMN()-7-1)/2+1)&lt;&gt;"Starfsbundið",BG25="",BG$8="",BG$7=""),"",ROUND(BG25/BG$8*BG$7*KVARDI,2))</f>
        <v/>
      </c>
      <c r="BI25" s="39"/>
      <c r="BJ25" s="40" t="str">
        <f aca="false">IF(OR(INDEX(Undirviðmið!$G$6:$G$105,(COLUMN()-7-1)/2+1)&lt;&gt;"Starfsbundið",BI25="",BI$8="",BI$7=""),"",ROUND(BI25/BI$8*BI$7*KVARDI,2))</f>
        <v/>
      </c>
      <c r="BK25" s="39"/>
      <c r="BL25" s="40" t="str">
        <f aca="false">IF(OR(INDEX(Undirviðmið!$G$6:$G$105,(COLUMN()-7-1)/2+1)&lt;&gt;"Starfsbundið",BK25="",BK$8="",BK$7=""),"",ROUND(BK25/BK$8*BK$7*KVARDI,2))</f>
        <v/>
      </c>
      <c r="BM25" s="39"/>
      <c r="BN25" s="40" t="str">
        <f aca="false">IF(OR(INDEX(Undirviðmið!$G$6:$G$105,(COLUMN()-7-1)/2+1)&lt;&gt;"Starfsbundið",BM25="",BM$8="",BM$7=""),"",ROUND(BM25/BM$8*BM$7*KVARDI,2))</f>
        <v/>
      </c>
      <c r="BO25" s="39"/>
      <c r="BP25" s="40" t="str">
        <f aca="false">IF(OR(INDEX(Undirviðmið!$G$6:$G$105,(COLUMN()-7-1)/2+1)&lt;&gt;"Starfsbundið",BO25="",BO$8="",BO$7=""),"",ROUND(BO25/BO$8*BO$7*KVARDI,2))</f>
        <v/>
      </c>
      <c r="BQ25" s="39"/>
      <c r="BR25" s="40" t="str">
        <f aca="false">IF(OR(INDEX(Undirviðmið!$G$6:$G$105,(COLUMN()-7-1)/2+1)&lt;&gt;"Starfsbundið",BQ25="",BQ$8="",BQ$7=""),"",ROUND(BQ25/BQ$8*BQ$7*KVARDI,2))</f>
        <v/>
      </c>
      <c r="BS25" s="39"/>
      <c r="BT25" s="40" t="str">
        <f aca="false">IF(OR(INDEX(Undirviðmið!$G$6:$G$105,(COLUMN()-7-1)/2+1)&lt;&gt;"Starfsbundið",BS25="",BS$8="",BS$7=""),"",ROUND(BS25/BS$8*BS$7*KVARDI,2))</f>
        <v/>
      </c>
      <c r="BU25" s="39"/>
      <c r="BV25" s="40" t="str">
        <f aca="false">IF(OR(INDEX(Undirviðmið!$G$6:$G$105,(COLUMN()-7-1)/2+1)&lt;&gt;"Starfsbundið",BU25="",BU$8="",BU$7=""),"",ROUND(BU25/BU$8*BU$7*KVARDI,2))</f>
        <v/>
      </c>
      <c r="BW25" s="39"/>
      <c r="BX25" s="40" t="str">
        <f aca="false">IF(OR(INDEX(Undirviðmið!$G$6:$G$105,(COLUMN()-7-1)/2+1)&lt;&gt;"Starfsbundið",BW25="",BW$8="",BW$7=""),"",ROUND(BW25/BW$8*BW$7*KVARDI,2))</f>
        <v/>
      </c>
      <c r="BY25" s="39"/>
      <c r="BZ25" s="40" t="str">
        <f aca="false">IF(OR(INDEX(Undirviðmið!$G$6:$G$105,(COLUMN()-7-1)/2+1)&lt;&gt;"Starfsbundið",BY25="",BY$8="",BY$7=""),"",ROUND(BY25/BY$8*BY$7*KVARDI,2))</f>
        <v/>
      </c>
      <c r="CA25" s="39"/>
      <c r="CB25" s="40" t="str">
        <f aca="false">IF(OR(INDEX(Undirviðmið!$G$6:$G$105,(COLUMN()-7-1)/2+1)&lt;&gt;"Starfsbundið",CA25="",CA$8="",CA$7=""),"",ROUND(CA25/CA$8*CA$7*KVARDI,2))</f>
        <v/>
      </c>
      <c r="CC25" s="39"/>
      <c r="CD25" s="40" t="str">
        <f aca="false">IF(OR(INDEX(Undirviðmið!$G$6:$G$105,(COLUMN()-7-1)/2+1)&lt;&gt;"Starfsbundið",CC25="",CC$8="",CC$7=""),"",ROUND(CC25/CC$8*CC$7*KVARDI,2))</f>
        <v/>
      </c>
      <c r="CE25" s="39"/>
      <c r="CF25" s="40" t="str">
        <f aca="false">IF(OR(INDEX(Undirviðmið!$G$6:$G$105,(COLUMN()-7-1)/2+1)&lt;&gt;"Starfsbundið",CE25="",CE$8="",CE$7=""),"",ROUND(CE25/CE$8*CE$7*KVARDI,2))</f>
        <v/>
      </c>
      <c r="CG25" s="39"/>
      <c r="CH25" s="40" t="str">
        <f aca="false">IF(OR(INDEX(Undirviðmið!$G$6:$G$105,(COLUMN()-7-1)/2+1)&lt;&gt;"Starfsbundið",CG25="",CG$8="",CG$7=""),"",ROUND(CG25/CG$8*CG$7*KVARDI,2))</f>
        <v/>
      </c>
      <c r="CI25" s="39"/>
      <c r="CJ25" s="40" t="str">
        <f aca="false">IF(OR(INDEX(Undirviðmið!$G$6:$G$105,(COLUMN()-7-1)/2+1)&lt;&gt;"Starfsbundið",CI25="",CI$8="",CI$7=""),"",ROUND(CI25/CI$8*CI$7*KVARDI,2))</f>
        <v/>
      </c>
      <c r="CK25" s="39"/>
      <c r="CL25" s="40" t="str">
        <f aca="false">IF(OR(INDEX(Undirviðmið!$G$6:$G$105,(COLUMN()-7-1)/2+1)&lt;&gt;"Starfsbundið",CK25="",CK$8="",CK$7=""),"",ROUND(CK25/CK$8*CK$7*KVARDI,2))</f>
        <v/>
      </c>
      <c r="CM25" s="39"/>
      <c r="CN25" s="40" t="str">
        <f aca="false">IF(OR(INDEX(Undirviðmið!$G$6:$G$105,(COLUMN()-7-1)/2+1)&lt;&gt;"Starfsbundið",CM25="",CM$8="",CM$7=""),"",ROUND(CM25/CM$8*CM$7*KVARDI,2))</f>
        <v/>
      </c>
      <c r="CO25" s="39"/>
      <c r="CP25" s="40" t="str">
        <f aca="false">IF(OR(INDEX(Undirviðmið!$G$6:$G$105,(COLUMN()-7-1)/2+1)&lt;&gt;"Starfsbundið",CO25="",CO$8="",CO$7=""),"",ROUND(CO25/CO$8*CO$7*KVARDI,2))</f>
        <v/>
      </c>
      <c r="CQ25" s="39"/>
      <c r="CR25" s="40" t="str">
        <f aca="false">IF(OR(INDEX(Undirviðmið!$G$6:$G$105,(COLUMN()-7-1)/2+1)&lt;&gt;"Starfsbundið",CQ25="",CQ$8="",CQ$7=""),"",ROUND(CQ25/CQ$8*CQ$7*KVARDI,2))</f>
        <v/>
      </c>
      <c r="CS25" s="39"/>
      <c r="CT25" s="40" t="str">
        <f aca="false">IF(OR(INDEX(Undirviðmið!$G$6:$G$105,(COLUMN()-7-1)/2+1)&lt;&gt;"Starfsbundið",CS25="",CS$8="",CS$7=""),"",ROUND(CS25/CS$8*CS$7*KVARDI,2))</f>
        <v/>
      </c>
      <c r="CU25" s="39"/>
      <c r="CV25" s="40" t="str">
        <f aca="false">IF(OR(INDEX(Undirviðmið!$G$6:$G$105,(COLUMN()-7-1)/2+1)&lt;&gt;"Starfsbundið",CU25="",CU$8="",CU$7=""),"",ROUND(CU25/CU$8*CU$7*KVARDI,2))</f>
        <v/>
      </c>
      <c r="CW25" s="39"/>
      <c r="CX25" s="40" t="str">
        <f aca="false">IF(OR(INDEX(Undirviðmið!$G$6:$G$105,(COLUMN()-7-1)/2+1)&lt;&gt;"Starfsbundið",CW25="",CW$8="",CW$7=""),"",ROUND(CW25/CW$8*CW$7*KVARDI,2))</f>
        <v/>
      </c>
      <c r="CY25" s="39"/>
      <c r="CZ25" s="40" t="str">
        <f aca="false">IF(OR(INDEX(Undirviðmið!$G$6:$G$105,(COLUMN()-7-1)/2+1)&lt;&gt;"Starfsbundið",CY25="",CY$8="",CY$7=""),"",ROUND(CY25/CY$8*CY$7*KVARDI,2))</f>
        <v/>
      </c>
      <c r="DA25" s="39"/>
      <c r="DB25" s="40" t="str">
        <f aca="false">IF(OR(INDEX(Undirviðmið!$G$6:$G$105,(COLUMN()-7-1)/2+1)&lt;&gt;"Starfsbundið",DA25="",DA$8="",DA$7=""),"",ROUND(DA25/DA$8*DA$7*KVARDI,2))</f>
        <v/>
      </c>
      <c r="DC25" s="39"/>
      <c r="DD25" s="40" t="str">
        <f aca="false">IF(OR(INDEX(Undirviðmið!$G$6:$G$105,(COLUMN()-7-1)/2+1)&lt;&gt;"Starfsbundið",DC25="",DC$8="",DC$7=""),"",ROUND(DC25/DC$8*DC$7*KVARDI,2))</f>
        <v/>
      </c>
      <c r="DE25" s="39"/>
      <c r="DF25" s="40" t="str">
        <f aca="false">IF(OR(INDEX(Undirviðmið!$G$6:$G$105,(COLUMN()-7-1)/2+1)&lt;&gt;"Starfsbundið",DE25="",DE$8="",DE$7=""),"",ROUND(DE25/DE$8*DE$7*KVARDI,2))</f>
        <v/>
      </c>
      <c r="DG25" s="39"/>
      <c r="DH25" s="40" t="str">
        <f aca="false">IF(OR(INDEX(Undirviðmið!$G$6:$G$105,(COLUMN()-7-1)/2+1)&lt;&gt;"Starfsbundið",DG25="",DG$8="",DG$7=""),"",ROUND(DG25/DG$8*DG$7*KVARDI,2))</f>
        <v/>
      </c>
      <c r="DI25" s="39"/>
      <c r="DJ25" s="40" t="str">
        <f aca="false">IF(OR(INDEX(Undirviðmið!$G$6:$G$105,(COLUMN()-7-1)/2+1)&lt;&gt;"Starfsbundið",DI25="",DI$8="",DI$7=""),"",ROUND(DI25/DI$8*DI$7*KVARDI,2))</f>
        <v/>
      </c>
      <c r="DK25" s="39"/>
      <c r="DL25" s="40" t="str">
        <f aca="false">IF(OR(INDEX(Undirviðmið!$G$6:$G$105,(COLUMN()-7-1)/2+1)&lt;&gt;"Starfsbundið",DK25="",DK$8="",DK$7=""),"",ROUND(DK25/DK$8*DK$7*KVARDI,2))</f>
        <v/>
      </c>
      <c r="DM25" s="39"/>
      <c r="DN25" s="40" t="str">
        <f aca="false">IF(OR(INDEX(Undirviðmið!$G$6:$G$105,(COLUMN()-7-1)/2+1)&lt;&gt;"Starfsbundið",DM25="",DM$8="",DM$7=""),"",ROUND(DM25/DM$8*DM$7*KVARDI,2))</f>
        <v/>
      </c>
      <c r="DO25" s="39"/>
      <c r="DP25" s="40" t="str">
        <f aca="false">IF(OR(INDEX(Undirviðmið!$G$6:$G$105,(COLUMN()-7-1)/2+1)&lt;&gt;"Starfsbundið",DO25="",DO$8="",DO$7=""),"",ROUND(DO25/DO$8*DO$7*KVARDI,2))</f>
        <v/>
      </c>
      <c r="DQ25" s="39"/>
      <c r="DR25" s="40" t="str">
        <f aca="false">IF(OR(INDEX(Undirviðmið!$G$6:$G$105,(COLUMN()-7-1)/2+1)&lt;&gt;"Starfsbundið",DQ25="",DQ$8="",DQ$7=""),"",ROUND(DQ25/DQ$8*DQ$7*KVARDI,2))</f>
        <v/>
      </c>
      <c r="DS25" s="39"/>
      <c r="DT25" s="40" t="str">
        <f aca="false">IF(OR(INDEX(Undirviðmið!$G$6:$G$105,(COLUMN()-7-1)/2+1)&lt;&gt;"Starfsbundið",DS25="",DS$8="",DS$7=""),"",ROUND(DS25/DS$8*DS$7*KVARDI,2))</f>
        <v/>
      </c>
      <c r="DU25" s="39"/>
      <c r="DV25" s="40" t="str">
        <f aca="false">IF(OR(INDEX(Undirviðmið!$G$6:$G$105,(COLUMN()-7-1)/2+1)&lt;&gt;"Starfsbundið",DU25="",DU$8="",DU$7=""),"",ROUND(DU25/DU$8*DU$7*KVARDI,2))</f>
        <v/>
      </c>
      <c r="DW25" s="39"/>
      <c r="DX25" s="40" t="str">
        <f aca="false">IF(OR(INDEX(Undirviðmið!$G$6:$G$105,(COLUMN()-7-1)/2+1)&lt;&gt;"Starfsbundið",DW25="",DW$8="",DW$7=""),"",ROUND(DW25/DW$8*DW$7*KVARDI,2))</f>
        <v/>
      </c>
      <c r="DY25" s="39"/>
      <c r="DZ25" s="40" t="str">
        <f aca="false">IF(OR(INDEX(Undirviðmið!$G$6:$G$105,(COLUMN()-7-1)/2+1)&lt;&gt;"Starfsbundið",DY25="",DY$8="",DY$7=""),"",ROUND(DY25/DY$8*DY$7*KVARDI,2))</f>
        <v/>
      </c>
      <c r="EA25" s="39"/>
      <c r="EB25" s="40" t="str">
        <f aca="false">IF(OR(INDEX(Undirviðmið!$G$6:$G$105,(COLUMN()-7-1)/2+1)&lt;&gt;"Starfsbundið",EA25="",EA$8="",EA$7=""),"",ROUND(EA25/EA$8*EA$7*KVARDI,2))</f>
        <v/>
      </c>
      <c r="EC25" s="39"/>
      <c r="ED25" s="40" t="str">
        <f aca="false">IF(OR(INDEX(Undirviðmið!$G$6:$G$105,(COLUMN()-7-1)/2+1)&lt;&gt;"Starfsbundið",EC25="",EC$8="",EC$7=""),"",ROUND(EC25/EC$8*EC$7*KVARDI,2))</f>
        <v/>
      </c>
      <c r="EE25" s="39"/>
      <c r="EF25" s="40" t="str">
        <f aca="false">IF(OR(INDEX(Undirviðmið!$G$6:$G$105,(COLUMN()-7-1)/2+1)&lt;&gt;"Starfsbundið",EE25="",EE$8="",EE$7=""),"",ROUND(EE25/EE$8*EE$7*KVARDI,2))</f>
        <v/>
      </c>
      <c r="EG25" s="39"/>
      <c r="EH25" s="40" t="str">
        <f aca="false">IF(OR(INDEX(Undirviðmið!$G$6:$G$105,(COLUMN()-7-1)/2+1)&lt;&gt;"Starfsbundið",EG25="",EG$8="",EG$7=""),"",ROUND(EG25/EG$8*EG$7*KVARDI,2))</f>
        <v/>
      </c>
      <c r="EI25" s="39"/>
      <c r="EJ25" s="40" t="str">
        <f aca="false">IF(OR(INDEX(Undirviðmið!$G$6:$G$105,(COLUMN()-7-1)/2+1)&lt;&gt;"Starfsbundið",EI25="",EI$8="",EI$7=""),"",ROUND(EI25/EI$8*EI$7*KVARDI,2))</f>
        <v/>
      </c>
      <c r="EK25" s="39"/>
      <c r="EL25" s="40" t="str">
        <f aca="false">IF(OR(INDEX(Undirviðmið!$G$6:$G$105,(COLUMN()-7-1)/2+1)&lt;&gt;"Starfsbundið",EK25="",EK$8="",EK$7=""),"",ROUND(EK25/EK$8*EK$7*KVARDI,2))</f>
        <v/>
      </c>
      <c r="EM25" s="39"/>
      <c r="EN25" s="40" t="str">
        <f aca="false">IF(OR(INDEX(Undirviðmið!$G$6:$G$105,(COLUMN()-7-1)/2+1)&lt;&gt;"Starfsbundið",EM25="",EM$8="",EM$7=""),"",ROUND(EM25/EM$8*EM$7*KVARDI,2))</f>
        <v/>
      </c>
      <c r="EO25" s="39"/>
      <c r="EP25" s="40" t="str">
        <f aca="false">IF(OR(INDEX(Undirviðmið!$G$6:$G$105,(COLUMN()-7-1)/2+1)&lt;&gt;"Starfsbundið",EO25="",EO$8="",EO$7=""),"",ROUND(EO25/EO$8*EO$7*KVARDI,2))</f>
        <v/>
      </c>
      <c r="EQ25" s="39"/>
      <c r="ER25" s="40" t="str">
        <f aca="false">IF(OR(INDEX(Undirviðmið!$G$6:$G$105,(COLUMN()-7-1)/2+1)&lt;&gt;"Starfsbundið",EQ25="",EQ$8="",EQ$7=""),"",ROUND(EQ25/EQ$8*EQ$7*KVARDI,2))</f>
        <v/>
      </c>
      <c r="ES25" s="39"/>
      <c r="ET25" s="40" t="str">
        <f aca="false">IF(OR(INDEX(Undirviðmið!$G$6:$G$105,(COLUMN()-7-1)/2+1)&lt;&gt;"Starfsbundið",ES25="",ES$8="",ES$7=""),"",ROUND(ES25/ES$8*ES$7*KVARDI,2))</f>
        <v/>
      </c>
      <c r="EU25" s="39"/>
      <c r="EV25" s="40" t="str">
        <f aca="false">IF(OR(INDEX(Undirviðmið!$G$6:$G$105,(COLUMN()-7-1)/2+1)&lt;&gt;"Starfsbundið",EU25="",EU$8="",EU$7=""),"",ROUND(EU25/EU$8*EU$7*KVARDI,2))</f>
        <v/>
      </c>
      <c r="EW25" s="39"/>
      <c r="EX25" s="40" t="str">
        <f aca="false">IF(OR(INDEX(Undirviðmið!$G$6:$G$105,(COLUMN()-7-1)/2+1)&lt;&gt;"Starfsbundið",EW25="",EW$8="",EW$7=""),"",ROUND(EW25/EW$8*EW$7*KVARDI,2))</f>
        <v/>
      </c>
      <c r="EY25" s="39"/>
      <c r="EZ25" s="40" t="str">
        <f aca="false">IF(OR(INDEX(Undirviðmið!$G$6:$G$105,(COLUMN()-7-1)/2+1)&lt;&gt;"Starfsbundið",EY25="",EY$8="",EY$7=""),"",ROUND(EY25/EY$8*EY$7*KVARDI,2))</f>
        <v/>
      </c>
      <c r="FA25" s="39"/>
      <c r="FB25" s="40" t="str">
        <f aca="false">IF(OR(INDEX(Undirviðmið!$G$6:$G$105,(COLUMN()-7-1)/2+1)&lt;&gt;"Starfsbundið",FA25="",FA$8="",FA$7=""),"",ROUND(FA25/FA$8*FA$7*KVARDI,2))</f>
        <v/>
      </c>
      <c r="FC25" s="39"/>
      <c r="FD25" s="40" t="str">
        <f aca="false">IF(OR(INDEX(Undirviðmið!$G$6:$G$105,(COLUMN()-7-1)/2+1)&lt;&gt;"Starfsbundið",FC25="",FC$8="",FC$7=""),"",ROUND(FC25/FC$8*FC$7*KVARDI,2))</f>
        <v/>
      </c>
      <c r="FE25" s="39"/>
      <c r="FF25" s="40" t="str">
        <f aca="false">IF(OR(INDEX(Undirviðmið!$G$6:$G$105,(COLUMN()-7-1)/2+1)&lt;&gt;"Starfsbundið",FE25="",FE$8="",FE$7=""),"",ROUND(FE25/FE$8*FE$7*KVARDI,2))</f>
        <v/>
      </c>
      <c r="FG25" s="39"/>
      <c r="FH25" s="40" t="str">
        <f aca="false">IF(OR(INDEX(Undirviðmið!$G$6:$G$105,(COLUMN()-7-1)/2+1)&lt;&gt;"Starfsbundið",FG25="",FG$8="",FG$7=""),"",ROUND(FG25/FG$8*FG$7*KVARDI,2))</f>
        <v/>
      </c>
      <c r="FI25" s="39"/>
      <c r="FJ25" s="40" t="str">
        <f aca="false">IF(OR(INDEX(Undirviðmið!$G$6:$G$105,(COLUMN()-7-1)/2+1)&lt;&gt;"Starfsbundið",FI25="",FI$8="",FI$7=""),"",ROUND(FI25/FI$8*FI$7*KVARDI,2))</f>
        <v/>
      </c>
      <c r="FK25" s="39"/>
      <c r="FL25" s="40" t="str">
        <f aca="false">IF(OR(INDEX(Undirviðmið!$G$6:$G$105,(COLUMN()-7-1)/2+1)&lt;&gt;"Starfsbundið",FK25="",FK$8="",FK$7=""),"",ROUND(FK25/FK$8*FK$7*KVARDI,2))</f>
        <v/>
      </c>
      <c r="FM25" s="39"/>
      <c r="FN25" s="40" t="str">
        <f aca="false">IF(OR(INDEX(Undirviðmið!$G$6:$G$105,(COLUMN()-7-1)/2+1)&lt;&gt;"Starfsbundið",FM25="",FM$8="",FM$7=""),"",ROUND(FM25/FM$8*FM$7*KVARDI,2))</f>
        <v/>
      </c>
      <c r="FO25" s="39"/>
      <c r="FP25" s="40" t="str">
        <f aca="false">IF(OR(INDEX(Undirviðmið!$G$6:$G$105,(COLUMN()-7-1)/2+1)&lt;&gt;"Starfsbundið",FO25="",FO$8="",FO$7=""),"",ROUND(FO25/FO$8*FO$7*KVARDI,2))</f>
        <v/>
      </c>
      <c r="FQ25" s="39"/>
      <c r="FR25" s="40" t="str">
        <f aca="false">IF(OR(INDEX(Undirviðmið!$G$6:$G$105,(COLUMN()-7-1)/2+1)&lt;&gt;"Starfsbundið",FQ25="",FQ$8="",FQ$7=""),"",ROUND(FQ25/FQ$8*FQ$7*KVARDI,2))</f>
        <v/>
      </c>
      <c r="FS25" s="39"/>
      <c r="FT25" s="40" t="str">
        <f aca="false">IF(OR(INDEX(Undirviðmið!$G$6:$G$105,(COLUMN()-7-1)/2+1)&lt;&gt;"Starfsbundið",FS25="",FS$8="",FS$7=""),"",ROUND(FS25/FS$8*FS$7*KVARDI,2))</f>
        <v/>
      </c>
      <c r="FU25" s="39"/>
      <c r="FV25" s="40" t="str">
        <f aca="false">IF(OR(INDEX(Undirviðmið!$G$6:$G$105,(COLUMN()-7-1)/2+1)&lt;&gt;"Starfsbundið",FU25="",FU$8="",FU$7=""),"",ROUND(FU25/FU$8*FU$7*KVARDI,2))</f>
        <v/>
      </c>
      <c r="FW25" s="39"/>
      <c r="FX25" s="40" t="str">
        <f aca="false">IF(OR(INDEX(Undirviðmið!$G$6:$G$105,(COLUMN()-7-1)/2+1)&lt;&gt;"Starfsbundið",FW25="",FW$8="",FW$7=""),"",ROUND(FW25/FW$8*FW$7*KVARDI,2))</f>
        <v/>
      </c>
      <c r="FY25" s="39"/>
      <c r="FZ25" s="40" t="str">
        <f aca="false">IF(OR(INDEX(Undirviðmið!$G$6:$G$105,(COLUMN()-7-1)/2+1)&lt;&gt;"Starfsbundið",FY25="",FY$8="",FY$7=""),"",ROUND(FY25/FY$8*FY$7*KVARDI,2))</f>
        <v/>
      </c>
      <c r="GA25" s="39"/>
      <c r="GB25" s="40" t="str">
        <f aca="false">IF(OR(INDEX(Undirviðmið!$G$6:$G$105,(COLUMN()-7-1)/2+1)&lt;&gt;"Starfsbundið",GA25="",GA$8="",GA$7=""),"",ROUND(GA25/GA$8*GA$7*KVARDI,2))</f>
        <v/>
      </c>
      <c r="GC25" s="39"/>
      <c r="GD25" s="40" t="str">
        <f aca="false">IF(OR(INDEX(Undirviðmið!$G$6:$G$105,(COLUMN()-7-1)/2+1)&lt;&gt;"Starfsbundið",GC25="",GC$8="",GC$7=""),"",ROUND(GC25/GC$8*GC$7*KVARDI,2))</f>
        <v/>
      </c>
      <c r="GE25" s="39"/>
      <c r="GF25" s="40" t="str">
        <f aca="false">IF(OR(INDEX(Undirviðmið!$G$6:$G$105,(COLUMN()-7-1)/2+1)&lt;&gt;"Starfsbundið",GE25="",GE$8="",GE$7=""),"",ROUND(GE25/GE$8*GE$7*KVARDI,2))</f>
        <v/>
      </c>
      <c r="GG25" s="39"/>
      <c r="GH25" s="40" t="str">
        <f aca="false">IF(OR(INDEX(Undirviðmið!$G$6:$G$105,(COLUMN()-7-1)/2+1)&lt;&gt;"Starfsbundið",GG25="",GG$8="",GG$7=""),"",ROUND(GG25/GG$8*GG$7*KVARDI,2))</f>
        <v/>
      </c>
      <c r="GI25" s="39"/>
      <c r="GJ25" s="40" t="str">
        <f aca="false">IF(OR(INDEX(Undirviðmið!$G$6:$G$105,(COLUMN()-7-1)/2+1)&lt;&gt;"Starfsbundið",GI25="",GI$8="",GI$7=""),"",ROUND(GI25/GI$8*GI$7*KVARDI,2))</f>
        <v/>
      </c>
      <c r="GK25" s="39"/>
      <c r="GL25" s="40" t="str">
        <f aca="false">IF(OR(INDEX(Undirviðmið!$G$6:$G$105,(COLUMN()-7-1)/2+1)&lt;&gt;"Starfsbundið",GK25="",GK$8="",GK$7=""),"",ROUND(GK25/GK$8*GK$7*KVARDI,2))</f>
        <v/>
      </c>
      <c r="GM25" s="39"/>
      <c r="GN25" s="40" t="str">
        <f aca="false">IF(OR(INDEX(Undirviðmið!$G$6:$G$105,(COLUMN()-7-1)/2+1)&lt;&gt;"Starfsbundið",GM25="",GM$8="",GM$7=""),"",ROUND(GM25/GM$8*GM$7*KVARDI,2))</f>
        <v/>
      </c>
      <c r="GO25" s="39"/>
      <c r="GP25" s="40" t="str">
        <f aca="false">IF(OR(INDEX(Undirviðmið!$G$6:$G$105,(COLUMN()-7-1)/2+1)&lt;&gt;"Starfsbundið",GO25="",GO$8="",GO$7=""),"",ROUND(GO25/GO$8*GO$7*KVARDI,2))</f>
        <v/>
      </c>
      <c r="GQ25" s="39"/>
      <c r="GR25" s="40" t="str">
        <f aca="false">IF(OR(INDEX(Undirviðmið!$G$6:$G$105,(COLUMN()-7-1)/2+1)&lt;&gt;"Starfsbundið",GQ25="",GQ$8="",GQ$7=""),"",ROUND(GQ25/GQ$8*GQ$7*KVARDI,2))</f>
        <v/>
      </c>
      <c r="GS25" s="39"/>
      <c r="GT25" s="40" t="str">
        <f aca="false">IF(OR(INDEX(Undirviðmið!$G$6:$G$105,(COLUMN()-7-1)/2+1)&lt;&gt;"Starfsbundið",GS25="",GS$8="",GS$7=""),"",ROUND(GS25/GS$8*GS$7*KVARDI,2))</f>
        <v/>
      </c>
      <c r="GU25" s="39"/>
      <c r="GV25" s="40" t="str">
        <f aca="false">IF(OR(INDEX(Undirviðmið!$G$6:$G$105,(COLUMN()-7-1)/2+1)&lt;&gt;"Starfsbundið",GU25="",GU$8="",GU$7=""),"",ROUND(GU25/GU$8*GU$7*KVARDI,2))</f>
        <v/>
      </c>
      <c r="GW25" s="39"/>
      <c r="GX25" s="40" t="str">
        <f aca="false">IF(OR(INDEX(Undirviðmið!$G$6:$G$105,(COLUMN()-7-1)/2+1)&lt;&gt;"Starfsbundið",GW25="",GW$8="",GW$7=""),"",ROUND(GW25/GW$8*GW$7*KVARDI,2))</f>
        <v/>
      </c>
      <c r="GZ25" s="20"/>
    </row>
    <row r="26" customFormat="false" ht="15" hidden="true" customHeight="true" outlineLevel="1" collapsed="false">
      <c r="B26" s="37" t="str">
        <f aca="false" t="array" ref="B26:B26">IFERROR(INDEX(Starfsmenn!$C$6:$C$10005,MATCH(0,COUNTIF($B$11:B25,Starfsmenn!$C$6:$C$10005)+(Starfsmenn!$C$6:$C$10005=""),0)),"")</f>
        <v/>
      </c>
      <c r="C26" s="38" t="n">
        <f aca="false">IFERROR(SUMIF($G$10:$GX$10,"Stig",$G26:$GX26),0)</f>
        <v>0</v>
      </c>
      <c r="G26" s="39"/>
      <c r="H26" s="40" t="str">
        <f aca="false">IF(OR(INDEX(Undirviðmið!$G$6:$G$105,(COLUMN()-7-1)/2+1)&lt;&gt;"Starfsbundið",G26="",G$8="",G$7=""),"",ROUND(G26/G$8*G$7*KVARDI,2))</f>
        <v/>
      </c>
      <c r="I26" s="39"/>
      <c r="J26" s="40" t="str">
        <f aca="false">IF(OR(INDEX(Undirviðmið!$G$6:$G$105,(COLUMN()-7-1)/2+1)&lt;&gt;"Starfsbundið",I26="",I$8="",I$7=""),"",ROUND(I26/I$8*I$7*KVARDI,2))</f>
        <v/>
      </c>
      <c r="K26" s="39"/>
      <c r="L26" s="40" t="str">
        <f aca="false">IF(OR(INDEX(Undirviðmið!$G$6:$G$105,(COLUMN()-7-1)/2+1)&lt;&gt;"Starfsbundið",K26="",K$8="",K$7=""),"",ROUND(K26/K$8*K$7*KVARDI,2))</f>
        <v/>
      </c>
      <c r="M26" s="39"/>
      <c r="N26" s="40" t="str">
        <f aca="false">IF(OR(INDEX(Undirviðmið!$G$6:$G$105,(COLUMN()-7-1)/2+1)&lt;&gt;"Starfsbundið",M26="",M$8="",M$7=""),"",ROUND(M26/M$8*M$7*KVARDI,2))</f>
        <v/>
      </c>
      <c r="O26" s="39"/>
      <c r="P26" s="40" t="str">
        <f aca="false">IF(OR(INDEX(Undirviðmið!$G$6:$G$105,(COLUMN()-7-1)/2+1)&lt;&gt;"Starfsbundið",O26="",O$8="",O$7=""),"",ROUND(O26/O$8*O$7*KVARDI,2))</f>
        <v/>
      </c>
      <c r="Q26" s="39"/>
      <c r="R26" s="40" t="str">
        <f aca="false">IF(OR(INDEX(Undirviðmið!$G$6:$G$105,(COLUMN()-7-1)/2+1)&lt;&gt;"Starfsbundið",Q26="",Q$8="",Q$7=""),"",ROUND(Q26/Q$8*Q$7*KVARDI,2))</f>
        <v/>
      </c>
      <c r="S26" s="39"/>
      <c r="T26" s="40" t="str">
        <f aca="false">IF(OR(INDEX(Undirviðmið!$G$6:$G$105,(COLUMN()-7-1)/2+1)&lt;&gt;"Starfsbundið",S26="",S$8="",S$7=""),"",ROUND(S26/S$8*S$7*KVARDI,2))</f>
        <v/>
      </c>
      <c r="U26" s="39"/>
      <c r="V26" s="40" t="str">
        <f aca="false">IF(OR(INDEX(Undirviðmið!$G$6:$G$105,(COLUMN()-7-1)/2+1)&lt;&gt;"Starfsbundið",U26="",U$8="",U$7=""),"",ROUND(U26/U$8*U$7*KVARDI,2))</f>
        <v/>
      </c>
      <c r="W26" s="39"/>
      <c r="X26" s="40" t="str">
        <f aca="false">IF(OR(INDEX(Undirviðmið!$G$6:$G$105,(COLUMN()-7-1)/2+1)&lt;&gt;"Starfsbundið",W26="",W$8="",W$7=""),"",ROUND(W26/W$8*W$7*KVARDI,2))</f>
        <v/>
      </c>
      <c r="Y26" s="39"/>
      <c r="Z26" s="40" t="str">
        <f aca="false">IF(OR(INDEX(Undirviðmið!$G$6:$G$105,(COLUMN()-7-1)/2+1)&lt;&gt;"Starfsbundið",Y26="",Y$8="",Y$7=""),"",ROUND(Y26/Y$8*Y$7*KVARDI,2))</f>
        <v/>
      </c>
      <c r="AA26" s="39"/>
      <c r="AB26" s="40" t="str">
        <f aca="false">IF(OR(INDEX(Undirviðmið!$G$6:$G$105,(COLUMN()-7-1)/2+1)&lt;&gt;"Starfsbundið",AA26="",AA$8="",AA$7=""),"",ROUND(AA26/AA$8*AA$7*KVARDI,2))</f>
        <v/>
      </c>
      <c r="AC26" s="39"/>
      <c r="AD26" s="40" t="str">
        <f aca="false">IF(OR(INDEX(Undirviðmið!$G$6:$G$105,(COLUMN()-7-1)/2+1)&lt;&gt;"Starfsbundið",AC26="",AC$8="",AC$7=""),"",ROUND(AC26/AC$8*AC$7*KVARDI,2))</f>
        <v/>
      </c>
      <c r="AE26" s="39"/>
      <c r="AF26" s="40" t="str">
        <f aca="false">IF(OR(INDEX(Undirviðmið!$G$6:$G$105,(COLUMN()-7-1)/2+1)&lt;&gt;"Starfsbundið",AE26="",AE$8="",AE$7=""),"",ROUND(AE26/AE$8*AE$7*KVARDI,2))</f>
        <v/>
      </c>
      <c r="AG26" s="39"/>
      <c r="AH26" s="40" t="str">
        <f aca="false">IF(OR(INDEX(Undirviðmið!$G$6:$G$105,(COLUMN()-7-1)/2+1)&lt;&gt;"Starfsbundið",AG26="",AG$8="",AG$7=""),"",ROUND(AG26/AG$8*AG$7*KVARDI,2))</f>
        <v/>
      </c>
      <c r="AI26" s="39"/>
      <c r="AJ26" s="40" t="str">
        <f aca="false">IF(OR(INDEX(Undirviðmið!$G$6:$G$105,(COLUMN()-7-1)/2+1)&lt;&gt;"Starfsbundið",AI26="",AI$8="",AI$7=""),"",ROUND(AI26/AI$8*AI$7*KVARDI,2))</f>
        <v/>
      </c>
      <c r="AK26" s="39"/>
      <c r="AL26" s="40" t="str">
        <f aca="false">IF(OR(INDEX(Undirviðmið!$G$6:$G$105,(COLUMN()-7-1)/2+1)&lt;&gt;"Starfsbundið",AK26="",AK$8="",AK$7=""),"",ROUND(AK26/AK$8*AK$7*KVARDI,2))</f>
        <v/>
      </c>
      <c r="AM26" s="39"/>
      <c r="AN26" s="40" t="str">
        <f aca="false">IF(OR(INDEX(Undirviðmið!$G$6:$G$105,(COLUMN()-7-1)/2+1)&lt;&gt;"Starfsbundið",AM26="",AM$8="",AM$7=""),"",ROUND(AM26/AM$8*AM$7*KVARDI,2))</f>
        <v/>
      </c>
      <c r="AO26" s="39"/>
      <c r="AP26" s="40" t="str">
        <f aca="false">IF(OR(INDEX(Undirviðmið!$G$6:$G$105,(COLUMN()-7-1)/2+1)&lt;&gt;"Starfsbundið",AO26="",AO$8="",AO$7=""),"",ROUND(AO26/AO$8*AO$7*KVARDI,2))</f>
        <v/>
      </c>
      <c r="AQ26" s="39"/>
      <c r="AR26" s="40" t="str">
        <f aca="false">IF(OR(INDEX(Undirviðmið!$G$6:$G$105,(COLUMN()-7-1)/2+1)&lt;&gt;"Starfsbundið",AQ26="",AQ$8="",AQ$7=""),"",ROUND(AQ26/AQ$8*AQ$7*KVARDI,2))</f>
        <v/>
      </c>
      <c r="AS26" s="39"/>
      <c r="AT26" s="40" t="str">
        <f aca="false">IF(OR(INDEX(Undirviðmið!$G$6:$G$105,(COLUMN()-7-1)/2+1)&lt;&gt;"Starfsbundið",AS26="",AS$8="",AS$7=""),"",ROUND(AS26/AS$8*AS$7*KVARDI,2))</f>
        <v/>
      </c>
      <c r="AU26" s="39"/>
      <c r="AV26" s="40" t="str">
        <f aca="false">IF(OR(INDEX(Undirviðmið!$G$6:$G$105,(COLUMN()-7-1)/2+1)&lt;&gt;"Starfsbundið",AU26="",AU$8="",AU$7=""),"",ROUND(AU26/AU$8*AU$7*KVARDI,2))</f>
        <v/>
      </c>
      <c r="AW26" s="39"/>
      <c r="AX26" s="40" t="str">
        <f aca="false">IF(OR(INDEX(Undirviðmið!$G$6:$G$105,(COLUMN()-7-1)/2+1)&lt;&gt;"Starfsbundið",AW26="",AW$8="",AW$7=""),"",ROUND(AW26/AW$8*AW$7*KVARDI,2))</f>
        <v/>
      </c>
      <c r="AY26" s="39"/>
      <c r="AZ26" s="40" t="str">
        <f aca="false">IF(OR(INDEX(Undirviðmið!$G$6:$G$105,(COLUMN()-7-1)/2+1)&lt;&gt;"Starfsbundið",AY26="",AY$8="",AY$7=""),"",ROUND(AY26/AY$8*AY$7*KVARDI,2))</f>
        <v/>
      </c>
      <c r="BA26" s="39"/>
      <c r="BB26" s="40" t="str">
        <f aca="false">IF(OR(INDEX(Undirviðmið!$G$6:$G$105,(COLUMN()-7-1)/2+1)&lt;&gt;"Starfsbundið",BA26="",BA$8="",BA$7=""),"",ROUND(BA26/BA$8*BA$7*KVARDI,2))</f>
        <v/>
      </c>
      <c r="BC26" s="39"/>
      <c r="BD26" s="40" t="str">
        <f aca="false">IF(OR(INDEX(Undirviðmið!$G$6:$G$105,(COLUMN()-7-1)/2+1)&lt;&gt;"Starfsbundið",BC26="",BC$8="",BC$7=""),"",ROUND(BC26/BC$8*BC$7*KVARDI,2))</f>
        <v/>
      </c>
      <c r="BE26" s="39"/>
      <c r="BF26" s="40" t="str">
        <f aca="false">IF(OR(INDEX(Undirviðmið!$G$6:$G$105,(COLUMN()-7-1)/2+1)&lt;&gt;"Starfsbundið",BE26="",BE$8="",BE$7=""),"",ROUND(BE26/BE$8*BE$7*KVARDI,2))</f>
        <v/>
      </c>
      <c r="BG26" s="39"/>
      <c r="BH26" s="40" t="str">
        <f aca="false">IF(OR(INDEX(Undirviðmið!$G$6:$G$105,(COLUMN()-7-1)/2+1)&lt;&gt;"Starfsbundið",BG26="",BG$8="",BG$7=""),"",ROUND(BG26/BG$8*BG$7*KVARDI,2))</f>
        <v/>
      </c>
      <c r="BI26" s="39"/>
      <c r="BJ26" s="40" t="str">
        <f aca="false">IF(OR(INDEX(Undirviðmið!$G$6:$G$105,(COLUMN()-7-1)/2+1)&lt;&gt;"Starfsbundið",BI26="",BI$8="",BI$7=""),"",ROUND(BI26/BI$8*BI$7*KVARDI,2))</f>
        <v/>
      </c>
      <c r="BK26" s="39"/>
      <c r="BL26" s="40" t="str">
        <f aca="false">IF(OR(INDEX(Undirviðmið!$G$6:$G$105,(COLUMN()-7-1)/2+1)&lt;&gt;"Starfsbundið",BK26="",BK$8="",BK$7=""),"",ROUND(BK26/BK$8*BK$7*KVARDI,2))</f>
        <v/>
      </c>
      <c r="BM26" s="39"/>
      <c r="BN26" s="40" t="str">
        <f aca="false">IF(OR(INDEX(Undirviðmið!$G$6:$G$105,(COLUMN()-7-1)/2+1)&lt;&gt;"Starfsbundið",BM26="",BM$8="",BM$7=""),"",ROUND(BM26/BM$8*BM$7*KVARDI,2))</f>
        <v/>
      </c>
      <c r="BO26" s="39"/>
      <c r="BP26" s="40" t="str">
        <f aca="false">IF(OR(INDEX(Undirviðmið!$G$6:$G$105,(COLUMN()-7-1)/2+1)&lt;&gt;"Starfsbundið",BO26="",BO$8="",BO$7=""),"",ROUND(BO26/BO$8*BO$7*KVARDI,2))</f>
        <v/>
      </c>
      <c r="BQ26" s="39"/>
      <c r="BR26" s="40" t="str">
        <f aca="false">IF(OR(INDEX(Undirviðmið!$G$6:$G$105,(COLUMN()-7-1)/2+1)&lt;&gt;"Starfsbundið",BQ26="",BQ$8="",BQ$7=""),"",ROUND(BQ26/BQ$8*BQ$7*KVARDI,2))</f>
        <v/>
      </c>
      <c r="BS26" s="39"/>
      <c r="BT26" s="40" t="str">
        <f aca="false">IF(OR(INDEX(Undirviðmið!$G$6:$G$105,(COLUMN()-7-1)/2+1)&lt;&gt;"Starfsbundið",BS26="",BS$8="",BS$7=""),"",ROUND(BS26/BS$8*BS$7*KVARDI,2))</f>
        <v/>
      </c>
      <c r="BU26" s="39"/>
      <c r="BV26" s="40" t="str">
        <f aca="false">IF(OR(INDEX(Undirviðmið!$G$6:$G$105,(COLUMN()-7-1)/2+1)&lt;&gt;"Starfsbundið",BU26="",BU$8="",BU$7=""),"",ROUND(BU26/BU$8*BU$7*KVARDI,2))</f>
        <v/>
      </c>
      <c r="BW26" s="39"/>
      <c r="BX26" s="40" t="str">
        <f aca="false">IF(OR(INDEX(Undirviðmið!$G$6:$G$105,(COLUMN()-7-1)/2+1)&lt;&gt;"Starfsbundið",BW26="",BW$8="",BW$7=""),"",ROUND(BW26/BW$8*BW$7*KVARDI,2))</f>
        <v/>
      </c>
      <c r="BY26" s="39"/>
      <c r="BZ26" s="40" t="str">
        <f aca="false">IF(OR(INDEX(Undirviðmið!$G$6:$G$105,(COLUMN()-7-1)/2+1)&lt;&gt;"Starfsbundið",BY26="",BY$8="",BY$7=""),"",ROUND(BY26/BY$8*BY$7*KVARDI,2))</f>
        <v/>
      </c>
      <c r="CA26" s="39"/>
      <c r="CB26" s="40" t="str">
        <f aca="false">IF(OR(INDEX(Undirviðmið!$G$6:$G$105,(COLUMN()-7-1)/2+1)&lt;&gt;"Starfsbundið",CA26="",CA$8="",CA$7=""),"",ROUND(CA26/CA$8*CA$7*KVARDI,2))</f>
        <v/>
      </c>
      <c r="CC26" s="39"/>
      <c r="CD26" s="40" t="str">
        <f aca="false">IF(OR(INDEX(Undirviðmið!$G$6:$G$105,(COLUMN()-7-1)/2+1)&lt;&gt;"Starfsbundið",CC26="",CC$8="",CC$7=""),"",ROUND(CC26/CC$8*CC$7*KVARDI,2))</f>
        <v/>
      </c>
      <c r="CE26" s="39"/>
      <c r="CF26" s="40" t="str">
        <f aca="false">IF(OR(INDEX(Undirviðmið!$G$6:$G$105,(COLUMN()-7-1)/2+1)&lt;&gt;"Starfsbundið",CE26="",CE$8="",CE$7=""),"",ROUND(CE26/CE$8*CE$7*KVARDI,2))</f>
        <v/>
      </c>
      <c r="CG26" s="39"/>
      <c r="CH26" s="40" t="str">
        <f aca="false">IF(OR(INDEX(Undirviðmið!$G$6:$G$105,(COLUMN()-7-1)/2+1)&lt;&gt;"Starfsbundið",CG26="",CG$8="",CG$7=""),"",ROUND(CG26/CG$8*CG$7*KVARDI,2))</f>
        <v/>
      </c>
      <c r="CI26" s="39"/>
      <c r="CJ26" s="40" t="str">
        <f aca="false">IF(OR(INDEX(Undirviðmið!$G$6:$G$105,(COLUMN()-7-1)/2+1)&lt;&gt;"Starfsbundið",CI26="",CI$8="",CI$7=""),"",ROUND(CI26/CI$8*CI$7*KVARDI,2))</f>
        <v/>
      </c>
      <c r="CK26" s="39"/>
      <c r="CL26" s="40" t="str">
        <f aca="false">IF(OR(INDEX(Undirviðmið!$G$6:$G$105,(COLUMN()-7-1)/2+1)&lt;&gt;"Starfsbundið",CK26="",CK$8="",CK$7=""),"",ROUND(CK26/CK$8*CK$7*KVARDI,2))</f>
        <v/>
      </c>
      <c r="CM26" s="39"/>
      <c r="CN26" s="40" t="str">
        <f aca="false">IF(OR(INDEX(Undirviðmið!$G$6:$G$105,(COLUMN()-7-1)/2+1)&lt;&gt;"Starfsbundið",CM26="",CM$8="",CM$7=""),"",ROUND(CM26/CM$8*CM$7*KVARDI,2))</f>
        <v/>
      </c>
      <c r="CO26" s="39"/>
      <c r="CP26" s="40" t="str">
        <f aca="false">IF(OR(INDEX(Undirviðmið!$G$6:$G$105,(COLUMN()-7-1)/2+1)&lt;&gt;"Starfsbundið",CO26="",CO$8="",CO$7=""),"",ROUND(CO26/CO$8*CO$7*KVARDI,2))</f>
        <v/>
      </c>
      <c r="CQ26" s="39"/>
      <c r="CR26" s="40" t="str">
        <f aca="false">IF(OR(INDEX(Undirviðmið!$G$6:$G$105,(COLUMN()-7-1)/2+1)&lt;&gt;"Starfsbundið",CQ26="",CQ$8="",CQ$7=""),"",ROUND(CQ26/CQ$8*CQ$7*KVARDI,2))</f>
        <v/>
      </c>
      <c r="CS26" s="39"/>
      <c r="CT26" s="40" t="str">
        <f aca="false">IF(OR(INDEX(Undirviðmið!$G$6:$G$105,(COLUMN()-7-1)/2+1)&lt;&gt;"Starfsbundið",CS26="",CS$8="",CS$7=""),"",ROUND(CS26/CS$8*CS$7*KVARDI,2))</f>
        <v/>
      </c>
      <c r="CU26" s="39"/>
      <c r="CV26" s="40" t="str">
        <f aca="false">IF(OR(INDEX(Undirviðmið!$G$6:$G$105,(COLUMN()-7-1)/2+1)&lt;&gt;"Starfsbundið",CU26="",CU$8="",CU$7=""),"",ROUND(CU26/CU$8*CU$7*KVARDI,2))</f>
        <v/>
      </c>
      <c r="CW26" s="39"/>
      <c r="CX26" s="40" t="str">
        <f aca="false">IF(OR(INDEX(Undirviðmið!$G$6:$G$105,(COLUMN()-7-1)/2+1)&lt;&gt;"Starfsbundið",CW26="",CW$8="",CW$7=""),"",ROUND(CW26/CW$8*CW$7*KVARDI,2))</f>
        <v/>
      </c>
      <c r="CY26" s="39"/>
      <c r="CZ26" s="40" t="str">
        <f aca="false">IF(OR(INDEX(Undirviðmið!$G$6:$G$105,(COLUMN()-7-1)/2+1)&lt;&gt;"Starfsbundið",CY26="",CY$8="",CY$7=""),"",ROUND(CY26/CY$8*CY$7*KVARDI,2))</f>
        <v/>
      </c>
      <c r="DA26" s="39"/>
      <c r="DB26" s="40" t="str">
        <f aca="false">IF(OR(INDEX(Undirviðmið!$G$6:$G$105,(COLUMN()-7-1)/2+1)&lt;&gt;"Starfsbundið",DA26="",DA$8="",DA$7=""),"",ROUND(DA26/DA$8*DA$7*KVARDI,2))</f>
        <v/>
      </c>
      <c r="DC26" s="39"/>
      <c r="DD26" s="40" t="str">
        <f aca="false">IF(OR(INDEX(Undirviðmið!$G$6:$G$105,(COLUMN()-7-1)/2+1)&lt;&gt;"Starfsbundið",DC26="",DC$8="",DC$7=""),"",ROUND(DC26/DC$8*DC$7*KVARDI,2))</f>
        <v/>
      </c>
      <c r="DE26" s="39"/>
      <c r="DF26" s="40" t="str">
        <f aca="false">IF(OR(INDEX(Undirviðmið!$G$6:$G$105,(COLUMN()-7-1)/2+1)&lt;&gt;"Starfsbundið",DE26="",DE$8="",DE$7=""),"",ROUND(DE26/DE$8*DE$7*KVARDI,2))</f>
        <v/>
      </c>
      <c r="DG26" s="39"/>
      <c r="DH26" s="40" t="str">
        <f aca="false">IF(OR(INDEX(Undirviðmið!$G$6:$G$105,(COLUMN()-7-1)/2+1)&lt;&gt;"Starfsbundið",DG26="",DG$8="",DG$7=""),"",ROUND(DG26/DG$8*DG$7*KVARDI,2))</f>
        <v/>
      </c>
      <c r="DI26" s="39"/>
      <c r="DJ26" s="40" t="str">
        <f aca="false">IF(OR(INDEX(Undirviðmið!$G$6:$G$105,(COLUMN()-7-1)/2+1)&lt;&gt;"Starfsbundið",DI26="",DI$8="",DI$7=""),"",ROUND(DI26/DI$8*DI$7*KVARDI,2))</f>
        <v/>
      </c>
      <c r="DK26" s="39"/>
      <c r="DL26" s="40" t="str">
        <f aca="false">IF(OR(INDEX(Undirviðmið!$G$6:$G$105,(COLUMN()-7-1)/2+1)&lt;&gt;"Starfsbundið",DK26="",DK$8="",DK$7=""),"",ROUND(DK26/DK$8*DK$7*KVARDI,2))</f>
        <v/>
      </c>
      <c r="DM26" s="39"/>
      <c r="DN26" s="40" t="str">
        <f aca="false">IF(OR(INDEX(Undirviðmið!$G$6:$G$105,(COLUMN()-7-1)/2+1)&lt;&gt;"Starfsbundið",DM26="",DM$8="",DM$7=""),"",ROUND(DM26/DM$8*DM$7*KVARDI,2))</f>
        <v/>
      </c>
      <c r="DO26" s="39"/>
      <c r="DP26" s="40" t="str">
        <f aca="false">IF(OR(INDEX(Undirviðmið!$G$6:$G$105,(COLUMN()-7-1)/2+1)&lt;&gt;"Starfsbundið",DO26="",DO$8="",DO$7=""),"",ROUND(DO26/DO$8*DO$7*KVARDI,2))</f>
        <v/>
      </c>
      <c r="DQ26" s="39"/>
      <c r="DR26" s="40" t="str">
        <f aca="false">IF(OR(INDEX(Undirviðmið!$G$6:$G$105,(COLUMN()-7-1)/2+1)&lt;&gt;"Starfsbundið",DQ26="",DQ$8="",DQ$7=""),"",ROUND(DQ26/DQ$8*DQ$7*KVARDI,2))</f>
        <v/>
      </c>
      <c r="DS26" s="39"/>
      <c r="DT26" s="40" t="str">
        <f aca="false">IF(OR(INDEX(Undirviðmið!$G$6:$G$105,(COLUMN()-7-1)/2+1)&lt;&gt;"Starfsbundið",DS26="",DS$8="",DS$7=""),"",ROUND(DS26/DS$8*DS$7*KVARDI,2))</f>
        <v/>
      </c>
      <c r="DU26" s="39"/>
      <c r="DV26" s="40" t="str">
        <f aca="false">IF(OR(INDEX(Undirviðmið!$G$6:$G$105,(COLUMN()-7-1)/2+1)&lt;&gt;"Starfsbundið",DU26="",DU$8="",DU$7=""),"",ROUND(DU26/DU$8*DU$7*KVARDI,2))</f>
        <v/>
      </c>
      <c r="DW26" s="39"/>
      <c r="DX26" s="40" t="str">
        <f aca="false">IF(OR(INDEX(Undirviðmið!$G$6:$G$105,(COLUMN()-7-1)/2+1)&lt;&gt;"Starfsbundið",DW26="",DW$8="",DW$7=""),"",ROUND(DW26/DW$8*DW$7*KVARDI,2))</f>
        <v/>
      </c>
      <c r="DY26" s="39"/>
      <c r="DZ26" s="40" t="str">
        <f aca="false">IF(OR(INDEX(Undirviðmið!$G$6:$G$105,(COLUMN()-7-1)/2+1)&lt;&gt;"Starfsbundið",DY26="",DY$8="",DY$7=""),"",ROUND(DY26/DY$8*DY$7*KVARDI,2))</f>
        <v/>
      </c>
      <c r="EA26" s="39"/>
      <c r="EB26" s="40" t="str">
        <f aca="false">IF(OR(INDEX(Undirviðmið!$G$6:$G$105,(COLUMN()-7-1)/2+1)&lt;&gt;"Starfsbundið",EA26="",EA$8="",EA$7=""),"",ROUND(EA26/EA$8*EA$7*KVARDI,2))</f>
        <v/>
      </c>
      <c r="EC26" s="39"/>
      <c r="ED26" s="40" t="str">
        <f aca="false">IF(OR(INDEX(Undirviðmið!$G$6:$G$105,(COLUMN()-7-1)/2+1)&lt;&gt;"Starfsbundið",EC26="",EC$8="",EC$7=""),"",ROUND(EC26/EC$8*EC$7*KVARDI,2))</f>
        <v/>
      </c>
      <c r="EE26" s="39"/>
      <c r="EF26" s="40" t="str">
        <f aca="false">IF(OR(INDEX(Undirviðmið!$G$6:$G$105,(COLUMN()-7-1)/2+1)&lt;&gt;"Starfsbundið",EE26="",EE$8="",EE$7=""),"",ROUND(EE26/EE$8*EE$7*KVARDI,2))</f>
        <v/>
      </c>
      <c r="EG26" s="39"/>
      <c r="EH26" s="40" t="str">
        <f aca="false">IF(OR(INDEX(Undirviðmið!$G$6:$G$105,(COLUMN()-7-1)/2+1)&lt;&gt;"Starfsbundið",EG26="",EG$8="",EG$7=""),"",ROUND(EG26/EG$8*EG$7*KVARDI,2))</f>
        <v/>
      </c>
      <c r="EI26" s="39"/>
      <c r="EJ26" s="40" t="str">
        <f aca="false">IF(OR(INDEX(Undirviðmið!$G$6:$G$105,(COLUMN()-7-1)/2+1)&lt;&gt;"Starfsbundið",EI26="",EI$8="",EI$7=""),"",ROUND(EI26/EI$8*EI$7*KVARDI,2))</f>
        <v/>
      </c>
      <c r="EK26" s="39"/>
      <c r="EL26" s="40" t="str">
        <f aca="false">IF(OR(INDEX(Undirviðmið!$G$6:$G$105,(COLUMN()-7-1)/2+1)&lt;&gt;"Starfsbundið",EK26="",EK$8="",EK$7=""),"",ROUND(EK26/EK$8*EK$7*KVARDI,2))</f>
        <v/>
      </c>
      <c r="EM26" s="39"/>
      <c r="EN26" s="40" t="str">
        <f aca="false">IF(OR(INDEX(Undirviðmið!$G$6:$G$105,(COLUMN()-7-1)/2+1)&lt;&gt;"Starfsbundið",EM26="",EM$8="",EM$7=""),"",ROUND(EM26/EM$8*EM$7*KVARDI,2))</f>
        <v/>
      </c>
      <c r="EO26" s="39"/>
      <c r="EP26" s="40" t="str">
        <f aca="false">IF(OR(INDEX(Undirviðmið!$G$6:$G$105,(COLUMN()-7-1)/2+1)&lt;&gt;"Starfsbundið",EO26="",EO$8="",EO$7=""),"",ROUND(EO26/EO$8*EO$7*KVARDI,2))</f>
        <v/>
      </c>
      <c r="EQ26" s="39"/>
      <c r="ER26" s="40" t="str">
        <f aca="false">IF(OR(INDEX(Undirviðmið!$G$6:$G$105,(COLUMN()-7-1)/2+1)&lt;&gt;"Starfsbundið",EQ26="",EQ$8="",EQ$7=""),"",ROUND(EQ26/EQ$8*EQ$7*KVARDI,2))</f>
        <v/>
      </c>
      <c r="ES26" s="39"/>
      <c r="ET26" s="40" t="str">
        <f aca="false">IF(OR(INDEX(Undirviðmið!$G$6:$G$105,(COLUMN()-7-1)/2+1)&lt;&gt;"Starfsbundið",ES26="",ES$8="",ES$7=""),"",ROUND(ES26/ES$8*ES$7*KVARDI,2))</f>
        <v/>
      </c>
      <c r="EU26" s="39"/>
      <c r="EV26" s="40" t="str">
        <f aca="false">IF(OR(INDEX(Undirviðmið!$G$6:$G$105,(COLUMN()-7-1)/2+1)&lt;&gt;"Starfsbundið",EU26="",EU$8="",EU$7=""),"",ROUND(EU26/EU$8*EU$7*KVARDI,2))</f>
        <v/>
      </c>
      <c r="EW26" s="39"/>
      <c r="EX26" s="40" t="str">
        <f aca="false">IF(OR(INDEX(Undirviðmið!$G$6:$G$105,(COLUMN()-7-1)/2+1)&lt;&gt;"Starfsbundið",EW26="",EW$8="",EW$7=""),"",ROUND(EW26/EW$8*EW$7*KVARDI,2))</f>
        <v/>
      </c>
      <c r="EY26" s="39"/>
      <c r="EZ26" s="40" t="str">
        <f aca="false">IF(OR(INDEX(Undirviðmið!$G$6:$G$105,(COLUMN()-7-1)/2+1)&lt;&gt;"Starfsbundið",EY26="",EY$8="",EY$7=""),"",ROUND(EY26/EY$8*EY$7*KVARDI,2))</f>
        <v/>
      </c>
      <c r="FA26" s="39"/>
      <c r="FB26" s="40" t="str">
        <f aca="false">IF(OR(INDEX(Undirviðmið!$G$6:$G$105,(COLUMN()-7-1)/2+1)&lt;&gt;"Starfsbundið",FA26="",FA$8="",FA$7=""),"",ROUND(FA26/FA$8*FA$7*KVARDI,2))</f>
        <v/>
      </c>
      <c r="FC26" s="39"/>
      <c r="FD26" s="40" t="str">
        <f aca="false">IF(OR(INDEX(Undirviðmið!$G$6:$G$105,(COLUMN()-7-1)/2+1)&lt;&gt;"Starfsbundið",FC26="",FC$8="",FC$7=""),"",ROUND(FC26/FC$8*FC$7*KVARDI,2))</f>
        <v/>
      </c>
      <c r="FE26" s="39"/>
      <c r="FF26" s="40" t="str">
        <f aca="false">IF(OR(INDEX(Undirviðmið!$G$6:$G$105,(COLUMN()-7-1)/2+1)&lt;&gt;"Starfsbundið",FE26="",FE$8="",FE$7=""),"",ROUND(FE26/FE$8*FE$7*KVARDI,2))</f>
        <v/>
      </c>
      <c r="FG26" s="39"/>
      <c r="FH26" s="40" t="str">
        <f aca="false">IF(OR(INDEX(Undirviðmið!$G$6:$G$105,(COLUMN()-7-1)/2+1)&lt;&gt;"Starfsbundið",FG26="",FG$8="",FG$7=""),"",ROUND(FG26/FG$8*FG$7*KVARDI,2))</f>
        <v/>
      </c>
      <c r="FI26" s="39"/>
      <c r="FJ26" s="40" t="str">
        <f aca="false">IF(OR(INDEX(Undirviðmið!$G$6:$G$105,(COLUMN()-7-1)/2+1)&lt;&gt;"Starfsbundið",FI26="",FI$8="",FI$7=""),"",ROUND(FI26/FI$8*FI$7*KVARDI,2))</f>
        <v/>
      </c>
      <c r="FK26" s="39"/>
      <c r="FL26" s="40" t="str">
        <f aca="false">IF(OR(INDEX(Undirviðmið!$G$6:$G$105,(COLUMN()-7-1)/2+1)&lt;&gt;"Starfsbundið",FK26="",FK$8="",FK$7=""),"",ROUND(FK26/FK$8*FK$7*KVARDI,2))</f>
        <v/>
      </c>
      <c r="FM26" s="39"/>
      <c r="FN26" s="40" t="str">
        <f aca="false">IF(OR(INDEX(Undirviðmið!$G$6:$G$105,(COLUMN()-7-1)/2+1)&lt;&gt;"Starfsbundið",FM26="",FM$8="",FM$7=""),"",ROUND(FM26/FM$8*FM$7*KVARDI,2))</f>
        <v/>
      </c>
      <c r="FO26" s="39"/>
      <c r="FP26" s="40" t="str">
        <f aca="false">IF(OR(INDEX(Undirviðmið!$G$6:$G$105,(COLUMN()-7-1)/2+1)&lt;&gt;"Starfsbundið",FO26="",FO$8="",FO$7=""),"",ROUND(FO26/FO$8*FO$7*KVARDI,2))</f>
        <v/>
      </c>
      <c r="FQ26" s="39"/>
      <c r="FR26" s="40" t="str">
        <f aca="false">IF(OR(INDEX(Undirviðmið!$G$6:$G$105,(COLUMN()-7-1)/2+1)&lt;&gt;"Starfsbundið",FQ26="",FQ$8="",FQ$7=""),"",ROUND(FQ26/FQ$8*FQ$7*KVARDI,2))</f>
        <v/>
      </c>
      <c r="FS26" s="39"/>
      <c r="FT26" s="40" t="str">
        <f aca="false">IF(OR(INDEX(Undirviðmið!$G$6:$G$105,(COLUMN()-7-1)/2+1)&lt;&gt;"Starfsbundið",FS26="",FS$8="",FS$7=""),"",ROUND(FS26/FS$8*FS$7*KVARDI,2))</f>
        <v/>
      </c>
      <c r="FU26" s="39"/>
      <c r="FV26" s="40" t="str">
        <f aca="false">IF(OR(INDEX(Undirviðmið!$G$6:$G$105,(COLUMN()-7-1)/2+1)&lt;&gt;"Starfsbundið",FU26="",FU$8="",FU$7=""),"",ROUND(FU26/FU$8*FU$7*KVARDI,2))</f>
        <v/>
      </c>
      <c r="FW26" s="39"/>
      <c r="FX26" s="40" t="str">
        <f aca="false">IF(OR(INDEX(Undirviðmið!$G$6:$G$105,(COLUMN()-7-1)/2+1)&lt;&gt;"Starfsbundið",FW26="",FW$8="",FW$7=""),"",ROUND(FW26/FW$8*FW$7*KVARDI,2))</f>
        <v/>
      </c>
      <c r="FY26" s="39"/>
      <c r="FZ26" s="40" t="str">
        <f aca="false">IF(OR(INDEX(Undirviðmið!$G$6:$G$105,(COLUMN()-7-1)/2+1)&lt;&gt;"Starfsbundið",FY26="",FY$8="",FY$7=""),"",ROUND(FY26/FY$8*FY$7*KVARDI,2))</f>
        <v/>
      </c>
      <c r="GA26" s="39"/>
      <c r="GB26" s="40" t="str">
        <f aca="false">IF(OR(INDEX(Undirviðmið!$G$6:$G$105,(COLUMN()-7-1)/2+1)&lt;&gt;"Starfsbundið",GA26="",GA$8="",GA$7=""),"",ROUND(GA26/GA$8*GA$7*KVARDI,2))</f>
        <v/>
      </c>
      <c r="GC26" s="39"/>
      <c r="GD26" s="40" t="str">
        <f aca="false">IF(OR(INDEX(Undirviðmið!$G$6:$G$105,(COLUMN()-7-1)/2+1)&lt;&gt;"Starfsbundið",GC26="",GC$8="",GC$7=""),"",ROUND(GC26/GC$8*GC$7*KVARDI,2))</f>
        <v/>
      </c>
      <c r="GE26" s="39"/>
      <c r="GF26" s="40" t="str">
        <f aca="false">IF(OR(INDEX(Undirviðmið!$G$6:$G$105,(COLUMN()-7-1)/2+1)&lt;&gt;"Starfsbundið",GE26="",GE$8="",GE$7=""),"",ROUND(GE26/GE$8*GE$7*KVARDI,2))</f>
        <v/>
      </c>
      <c r="GG26" s="39"/>
      <c r="GH26" s="40" t="str">
        <f aca="false">IF(OR(INDEX(Undirviðmið!$G$6:$G$105,(COLUMN()-7-1)/2+1)&lt;&gt;"Starfsbundið",GG26="",GG$8="",GG$7=""),"",ROUND(GG26/GG$8*GG$7*KVARDI,2))</f>
        <v/>
      </c>
      <c r="GI26" s="39"/>
      <c r="GJ26" s="40" t="str">
        <f aca="false">IF(OR(INDEX(Undirviðmið!$G$6:$G$105,(COLUMN()-7-1)/2+1)&lt;&gt;"Starfsbundið",GI26="",GI$8="",GI$7=""),"",ROUND(GI26/GI$8*GI$7*KVARDI,2))</f>
        <v/>
      </c>
      <c r="GK26" s="39"/>
      <c r="GL26" s="40" t="str">
        <f aca="false">IF(OR(INDEX(Undirviðmið!$G$6:$G$105,(COLUMN()-7-1)/2+1)&lt;&gt;"Starfsbundið",GK26="",GK$8="",GK$7=""),"",ROUND(GK26/GK$8*GK$7*KVARDI,2))</f>
        <v/>
      </c>
      <c r="GM26" s="39"/>
      <c r="GN26" s="40" t="str">
        <f aca="false">IF(OR(INDEX(Undirviðmið!$G$6:$G$105,(COLUMN()-7-1)/2+1)&lt;&gt;"Starfsbundið",GM26="",GM$8="",GM$7=""),"",ROUND(GM26/GM$8*GM$7*KVARDI,2))</f>
        <v/>
      </c>
      <c r="GO26" s="39"/>
      <c r="GP26" s="40" t="str">
        <f aca="false">IF(OR(INDEX(Undirviðmið!$G$6:$G$105,(COLUMN()-7-1)/2+1)&lt;&gt;"Starfsbundið",GO26="",GO$8="",GO$7=""),"",ROUND(GO26/GO$8*GO$7*KVARDI,2))</f>
        <v/>
      </c>
      <c r="GQ26" s="39"/>
      <c r="GR26" s="40" t="str">
        <f aca="false">IF(OR(INDEX(Undirviðmið!$G$6:$G$105,(COLUMN()-7-1)/2+1)&lt;&gt;"Starfsbundið",GQ26="",GQ$8="",GQ$7=""),"",ROUND(GQ26/GQ$8*GQ$7*KVARDI,2))</f>
        <v/>
      </c>
      <c r="GS26" s="39"/>
      <c r="GT26" s="40" t="str">
        <f aca="false">IF(OR(INDEX(Undirviðmið!$G$6:$G$105,(COLUMN()-7-1)/2+1)&lt;&gt;"Starfsbundið",GS26="",GS$8="",GS$7=""),"",ROUND(GS26/GS$8*GS$7*KVARDI,2))</f>
        <v/>
      </c>
      <c r="GU26" s="39"/>
      <c r="GV26" s="40" t="str">
        <f aca="false">IF(OR(INDEX(Undirviðmið!$G$6:$G$105,(COLUMN()-7-1)/2+1)&lt;&gt;"Starfsbundið",GU26="",GU$8="",GU$7=""),"",ROUND(GU26/GU$8*GU$7*KVARDI,2))</f>
        <v/>
      </c>
      <c r="GW26" s="39"/>
      <c r="GX26" s="40" t="str">
        <f aca="false">IF(OR(INDEX(Undirviðmið!$G$6:$G$105,(COLUMN()-7-1)/2+1)&lt;&gt;"Starfsbundið",GW26="",GW$8="",GW$7=""),"",ROUND(GW26/GW$8*GW$7*KVARDI,2))</f>
        <v/>
      </c>
      <c r="GZ26" s="20"/>
    </row>
    <row r="27" customFormat="false" ht="15" hidden="true" customHeight="true" outlineLevel="1" collapsed="false">
      <c r="B27" s="37" t="str">
        <f aca="false" t="array" ref="B27:B27">IFERROR(INDEX(Starfsmenn!$C$6:$C$10005,MATCH(0,COUNTIF($B$11:B26,Starfsmenn!$C$6:$C$10005)+(Starfsmenn!$C$6:$C$10005=""),0)),"")</f>
        <v/>
      </c>
      <c r="C27" s="38" t="n">
        <f aca="false">IFERROR(SUMIF($G$10:$GX$10,"Stig",$G27:$GX27),0)</f>
        <v>0</v>
      </c>
      <c r="G27" s="39"/>
      <c r="H27" s="40" t="str">
        <f aca="false">IF(OR(INDEX(Undirviðmið!$G$6:$G$105,(COLUMN()-7-1)/2+1)&lt;&gt;"Starfsbundið",G27="",G$8="",G$7=""),"",ROUND(G27/G$8*G$7*KVARDI,2))</f>
        <v/>
      </c>
      <c r="I27" s="39"/>
      <c r="J27" s="40" t="str">
        <f aca="false">IF(OR(INDEX(Undirviðmið!$G$6:$G$105,(COLUMN()-7-1)/2+1)&lt;&gt;"Starfsbundið",I27="",I$8="",I$7=""),"",ROUND(I27/I$8*I$7*KVARDI,2))</f>
        <v/>
      </c>
      <c r="K27" s="39"/>
      <c r="L27" s="40" t="str">
        <f aca="false">IF(OR(INDEX(Undirviðmið!$G$6:$G$105,(COLUMN()-7-1)/2+1)&lt;&gt;"Starfsbundið",K27="",K$8="",K$7=""),"",ROUND(K27/K$8*K$7*KVARDI,2))</f>
        <v/>
      </c>
      <c r="M27" s="39"/>
      <c r="N27" s="40" t="str">
        <f aca="false">IF(OR(INDEX(Undirviðmið!$G$6:$G$105,(COLUMN()-7-1)/2+1)&lt;&gt;"Starfsbundið",M27="",M$8="",M$7=""),"",ROUND(M27/M$8*M$7*KVARDI,2))</f>
        <v/>
      </c>
      <c r="O27" s="39"/>
      <c r="P27" s="40" t="str">
        <f aca="false">IF(OR(INDEX(Undirviðmið!$G$6:$G$105,(COLUMN()-7-1)/2+1)&lt;&gt;"Starfsbundið",O27="",O$8="",O$7=""),"",ROUND(O27/O$8*O$7*KVARDI,2))</f>
        <v/>
      </c>
      <c r="Q27" s="39"/>
      <c r="R27" s="40" t="str">
        <f aca="false">IF(OR(INDEX(Undirviðmið!$G$6:$G$105,(COLUMN()-7-1)/2+1)&lt;&gt;"Starfsbundið",Q27="",Q$8="",Q$7=""),"",ROUND(Q27/Q$8*Q$7*KVARDI,2))</f>
        <v/>
      </c>
      <c r="S27" s="39"/>
      <c r="T27" s="40" t="str">
        <f aca="false">IF(OR(INDEX(Undirviðmið!$G$6:$G$105,(COLUMN()-7-1)/2+1)&lt;&gt;"Starfsbundið",S27="",S$8="",S$7=""),"",ROUND(S27/S$8*S$7*KVARDI,2))</f>
        <v/>
      </c>
      <c r="U27" s="39"/>
      <c r="V27" s="40" t="str">
        <f aca="false">IF(OR(INDEX(Undirviðmið!$G$6:$G$105,(COLUMN()-7-1)/2+1)&lt;&gt;"Starfsbundið",U27="",U$8="",U$7=""),"",ROUND(U27/U$8*U$7*KVARDI,2))</f>
        <v/>
      </c>
      <c r="W27" s="39"/>
      <c r="X27" s="40" t="str">
        <f aca="false">IF(OR(INDEX(Undirviðmið!$G$6:$G$105,(COLUMN()-7-1)/2+1)&lt;&gt;"Starfsbundið",W27="",W$8="",W$7=""),"",ROUND(W27/W$8*W$7*KVARDI,2))</f>
        <v/>
      </c>
      <c r="Y27" s="39"/>
      <c r="Z27" s="40" t="str">
        <f aca="false">IF(OR(INDEX(Undirviðmið!$G$6:$G$105,(COLUMN()-7-1)/2+1)&lt;&gt;"Starfsbundið",Y27="",Y$8="",Y$7=""),"",ROUND(Y27/Y$8*Y$7*KVARDI,2))</f>
        <v/>
      </c>
      <c r="AA27" s="39"/>
      <c r="AB27" s="40" t="str">
        <f aca="false">IF(OR(INDEX(Undirviðmið!$G$6:$G$105,(COLUMN()-7-1)/2+1)&lt;&gt;"Starfsbundið",AA27="",AA$8="",AA$7=""),"",ROUND(AA27/AA$8*AA$7*KVARDI,2))</f>
        <v/>
      </c>
      <c r="AC27" s="39"/>
      <c r="AD27" s="40" t="str">
        <f aca="false">IF(OR(INDEX(Undirviðmið!$G$6:$G$105,(COLUMN()-7-1)/2+1)&lt;&gt;"Starfsbundið",AC27="",AC$8="",AC$7=""),"",ROUND(AC27/AC$8*AC$7*KVARDI,2))</f>
        <v/>
      </c>
      <c r="AE27" s="39"/>
      <c r="AF27" s="40" t="str">
        <f aca="false">IF(OR(INDEX(Undirviðmið!$G$6:$G$105,(COLUMN()-7-1)/2+1)&lt;&gt;"Starfsbundið",AE27="",AE$8="",AE$7=""),"",ROUND(AE27/AE$8*AE$7*KVARDI,2))</f>
        <v/>
      </c>
      <c r="AG27" s="39"/>
      <c r="AH27" s="40" t="str">
        <f aca="false">IF(OR(INDEX(Undirviðmið!$G$6:$G$105,(COLUMN()-7-1)/2+1)&lt;&gt;"Starfsbundið",AG27="",AG$8="",AG$7=""),"",ROUND(AG27/AG$8*AG$7*KVARDI,2))</f>
        <v/>
      </c>
      <c r="AI27" s="39"/>
      <c r="AJ27" s="40" t="str">
        <f aca="false">IF(OR(INDEX(Undirviðmið!$G$6:$G$105,(COLUMN()-7-1)/2+1)&lt;&gt;"Starfsbundið",AI27="",AI$8="",AI$7=""),"",ROUND(AI27/AI$8*AI$7*KVARDI,2))</f>
        <v/>
      </c>
      <c r="AK27" s="39"/>
      <c r="AL27" s="40" t="str">
        <f aca="false">IF(OR(INDEX(Undirviðmið!$G$6:$G$105,(COLUMN()-7-1)/2+1)&lt;&gt;"Starfsbundið",AK27="",AK$8="",AK$7=""),"",ROUND(AK27/AK$8*AK$7*KVARDI,2))</f>
        <v/>
      </c>
      <c r="AM27" s="39"/>
      <c r="AN27" s="40" t="str">
        <f aca="false">IF(OR(INDEX(Undirviðmið!$G$6:$G$105,(COLUMN()-7-1)/2+1)&lt;&gt;"Starfsbundið",AM27="",AM$8="",AM$7=""),"",ROUND(AM27/AM$8*AM$7*KVARDI,2))</f>
        <v/>
      </c>
      <c r="AO27" s="39"/>
      <c r="AP27" s="40" t="str">
        <f aca="false">IF(OR(INDEX(Undirviðmið!$G$6:$G$105,(COLUMN()-7-1)/2+1)&lt;&gt;"Starfsbundið",AO27="",AO$8="",AO$7=""),"",ROUND(AO27/AO$8*AO$7*KVARDI,2))</f>
        <v/>
      </c>
      <c r="AQ27" s="39"/>
      <c r="AR27" s="40" t="str">
        <f aca="false">IF(OR(INDEX(Undirviðmið!$G$6:$G$105,(COLUMN()-7-1)/2+1)&lt;&gt;"Starfsbundið",AQ27="",AQ$8="",AQ$7=""),"",ROUND(AQ27/AQ$8*AQ$7*KVARDI,2))</f>
        <v/>
      </c>
      <c r="AS27" s="39"/>
      <c r="AT27" s="40" t="str">
        <f aca="false">IF(OR(INDEX(Undirviðmið!$G$6:$G$105,(COLUMN()-7-1)/2+1)&lt;&gt;"Starfsbundið",AS27="",AS$8="",AS$7=""),"",ROUND(AS27/AS$8*AS$7*KVARDI,2))</f>
        <v/>
      </c>
      <c r="AU27" s="39"/>
      <c r="AV27" s="40" t="str">
        <f aca="false">IF(OR(INDEX(Undirviðmið!$G$6:$G$105,(COLUMN()-7-1)/2+1)&lt;&gt;"Starfsbundið",AU27="",AU$8="",AU$7=""),"",ROUND(AU27/AU$8*AU$7*KVARDI,2))</f>
        <v/>
      </c>
      <c r="AW27" s="39"/>
      <c r="AX27" s="40" t="str">
        <f aca="false">IF(OR(INDEX(Undirviðmið!$G$6:$G$105,(COLUMN()-7-1)/2+1)&lt;&gt;"Starfsbundið",AW27="",AW$8="",AW$7=""),"",ROUND(AW27/AW$8*AW$7*KVARDI,2))</f>
        <v/>
      </c>
      <c r="AY27" s="39"/>
      <c r="AZ27" s="40" t="str">
        <f aca="false">IF(OR(INDEX(Undirviðmið!$G$6:$G$105,(COLUMN()-7-1)/2+1)&lt;&gt;"Starfsbundið",AY27="",AY$8="",AY$7=""),"",ROUND(AY27/AY$8*AY$7*KVARDI,2))</f>
        <v/>
      </c>
      <c r="BA27" s="39"/>
      <c r="BB27" s="40" t="str">
        <f aca="false">IF(OR(INDEX(Undirviðmið!$G$6:$G$105,(COLUMN()-7-1)/2+1)&lt;&gt;"Starfsbundið",BA27="",BA$8="",BA$7=""),"",ROUND(BA27/BA$8*BA$7*KVARDI,2))</f>
        <v/>
      </c>
      <c r="BC27" s="39"/>
      <c r="BD27" s="40" t="str">
        <f aca="false">IF(OR(INDEX(Undirviðmið!$G$6:$G$105,(COLUMN()-7-1)/2+1)&lt;&gt;"Starfsbundið",BC27="",BC$8="",BC$7=""),"",ROUND(BC27/BC$8*BC$7*KVARDI,2))</f>
        <v/>
      </c>
      <c r="BE27" s="39"/>
      <c r="BF27" s="40" t="str">
        <f aca="false">IF(OR(INDEX(Undirviðmið!$G$6:$G$105,(COLUMN()-7-1)/2+1)&lt;&gt;"Starfsbundið",BE27="",BE$8="",BE$7=""),"",ROUND(BE27/BE$8*BE$7*KVARDI,2))</f>
        <v/>
      </c>
      <c r="BG27" s="39"/>
      <c r="BH27" s="40" t="str">
        <f aca="false">IF(OR(INDEX(Undirviðmið!$G$6:$G$105,(COLUMN()-7-1)/2+1)&lt;&gt;"Starfsbundið",BG27="",BG$8="",BG$7=""),"",ROUND(BG27/BG$8*BG$7*KVARDI,2))</f>
        <v/>
      </c>
      <c r="BI27" s="39"/>
      <c r="BJ27" s="40" t="str">
        <f aca="false">IF(OR(INDEX(Undirviðmið!$G$6:$G$105,(COLUMN()-7-1)/2+1)&lt;&gt;"Starfsbundið",BI27="",BI$8="",BI$7=""),"",ROUND(BI27/BI$8*BI$7*KVARDI,2))</f>
        <v/>
      </c>
      <c r="BK27" s="39"/>
      <c r="BL27" s="40" t="str">
        <f aca="false">IF(OR(INDEX(Undirviðmið!$G$6:$G$105,(COLUMN()-7-1)/2+1)&lt;&gt;"Starfsbundið",BK27="",BK$8="",BK$7=""),"",ROUND(BK27/BK$8*BK$7*KVARDI,2))</f>
        <v/>
      </c>
      <c r="BM27" s="39"/>
      <c r="BN27" s="40" t="str">
        <f aca="false">IF(OR(INDEX(Undirviðmið!$G$6:$G$105,(COLUMN()-7-1)/2+1)&lt;&gt;"Starfsbundið",BM27="",BM$8="",BM$7=""),"",ROUND(BM27/BM$8*BM$7*KVARDI,2))</f>
        <v/>
      </c>
      <c r="BO27" s="39"/>
      <c r="BP27" s="40" t="str">
        <f aca="false">IF(OR(INDEX(Undirviðmið!$G$6:$G$105,(COLUMN()-7-1)/2+1)&lt;&gt;"Starfsbundið",BO27="",BO$8="",BO$7=""),"",ROUND(BO27/BO$8*BO$7*KVARDI,2))</f>
        <v/>
      </c>
      <c r="BQ27" s="39"/>
      <c r="BR27" s="40" t="str">
        <f aca="false">IF(OR(INDEX(Undirviðmið!$G$6:$G$105,(COLUMN()-7-1)/2+1)&lt;&gt;"Starfsbundið",BQ27="",BQ$8="",BQ$7=""),"",ROUND(BQ27/BQ$8*BQ$7*KVARDI,2))</f>
        <v/>
      </c>
      <c r="BS27" s="39"/>
      <c r="BT27" s="40" t="str">
        <f aca="false">IF(OR(INDEX(Undirviðmið!$G$6:$G$105,(COLUMN()-7-1)/2+1)&lt;&gt;"Starfsbundið",BS27="",BS$8="",BS$7=""),"",ROUND(BS27/BS$8*BS$7*KVARDI,2))</f>
        <v/>
      </c>
      <c r="BU27" s="39"/>
      <c r="BV27" s="40" t="str">
        <f aca="false">IF(OR(INDEX(Undirviðmið!$G$6:$G$105,(COLUMN()-7-1)/2+1)&lt;&gt;"Starfsbundið",BU27="",BU$8="",BU$7=""),"",ROUND(BU27/BU$8*BU$7*KVARDI,2))</f>
        <v/>
      </c>
      <c r="BW27" s="39"/>
      <c r="BX27" s="40" t="str">
        <f aca="false">IF(OR(INDEX(Undirviðmið!$G$6:$G$105,(COLUMN()-7-1)/2+1)&lt;&gt;"Starfsbundið",BW27="",BW$8="",BW$7=""),"",ROUND(BW27/BW$8*BW$7*KVARDI,2))</f>
        <v/>
      </c>
      <c r="BY27" s="39"/>
      <c r="BZ27" s="40" t="str">
        <f aca="false">IF(OR(INDEX(Undirviðmið!$G$6:$G$105,(COLUMN()-7-1)/2+1)&lt;&gt;"Starfsbundið",BY27="",BY$8="",BY$7=""),"",ROUND(BY27/BY$8*BY$7*KVARDI,2))</f>
        <v/>
      </c>
      <c r="CA27" s="39"/>
      <c r="CB27" s="40" t="str">
        <f aca="false">IF(OR(INDEX(Undirviðmið!$G$6:$G$105,(COLUMN()-7-1)/2+1)&lt;&gt;"Starfsbundið",CA27="",CA$8="",CA$7=""),"",ROUND(CA27/CA$8*CA$7*KVARDI,2))</f>
        <v/>
      </c>
      <c r="CC27" s="39"/>
      <c r="CD27" s="40" t="str">
        <f aca="false">IF(OR(INDEX(Undirviðmið!$G$6:$G$105,(COLUMN()-7-1)/2+1)&lt;&gt;"Starfsbundið",CC27="",CC$8="",CC$7=""),"",ROUND(CC27/CC$8*CC$7*KVARDI,2))</f>
        <v/>
      </c>
      <c r="CE27" s="39"/>
      <c r="CF27" s="40" t="str">
        <f aca="false">IF(OR(INDEX(Undirviðmið!$G$6:$G$105,(COLUMN()-7-1)/2+1)&lt;&gt;"Starfsbundið",CE27="",CE$8="",CE$7=""),"",ROUND(CE27/CE$8*CE$7*KVARDI,2))</f>
        <v/>
      </c>
      <c r="CG27" s="39"/>
      <c r="CH27" s="40" t="str">
        <f aca="false">IF(OR(INDEX(Undirviðmið!$G$6:$G$105,(COLUMN()-7-1)/2+1)&lt;&gt;"Starfsbundið",CG27="",CG$8="",CG$7=""),"",ROUND(CG27/CG$8*CG$7*KVARDI,2))</f>
        <v/>
      </c>
      <c r="CI27" s="39"/>
      <c r="CJ27" s="40" t="str">
        <f aca="false">IF(OR(INDEX(Undirviðmið!$G$6:$G$105,(COLUMN()-7-1)/2+1)&lt;&gt;"Starfsbundið",CI27="",CI$8="",CI$7=""),"",ROUND(CI27/CI$8*CI$7*KVARDI,2))</f>
        <v/>
      </c>
      <c r="CK27" s="39"/>
      <c r="CL27" s="40" t="str">
        <f aca="false">IF(OR(INDEX(Undirviðmið!$G$6:$G$105,(COLUMN()-7-1)/2+1)&lt;&gt;"Starfsbundið",CK27="",CK$8="",CK$7=""),"",ROUND(CK27/CK$8*CK$7*KVARDI,2))</f>
        <v/>
      </c>
      <c r="CM27" s="39"/>
      <c r="CN27" s="40" t="str">
        <f aca="false">IF(OR(INDEX(Undirviðmið!$G$6:$G$105,(COLUMN()-7-1)/2+1)&lt;&gt;"Starfsbundið",CM27="",CM$8="",CM$7=""),"",ROUND(CM27/CM$8*CM$7*KVARDI,2))</f>
        <v/>
      </c>
      <c r="CO27" s="39"/>
      <c r="CP27" s="40" t="str">
        <f aca="false">IF(OR(INDEX(Undirviðmið!$G$6:$G$105,(COLUMN()-7-1)/2+1)&lt;&gt;"Starfsbundið",CO27="",CO$8="",CO$7=""),"",ROUND(CO27/CO$8*CO$7*KVARDI,2))</f>
        <v/>
      </c>
      <c r="CQ27" s="39"/>
      <c r="CR27" s="40" t="str">
        <f aca="false">IF(OR(INDEX(Undirviðmið!$G$6:$G$105,(COLUMN()-7-1)/2+1)&lt;&gt;"Starfsbundið",CQ27="",CQ$8="",CQ$7=""),"",ROUND(CQ27/CQ$8*CQ$7*KVARDI,2))</f>
        <v/>
      </c>
      <c r="CS27" s="39"/>
      <c r="CT27" s="40" t="str">
        <f aca="false">IF(OR(INDEX(Undirviðmið!$G$6:$G$105,(COLUMN()-7-1)/2+1)&lt;&gt;"Starfsbundið",CS27="",CS$8="",CS$7=""),"",ROUND(CS27/CS$8*CS$7*KVARDI,2))</f>
        <v/>
      </c>
      <c r="CU27" s="39"/>
      <c r="CV27" s="40" t="str">
        <f aca="false">IF(OR(INDEX(Undirviðmið!$G$6:$G$105,(COLUMN()-7-1)/2+1)&lt;&gt;"Starfsbundið",CU27="",CU$8="",CU$7=""),"",ROUND(CU27/CU$8*CU$7*KVARDI,2))</f>
        <v/>
      </c>
      <c r="CW27" s="39"/>
      <c r="CX27" s="40" t="str">
        <f aca="false">IF(OR(INDEX(Undirviðmið!$G$6:$G$105,(COLUMN()-7-1)/2+1)&lt;&gt;"Starfsbundið",CW27="",CW$8="",CW$7=""),"",ROUND(CW27/CW$8*CW$7*KVARDI,2))</f>
        <v/>
      </c>
      <c r="CY27" s="39"/>
      <c r="CZ27" s="40" t="str">
        <f aca="false">IF(OR(INDEX(Undirviðmið!$G$6:$G$105,(COLUMN()-7-1)/2+1)&lt;&gt;"Starfsbundið",CY27="",CY$8="",CY$7=""),"",ROUND(CY27/CY$8*CY$7*KVARDI,2))</f>
        <v/>
      </c>
      <c r="DA27" s="39"/>
      <c r="DB27" s="40" t="str">
        <f aca="false">IF(OR(INDEX(Undirviðmið!$G$6:$G$105,(COLUMN()-7-1)/2+1)&lt;&gt;"Starfsbundið",DA27="",DA$8="",DA$7=""),"",ROUND(DA27/DA$8*DA$7*KVARDI,2))</f>
        <v/>
      </c>
      <c r="DC27" s="39"/>
      <c r="DD27" s="40" t="str">
        <f aca="false">IF(OR(INDEX(Undirviðmið!$G$6:$G$105,(COLUMN()-7-1)/2+1)&lt;&gt;"Starfsbundið",DC27="",DC$8="",DC$7=""),"",ROUND(DC27/DC$8*DC$7*KVARDI,2))</f>
        <v/>
      </c>
      <c r="DE27" s="39"/>
      <c r="DF27" s="40" t="str">
        <f aca="false">IF(OR(INDEX(Undirviðmið!$G$6:$G$105,(COLUMN()-7-1)/2+1)&lt;&gt;"Starfsbundið",DE27="",DE$8="",DE$7=""),"",ROUND(DE27/DE$8*DE$7*KVARDI,2))</f>
        <v/>
      </c>
      <c r="DG27" s="39"/>
      <c r="DH27" s="40" t="str">
        <f aca="false">IF(OR(INDEX(Undirviðmið!$G$6:$G$105,(COLUMN()-7-1)/2+1)&lt;&gt;"Starfsbundið",DG27="",DG$8="",DG$7=""),"",ROUND(DG27/DG$8*DG$7*KVARDI,2))</f>
        <v/>
      </c>
      <c r="DI27" s="39"/>
      <c r="DJ27" s="40" t="str">
        <f aca="false">IF(OR(INDEX(Undirviðmið!$G$6:$G$105,(COLUMN()-7-1)/2+1)&lt;&gt;"Starfsbundið",DI27="",DI$8="",DI$7=""),"",ROUND(DI27/DI$8*DI$7*KVARDI,2))</f>
        <v/>
      </c>
      <c r="DK27" s="39"/>
      <c r="DL27" s="40" t="str">
        <f aca="false">IF(OR(INDEX(Undirviðmið!$G$6:$G$105,(COLUMN()-7-1)/2+1)&lt;&gt;"Starfsbundið",DK27="",DK$8="",DK$7=""),"",ROUND(DK27/DK$8*DK$7*KVARDI,2))</f>
        <v/>
      </c>
      <c r="DM27" s="39"/>
      <c r="DN27" s="40" t="str">
        <f aca="false">IF(OR(INDEX(Undirviðmið!$G$6:$G$105,(COLUMN()-7-1)/2+1)&lt;&gt;"Starfsbundið",DM27="",DM$8="",DM$7=""),"",ROUND(DM27/DM$8*DM$7*KVARDI,2))</f>
        <v/>
      </c>
      <c r="DO27" s="39"/>
      <c r="DP27" s="40" t="str">
        <f aca="false">IF(OR(INDEX(Undirviðmið!$G$6:$G$105,(COLUMN()-7-1)/2+1)&lt;&gt;"Starfsbundið",DO27="",DO$8="",DO$7=""),"",ROUND(DO27/DO$8*DO$7*KVARDI,2))</f>
        <v/>
      </c>
      <c r="DQ27" s="39"/>
      <c r="DR27" s="40" t="str">
        <f aca="false">IF(OR(INDEX(Undirviðmið!$G$6:$G$105,(COLUMN()-7-1)/2+1)&lt;&gt;"Starfsbundið",DQ27="",DQ$8="",DQ$7=""),"",ROUND(DQ27/DQ$8*DQ$7*KVARDI,2))</f>
        <v/>
      </c>
      <c r="DS27" s="39"/>
      <c r="DT27" s="40" t="str">
        <f aca="false">IF(OR(INDEX(Undirviðmið!$G$6:$G$105,(COLUMN()-7-1)/2+1)&lt;&gt;"Starfsbundið",DS27="",DS$8="",DS$7=""),"",ROUND(DS27/DS$8*DS$7*KVARDI,2))</f>
        <v/>
      </c>
      <c r="DU27" s="39"/>
      <c r="DV27" s="40" t="str">
        <f aca="false">IF(OR(INDEX(Undirviðmið!$G$6:$G$105,(COLUMN()-7-1)/2+1)&lt;&gt;"Starfsbundið",DU27="",DU$8="",DU$7=""),"",ROUND(DU27/DU$8*DU$7*KVARDI,2))</f>
        <v/>
      </c>
      <c r="DW27" s="39"/>
      <c r="DX27" s="40" t="str">
        <f aca="false">IF(OR(INDEX(Undirviðmið!$G$6:$G$105,(COLUMN()-7-1)/2+1)&lt;&gt;"Starfsbundið",DW27="",DW$8="",DW$7=""),"",ROUND(DW27/DW$8*DW$7*KVARDI,2))</f>
        <v/>
      </c>
      <c r="DY27" s="39"/>
      <c r="DZ27" s="40" t="str">
        <f aca="false">IF(OR(INDEX(Undirviðmið!$G$6:$G$105,(COLUMN()-7-1)/2+1)&lt;&gt;"Starfsbundið",DY27="",DY$8="",DY$7=""),"",ROUND(DY27/DY$8*DY$7*KVARDI,2))</f>
        <v/>
      </c>
      <c r="EA27" s="39"/>
      <c r="EB27" s="40" t="str">
        <f aca="false">IF(OR(INDEX(Undirviðmið!$G$6:$G$105,(COLUMN()-7-1)/2+1)&lt;&gt;"Starfsbundið",EA27="",EA$8="",EA$7=""),"",ROUND(EA27/EA$8*EA$7*KVARDI,2))</f>
        <v/>
      </c>
      <c r="EC27" s="39"/>
      <c r="ED27" s="40" t="str">
        <f aca="false">IF(OR(INDEX(Undirviðmið!$G$6:$G$105,(COLUMN()-7-1)/2+1)&lt;&gt;"Starfsbundið",EC27="",EC$8="",EC$7=""),"",ROUND(EC27/EC$8*EC$7*KVARDI,2))</f>
        <v/>
      </c>
      <c r="EE27" s="39"/>
      <c r="EF27" s="40" t="str">
        <f aca="false">IF(OR(INDEX(Undirviðmið!$G$6:$G$105,(COLUMN()-7-1)/2+1)&lt;&gt;"Starfsbundið",EE27="",EE$8="",EE$7=""),"",ROUND(EE27/EE$8*EE$7*KVARDI,2))</f>
        <v/>
      </c>
      <c r="EG27" s="39"/>
      <c r="EH27" s="40" t="str">
        <f aca="false">IF(OR(INDEX(Undirviðmið!$G$6:$G$105,(COLUMN()-7-1)/2+1)&lt;&gt;"Starfsbundið",EG27="",EG$8="",EG$7=""),"",ROUND(EG27/EG$8*EG$7*KVARDI,2))</f>
        <v/>
      </c>
      <c r="EI27" s="39"/>
      <c r="EJ27" s="40" t="str">
        <f aca="false">IF(OR(INDEX(Undirviðmið!$G$6:$G$105,(COLUMN()-7-1)/2+1)&lt;&gt;"Starfsbundið",EI27="",EI$8="",EI$7=""),"",ROUND(EI27/EI$8*EI$7*KVARDI,2))</f>
        <v/>
      </c>
      <c r="EK27" s="39"/>
      <c r="EL27" s="40" t="str">
        <f aca="false">IF(OR(INDEX(Undirviðmið!$G$6:$G$105,(COLUMN()-7-1)/2+1)&lt;&gt;"Starfsbundið",EK27="",EK$8="",EK$7=""),"",ROUND(EK27/EK$8*EK$7*KVARDI,2))</f>
        <v/>
      </c>
      <c r="EM27" s="39"/>
      <c r="EN27" s="40" t="str">
        <f aca="false">IF(OR(INDEX(Undirviðmið!$G$6:$G$105,(COLUMN()-7-1)/2+1)&lt;&gt;"Starfsbundið",EM27="",EM$8="",EM$7=""),"",ROUND(EM27/EM$8*EM$7*KVARDI,2))</f>
        <v/>
      </c>
      <c r="EO27" s="39"/>
      <c r="EP27" s="40" t="str">
        <f aca="false">IF(OR(INDEX(Undirviðmið!$G$6:$G$105,(COLUMN()-7-1)/2+1)&lt;&gt;"Starfsbundið",EO27="",EO$8="",EO$7=""),"",ROUND(EO27/EO$8*EO$7*KVARDI,2))</f>
        <v/>
      </c>
      <c r="EQ27" s="39"/>
      <c r="ER27" s="40" t="str">
        <f aca="false">IF(OR(INDEX(Undirviðmið!$G$6:$G$105,(COLUMN()-7-1)/2+1)&lt;&gt;"Starfsbundið",EQ27="",EQ$8="",EQ$7=""),"",ROUND(EQ27/EQ$8*EQ$7*KVARDI,2))</f>
        <v/>
      </c>
      <c r="ES27" s="39"/>
      <c r="ET27" s="40" t="str">
        <f aca="false">IF(OR(INDEX(Undirviðmið!$G$6:$G$105,(COLUMN()-7-1)/2+1)&lt;&gt;"Starfsbundið",ES27="",ES$8="",ES$7=""),"",ROUND(ES27/ES$8*ES$7*KVARDI,2))</f>
        <v/>
      </c>
      <c r="EU27" s="39"/>
      <c r="EV27" s="40" t="str">
        <f aca="false">IF(OR(INDEX(Undirviðmið!$G$6:$G$105,(COLUMN()-7-1)/2+1)&lt;&gt;"Starfsbundið",EU27="",EU$8="",EU$7=""),"",ROUND(EU27/EU$8*EU$7*KVARDI,2))</f>
        <v/>
      </c>
      <c r="EW27" s="39"/>
      <c r="EX27" s="40" t="str">
        <f aca="false">IF(OR(INDEX(Undirviðmið!$G$6:$G$105,(COLUMN()-7-1)/2+1)&lt;&gt;"Starfsbundið",EW27="",EW$8="",EW$7=""),"",ROUND(EW27/EW$8*EW$7*KVARDI,2))</f>
        <v/>
      </c>
      <c r="EY27" s="39"/>
      <c r="EZ27" s="40" t="str">
        <f aca="false">IF(OR(INDEX(Undirviðmið!$G$6:$G$105,(COLUMN()-7-1)/2+1)&lt;&gt;"Starfsbundið",EY27="",EY$8="",EY$7=""),"",ROUND(EY27/EY$8*EY$7*KVARDI,2))</f>
        <v/>
      </c>
      <c r="FA27" s="39"/>
      <c r="FB27" s="40" t="str">
        <f aca="false">IF(OR(INDEX(Undirviðmið!$G$6:$G$105,(COLUMN()-7-1)/2+1)&lt;&gt;"Starfsbundið",FA27="",FA$8="",FA$7=""),"",ROUND(FA27/FA$8*FA$7*KVARDI,2))</f>
        <v/>
      </c>
      <c r="FC27" s="39"/>
      <c r="FD27" s="40" t="str">
        <f aca="false">IF(OR(INDEX(Undirviðmið!$G$6:$G$105,(COLUMN()-7-1)/2+1)&lt;&gt;"Starfsbundið",FC27="",FC$8="",FC$7=""),"",ROUND(FC27/FC$8*FC$7*KVARDI,2))</f>
        <v/>
      </c>
      <c r="FE27" s="39"/>
      <c r="FF27" s="40" t="str">
        <f aca="false">IF(OR(INDEX(Undirviðmið!$G$6:$G$105,(COLUMN()-7-1)/2+1)&lt;&gt;"Starfsbundið",FE27="",FE$8="",FE$7=""),"",ROUND(FE27/FE$8*FE$7*KVARDI,2))</f>
        <v/>
      </c>
      <c r="FG27" s="39"/>
      <c r="FH27" s="40" t="str">
        <f aca="false">IF(OR(INDEX(Undirviðmið!$G$6:$G$105,(COLUMN()-7-1)/2+1)&lt;&gt;"Starfsbundið",FG27="",FG$8="",FG$7=""),"",ROUND(FG27/FG$8*FG$7*KVARDI,2))</f>
        <v/>
      </c>
      <c r="FI27" s="39"/>
      <c r="FJ27" s="40" t="str">
        <f aca="false">IF(OR(INDEX(Undirviðmið!$G$6:$G$105,(COLUMN()-7-1)/2+1)&lt;&gt;"Starfsbundið",FI27="",FI$8="",FI$7=""),"",ROUND(FI27/FI$8*FI$7*KVARDI,2))</f>
        <v/>
      </c>
      <c r="FK27" s="39"/>
      <c r="FL27" s="40" t="str">
        <f aca="false">IF(OR(INDEX(Undirviðmið!$G$6:$G$105,(COLUMN()-7-1)/2+1)&lt;&gt;"Starfsbundið",FK27="",FK$8="",FK$7=""),"",ROUND(FK27/FK$8*FK$7*KVARDI,2))</f>
        <v/>
      </c>
      <c r="FM27" s="39"/>
      <c r="FN27" s="40" t="str">
        <f aca="false">IF(OR(INDEX(Undirviðmið!$G$6:$G$105,(COLUMN()-7-1)/2+1)&lt;&gt;"Starfsbundið",FM27="",FM$8="",FM$7=""),"",ROUND(FM27/FM$8*FM$7*KVARDI,2))</f>
        <v/>
      </c>
      <c r="FO27" s="39"/>
      <c r="FP27" s="40" t="str">
        <f aca="false">IF(OR(INDEX(Undirviðmið!$G$6:$G$105,(COLUMN()-7-1)/2+1)&lt;&gt;"Starfsbundið",FO27="",FO$8="",FO$7=""),"",ROUND(FO27/FO$8*FO$7*KVARDI,2))</f>
        <v/>
      </c>
      <c r="FQ27" s="39"/>
      <c r="FR27" s="40" t="str">
        <f aca="false">IF(OR(INDEX(Undirviðmið!$G$6:$G$105,(COLUMN()-7-1)/2+1)&lt;&gt;"Starfsbundið",FQ27="",FQ$8="",FQ$7=""),"",ROUND(FQ27/FQ$8*FQ$7*KVARDI,2))</f>
        <v/>
      </c>
      <c r="FS27" s="39"/>
      <c r="FT27" s="40" t="str">
        <f aca="false">IF(OR(INDEX(Undirviðmið!$G$6:$G$105,(COLUMN()-7-1)/2+1)&lt;&gt;"Starfsbundið",FS27="",FS$8="",FS$7=""),"",ROUND(FS27/FS$8*FS$7*KVARDI,2))</f>
        <v/>
      </c>
      <c r="FU27" s="39"/>
      <c r="FV27" s="40" t="str">
        <f aca="false">IF(OR(INDEX(Undirviðmið!$G$6:$G$105,(COLUMN()-7-1)/2+1)&lt;&gt;"Starfsbundið",FU27="",FU$8="",FU$7=""),"",ROUND(FU27/FU$8*FU$7*KVARDI,2))</f>
        <v/>
      </c>
      <c r="FW27" s="39"/>
      <c r="FX27" s="40" t="str">
        <f aca="false">IF(OR(INDEX(Undirviðmið!$G$6:$G$105,(COLUMN()-7-1)/2+1)&lt;&gt;"Starfsbundið",FW27="",FW$8="",FW$7=""),"",ROUND(FW27/FW$8*FW$7*KVARDI,2))</f>
        <v/>
      </c>
      <c r="FY27" s="39"/>
      <c r="FZ27" s="40" t="str">
        <f aca="false">IF(OR(INDEX(Undirviðmið!$G$6:$G$105,(COLUMN()-7-1)/2+1)&lt;&gt;"Starfsbundið",FY27="",FY$8="",FY$7=""),"",ROUND(FY27/FY$8*FY$7*KVARDI,2))</f>
        <v/>
      </c>
      <c r="GA27" s="39"/>
      <c r="GB27" s="40" t="str">
        <f aca="false">IF(OR(INDEX(Undirviðmið!$G$6:$G$105,(COLUMN()-7-1)/2+1)&lt;&gt;"Starfsbundið",GA27="",GA$8="",GA$7=""),"",ROUND(GA27/GA$8*GA$7*KVARDI,2))</f>
        <v/>
      </c>
      <c r="GC27" s="39"/>
      <c r="GD27" s="40" t="str">
        <f aca="false">IF(OR(INDEX(Undirviðmið!$G$6:$G$105,(COLUMN()-7-1)/2+1)&lt;&gt;"Starfsbundið",GC27="",GC$8="",GC$7=""),"",ROUND(GC27/GC$8*GC$7*KVARDI,2))</f>
        <v/>
      </c>
      <c r="GE27" s="39"/>
      <c r="GF27" s="40" t="str">
        <f aca="false">IF(OR(INDEX(Undirviðmið!$G$6:$G$105,(COLUMN()-7-1)/2+1)&lt;&gt;"Starfsbundið",GE27="",GE$8="",GE$7=""),"",ROUND(GE27/GE$8*GE$7*KVARDI,2))</f>
        <v/>
      </c>
      <c r="GG27" s="39"/>
      <c r="GH27" s="40" t="str">
        <f aca="false">IF(OR(INDEX(Undirviðmið!$G$6:$G$105,(COLUMN()-7-1)/2+1)&lt;&gt;"Starfsbundið",GG27="",GG$8="",GG$7=""),"",ROUND(GG27/GG$8*GG$7*KVARDI,2))</f>
        <v/>
      </c>
      <c r="GI27" s="39"/>
      <c r="GJ27" s="40" t="str">
        <f aca="false">IF(OR(INDEX(Undirviðmið!$G$6:$G$105,(COLUMN()-7-1)/2+1)&lt;&gt;"Starfsbundið",GI27="",GI$8="",GI$7=""),"",ROUND(GI27/GI$8*GI$7*KVARDI,2))</f>
        <v/>
      </c>
      <c r="GK27" s="39"/>
      <c r="GL27" s="40" t="str">
        <f aca="false">IF(OR(INDEX(Undirviðmið!$G$6:$G$105,(COLUMN()-7-1)/2+1)&lt;&gt;"Starfsbundið",GK27="",GK$8="",GK$7=""),"",ROUND(GK27/GK$8*GK$7*KVARDI,2))</f>
        <v/>
      </c>
      <c r="GM27" s="39"/>
      <c r="GN27" s="40" t="str">
        <f aca="false">IF(OR(INDEX(Undirviðmið!$G$6:$G$105,(COLUMN()-7-1)/2+1)&lt;&gt;"Starfsbundið",GM27="",GM$8="",GM$7=""),"",ROUND(GM27/GM$8*GM$7*KVARDI,2))</f>
        <v/>
      </c>
      <c r="GO27" s="39"/>
      <c r="GP27" s="40" t="str">
        <f aca="false">IF(OR(INDEX(Undirviðmið!$G$6:$G$105,(COLUMN()-7-1)/2+1)&lt;&gt;"Starfsbundið",GO27="",GO$8="",GO$7=""),"",ROUND(GO27/GO$8*GO$7*KVARDI,2))</f>
        <v/>
      </c>
      <c r="GQ27" s="39"/>
      <c r="GR27" s="40" t="str">
        <f aca="false">IF(OR(INDEX(Undirviðmið!$G$6:$G$105,(COLUMN()-7-1)/2+1)&lt;&gt;"Starfsbundið",GQ27="",GQ$8="",GQ$7=""),"",ROUND(GQ27/GQ$8*GQ$7*KVARDI,2))</f>
        <v/>
      </c>
      <c r="GS27" s="39"/>
      <c r="GT27" s="40" t="str">
        <f aca="false">IF(OR(INDEX(Undirviðmið!$G$6:$G$105,(COLUMN()-7-1)/2+1)&lt;&gt;"Starfsbundið",GS27="",GS$8="",GS$7=""),"",ROUND(GS27/GS$8*GS$7*KVARDI,2))</f>
        <v/>
      </c>
      <c r="GU27" s="39"/>
      <c r="GV27" s="40" t="str">
        <f aca="false">IF(OR(INDEX(Undirviðmið!$G$6:$G$105,(COLUMN()-7-1)/2+1)&lt;&gt;"Starfsbundið",GU27="",GU$8="",GU$7=""),"",ROUND(GU27/GU$8*GU$7*KVARDI,2))</f>
        <v/>
      </c>
      <c r="GW27" s="39"/>
      <c r="GX27" s="40" t="str">
        <f aca="false">IF(OR(INDEX(Undirviðmið!$G$6:$G$105,(COLUMN()-7-1)/2+1)&lt;&gt;"Starfsbundið",GW27="",GW$8="",GW$7=""),"",ROUND(GW27/GW$8*GW$7*KVARDI,2))</f>
        <v/>
      </c>
      <c r="GZ27" s="20"/>
    </row>
    <row r="28" customFormat="false" ht="15" hidden="true" customHeight="true" outlineLevel="1" collapsed="false">
      <c r="B28" s="37" t="str">
        <f aca="false" t="array" ref="B28:B28">IFERROR(INDEX(Starfsmenn!$C$6:$C$10005,MATCH(0,COUNTIF($B$11:B27,Starfsmenn!$C$6:$C$10005)+(Starfsmenn!$C$6:$C$10005=""),0)),"")</f>
        <v/>
      </c>
      <c r="C28" s="38" t="n">
        <f aca="false">IFERROR(SUMIF($G$10:$GX$10,"Stig",$G28:$GX28),0)</f>
        <v>0</v>
      </c>
      <c r="G28" s="39"/>
      <c r="H28" s="40" t="str">
        <f aca="false">IF(OR(INDEX(Undirviðmið!$G$6:$G$105,(COLUMN()-7-1)/2+1)&lt;&gt;"Starfsbundið",G28="",G$8="",G$7=""),"",ROUND(G28/G$8*G$7*KVARDI,2))</f>
        <v/>
      </c>
      <c r="I28" s="39"/>
      <c r="J28" s="40" t="str">
        <f aca="false">IF(OR(INDEX(Undirviðmið!$G$6:$G$105,(COLUMN()-7-1)/2+1)&lt;&gt;"Starfsbundið",I28="",I$8="",I$7=""),"",ROUND(I28/I$8*I$7*KVARDI,2))</f>
        <v/>
      </c>
      <c r="K28" s="39"/>
      <c r="L28" s="40" t="str">
        <f aca="false">IF(OR(INDEX(Undirviðmið!$G$6:$G$105,(COLUMN()-7-1)/2+1)&lt;&gt;"Starfsbundið",K28="",K$8="",K$7=""),"",ROUND(K28/K$8*K$7*KVARDI,2))</f>
        <v/>
      </c>
      <c r="M28" s="39"/>
      <c r="N28" s="40" t="str">
        <f aca="false">IF(OR(INDEX(Undirviðmið!$G$6:$G$105,(COLUMN()-7-1)/2+1)&lt;&gt;"Starfsbundið",M28="",M$8="",M$7=""),"",ROUND(M28/M$8*M$7*KVARDI,2))</f>
        <v/>
      </c>
      <c r="O28" s="39"/>
      <c r="P28" s="40" t="str">
        <f aca="false">IF(OR(INDEX(Undirviðmið!$G$6:$G$105,(COLUMN()-7-1)/2+1)&lt;&gt;"Starfsbundið",O28="",O$8="",O$7=""),"",ROUND(O28/O$8*O$7*KVARDI,2))</f>
        <v/>
      </c>
      <c r="Q28" s="39"/>
      <c r="R28" s="40" t="str">
        <f aca="false">IF(OR(INDEX(Undirviðmið!$G$6:$G$105,(COLUMN()-7-1)/2+1)&lt;&gt;"Starfsbundið",Q28="",Q$8="",Q$7=""),"",ROUND(Q28/Q$8*Q$7*KVARDI,2))</f>
        <v/>
      </c>
      <c r="S28" s="39"/>
      <c r="T28" s="40" t="str">
        <f aca="false">IF(OR(INDEX(Undirviðmið!$G$6:$G$105,(COLUMN()-7-1)/2+1)&lt;&gt;"Starfsbundið",S28="",S$8="",S$7=""),"",ROUND(S28/S$8*S$7*KVARDI,2))</f>
        <v/>
      </c>
      <c r="U28" s="39"/>
      <c r="V28" s="40" t="str">
        <f aca="false">IF(OR(INDEX(Undirviðmið!$G$6:$G$105,(COLUMN()-7-1)/2+1)&lt;&gt;"Starfsbundið",U28="",U$8="",U$7=""),"",ROUND(U28/U$8*U$7*KVARDI,2))</f>
        <v/>
      </c>
      <c r="W28" s="39"/>
      <c r="X28" s="40" t="str">
        <f aca="false">IF(OR(INDEX(Undirviðmið!$G$6:$G$105,(COLUMN()-7-1)/2+1)&lt;&gt;"Starfsbundið",W28="",W$8="",W$7=""),"",ROUND(W28/W$8*W$7*KVARDI,2))</f>
        <v/>
      </c>
      <c r="Y28" s="39"/>
      <c r="Z28" s="40" t="str">
        <f aca="false">IF(OR(INDEX(Undirviðmið!$G$6:$G$105,(COLUMN()-7-1)/2+1)&lt;&gt;"Starfsbundið",Y28="",Y$8="",Y$7=""),"",ROUND(Y28/Y$8*Y$7*KVARDI,2))</f>
        <v/>
      </c>
      <c r="AA28" s="39"/>
      <c r="AB28" s="40" t="str">
        <f aca="false">IF(OR(INDEX(Undirviðmið!$G$6:$G$105,(COLUMN()-7-1)/2+1)&lt;&gt;"Starfsbundið",AA28="",AA$8="",AA$7=""),"",ROUND(AA28/AA$8*AA$7*KVARDI,2))</f>
        <v/>
      </c>
      <c r="AC28" s="39"/>
      <c r="AD28" s="40" t="str">
        <f aca="false">IF(OR(INDEX(Undirviðmið!$G$6:$G$105,(COLUMN()-7-1)/2+1)&lt;&gt;"Starfsbundið",AC28="",AC$8="",AC$7=""),"",ROUND(AC28/AC$8*AC$7*KVARDI,2))</f>
        <v/>
      </c>
      <c r="AE28" s="39"/>
      <c r="AF28" s="40" t="str">
        <f aca="false">IF(OR(INDEX(Undirviðmið!$G$6:$G$105,(COLUMN()-7-1)/2+1)&lt;&gt;"Starfsbundið",AE28="",AE$8="",AE$7=""),"",ROUND(AE28/AE$8*AE$7*KVARDI,2))</f>
        <v/>
      </c>
      <c r="AG28" s="39"/>
      <c r="AH28" s="40" t="str">
        <f aca="false">IF(OR(INDEX(Undirviðmið!$G$6:$G$105,(COLUMN()-7-1)/2+1)&lt;&gt;"Starfsbundið",AG28="",AG$8="",AG$7=""),"",ROUND(AG28/AG$8*AG$7*KVARDI,2))</f>
        <v/>
      </c>
      <c r="AI28" s="39"/>
      <c r="AJ28" s="40" t="str">
        <f aca="false">IF(OR(INDEX(Undirviðmið!$G$6:$G$105,(COLUMN()-7-1)/2+1)&lt;&gt;"Starfsbundið",AI28="",AI$8="",AI$7=""),"",ROUND(AI28/AI$8*AI$7*KVARDI,2))</f>
        <v/>
      </c>
      <c r="AK28" s="39"/>
      <c r="AL28" s="40" t="str">
        <f aca="false">IF(OR(INDEX(Undirviðmið!$G$6:$G$105,(COLUMN()-7-1)/2+1)&lt;&gt;"Starfsbundið",AK28="",AK$8="",AK$7=""),"",ROUND(AK28/AK$8*AK$7*KVARDI,2))</f>
        <v/>
      </c>
      <c r="AM28" s="39"/>
      <c r="AN28" s="40" t="str">
        <f aca="false">IF(OR(INDEX(Undirviðmið!$G$6:$G$105,(COLUMN()-7-1)/2+1)&lt;&gt;"Starfsbundið",AM28="",AM$8="",AM$7=""),"",ROUND(AM28/AM$8*AM$7*KVARDI,2))</f>
        <v/>
      </c>
      <c r="AO28" s="39"/>
      <c r="AP28" s="40" t="str">
        <f aca="false">IF(OR(INDEX(Undirviðmið!$G$6:$G$105,(COLUMN()-7-1)/2+1)&lt;&gt;"Starfsbundið",AO28="",AO$8="",AO$7=""),"",ROUND(AO28/AO$8*AO$7*KVARDI,2))</f>
        <v/>
      </c>
      <c r="AQ28" s="39"/>
      <c r="AR28" s="40" t="str">
        <f aca="false">IF(OR(INDEX(Undirviðmið!$G$6:$G$105,(COLUMN()-7-1)/2+1)&lt;&gt;"Starfsbundið",AQ28="",AQ$8="",AQ$7=""),"",ROUND(AQ28/AQ$8*AQ$7*KVARDI,2))</f>
        <v/>
      </c>
      <c r="AS28" s="39"/>
      <c r="AT28" s="40" t="str">
        <f aca="false">IF(OR(INDEX(Undirviðmið!$G$6:$G$105,(COLUMN()-7-1)/2+1)&lt;&gt;"Starfsbundið",AS28="",AS$8="",AS$7=""),"",ROUND(AS28/AS$8*AS$7*KVARDI,2))</f>
        <v/>
      </c>
      <c r="AU28" s="39"/>
      <c r="AV28" s="40" t="str">
        <f aca="false">IF(OR(INDEX(Undirviðmið!$G$6:$G$105,(COLUMN()-7-1)/2+1)&lt;&gt;"Starfsbundið",AU28="",AU$8="",AU$7=""),"",ROUND(AU28/AU$8*AU$7*KVARDI,2))</f>
        <v/>
      </c>
      <c r="AW28" s="39"/>
      <c r="AX28" s="40" t="str">
        <f aca="false">IF(OR(INDEX(Undirviðmið!$G$6:$G$105,(COLUMN()-7-1)/2+1)&lt;&gt;"Starfsbundið",AW28="",AW$8="",AW$7=""),"",ROUND(AW28/AW$8*AW$7*KVARDI,2))</f>
        <v/>
      </c>
      <c r="AY28" s="39"/>
      <c r="AZ28" s="40" t="str">
        <f aca="false">IF(OR(INDEX(Undirviðmið!$G$6:$G$105,(COLUMN()-7-1)/2+1)&lt;&gt;"Starfsbundið",AY28="",AY$8="",AY$7=""),"",ROUND(AY28/AY$8*AY$7*KVARDI,2))</f>
        <v/>
      </c>
      <c r="BA28" s="39"/>
      <c r="BB28" s="40" t="str">
        <f aca="false">IF(OR(INDEX(Undirviðmið!$G$6:$G$105,(COLUMN()-7-1)/2+1)&lt;&gt;"Starfsbundið",BA28="",BA$8="",BA$7=""),"",ROUND(BA28/BA$8*BA$7*KVARDI,2))</f>
        <v/>
      </c>
      <c r="BC28" s="39"/>
      <c r="BD28" s="40" t="str">
        <f aca="false">IF(OR(INDEX(Undirviðmið!$G$6:$G$105,(COLUMN()-7-1)/2+1)&lt;&gt;"Starfsbundið",BC28="",BC$8="",BC$7=""),"",ROUND(BC28/BC$8*BC$7*KVARDI,2))</f>
        <v/>
      </c>
      <c r="BE28" s="39"/>
      <c r="BF28" s="40" t="str">
        <f aca="false">IF(OR(INDEX(Undirviðmið!$G$6:$G$105,(COLUMN()-7-1)/2+1)&lt;&gt;"Starfsbundið",BE28="",BE$8="",BE$7=""),"",ROUND(BE28/BE$8*BE$7*KVARDI,2))</f>
        <v/>
      </c>
      <c r="BG28" s="39"/>
      <c r="BH28" s="40" t="str">
        <f aca="false">IF(OR(INDEX(Undirviðmið!$G$6:$G$105,(COLUMN()-7-1)/2+1)&lt;&gt;"Starfsbundið",BG28="",BG$8="",BG$7=""),"",ROUND(BG28/BG$8*BG$7*KVARDI,2))</f>
        <v/>
      </c>
      <c r="BI28" s="39"/>
      <c r="BJ28" s="40" t="str">
        <f aca="false">IF(OR(INDEX(Undirviðmið!$G$6:$G$105,(COLUMN()-7-1)/2+1)&lt;&gt;"Starfsbundið",BI28="",BI$8="",BI$7=""),"",ROUND(BI28/BI$8*BI$7*KVARDI,2))</f>
        <v/>
      </c>
      <c r="BK28" s="39"/>
      <c r="BL28" s="40" t="str">
        <f aca="false">IF(OR(INDEX(Undirviðmið!$G$6:$G$105,(COLUMN()-7-1)/2+1)&lt;&gt;"Starfsbundið",BK28="",BK$8="",BK$7=""),"",ROUND(BK28/BK$8*BK$7*KVARDI,2))</f>
        <v/>
      </c>
      <c r="BM28" s="39"/>
      <c r="BN28" s="40" t="str">
        <f aca="false">IF(OR(INDEX(Undirviðmið!$G$6:$G$105,(COLUMN()-7-1)/2+1)&lt;&gt;"Starfsbundið",BM28="",BM$8="",BM$7=""),"",ROUND(BM28/BM$8*BM$7*KVARDI,2))</f>
        <v/>
      </c>
      <c r="BO28" s="39"/>
      <c r="BP28" s="40" t="str">
        <f aca="false">IF(OR(INDEX(Undirviðmið!$G$6:$G$105,(COLUMN()-7-1)/2+1)&lt;&gt;"Starfsbundið",BO28="",BO$8="",BO$7=""),"",ROUND(BO28/BO$8*BO$7*KVARDI,2))</f>
        <v/>
      </c>
      <c r="BQ28" s="39"/>
      <c r="BR28" s="40" t="str">
        <f aca="false">IF(OR(INDEX(Undirviðmið!$G$6:$G$105,(COLUMN()-7-1)/2+1)&lt;&gt;"Starfsbundið",BQ28="",BQ$8="",BQ$7=""),"",ROUND(BQ28/BQ$8*BQ$7*KVARDI,2))</f>
        <v/>
      </c>
      <c r="BS28" s="39"/>
      <c r="BT28" s="40" t="str">
        <f aca="false">IF(OR(INDEX(Undirviðmið!$G$6:$G$105,(COLUMN()-7-1)/2+1)&lt;&gt;"Starfsbundið",BS28="",BS$8="",BS$7=""),"",ROUND(BS28/BS$8*BS$7*KVARDI,2))</f>
        <v/>
      </c>
      <c r="BU28" s="39"/>
      <c r="BV28" s="40" t="str">
        <f aca="false">IF(OR(INDEX(Undirviðmið!$G$6:$G$105,(COLUMN()-7-1)/2+1)&lt;&gt;"Starfsbundið",BU28="",BU$8="",BU$7=""),"",ROUND(BU28/BU$8*BU$7*KVARDI,2))</f>
        <v/>
      </c>
      <c r="BW28" s="39"/>
      <c r="BX28" s="40" t="str">
        <f aca="false">IF(OR(INDEX(Undirviðmið!$G$6:$G$105,(COLUMN()-7-1)/2+1)&lt;&gt;"Starfsbundið",BW28="",BW$8="",BW$7=""),"",ROUND(BW28/BW$8*BW$7*KVARDI,2))</f>
        <v/>
      </c>
      <c r="BY28" s="39"/>
      <c r="BZ28" s="40" t="str">
        <f aca="false">IF(OR(INDEX(Undirviðmið!$G$6:$G$105,(COLUMN()-7-1)/2+1)&lt;&gt;"Starfsbundið",BY28="",BY$8="",BY$7=""),"",ROUND(BY28/BY$8*BY$7*KVARDI,2))</f>
        <v/>
      </c>
      <c r="CA28" s="39"/>
      <c r="CB28" s="40" t="str">
        <f aca="false">IF(OR(INDEX(Undirviðmið!$G$6:$G$105,(COLUMN()-7-1)/2+1)&lt;&gt;"Starfsbundið",CA28="",CA$8="",CA$7=""),"",ROUND(CA28/CA$8*CA$7*KVARDI,2))</f>
        <v/>
      </c>
      <c r="CC28" s="39"/>
      <c r="CD28" s="40" t="str">
        <f aca="false">IF(OR(INDEX(Undirviðmið!$G$6:$G$105,(COLUMN()-7-1)/2+1)&lt;&gt;"Starfsbundið",CC28="",CC$8="",CC$7=""),"",ROUND(CC28/CC$8*CC$7*KVARDI,2))</f>
        <v/>
      </c>
      <c r="CE28" s="39"/>
      <c r="CF28" s="40" t="str">
        <f aca="false">IF(OR(INDEX(Undirviðmið!$G$6:$G$105,(COLUMN()-7-1)/2+1)&lt;&gt;"Starfsbundið",CE28="",CE$8="",CE$7=""),"",ROUND(CE28/CE$8*CE$7*KVARDI,2))</f>
        <v/>
      </c>
      <c r="CG28" s="39"/>
      <c r="CH28" s="40" t="str">
        <f aca="false">IF(OR(INDEX(Undirviðmið!$G$6:$G$105,(COLUMN()-7-1)/2+1)&lt;&gt;"Starfsbundið",CG28="",CG$8="",CG$7=""),"",ROUND(CG28/CG$8*CG$7*KVARDI,2))</f>
        <v/>
      </c>
      <c r="CI28" s="39"/>
      <c r="CJ28" s="40" t="str">
        <f aca="false">IF(OR(INDEX(Undirviðmið!$G$6:$G$105,(COLUMN()-7-1)/2+1)&lt;&gt;"Starfsbundið",CI28="",CI$8="",CI$7=""),"",ROUND(CI28/CI$8*CI$7*KVARDI,2))</f>
        <v/>
      </c>
      <c r="CK28" s="39"/>
      <c r="CL28" s="40" t="str">
        <f aca="false">IF(OR(INDEX(Undirviðmið!$G$6:$G$105,(COLUMN()-7-1)/2+1)&lt;&gt;"Starfsbundið",CK28="",CK$8="",CK$7=""),"",ROUND(CK28/CK$8*CK$7*KVARDI,2))</f>
        <v/>
      </c>
      <c r="CM28" s="39"/>
      <c r="CN28" s="40" t="str">
        <f aca="false">IF(OR(INDEX(Undirviðmið!$G$6:$G$105,(COLUMN()-7-1)/2+1)&lt;&gt;"Starfsbundið",CM28="",CM$8="",CM$7=""),"",ROUND(CM28/CM$8*CM$7*KVARDI,2))</f>
        <v/>
      </c>
      <c r="CO28" s="39"/>
      <c r="CP28" s="40" t="str">
        <f aca="false">IF(OR(INDEX(Undirviðmið!$G$6:$G$105,(COLUMN()-7-1)/2+1)&lt;&gt;"Starfsbundið",CO28="",CO$8="",CO$7=""),"",ROUND(CO28/CO$8*CO$7*KVARDI,2))</f>
        <v/>
      </c>
      <c r="CQ28" s="39"/>
      <c r="CR28" s="40" t="str">
        <f aca="false">IF(OR(INDEX(Undirviðmið!$G$6:$G$105,(COLUMN()-7-1)/2+1)&lt;&gt;"Starfsbundið",CQ28="",CQ$8="",CQ$7=""),"",ROUND(CQ28/CQ$8*CQ$7*KVARDI,2))</f>
        <v/>
      </c>
      <c r="CS28" s="39"/>
      <c r="CT28" s="40" t="str">
        <f aca="false">IF(OR(INDEX(Undirviðmið!$G$6:$G$105,(COLUMN()-7-1)/2+1)&lt;&gt;"Starfsbundið",CS28="",CS$8="",CS$7=""),"",ROUND(CS28/CS$8*CS$7*KVARDI,2))</f>
        <v/>
      </c>
      <c r="CU28" s="39"/>
      <c r="CV28" s="40" t="str">
        <f aca="false">IF(OR(INDEX(Undirviðmið!$G$6:$G$105,(COLUMN()-7-1)/2+1)&lt;&gt;"Starfsbundið",CU28="",CU$8="",CU$7=""),"",ROUND(CU28/CU$8*CU$7*KVARDI,2))</f>
        <v/>
      </c>
      <c r="CW28" s="39"/>
      <c r="CX28" s="40" t="str">
        <f aca="false">IF(OR(INDEX(Undirviðmið!$G$6:$G$105,(COLUMN()-7-1)/2+1)&lt;&gt;"Starfsbundið",CW28="",CW$8="",CW$7=""),"",ROUND(CW28/CW$8*CW$7*KVARDI,2))</f>
        <v/>
      </c>
      <c r="CY28" s="39"/>
      <c r="CZ28" s="40" t="str">
        <f aca="false">IF(OR(INDEX(Undirviðmið!$G$6:$G$105,(COLUMN()-7-1)/2+1)&lt;&gt;"Starfsbundið",CY28="",CY$8="",CY$7=""),"",ROUND(CY28/CY$8*CY$7*KVARDI,2))</f>
        <v/>
      </c>
      <c r="DA28" s="39"/>
      <c r="DB28" s="40" t="str">
        <f aca="false">IF(OR(INDEX(Undirviðmið!$G$6:$G$105,(COLUMN()-7-1)/2+1)&lt;&gt;"Starfsbundið",DA28="",DA$8="",DA$7=""),"",ROUND(DA28/DA$8*DA$7*KVARDI,2))</f>
        <v/>
      </c>
      <c r="DC28" s="39"/>
      <c r="DD28" s="40" t="str">
        <f aca="false">IF(OR(INDEX(Undirviðmið!$G$6:$G$105,(COLUMN()-7-1)/2+1)&lt;&gt;"Starfsbundið",DC28="",DC$8="",DC$7=""),"",ROUND(DC28/DC$8*DC$7*KVARDI,2))</f>
        <v/>
      </c>
      <c r="DE28" s="39"/>
      <c r="DF28" s="40" t="str">
        <f aca="false">IF(OR(INDEX(Undirviðmið!$G$6:$G$105,(COLUMN()-7-1)/2+1)&lt;&gt;"Starfsbundið",DE28="",DE$8="",DE$7=""),"",ROUND(DE28/DE$8*DE$7*KVARDI,2))</f>
        <v/>
      </c>
      <c r="DG28" s="39"/>
      <c r="DH28" s="40" t="str">
        <f aca="false">IF(OR(INDEX(Undirviðmið!$G$6:$G$105,(COLUMN()-7-1)/2+1)&lt;&gt;"Starfsbundið",DG28="",DG$8="",DG$7=""),"",ROUND(DG28/DG$8*DG$7*KVARDI,2))</f>
        <v/>
      </c>
      <c r="DI28" s="39"/>
      <c r="DJ28" s="40" t="str">
        <f aca="false">IF(OR(INDEX(Undirviðmið!$G$6:$G$105,(COLUMN()-7-1)/2+1)&lt;&gt;"Starfsbundið",DI28="",DI$8="",DI$7=""),"",ROUND(DI28/DI$8*DI$7*KVARDI,2))</f>
        <v/>
      </c>
      <c r="DK28" s="39"/>
      <c r="DL28" s="40" t="str">
        <f aca="false">IF(OR(INDEX(Undirviðmið!$G$6:$G$105,(COLUMN()-7-1)/2+1)&lt;&gt;"Starfsbundið",DK28="",DK$8="",DK$7=""),"",ROUND(DK28/DK$8*DK$7*KVARDI,2))</f>
        <v/>
      </c>
      <c r="DM28" s="39"/>
      <c r="DN28" s="40" t="str">
        <f aca="false">IF(OR(INDEX(Undirviðmið!$G$6:$G$105,(COLUMN()-7-1)/2+1)&lt;&gt;"Starfsbundið",DM28="",DM$8="",DM$7=""),"",ROUND(DM28/DM$8*DM$7*KVARDI,2))</f>
        <v/>
      </c>
      <c r="DO28" s="39"/>
      <c r="DP28" s="40" t="str">
        <f aca="false">IF(OR(INDEX(Undirviðmið!$G$6:$G$105,(COLUMN()-7-1)/2+1)&lt;&gt;"Starfsbundið",DO28="",DO$8="",DO$7=""),"",ROUND(DO28/DO$8*DO$7*KVARDI,2))</f>
        <v/>
      </c>
      <c r="DQ28" s="39"/>
      <c r="DR28" s="40" t="str">
        <f aca="false">IF(OR(INDEX(Undirviðmið!$G$6:$G$105,(COLUMN()-7-1)/2+1)&lt;&gt;"Starfsbundið",DQ28="",DQ$8="",DQ$7=""),"",ROUND(DQ28/DQ$8*DQ$7*KVARDI,2))</f>
        <v/>
      </c>
      <c r="DS28" s="39"/>
      <c r="DT28" s="40" t="str">
        <f aca="false">IF(OR(INDEX(Undirviðmið!$G$6:$G$105,(COLUMN()-7-1)/2+1)&lt;&gt;"Starfsbundið",DS28="",DS$8="",DS$7=""),"",ROUND(DS28/DS$8*DS$7*KVARDI,2))</f>
        <v/>
      </c>
      <c r="DU28" s="39"/>
      <c r="DV28" s="40" t="str">
        <f aca="false">IF(OR(INDEX(Undirviðmið!$G$6:$G$105,(COLUMN()-7-1)/2+1)&lt;&gt;"Starfsbundið",DU28="",DU$8="",DU$7=""),"",ROUND(DU28/DU$8*DU$7*KVARDI,2))</f>
        <v/>
      </c>
      <c r="DW28" s="39"/>
      <c r="DX28" s="40" t="str">
        <f aca="false">IF(OR(INDEX(Undirviðmið!$G$6:$G$105,(COLUMN()-7-1)/2+1)&lt;&gt;"Starfsbundið",DW28="",DW$8="",DW$7=""),"",ROUND(DW28/DW$8*DW$7*KVARDI,2))</f>
        <v/>
      </c>
      <c r="DY28" s="39"/>
      <c r="DZ28" s="40" t="str">
        <f aca="false">IF(OR(INDEX(Undirviðmið!$G$6:$G$105,(COLUMN()-7-1)/2+1)&lt;&gt;"Starfsbundið",DY28="",DY$8="",DY$7=""),"",ROUND(DY28/DY$8*DY$7*KVARDI,2))</f>
        <v/>
      </c>
      <c r="EA28" s="39"/>
      <c r="EB28" s="40" t="str">
        <f aca="false">IF(OR(INDEX(Undirviðmið!$G$6:$G$105,(COLUMN()-7-1)/2+1)&lt;&gt;"Starfsbundið",EA28="",EA$8="",EA$7=""),"",ROUND(EA28/EA$8*EA$7*KVARDI,2))</f>
        <v/>
      </c>
      <c r="EC28" s="39"/>
      <c r="ED28" s="40" t="str">
        <f aca="false">IF(OR(INDEX(Undirviðmið!$G$6:$G$105,(COLUMN()-7-1)/2+1)&lt;&gt;"Starfsbundið",EC28="",EC$8="",EC$7=""),"",ROUND(EC28/EC$8*EC$7*KVARDI,2))</f>
        <v/>
      </c>
      <c r="EE28" s="39"/>
      <c r="EF28" s="40" t="str">
        <f aca="false">IF(OR(INDEX(Undirviðmið!$G$6:$G$105,(COLUMN()-7-1)/2+1)&lt;&gt;"Starfsbundið",EE28="",EE$8="",EE$7=""),"",ROUND(EE28/EE$8*EE$7*KVARDI,2))</f>
        <v/>
      </c>
      <c r="EG28" s="39"/>
      <c r="EH28" s="40" t="str">
        <f aca="false">IF(OR(INDEX(Undirviðmið!$G$6:$G$105,(COLUMN()-7-1)/2+1)&lt;&gt;"Starfsbundið",EG28="",EG$8="",EG$7=""),"",ROUND(EG28/EG$8*EG$7*KVARDI,2))</f>
        <v/>
      </c>
      <c r="EI28" s="39"/>
      <c r="EJ28" s="40" t="str">
        <f aca="false">IF(OR(INDEX(Undirviðmið!$G$6:$G$105,(COLUMN()-7-1)/2+1)&lt;&gt;"Starfsbundið",EI28="",EI$8="",EI$7=""),"",ROUND(EI28/EI$8*EI$7*KVARDI,2))</f>
        <v/>
      </c>
      <c r="EK28" s="39"/>
      <c r="EL28" s="40" t="str">
        <f aca="false">IF(OR(INDEX(Undirviðmið!$G$6:$G$105,(COLUMN()-7-1)/2+1)&lt;&gt;"Starfsbundið",EK28="",EK$8="",EK$7=""),"",ROUND(EK28/EK$8*EK$7*KVARDI,2))</f>
        <v/>
      </c>
      <c r="EM28" s="39"/>
      <c r="EN28" s="40" t="str">
        <f aca="false">IF(OR(INDEX(Undirviðmið!$G$6:$G$105,(COLUMN()-7-1)/2+1)&lt;&gt;"Starfsbundið",EM28="",EM$8="",EM$7=""),"",ROUND(EM28/EM$8*EM$7*KVARDI,2))</f>
        <v/>
      </c>
      <c r="EO28" s="39"/>
      <c r="EP28" s="40" t="str">
        <f aca="false">IF(OR(INDEX(Undirviðmið!$G$6:$G$105,(COLUMN()-7-1)/2+1)&lt;&gt;"Starfsbundið",EO28="",EO$8="",EO$7=""),"",ROUND(EO28/EO$8*EO$7*KVARDI,2))</f>
        <v/>
      </c>
      <c r="EQ28" s="39"/>
      <c r="ER28" s="40" t="str">
        <f aca="false">IF(OR(INDEX(Undirviðmið!$G$6:$G$105,(COLUMN()-7-1)/2+1)&lt;&gt;"Starfsbundið",EQ28="",EQ$8="",EQ$7=""),"",ROUND(EQ28/EQ$8*EQ$7*KVARDI,2))</f>
        <v/>
      </c>
      <c r="ES28" s="39"/>
      <c r="ET28" s="40" t="str">
        <f aca="false">IF(OR(INDEX(Undirviðmið!$G$6:$G$105,(COLUMN()-7-1)/2+1)&lt;&gt;"Starfsbundið",ES28="",ES$8="",ES$7=""),"",ROUND(ES28/ES$8*ES$7*KVARDI,2))</f>
        <v/>
      </c>
      <c r="EU28" s="39"/>
      <c r="EV28" s="40" t="str">
        <f aca="false">IF(OR(INDEX(Undirviðmið!$G$6:$G$105,(COLUMN()-7-1)/2+1)&lt;&gt;"Starfsbundið",EU28="",EU$8="",EU$7=""),"",ROUND(EU28/EU$8*EU$7*KVARDI,2))</f>
        <v/>
      </c>
      <c r="EW28" s="39"/>
      <c r="EX28" s="40" t="str">
        <f aca="false">IF(OR(INDEX(Undirviðmið!$G$6:$G$105,(COLUMN()-7-1)/2+1)&lt;&gt;"Starfsbundið",EW28="",EW$8="",EW$7=""),"",ROUND(EW28/EW$8*EW$7*KVARDI,2))</f>
        <v/>
      </c>
      <c r="EY28" s="39"/>
      <c r="EZ28" s="40" t="str">
        <f aca="false">IF(OR(INDEX(Undirviðmið!$G$6:$G$105,(COLUMN()-7-1)/2+1)&lt;&gt;"Starfsbundið",EY28="",EY$8="",EY$7=""),"",ROUND(EY28/EY$8*EY$7*KVARDI,2))</f>
        <v/>
      </c>
      <c r="FA28" s="39"/>
      <c r="FB28" s="40" t="str">
        <f aca="false">IF(OR(INDEX(Undirviðmið!$G$6:$G$105,(COLUMN()-7-1)/2+1)&lt;&gt;"Starfsbundið",FA28="",FA$8="",FA$7=""),"",ROUND(FA28/FA$8*FA$7*KVARDI,2))</f>
        <v/>
      </c>
      <c r="FC28" s="39"/>
      <c r="FD28" s="40" t="str">
        <f aca="false">IF(OR(INDEX(Undirviðmið!$G$6:$G$105,(COLUMN()-7-1)/2+1)&lt;&gt;"Starfsbundið",FC28="",FC$8="",FC$7=""),"",ROUND(FC28/FC$8*FC$7*KVARDI,2))</f>
        <v/>
      </c>
      <c r="FE28" s="39"/>
      <c r="FF28" s="40" t="str">
        <f aca="false">IF(OR(INDEX(Undirviðmið!$G$6:$G$105,(COLUMN()-7-1)/2+1)&lt;&gt;"Starfsbundið",FE28="",FE$8="",FE$7=""),"",ROUND(FE28/FE$8*FE$7*KVARDI,2))</f>
        <v/>
      </c>
      <c r="FG28" s="39"/>
      <c r="FH28" s="40" t="str">
        <f aca="false">IF(OR(INDEX(Undirviðmið!$G$6:$G$105,(COLUMN()-7-1)/2+1)&lt;&gt;"Starfsbundið",FG28="",FG$8="",FG$7=""),"",ROUND(FG28/FG$8*FG$7*KVARDI,2))</f>
        <v/>
      </c>
      <c r="FI28" s="39"/>
      <c r="FJ28" s="40" t="str">
        <f aca="false">IF(OR(INDEX(Undirviðmið!$G$6:$G$105,(COLUMN()-7-1)/2+1)&lt;&gt;"Starfsbundið",FI28="",FI$8="",FI$7=""),"",ROUND(FI28/FI$8*FI$7*KVARDI,2))</f>
        <v/>
      </c>
      <c r="FK28" s="39"/>
      <c r="FL28" s="40" t="str">
        <f aca="false">IF(OR(INDEX(Undirviðmið!$G$6:$G$105,(COLUMN()-7-1)/2+1)&lt;&gt;"Starfsbundið",FK28="",FK$8="",FK$7=""),"",ROUND(FK28/FK$8*FK$7*KVARDI,2))</f>
        <v/>
      </c>
      <c r="FM28" s="39"/>
      <c r="FN28" s="40" t="str">
        <f aca="false">IF(OR(INDEX(Undirviðmið!$G$6:$G$105,(COLUMN()-7-1)/2+1)&lt;&gt;"Starfsbundið",FM28="",FM$8="",FM$7=""),"",ROUND(FM28/FM$8*FM$7*KVARDI,2))</f>
        <v/>
      </c>
      <c r="FO28" s="39"/>
      <c r="FP28" s="40" t="str">
        <f aca="false">IF(OR(INDEX(Undirviðmið!$G$6:$G$105,(COLUMN()-7-1)/2+1)&lt;&gt;"Starfsbundið",FO28="",FO$8="",FO$7=""),"",ROUND(FO28/FO$8*FO$7*KVARDI,2))</f>
        <v/>
      </c>
      <c r="FQ28" s="39"/>
      <c r="FR28" s="40" t="str">
        <f aca="false">IF(OR(INDEX(Undirviðmið!$G$6:$G$105,(COLUMN()-7-1)/2+1)&lt;&gt;"Starfsbundið",FQ28="",FQ$8="",FQ$7=""),"",ROUND(FQ28/FQ$8*FQ$7*KVARDI,2))</f>
        <v/>
      </c>
      <c r="FS28" s="39"/>
      <c r="FT28" s="40" t="str">
        <f aca="false">IF(OR(INDEX(Undirviðmið!$G$6:$G$105,(COLUMN()-7-1)/2+1)&lt;&gt;"Starfsbundið",FS28="",FS$8="",FS$7=""),"",ROUND(FS28/FS$8*FS$7*KVARDI,2))</f>
        <v/>
      </c>
      <c r="FU28" s="39"/>
      <c r="FV28" s="40" t="str">
        <f aca="false">IF(OR(INDEX(Undirviðmið!$G$6:$G$105,(COLUMN()-7-1)/2+1)&lt;&gt;"Starfsbundið",FU28="",FU$8="",FU$7=""),"",ROUND(FU28/FU$8*FU$7*KVARDI,2))</f>
        <v/>
      </c>
      <c r="FW28" s="39"/>
      <c r="FX28" s="40" t="str">
        <f aca="false">IF(OR(INDEX(Undirviðmið!$G$6:$G$105,(COLUMN()-7-1)/2+1)&lt;&gt;"Starfsbundið",FW28="",FW$8="",FW$7=""),"",ROUND(FW28/FW$8*FW$7*KVARDI,2))</f>
        <v/>
      </c>
      <c r="FY28" s="39"/>
      <c r="FZ28" s="40" t="str">
        <f aca="false">IF(OR(INDEX(Undirviðmið!$G$6:$G$105,(COLUMN()-7-1)/2+1)&lt;&gt;"Starfsbundið",FY28="",FY$8="",FY$7=""),"",ROUND(FY28/FY$8*FY$7*KVARDI,2))</f>
        <v/>
      </c>
      <c r="GA28" s="39"/>
      <c r="GB28" s="40" t="str">
        <f aca="false">IF(OR(INDEX(Undirviðmið!$G$6:$G$105,(COLUMN()-7-1)/2+1)&lt;&gt;"Starfsbundið",GA28="",GA$8="",GA$7=""),"",ROUND(GA28/GA$8*GA$7*KVARDI,2))</f>
        <v/>
      </c>
      <c r="GC28" s="39"/>
      <c r="GD28" s="40" t="str">
        <f aca="false">IF(OR(INDEX(Undirviðmið!$G$6:$G$105,(COLUMN()-7-1)/2+1)&lt;&gt;"Starfsbundið",GC28="",GC$8="",GC$7=""),"",ROUND(GC28/GC$8*GC$7*KVARDI,2))</f>
        <v/>
      </c>
      <c r="GE28" s="39"/>
      <c r="GF28" s="40" t="str">
        <f aca="false">IF(OR(INDEX(Undirviðmið!$G$6:$G$105,(COLUMN()-7-1)/2+1)&lt;&gt;"Starfsbundið",GE28="",GE$8="",GE$7=""),"",ROUND(GE28/GE$8*GE$7*KVARDI,2))</f>
        <v/>
      </c>
      <c r="GG28" s="39"/>
      <c r="GH28" s="40" t="str">
        <f aca="false">IF(OR(INDEX(Undirviðmið!$G$6:$G$105,(COLUMN()-7-1)/2+1)&lt;&gt;"Starfsbundið",GG28="",GG$8="",GG$7=""),"",ROUND(GG28/GG$8*GG$7*KVARDI,2))</f>
        <v/>
      </c>
      <c r="GI28" s="39"/>
      <c r="GJ28" s="40" t="str">
        <f aca="false">IF(OR(INDEX(Undirviðmið!$G$6:$G$105,(COLUMN()-7-1)/2+1)&lt;&gt;"Starfsbundið",GI28="",GI$8="",GI$7=""),"",ROUND(GI28/GI$8*GI$7*KVARDI,2))</f>
        <v/>
      </c>
      <c r="GK28" s="39"/>
      <c r="GL28" s="40" t="str">
        <f aca="false">IF(OR(INDEX(Undirviðmið!$G$6:$G$105,(COLUMN()-7-1)/2+1)&lt;&gt;"Starfsbundið",GK28="",GK$8="",GK$7=""),"",ROUND(GK28/GK$8*GK$7*KVARDI,2))</f>
        <v/>
      </c>
      <c r="GM28" s="39"/>
      <c r="GN28" s="40" t="str">
        <f aca="false">IF(OR(INDEX(Undirviðmið!$G$6:$G$105,(COLUMN()-7-1)/2+1)&lt;&gt;"Starfsbundið",GM28="",GM$8="",GM$7=""),"",ROUND(GM28/GM$8*GM$7*KVARDI,2))</f>
        <v/>
      </c>
      <c r="GO28" s="39"/>
      <c r="GP28" s="40" t="str">
        <f aca="false">IF(OR(INDEX(Undirviðmið!$G$6:$G$105,(COLUMN()-7-1)/2+1)&lt;&gt;"Starfsbundið",GO28="",GO$8="",GO$7=""),"",ROUND(GO28/GO$8*GO$7*KVARDI,2))</f>
        <v/>
      </c>
      <c r="GQ28" s="39"/>
      <c r="GR28" s="40" t="str">
        <f aca="false">IF(OR(INDEX(Undirviðmið!$G$6:$G$105,(COLUMN()-7-1)/2+1)&lt;&gt;"Starfsbundið",GQ28="",GQ$8="",GQ$7=""),"",ROUND(GQ28/GQ$8*GQ$7*KVARDI,2))</f>
        <v/>
      </c>
      <c r="GS28" s="39"/>
      <c r="GT28" s="40" t="str">
        <f aca="false">IF(OR(INDEX(Undirviðmið!$G$6:$G$105,(COLUMN()-7-1)/2+1)&lt;&gt;"Starfsbundið",GS28="",GS$8="",GS$7=""),"",ROUND(GS28/GS$8*GS$7*KVARDI,2))</f>
        <v/>
      </c>
      <c r="GU28" s="39"/>
      <c r="GV28" s="40" t="str">
        <f aca="false">IF(OR(INDEX(Undirviðmið!$G$6:$G$105,(COLUMN()-7-1)/2+1)&lt;&gt;"Starfsbundið",GU28="",GU$8="",GU$7=""),"",ROUND(GU28/GU$8*GU$7*KVARDI,2))</f>
        <v/>
      </c>
      <c r="GW28" s="39"/>
      <c r="GX28" s="40" t="str">
        <f aca="false">IF(OR(INDEX(Undirviðmið!$G$6:$G$105,(COLUMN()-7-1)/2+1)&lt;&gt;"Starfsbundið",GW28="",GW$8="",GW$7=""),"",ROUND(GW28/GW$8*GW$7*KVARDI,2))</f>
        <v/>
      </c>
      <c r="GZ28" s="20"/>
    </row>
    <row r="29" customFormat="false" ht="15" hidden="true" customHeight="true" outlineLevel="1" collapsed="false">
      <c r="B29" s="37" t="str">
        <f aca="false" t="array" ref="B29:B29">IFERROR(INDEX(Starfsmenn!$C$6:$C$10005,MATCH(0,COUNTIF($B$11:B28,Starfsmenn!$C$6:$C$10005)+(Starfsmenn!$C$6:$C$10005=""),0)),"")</f>
        <v/>
      </c>
      <c r="C29" s="38" t="n">
        <f aca="false">IFERROR(SUMIF($G$10:$GX$10,"Stig",$G29:$GX29),0)</f>
        <v>0</v>
      </c>
      <c r="G29" s="39"/>
      <c r="H29" s="40" t="str">
        <f aca="false">IF(OR(INDEX(Undirviðmið!$G$6:$G$105,(COLUMN()-7-1)/2+1)&lt;&gt;"Starfsbundið",G29="",G$8="",G$7=""),"",ROUND(G29/G$8*G$7*KVARDI,2))</f>
        <v/>
      </c>
      <c r="I29" s="39"/>
      <c r="J29" s="40" t="str">
        <f aca="false">IF(OR(INDEX(Undirviðmið!$G$6:$G$105,(COLUMN()-7-1)/2+1)&lt;&gt;"Starfsbundið",I29="",I$8="",I$7=""),"",ROUND(I29/I$8*I$7*KVARDI,2))</f>
        <v/>
      </c>
      <c r="K29" s="39"/>
      <c r="L29" s="40" t="str">
        <f aca="false">IF(OR(INDEX(Undirviðmið!$G$6:$G$105,(COLUMN()-7-1)/2+1)&lt;&gt;"Starfsbundið",K29="",K$8="",K$7=""),"",ROUND(K29/K$8*K$7*KVARDI,2))</f>
        <v/>
      </c>
      <c r="M29" s="39"/>
      <c r="N29" s="40" t="str">
        <f aca="false">IF(OR(INDEX(Undirviðmið!$G$6:$G$105,(COLUMN()-7-1)/2+1)&lt;&gt;"Starfsbundið",M29="",M$8="",M$7=""),"",ROUND(M29/M$8*M$7*KVARDI,2))</f>
        <v/>
      </c>
      <c r="O29" s="39"/>
      <c r="P29" s="40" t="str">
        <f aca="false">IF(OR(INDEX(Undirviðmið!$G$6:$G$105,(COLUMN()-7-1)/2+1)&lt;&gt;"Starfsbundið",O29="",O$8="",O$7=""),"",ROUND(O29/O$8*O$7*KVARDI,2))</f>
        <v/>
      </c>
      <c r="Q29" s="39"/>
      <c r="R29" s="40" t="str">
        <f aca="false">IF(OR(INDEX(Undirviðmið!$G$6:$G$105,(COLUMN()-7-1)/2+1)&lt;&gt;"Starfsbundið",Q29="",Q$8="",Q$7=""),"",ROUND(Q29/Q$8*Q$7*KVARDI,2))</f>
        <v/>
      </c>
      <c r="S29" s="39"/>
      <c r="T29" s="40" t="str">
        <f aca="false">IF(OR(INDEX(Undirviðmið!$G$6:$G$105,(COLUMN()-7-1)/2+1)&lt;&gt;"Starfsbundið",S29="",S$8="",S$7=""),"",ROUND(S29/S$8*S$7*KVARDI,2))</f>
        <v/>
      </c>
      <c r="U29" s="39"/>
      <c r="V29" s="40" t="str">
        <f aca="false">IF(OR(INDEX(Undirviðmið!$G$6:$G$105,(COLUMN()-7-1)/2+1)&lt;&gt;"Starfsbundið",U29="",U$8="",U$7=""),"",ROUND(U29/U$8*U$7*KVARDI,2))</f>
        <v/>
      </c>
      <c r="W29" s="39"/>
      <c r="X29" s="40" t="str">
        <f aca="false">IF(OR(INDEX(Undirviðmið!$G$6:$G$105,(COLUMN()-7-1)/2+1)&lt;&gt;"Starfsbundið",W29="",W$8="",W$7=""),"",ROUND(W29/W$8*W$7*KVARDI,2))</f>
        <v/>
      </c>
      <c r="Y29" s="39"/>
      <c r="Z29" s="40" t="str">
        <f aca="false">IF(OR(INDEX(Undirviðmið!$G$6:$G$105,(COLUMN()-7-1)/2+1)&lt;&gt;"Starfsbundið",Y29="",Y$8="",Y$7=""),"",ROUND(Y29/Y$8*Y$7*KVARDI,2))</f>
        <v/>
      </c>
      <c r="AA29" s="39"/>
      <c r="AB29" s="40" t="str">
        <f aca="false">IF(OR(INDEX(Undirviðmið!$G$6:$G$105,(COLUMN()-7-1)/2+1)&lt;&gt;"Starfsbundið",AA29="",AA$8="",AA$7=""),"",ROUND(AA29/AA$8*AA$7*KVARDI,2))</f>
        <v/>
      </c>
      <c r="AC29" s="39"/>
      <c r="AD29" s="40" t="str">
        <f aca="false">IF(OR(INDEX(Undirviðmið!$G$6:$G$105,(COLUMN()-7-1)/2+1)&lt;&gt;"Starfsbundið",AC29="",AC$8="",AC$7=""),"",ROUND(AC29/AC$8*AC$7*KVARDI,2))</f>
        <v/>
      </c>
      <c r="AE29" s="39"/>
      <c r="AF29" s="40" t="str">
        <f aca="false">IF(OR(INDEX(Undirviðmið!$G$6:$G$105,(COLUMN()-7-1)/2+1)&lt;&gt;"Starfsbundið",AE29="",AE$8="",AE$7=""),"",ROUND(AE29/AE$8*AE$7*KVARDI,2))</f>
        <v/>
      </c>
      <c r="AG29" s="39"/>
      <c r="AH29" s="40" t="str">
        <f aca="false">IF(OR(INDEX(Undirviðmið!$G$6:$G$105,(COLUMN()-7-1)/2+1)&lt;&gt;"Starfsbundið",AG29="",AG$8="",AG$7=""),"",ROUND(AG29/AG$8*AG$7*KVARDI,2))</f>
        <v/>
      </c>
      <c r="AI29" s="39"/>
      <c r="AJ29" s="40" t="str">
        <f aca="false">IF(OR(INDEX(Undirviðmið!$G$6:$G$105,(COLUMN()-7-1)/2+1)&lt;&gt;"Starfsbundið",AI29="",AI$8="",AI$7=""),"",ROUND(AI29/AI$8*AI$7*KVARDI,2))</f>
        <v/>
      </c>
      <c r="AK29" s="39"/>
      <c r="AL29" s="40" t="str">
        <f aca="false">IF(OR(INDEX(Undirviðmið!$G$6:$G$105,(COLUMN()-7-1)/2+1)&lt;&gt;"Starfsbundið",AK29="",AK$8="",AK$7=""),"",ROUND(AK29/AK$8*AK$7*KVARDI,2))</f>
        <v/>
      </c>
      <c r="AM29" s="39"/>
      <c r="AN29" s="40" t="str">
        <f aca="false">IF(OR(INDEX(Undirviðmið!$G$6:$G$105,(COLUMN()-7-1)/2+1)&lt;&gt;"Starfsbundið",AM29="",AM$8="",AM$7=""),"",ROUND(AM29/AM$8*AM$7*KVARDI,2))</f>
        <v/>
      </c>
      <c r="AO29" s="39"/>
      <c r="AP29" s="40" t="str">
        <f aca="false">IF(OR(INDEX(Undirviðmið!$G$6:$G$105,(COLUMN()-7-1)/2+1)&lt;&gt;"Starfsbundið",AO29="",AO$8="",AO$7=""),"",ROUND(AO29/AO$8*AO$7*KVARDI,2))</f>
        <v/>
      </c>
      <c r="AQ29" s="39"/>
      <c r="AR29" s="40" t="str">
        <f aca="false">IF(OR(INDEX(Undirviðmið!$G$6:$G$105,(COLUMN()-7-1)/2+1)&lt;&gt;"Starfsbundið",AQ29="",AQ$8="",AQ$7=""),"",ROUND(AQ29/AQ$8*AQ$7*KVARDI,2))</f>
        <v/>
      </c>
      <c r="AS29" s="39"/>
      <c r="AT29" s="40" t="str">
        <f aca="false">IF(OR(INDEX(Undirviðmið!$G$6:$G$105,(COLUMN()-7-1)/2+1)&lt;&gt;"Starfsbundið",AS29="",AS$8="",AS$7=""),"",ROUND(AS29/AS$8*AS$7*KVARDI,2))</f>
        <v/>
      </c>
      <c r="AU29" s="39"/>
      <c r="AV29" s="40" t="str">
        <f aca="false">IF(OR(INDEX(Undirviðmið!$G$6:$G$105,(COLUMN()-7-1)/2+1)&lt;&gt;"Starfsbundið",AU29="",AU$8="",AU$7=""),"",ROUND(AU29/AU$8*AU$7*KVARDI,2))</f>
        <v/>
      </c>
      <c r="AW29" s="39"/>
      <c r="AX29" s="40" t="str">
        <f aca="false">IF(OR(INDEX(Undirviðmið!$G$6:$G$105,(COLUMN()-7-1)/2+1)&lt;&gt;"Starfsbundið",AW29="",AW$8="",AW$7=""),"",ROUND(AW29/AW$8*AW$7*KVARDI,2))</f>
        <v/>
      </c>
      <c r="AY29" s="39"/>
      <c r="AZ29" s="40" t="str">
        <f aca="false">IF(OR(INDEX(Undirviðmið!$G$6:$G$105,(COLUMN()-7-1)/2+1)&lt;&gt;"Starfsbundið",AY29="",AY$8="",AY$7=""),"",ROUND(AY29/AY$8*AY$7*KVARDI,2))</f>
        <v/>
      </c>
      <c r="BA29" s="39"/>
      <c r="BB29" s="40" t="str">
        <f aca="false">IF(OR(INDEX(Undirviðmið!$G$6:$G$105,(COLUMN()-7-1)/2+1)&lt;&gt;"Starfsbundið",BA29="",BA$8="",BA$7=""),"",ROUND(BA29/BA$8*BA$7*KVARDI,2))</f>
        <v/>
      </c>
      <c r="BC29" s="39"/>
      <c r="BD29" s="40" t="str">
        <f aca="false">IF(OR(INDEX(Undirviðmið!$G$6:$G$105,(COLUMN()-7-1)/2+1)&lt;&gt;"Starfsbundið",BC29="",BC$8="",BC$7=""),"",ROUND(BC29/BC$8*BC$7*KVARDI,2))</f>
        <v/>
      </c>
      <c r="BE29" s="39"/>
      <c r="BF29" s="40" t="str">
        <f aca="false">IF(OR(INDEX(Undirviðmið!$G$6:$G$105,(COLUMN()-7-1)/2+1)&lt;&gt;"Starfsbundið",BE29="",BE$8="",BE$7=""),"",ROUND(BE29/BE$8*BE$7*KVARDI,2))</f>
        <v/>
      </c>
      <c r="BG29" s="39"/>
      <c r="BH29" s="40" t="str">
        <f aca="false">IF(OR(INDEX(Undirviðmið!$G$6:$G$105,(COLUMN()-7-1)/2+1)&lt;&gt;"Starfsbundið",BG29="",BG$8="",BG$7=""),"",ROUND(BG29/BG$8*BG$7*KVARDI,2))</f>
        <v/>
      </c>
      <c r="BI29" s="39"/>
      <c r="BJ29" s="40" t="str">
        <f aca="false">IF(OR(INDEX(Undirviðmið!$G$6:$G$105,(COLUMN()-7-1)/2+1)&lt;&gt;"Starfsbundið",BI29="",BI$8="",BI$7=""),"",ROUND(BI29/BI$8*BI$7*KVARDI,2))</f>
        <v/>
      </c>
      <c r="BK29" s="39"/>
      <c r="BL29" s="40" t="str">
        <f aca="false">IF(OR(INDEX(Undirviðmið!$G$6:$G$105,(COLUMN()-7-1)/2+1)&lt;&gt;"Starfsbundið",BK29="",BK$8="",BK$7=""),"",ROUND(BK29/BK$8*BK$7*KVARDI,2))</f>
        <v/>
      </c>
      <c r="BM29" s="39"/>
      <c r="BN29" s="40" t="str">
        <f aca="false">IF(OR(INDEX(Undirviðmið!$G$6:$G$105,(COLUMN()-7-1)/2+1)&lt;&gt;"Starfsbundið",BM29="",BM$8="",BM$7=""),"",ROUND(BM29/BM$8*BM$7*KVARDI,2))</f>
        <v/>
      </c>
      <c r="BO29" s="39"/>
      <c r="BP29" s="40" t="str">
        <f aca="false">IF(OR(INDEX(Undirviðmið!$G$6:$G$105,(COLUMN()-7-1)/2+1)&lt;&gt;"Starfsbundið",BO29="",BO$8="",BO$7=""),"",ROUND(BO29/BO$8*BO$7*KVARDI,2))</f>
        <v/>
      </c>
      <c r="BQ29" s="39"/>
      <c r="BR29" s="40" t="str">
        <f aca="false">IF(OR(INDEX(Undirviðmið!$G$6:$G$105,(COLUMN()-7-1)/2+1)&lt;&gt;"Starfsbundið",BQ29="",BQ$8="",BQ$7=""),"",ROUND(BQ29/BQ$8*BQ$7*KVARDI,2))</f>
        <v/>
      </c>
      <c r="BS29" s="39"/>
      <c r="BT29" s="40" t="str">
        <f aca="false">IF(OR(INDEX(Undirviðmið!$G$6:$G$105,(COLUMN()-7-1)/2+1)&lt;&gt;"Starfsbundið",BS29="",BS$8="",BS$7=""),"",ROUND(BS29/BS$8*BS$7*KVARDI,2))</f>
        <v/>
      </c>
      <c r="BU29" s="39"/>
      <c r="BV29" s="40" t="str">
        <f aca="false">IF(OR(INDEX(Undirviðmið!$G$6:$G$105,(COLUMN()-7-1)/2+1)&lt;&gt;"Starfsbundið",BU29="",BU$8="",BU$7=""),"",ROUND(BU29/BU$8*BU$7*KVARDI,2))</f>
        <v/>
      </c>
      <c r="BW29" s="39"/>
      <c r="BX29" s="40" t="str">
        <f aca="false">IF(OR(INDEX(Undirviðmið!$G$6:$G$105,(COLUMN()-7-1)/2+1)&lt;&gt;"Starfsbundið",BW29="",BW$8="",BW$7=""),"",ROUND(BW29/BW$8*BW$7*KVARDI,2))</f>
        <v/>
      </c>
      <c r="BY29" s="39"/>
      <c r="BZ29" s="40" t="str">
        <f aca="false">IF(OR(INDEX(Undirviðmið!$G$6:$G$105,(COLUMN()-7-1)/2+1)&lt;&gt;"Starfsbundið",BY29="",BY$8="",BY$7=""),"",ROUND(BY29/BY$8*BY$7*KVARDI,2))</f>
        <v/>
      </c>
      <c r="CA29" s="39"/>
      <c r="CB29" s="40" t="str">
        <f aca="false">IF(OR(INDEX(Undirviðmið!$G$6:$G$105,(COLUMN()-7-1)/2+1)&lt;&gt;"Starfsbundið",CA29="",CA$8="",CA$7=""),"",ROUND(CA29/CA$8*CA$7*KVARDI,2))</f>
        <v/>
      </c>
      <c r="CC29" s="39"/>
      <c r="CD29" s="40" t="str">
        <f aca="false">IF(OR(INDEX(Undirviðmið!$G$6:$G$105,(COLUMN()-7-1)/2+1)&lt;&gt;"Starfsbundið",CC29="",CC$8="",CC$7=""),"",ROUND(CC29/CC$8*CC$7*KVARDI,2))</f>
        <v/>
      </c>
      <c r="CE29" s="39"/>
      <c r="CF29" s="40" t="str">
        <f aca="false">IF(OR(INDEX(Undirviðmið!$G$6:$G$105,(COLUMN()-7-1)/2+1)&lt;&gt;"Starfsbundið",CE29="",CE$8="",CE$7=""),"",ROUND(CE29/CE$8*CE$7*KVARDI,2))</f>
        <v/>
      </c>
      <c r="CG29" s="39"/>
      <c r="CH29" s="40" t="str">
        <f aca="false">IF(OR(INDEX(Undirviðmið!$G$6:$G$105,(COLUMN()-7-1)/2+1)&lt;&gt;"Starfsbundið",CG29="",CG$8="",CG$7=""),"",ROUND(CG29/CG$8*CG$7*KVARDI,2))</f>
        <v/>
      </c>
      <c r="CI29" s="39"/>
      <c r="CJ29" s="40" t="str">
        <f aca="false">IF(OR(INDEX(Undirviðmið!$G$6:$G$105,(COLUMN()-7-1)/2+1)&lt;&gt;"Starfsbundið",CI29="",CI$8="",CI$7=""),"",ROUND(CI29/CI$8*CI$7*KVARDI,2))</f>
        <v/>
      </c>
      <c r="CK29" s="39"/>
      <c r="CL29" s="40" t="str">
        <f aca="false">IF(OR(INDEX(Undirviðmið!$G$6:$G$105,(COLUMN()-7-1)/2+1)&lt;&gt;"Starfsbundið",CK29="",CK$8="",CK$7=""),"",ROUND(CK29/CK$8*CK$7*KVARDI,2))</f>
        <v/>
      </c>
      <c r="CM29" s="39"/>
      <c r="CN29" s="40" t="str">
        <f aca="false">IF(OR(INDEX(Undirviðmið!$G$6:$G$105,(COLUMN()-7-1)/2+1)&lt;&gt;"Starfsbundið",CM29="",CM$8="",CM$7=""),"",ROUND(CM29/CM$8*CM$7*KVARDI,2))</f>
        <v/>
      </c>
      <c r="CO29" s="39"/>
      <c r="CP29" s="40" t="str">
        <f aca="false">IF(OR(INDEX(Undirviðmið!$G$6:$G$105,(COLUMN()-7-1)/2+1)&lt;&gt;"Starfsbundið",CO29="",CO$8="",CO$7=""),"",ROUND(CO29/CO$8*CO$7*KVARDI,2))</f>
        <v/>
      </c>
      <c r="CQ29" s="39"/>
      <c r="CR29" s="40" t="str">
        <f aca="false">IF(OR(INDEX(Undirviðmið!$G$6:$G$105,(COLUMN()-7-1)/2+1)&lt;&gt;"Starfsbundið",CQ29="",CQ$8="",CQ$7=""),"",ROUND(CQ29/CQ$8*CQ$7*KVARDI,2))</f>
        <v/>
      </c>
      <c r="CS29" s="39"/>
      <c r="CT29" s="40" t="str">
        <f aca="false">IF(OR(INDEX(Undirviðmið!$G$6:$G$105,(COLUMN()-7-1)/2+1)&lt;&gt;"Starfsbundið",CS29="",CS$8="",CS$7=""),"",ROUND(CS29/CS$8*CS$7*KVARDI,2))</f>
        <v/>
      </c>
      <c r="CU29" s="39"/>
      <c r="CV29" s="40" t="str">
        <f aca="false">IF(OR(INDEX(Undirviðmið!$G$6:$G$105,(COLUMN()-7-1)/2+1)&lt;&gt;"Starfsbundið",CU29="",CU$8="",CU$7=""),"",ROUND(CU29/CU$8*CU$7*KVARDI,2))</f>
        <v/>
      </c>
      <c r="CW29" s="39"/>
      <c r="CX29" s="40" t="str">
        <f aca="false">IF(OR(INDEX(Undirviðmið!$G$6:$G$105,(COLUMN()-7-1)/2+1)&lt;&gt;"Starfsbundið",CW29="",CW$8="",CW$7=""),"",ROUND(CW29/CW$8*CW$7*KVARDI,2))</f>
        <v/>
      </c>
      <c r="CY29" s="39"/>
      <c r="CZ29" s="40" t="str">
        <f aca="false">IF(OR(INDEX(Undirviðmið!$G$6:$G$105,(COLUMN()-7-1)/2+1)&lt;&gt;"Starfsbundið",CY29="",CY$8="",CY$7=""),"",ROUND(CY29/CY$8*CY$7*KVARDI,2))</f>
        <v/>
      </c>
      <c r="DA29" s="39"/>
      <c r="DB29" s="40" t="str">
        <f aca="false">IF(OR(INDEX(Undirviðmið!$G$6:$G$105,(COLUMN()-7-1)/2+1)&lt;&gt;"Starfsbundið",DA29="",DA$8="",DA$7=""),"",ROUND(DA29/DA$8*DA$7*KVARDI,2))</f>
        <v/>
      </c>
      <c r="DC29" s="39"/>
      <c r="DD29" s="40" t="str">
        <f aca="false">IF(OR(INDEX(Undirviðmið!$G$6:$G$105,(COLUMN()-7-1)/2+1)&lt;&gt;"Starfsbundið",DC29="",DC$8="",DC$7=""),"",ROUND(DC29/DC$8*DC$7*KVARDI,2))</f>
        <v/>
      </c>
      <c r="DE29" s="39"/>
      <c r="DF29" s="40" t="str">
        <f aca="false">IF(OR(INDEX(Undirviðmið!$G$6:$G$105,(COLUMN()-7-1)/2+1)&lt;&gt;"Starfsbundið",DE29="",DE$8="",DE$7=""),"",ROUND(DE29/DE$8*DE$7*KVARDI,2))</f>
        <v/>
      </c>
      <c r="DG29" s="39"/>
      <c r="DH29" s="40" t="str">
        <f aca="false">IF(OR(INDEX(Undirviðmið!$G$6:$G$105,(COLUMN()-7-1)/2+1)&lt;&gt;"Starfsbundið",DG29="",DG$8="",DG$7=""),"",ROUND(DG29/DG$8*DG$7*KVARDI,2))</f>
        <v/>
      </c>
      <c r="DI29" s="39"/>
      <c r="DJ29" s="40" t="str">
        <f aca="false">IF(OR(INDEX(Undirviðmið!$G$6:$G$105,(COLUMN()-7-1)/2+1)&lt;&gt;"Starfsbundið",DI29="",DI$8="",DI$7=""),"",ROUND(DI29/DI$8*DI$7*KVARDI,2))</f>
        <v/>
      </c>
      <c r="DK29" s="39"/>
      <c r="DL29" s="40" t="str">
        <f aca="false">IF(OR(INDEX(Undirviðmið!$G$6:$G$105,(COLUMN()-7-1)/2+1)&lt;&gt;"Starfsbundið",DK29="",DK$8="",DK$7=""),"",ROUND(DK29/DK$8*DK$7*KVARDI,2))</f>
        <v/>
      </c>
      <c r="DM29" s="39"/>
      <c r="DN29" s="40" t="str">
        <f aca="false">IF(OR(INDEX(Undirviðmið!$G$6:$G$105,(COLUMN()-7-1)/2+1)&lt;&gt;"Starfsbundið",DM29="",DM$8="",DM$7=""),"",ROUND(DM29/DM$8*DM$7*KVARDI,2))</f>
        <v/>
      </c>
      <c r="DO29" s="39"/>
      <c r="DP29" s="40" t="str">
        <f aca="false">IF(OR(INDEX(Undirviðmið!$G$6:$G$105,(COLUMN()-7-1)/2+1)&lt;&gt;"Starfsbundið",DO29="",DO$8="",DO$7=""),"",ROUND(DO29/DO$8*DO$7*KVARDI,2))</f>
        <v/>
      </c>
      <c r="DQ29" s="39"/>
      <c r="DR29" s="40" t="str">
        <f aca="false">IF(OR(INDEX(Undirviðmið!$G$6:$G$105,(COLUMN()-7-1)/2+1)&lt;&gt;"Starfsbundið",DQ29="",DQ$8="",DQ$7=""),"",ROUND(DQ29/DQ$8*DQ$7*KVARDI,2))</f>
        <v/>
      </c>
      <c r="DS29" s="39"/>
      <c r="DT29" s="40" t="str">
        <f aca="false">IF(OR(INDEX(Undirviðmið!$G$6:$G$105,(COLUMN()-7-1)/2+1)&lt;&gt;"Starfsbundið",DS29="",DS$8="",DS$7=""),"",ROUND(DS29/DS$8*DS$7*KVARDI,2))</f>
        <v/>
      </c>
      <c r="DU29" s="39"/>
      <c r="DV29" s="40" t="str">
        <f aca="false">IF(OR(INDEX(Undirviðmið!$G$6:$G$105,(COLUMN()-7-1)/2+1)&lt;&gt;"Starfsbundið",DU29="",DU$8="",DU$7=""),"",ROUND(DU29/DU$8*DU$7*KVARDI,2))</f>
        <v/>
      </c>
      <c r="DW29" s="39"/>
      <c r="DX29" s="40" t="str">
        <f aca="false">IF(OR(INDEX(Undirviðmið!$G$6:$G$105,(COLUMN()-7-1)/2+1)&lt;&gt;"Starfsbundið",DW29="",DW$8="",DW$7=""),"",ROUND(DW29/DW$8*DW$7*KVARDI,2))</f>
        <v/>
      </c>
      <c r="DY29" s="39"/>
      <c r="DZ29" s="40" t="str">
        <f aca="false">IF(OR(INDEX(Undirviðmið!$G$6:$G$105,(COLUMN()-7-1)/2+1)&lt;&gt;"Starfsbundið",DY29="",DY$8="",DY$7=""),"",ROUND(DY29/DY$8*DY$7*KVARDI,2))</f>
        <v/>
      </c>
      <c r="EA29" s="39"/>
      <c r="EB29" s="40" t="str">
        <f aca="false">IF(OR(INDEX(Undirviðmið!$G$6:$G$105,(COLUMN()-7-1)/2+1)&lt;&gt;"Starfsbundið",EA29="",EA$8="",EA$7=""),"",ROUND(EA29/EA$8*EA$7*KVARDI,2))</f>
        <v/>
      </c>
      <c r="EC29" s="39"/>
      <c r="ED29" s="40" t="str">
        <f aca="false">IF(OR(INDEX(Undirviðmið!$G$6:$G$105,(COLUMN()-7-1)/2+1)&lt;&gt;"Starfsbundið",EC29="",EC$8="",EC$7=""),"",ROUND(EC29/EC$8*EC$7*KVARDI,2))</f>
        <v/>
      </c>
      <c r="EE29" s="39"/>
      <c r="EF29" s="40" t="str">
        <f aca="false">IF(OR(INDEX(Undirviðmið!$G$6:$G$105,(COLUMN()-7-1)/2+1)&lt;&gt;"Starfsbundið",EE29="",EE$8="",EE$7=""),"",ROUND(EE29/EE$8*EE$7*KVARDI,2))</f>
        <v/>
      </c>
      <c r="EG29" s="39"/>
      <c r="EH29" s="40" t="str">
        <f aca="false">IF(OR(INDEX(Undirviðmið!$G$6:$G$105,(COLUMN()-7-1)/2+1)&lt;&gt;"Starfsbundið",EG29="",EG$8="",EG$7=""),"",ROUND(EG29/EG$8*EG$7*KVARDI,2))</f>
        <v/>
      </c>
      <c r="EI29" s="39"/>
      <c r="EJ29" s="40" t="str">
        <f aca="false">IF(OR(INDEX(Undirviðmið!$G$6:$G$105,(COLUMN()-7-1)/2+1)&lt;&gt;"Starfsbundið",EI29="",EI$8="",EI$7=""),"",ROUND(EI29/EI$8*EI$7*KVARDI,2))</f>
        <v/>
      </c>
      <c r="EK29" s="39"/>
      <c r="EL29" s="40" t="str">
        <f aca="false">IF(OR(INDEX(Undirviðmið!$G$6:$G$105,(COLUMN()-7-1)/2+1)&lt;&gt;"Starfsbundið",EK29="",EK$8="",EK$7=""),"",ROUND(EK29/EK$8*EK$7*KVARDI,2))</f>
        <v/>
      </c>
      <c r="EM29" s="39"/>
      <c r="EN29" s="40" t="str">
        <f aca="false">IF(OR(INDEX(Undirviðmið!$G$6:$G$105,(COLUMN()-7-1)/2+1)&lt;&gt;"Starfsbundið",EM29="",EM$8="",EM$7=""),"",ROUND(EM29/EM$8*EM$7*KVARDI,2))</f>
        <v/>
      </c>
      <c r="EO29" s="39"/>
      <c r="EP29" s="40" t="str">
        <f aca="false">IF(OR(INDEX(Undirviðmið!$G$6:$G$105,(COLUMN()-7-1)/2+1)&lt;&gt;"Starfsbundið",EO29="",EO$8="",EO$7=""),"",ROUND(EO29/EO$8*EO$7*KVARDI,2))</f>
        <v/>
      </c>
      <c r="EQ29" s="39"/>
      <c r="ER29" s="40" t="str">
        <f aca="false">IF(OR(INDEX(Undirviðmið!$G$6:$G$105,(COLUMN()-7-1)/2+1)&lt;&gt;"Starfsbundið",EQ29="",EQ$8="",EQ$7=""),"",ROUND(EQ29/EQ$8*EQ$7*KVARDI,2))</f>
        <v/>
      </c>
      <c r="ES29" s="39"/>
      <c r="ET29" s="40" t="str">
        <f aca="false">IF(OR(INDEX(Undirviðmið!$G$6:$G$105,(COLUMN()-7-1)/2+1)&lt;&gt;"Starfsbundið",ES29="",ES$8="",ES$7=""),"",ROUND(ES29/ES$8*ES$7*KVARDI,2))</f>
        <v/>
      </c>
      <c r="EU29" s="39"/>
      <c r="EV29" s="40" t="str">
        <f aca="false">IF(OR(INDEX(Undirviðmið!$G$6:$G$105,(COLUMN()-7-1)/2+1)&lt;&gt;"Starfsbundið",EU29="",EU$8="",EU$7=""),"",ROUND(EU29/EU$8*EU$7*KVARDI,2))</f>
        <v/>
      </c>
      <c r="EW29" s="39"/>
      <c r="EX29" s="40" t="str">
        <f aca="false">IF(OR(INDEX(Undirviðmið!$G$6:$G$105,(COLUMN()-7-1)/2+1)&lt;&gt;"Starfsbundið",EW29="",EW$8="",EW$7=""),"",ROUND(EW29/EW$8*EW$7*KVARDI,2))</f>
        <v/>
      </c>
      <c r="EY29" s="39"/>
      <c r="EZ29" s="40" t="str">
        <f aca="false">IF(OR(INDEX(Undirviðmið!$G$6:$G$105,(COLUMN()-7-1)/2+1)&lt;&gt;"Starfsbundið",EY29="",EY$8="",EY$7=""),"",ROUND(EY29/EY$8*EY$7*KVARDI,2))</f>
        <v/>
      </c>
      <c r="FA29" s="39"/>
      <c r="FB29" s="40" t="str">
        <f aca="false">IF(OR(INDEX(Undirviðmið!$G$6:$G$105,(COLUMN()-7-1)/2+1)&lt;&gt;"Starfsbundið",FA29="",FA$8="",FA$7=""),"",ROUND(FA29/FA$8*FA$7*KVARDI,2))</f>
        <v/>
      </c>
      <c r="FC29" s="39"/>
      <c r="FD29" s="40" t="str">
        <f aca="false">IF(OR(INDEX(Undirviðmið!$G$6:$G$105,(COLUMN()-7-1)/2+1)&lt;&gt;"Starfsbundið",FC29="",FC$8="",FC$7=""),"",ROUND(FC29/FC$8*FC$7*KVARDI,2))</f>
        <v/>
      </c>
      <c r="FE29" s="39"/>
      <c r="FF29" s="40" t="str">
        <f aca="false">IF(OR(INDEX(Undirviðmið!$G$6:$G$105,(COLUMN()-7-1)/2+1)&lt;&gt;"Starfsbundið",FE29="",FE$8="",FE$7=""),"",ROUND(FE29/FE$8*FE$7*KVARDI,2))</f>
        <v/>
      </c>
      <c r="FG29" s="39"/>
      <c r="FH29" s="40" t="str">
        <f aca="false">IF(OR(INDEX(Undirviðmið!$G$6:$G$105,(COLUMN()-7-1)/2+1)&lt;&gt;"Starfsbundið",FG29="",FG$8="",FG$7=""),"",ROUND(FG29/FG$8*FG$7*KVARDI,2))</f>
        <v/>
      </c>
      <c r="FI29" s="39"/>
      <c r="FJ29" s="40" t="str">
        <f aca="false">IF(OR(INDEX(Undirviðmið!$G$6:$G$105,(COLUMN()-7-1)/2+1)&lt;&gt;"Starfsbundið",FI29="",FI$8="",FI$7=""),"",ROUND(FI29/FI$8*FI$7*KVARDI,2))</f>
        <v/>
      </c>
      <c r="FK29" s="39"/>
      <c r="FL29" s="40" t="str">
        <f aca="false">IF(OR(INDEX(Undirviðmið!$G$6:$G$105,(COLUMN()-7-1)/2+1)&lt;&gt;"Starfsbundið",FK29="",FK$8="",FK$7=""),"",ROUND(FK29/FK$8*FK$7*KVARDI,2))</f>
        <v/>
      </c>
      <c r="FM29" s="39"/>
      <c r="FN29" s="40" t="str">
        <f aca="false">IF(OR(INDEX(Undirviðmið!$G$6:$G$105,(COLUMN()-7-1)/2+1)&lt;&gt;"Starfsbundið",FM29="",FM$8="",FM$7=""),"",ROUND(FM29/FM$8*FM$7*KVARDI,2))</f>
        <v/>
      </c>
      <c r="FO29" s="39"/>
      <c r="FP29" s="40" t="str">
        <f aca="false">IF(OR(INDEX(Undirviðmið!$G$6:$G$105,(COLUMN()-7-1)/2+1)&lt;&gt;"Starfsbundið",FO29="",FO$8="",FO$7=""),"",ROUND(FO29/FO$8*FO$7*KVARDI,2))</f>
        <v/>
      </c>
      <c r="FQ29" s="39"/>
      <c r="FR29" s="40" t="str">
        <f aca="false">IF(OR(INDEX(Undirviðmið!$G$6:$G$105,(COLUMN()-7-1)/2+1)&lt;&gt;"Starfsbundið",FQ29="",FQ$8="",FQ$7=""),"",ROUND(FQ29/FQ$8*FQ$7*KVARDI,2))</f>
        <v/>
      </c>
      <c r="FS29" s="39"/>
      <c r="FT29" s="40" t="str">
        <f aca="false">IF(OR(INDEX(Undirviðmið!$G$6:$G$105,(COLUMN()-7-1)/2+1)&lt;&gt;"Starfsbundið",FS29="",FS$8="",FS$7=""),"",ROUND(FS29/FS$8*FS$7*KVARDI,2))</f>
        <v/>
      </c>
      <c r="FU29" s="39"/>
      <c r="FV29" s="40" t="str">
        <f aca="false">IF(OR(INDEX(Undirviðmið!$G$6:$G$105,(COLUMN()-7-1)/2+1)&lt;&gt;"Starfsbundið",FU29="",FU$8="",FU$7=""),"",ROUND(FU29/FU$8*FU$7*KVARDI,2))</f>
        <v/>
      </c>
      <c r="FW29" s="39"/>
      <c r="FX29" s="40" t="str">
        <f aca="false">IF(OR(INDEX(Undirviðmið!$G$6:$G$105,(COLUMN()-7-1)/2+1)&lt;&gt;"Starfsbundið",FW29="",FW$8="",FW$7=""),"",ROUND(FW29/FW$8*FW$7*KVARDI,2))</f>
        <v/>
      </c>
      <c r="FY29" s="39"/>
      <c r="FZ29" s="40" t="str">
        <f aca="false">IF(OR(INDEX(Undirviðmið!$G$6:$G$105,(COLUMN()-7-1)/2+1)&lt;&gt;"Starfsbundið",FY29="",FY$8="",FY$7=""),"",ROUND(FY29/FY$8*FY$7*KVARDI,2))</f>
        <v/>
      </c>
      <c r="GA29" s="39"/>
      <c r="GB29" s="40" t="str">
        <f aca="false">IF(OR(INDEX(Undirviðmið!$G$6:$G$105,(COLUMN()-7-1)/2+1)&lt;&gt;"Starfsbundið",GA29="",GA$8="",GA$7=""),"",ROUND(GA29/GA$8*GA$7*KVARDI,2))</f>
        <v/>
      </c>
      <c r="GC29" s="39"/>
      <c r="GD29" s="40" t="str">
        <f aca="false">IF(OR(INDEX(Undirviðmið!$G$6:$G$105,(COLUMN()-7-1)/2+1)&lt;&gt;"Starfsbundið",GC29="",GC$8="",GC$7=""),"",ROUND(GC29/GC$8*GC$7*KVARDI,2))</f>
        <v/>
      </c>
      <c r="GE29" s="39"/>
      <c r="GF29" s="40" t="str">
        <f aca="false">IF(OR(INDEX(Undirviðmið!$G$6:$G$105,(COLUMN()-7-1)/2+1)&lt;&gt;"Starfsbundið",GE29="",GE$8="",GE$7=""),"",ROUND(GE29/GE$8*GE$7*KVARDI,2))</f>
        <v/>
      </c>
      <c r="GG29" s="39"/>
      <c r="GH29" s="40" t="str">
        <f aca="false">IF(OR(INDEX(Undirviðmið!$G$6:$G$105,(COLUMN()-7-1)/2+1)&lt;&gt;"Starfsbundið",GG29="",GG$8="",GG$7=""),"",ROUND(GG29/GG$8*GG$7*KVARDI,2))</f>
        <v/>
      </c>
      <c r="GI29" s="39"/>
      <c r="GJ29" s="40" t="str">
        <f aca="false">IF(OR(INDEX(Undirviðmið!$G$6:$G$105,(COLUMN()-7-1)/2+1)&lt;&gt;"Starfsbundið",GI29="",GI$8="",GI$7=""),"",ROUND(GI29/GI$8*GI$7*KVARDI,2))</f>
        <v/>
      </c>
      <c r="GK29" s="39"/>
      <c r="GL29" s="40" t="str">
        <f aca="false">IF(OR(INDEX(Undirviðmið!$G$6:$G$105,(COLUMN()-7-1)/2+1)&lt;&gt;"Starfsbundið",GK29="",GK$8="",GK$7=""),"",ROUND(GK29/GK$8*GK$7*KVARDI,2))</f>
        <v/>
      </c>
      <c r="GM29" s="39"/>
      <c r="GN29" s="40" t="str">
        <f aca="false">IF(OR(INDEX(Undirviðmið!$G$6:$G$105,(COLUMN()-7-1)/2+1)&lt;&gt;"Starfsbundið",GM29="",GM$8="",GM$7=""),"",ROUND(GM29/GM$8*GM$7*KVARDI,2))</f>
        <v/>
      </c>
      <c r="GO29" s="39"/>
      <c r="GP29" s="40" t="str">
        <f aca="false">IF(OR(INDEX(Undirviðmið!$G$6:$G$105,(COLUMN()-7-1)/2+1)&lt;&gt;"Starfsbundið",GO29="",GO$8="",GO$7=""),"",ROUND(GO29/GO$8*GO$7*KVARDI,2))</f>
        <v/>
      </c>
      <c r="GQ29" s="39"/>
      <c r="GR29" s="40" t="str">
        <f aca="false">IF(OR(INDEX(Undirviðmið!$G$6:$G$105,(COLUMN()-7-1)/2+1)&lt;&gt;"Starfsbundið",GQ29="",GQ$8="",GQ$7=""),"",ROUND(GQ29/GQ$8*GQ$7*KVARDI,2))</f>
        <v/>
      </c>
      <c r="GS29" s="39"/>
      <c r="GT29" s="40" t="str">
        <f aca="false">IF(OR(INDEX(Undirviðmið!$G$6:$G$105,(COLUMN()-7-1)/2+1)&lt;&gt;"Starfsbundið",GS29="",GS$8="",GS$7=""),"",ROUND(GS29/GS$8*GS$7*KVARDI,2))</f>
        <v/>
      </c>
      <c r="GU29" s="39"/>
      <c r="GV29" s="40" t="str">
        <f aca="false">IF(OR(INDEX(Undirviðmið!$G$6:$G$105,(COLUMN()-7-1)/2+1)&lt;&gt;"Starfsbundið",GU29="",GU$8="",GU$7=""),"",ROUND(GU29/GU$8*GU$7*KVARDI,2))</f>
        <v/>
      </c>
      <c r="GW29" s="39"/>
      <c r="GX29" s="40" t="str">
        <f aca="false">IF(OR(INDEX(Undirviðmið!$G$6:$G$105,(COLUMN()-7-1)/2+1)&lt;&gt;"Starfsbundið",GW29="",GW$8="",GW$7=""),"",ROUND(GW29/GW$8*GW$7*KVARDI,2))</f>
        <v/>
      </c>
      <c r="GZ29" s="20"/>
    </row>
    <row r="30" customFormat="false" ht="15" hidden="true" customHeight="true" outlineLevel="1" collapsed="false">
      <c r="B30" s="37" t="str">
        <f aca="false" t="array" ref="B30:B30">IFERROR(INDEX(Starfsmenn!$C$6:$C$10005,MATCH(0,COUNTIF($B$11:B29,Starfsmenn!$C$6:$C$10005)+(Starfsmenn!$C$6:$C$10005=""),0)),"")</f>
        <v/>
      </c>
      <c r="C30" s="38" t="n">
        <f aca="false">IFERROR(SUMIF($G$10:$GX$10,"Stig",$G30:$GX30),0)</f>
        <v>0</v>
      </c>
      <c r="G30" s="39"/>
      <c r="H30" s="40" t="str">
        <f aca="false">IF(OR(INDEX(Undirviðmið!$G$6:$G$105,(COLUMN()-7-1)/2+1)&lt;&gt;"Starfsbundið",G30="",G$8="",G$7=""),"",ROUND(G30/G$8*G$7*KVARDI,2))</f>
        <v/>
      </c>
      <c r="I30" s="39"/>
      <c r="J30" s="40" t="str">
        <f aca="false">IF(OR(INDEX(Undirviðmið!$G$6:$G$105,(COLUMN()-7-1)/2+1)&lt;&gt;"Starfsbundið",I30="",I$8="",I$7=""),"",ROUND(I30/I$8*I$7*KVARDI,2))</f>
        <v/>
      </c>
      <c r="K30" s="39"/>
      <c r="L30" s="40" t="str">
        <f aca="false">IF(OR(INDEX(Undirviðmið!$G$6:$G$105,(COLUMN()-7-1)/2+1)&lt;&gt;"Starfsbundið",K30="",K$8="",K$7=""),"",ROUND(K30/K$8*K$7*KVARDI,2))</f>
        <v/>
      </c>
      <c r="M30" s="39"/>
      <c r="N30" s="40" t="str">
        <f aca="false">IF(OR(INDEX(Undirviðmið!$G$6:$G$105,(COLUMN()-7-1)/2+1)&lt;&gt;"Starfsbundið",M30="",M$8="",M$7=""),"",ROUND(M30/M$8*M$7*KVARDI,2))</f>
        <v/>
      </c>
      <c r="O30" s="39"/>
      <c r="P30" s="40" t="str">
        <f aca="false">IF(OR(INDEX(Undirviðmið!$G$6:$G$105,(COLUMN()-7-1)/2+1)&lt;&gt;"Starfsbundið",O30="",O$8="",O$7=""),"",ROUND(O30/O$8*O$7*KVARDI,2))</f>
        <v/>
      </c>
      <c r="Q30" s="39"/>
      <c r="R30" s="40" t="str">
        <f aca="false">IF(OR(INDEX(Undirviðmið!$G$6:$G$105,(COLUMN()-7-1)/2+1)&lt;&gt;"Starfsbundið",Q30="",Q$8="",Q$7=""),"",ROUND(Q30/Q$8*Q$7*KVARDI,2))</f>
        <v/>
      </c>
      <c r="S30" s="39"/>
      <c r="T30" s="40" t="str">
        <f aca="false">IF(OR(INDEX(Undirviðmið!$G$6:$G$105,(COLUMN()-7-1)/2+1)&lt;&gt;"Starfsbundið",S30="",S$8="",S$7=""),"",ROUND(S30/S$8*S$7*KVARDI,2))</f>
        <v/>
      </c>
      <c r="U30" s="39"/>
      <c r="V30" s="40" t="str">
        <f aca="false">IF(OR(INDEX(Undirviðmið!$G$6:$G$105,(COLUMN()-7-1)/2+1)&lt;&gt;"Starfsbundið",U30="",U$8="",U$7=""),"",ROUND(U30/U$8*U$7*KVARDI,2))</f>
        <v/>
      </c>
      <c r="W30" s="39"/>
      <c r="X30" s="40" t="str">
        <f aca="false">IF(OR(INDEX(Undirviðmið!$G$6:$G$105,(COLUMN()-7-1)/2+1)&lt;&gt;"Starfsbundið",W30="",W$8="",W$7=""),"",ROUND(W30/W$8*W$7*KVARDI,2))</f>
        <v/>
      </c>
      <c r="Y30" s="39"/>
      <c r="Z30" s="40" t="str">
        <f aca="false">IF(OR(INDEX(Undirviðmið!$G$6:$G$105,(COLUMN()-7-1)/2+1)&lt;&gt;"Starfsbundið",Y30="",Y$8="",Y$7=""),"",ROUND(Y30/Y$8*Y$7*KVARDI,2))</f>
        <v/>
      </c>
      <c r="AA30" s="39"/>
      <c r="AB30" s="40" t="str">
        <f aca="false">IF(OR(INDEX(Undirviðmið!$G$6:$G$105,(COLUMN()-7-1)/2+1)&lt;&gt;"Starfsbundið",AA30="",AA$8="",AA$7=""),"",ROUND(AA30/AA$8*AA$7*KVARDI,2))</f>
        <v/>
      </c>
      <c r="AC30" s="39"/>
      <c r="AD30" s="40" t="str">
        <f aca="false">IF(OR(INDEX(Undirviðmið!$G$6:$G$105,(COLUMN()-7-1)/2+1)&lt;&gt;"Starfsbundið",AC30="",AC$8="",AC$7=""),"",ROUND(AC30/AC$8*AC$7*KVARDI,2))</f>
        <v/>
      </c>
      <c r="AE30" s="39"/>
      <c r="AF30" s="40" t="str">
        <f aca="false">IF(OR(INDEX(Undirviðmið!$G$6:$G$105,(COLUMN()-7-1)/2+1)&lt;&gt;"Starfsbundið",AE30="",AE$8="",AE$7=""),"",ROUND(AE30/AE$8*AE$7*KVARDI,2))</f>
        <v/>
      </c>
      <c r="AG30" s="39"/>
      <c r="AH30" s="40" t="str">
        <f aca="false">IF(OR(INDEX(Undirviðmið!$G$6:$G$105,(COLUMN()-7-1)/2+1)&lt;&gt;"Starfsbundið",AG30="",AG$8="",AG$7=""),"",ROUND(AG30/AG$8*AG$7*KVARDI,2))</f>
        <v/>
      </c>
      <c r="AI30" s="39"/>
      <c r="AJ30" s="40" t="str">
        <f aca="false">IF(OR(INDEX(Undirviðmið!$G$6:$G$105,(COLUMN()-7-1)/2+1)&lt;&gt;"Starfsbundið",AI30="",AI$8="",AI$7=""),"",ROUND(AI30/AI$8*AI$7*KVARDI,2))</f>
        <v/>
      </c>
      <c r="AK30" s="39"/>
      <c r="AL30" s="40" t="str">
        <f aca="false">IF(OR(INDEX(Undirviðmið!$G$6:$G$105,(COLUMN()-7-1)/2+1)&lt;&gt;"Starfsbundið",AK30="",AK$8="",AK$7=""),"",ROUND(AK30/AK$8*AK$7*KVARDI,2))</f>
        <v/>
      </c>
      <c r="AM30" s="39"/>
      <c r="AN30" s="40" t="str">
        <f aca="false">IF(OR(INDEX(Undirviðmið!$G$6:$G$105,(COLUMN()-7-1)/2+1)&lt;&gt;"Starfsbundið",AM30="",AM$8="",AM$7=""),"",ROUND(AM30/AM$8*AM$7*KVARDI,2))</f>
        <v/>
      </c>
      <c r="AO30" s="39"/>
      <c r="AP30" s="40" t="str">
        <f aca="false">IF(OR(INDEX(Undirviðmið!$G$6:$G$105,(COLUMN()-7-1)/2+1)&lt;&gt;"Starfsbundið",AO30="",AO$8="",AO$7=""),"",ROUND(AO30/AO$8*AO$7*KVARDI,2))</f>
        <v/>
      </c>
      <c r="AQ30" s="39"/>
      <c r="AR30" s="40" t="str">
        <f aca="false">IF(OR(INDEX(Undirviðmið!$G$6:$G$105,(COLUMN()-7-1)/2+1)&lt;&gt;"Starfsbundið",AQ30="",AQ$8="",AQ$7=""),"",ROUND(AQ30/AQ$8*AQ$7*KVARDI,2))</f>
        <v/>
      </c>
      <c r="AS30" s="39"/>
      <c r="AT30" s="40" t="str">
        <f aca="false">IF(OR(INDEX(Undirviðmið!$G$6:$G$105,(COLUMN()-7-1)/2+1)&lt;&gt;"Starfsbundið",AS30="",AS$8="",AS$7=""),"",ROUND(AS30/AS$8*AS$7*KVARDI,2))</f>
        <v/>
      </c>
      <c r="AU30" s="39"/>
      <c r="AV30" s="40" t="str">
        <f aca="false">IF(OR(INDEX(Undirviðmið!$G$6:$G$105,(COLUMN()-7-1)/2+1)&lt;&gt;"Starfsbundið",AU30="",AU$8="",AU$7=""),"",ROUND(AU30/AU$8*AU$7*KVARDI,2))</f>
        <v/>
      </c>
      <c r="AW30" s="39"/>
      <c r="AX30" s="40" t="str">
        <f aca="false">IF(OR(INDEX(Undirviðmið!$G$6:$G$105,(COLUMN()-7-1)/2+1)&lt;&gt;"Starfsbundið",AW30="",AW$8="",AW$7=""),"",ROUND(AW30/AW$8*AW$7*KVARDI,2))</f>
        <v/>
      </c>
      <c r="AY30" s="39"/>
      <c r="AZ30" s="40" t="str">
        <f aca="false">IF(OR(INDEX(Undirviðmið!$G$6:$G$105,(COLUMN()-7-1)/2+1)&lt;&gt;"Starfsbundið",AY30="",AY$8="",AY$7=""),"",ROUND(AY30/AY$8*AY$7*KVARDI,2))</f>
        <v/>
      </c>
      <c r="BA30" s="39"/>
      <c r="BB30" s="40" t="str">
        <f aca="false">IF(OR(INDEX(Undirviðmið!$G$6:$G$105,(COLUMN()-7-1)/2+1)&lt;&gt;"Starfsbundið",BA30="",BA$8="",BA$7=""),"",ROUND(BA30/BA$8*BA$7*KVARDI,2))</f>
        <v/>
      </c>
      <c r="BC30" s="39"/>
      <c r="BD30" s="40" t="str">
        <f aca="false">IF(OR(INDEX(Undirviðmið!$G$6:$G$105,(COLUMN()-7-1)/2+1)&lt;&gt;"Starfsbundið",BC30="",BC$8="",BC$7=""),"",ROUND(BC30/BC$8*BC$7*KVARDI,2))</f>
        <v/>
      </c>
      <c r="BE30" s="39"/>
      <c r="BF30" s="40" t="str">
        <f aca="false">IF(OR(INDEX(Undirviðmið!$G$6:$G$105,(COLUMN()-7-1)/2+1)&lt;&gt;"Starfsbundið",BE30="",BE$8="",BE$7=""),"",ROUND(BE30/BE$8*BE$7*KVARDI,2))</f>
        <v/>
      </c>
      <c r="BG30" s="39"/>
      <c r="BH30" s="40" t="str">
        <f aca="false">IF(OR(INDEX(Undirviðmið!$G$6:$G$105,(COLUMN()-7-1)/2+1)&lt;&gt;"Starfsbundið",BG30="",BG$8="",BG$7=""),"",ROUND(BG30/BG$8*BG$7*KVARDI,2))</f>
        <v/>
      </c>
      <c r="BI30" s="39"/>
      <c r="BJ30" s="40" t="str">
        <f aca="false">IF(OR(INDEX(Undirviðmið!$G$6:$G$105,(COLUMN()-7-1)/2+1)&lt;&gt;"Starfsbundið",BI30="",BI$8="",BI$7=""),"",ROUND(BI30/BI$8*BI$7*KVARDI,2))</f>
        <v/>
      </c>
      <c r="BK30" s="39"/>
      <c r="BL30" s="40" t="str">
        <f aca="false">IF(OR(INDEX(Undirviðmið!$G$6:$G$105,(COLUMN()-7-1)/2+1)&lt;&gt;"Starfsbundið",BK30="",BK$8="",BK$7=""),"",ROUND(BK30/BK$8*BK$7*KVARDI,2))</f>
        <v/>
      </c>
      <c r="BM30" s="39"/>
      <c r="BN30" s="40" t="str">
        <f aca="false">IF(OR(INDEX(Undirviðmið!$G$6:$G$105,(COLUMN()-7-1)/2+1)&lt;&gt;"Starfsbundið",BM30="",BM$8="",BM$7=""),"",ROUND(BM30/BM$8*BM$7*KVARDI,2))</f>
        <v/>
      </c>
      <c r="BO30" s="39"/>
      <c r="BP30" s="40" t="str">
        <f aca="false">IF(OR(INDEX(Undirviðmið!$G$6:$G$105,(COLUMN()-7-1)/2+1)&lt;&gt;"Starfsbundið",BO30="",BO$8="",BO$7=""),"",ROUND(BO30/BO$8*BO$7*KVARDI,2))</f>
        <v/>
      </c>
      <c r="BQ30" s="39"/>
      <c r="BR30" s="40" t="str">
        <f aca="false">IF(OR(INDEX(Undirviðmið!$G$6:$G$105,(COLUMN()-7-1)/2+1)&lt;&gt;"Starfsbundið",BQ30="",BQ$8="",BQ$7=""),"",ROUND(BQ30/BQ$8*BQ$7*KVARDI,2))</f>
        <v/>
      </c>
      <c r="BS30" s="39"/>
      <c r="BT30" s="40" t="str">
        <f aca="false">IF(OR(INDEX(Undirviðmið!$G$6:$G$105,(COLUMN()-7-1)/2+1)&lt;&gt;"Starfsbundið",BS30="",BS$8="",BS$7=""),"",ROUND(BS30/BS$8*BS$7*KVARDI,2))</f>
        <v/>
      </c>
      <c r="BU30" s="39"/>
      <c r="BV30" s="40" t="str">
        <f aca="false">IF(OR(INDEX(Undirviðmið!$G$6:$G$105,(COLUMN()-7-1)/2+1)&lt;&gt;"Starfsbundið",BU30="",BU$8="",BU$7=""),"",ROUND(BU30/BU$8*BU$7*KVARDI,2))</f>
        <v/>
      </c>
      <c r="BW30" s="39"/>
      <c r="BX30" s="40" t="str">
        <f aca="false">IF(OR(INDEX(Undirviðmið!$G$6:$G$105,(COLUMN()-7-1)/2+1)&lt;&gt;"Starfsbundið",BW30="",BW$8="",BW$7=""),"",ROUND(BW30/BW$8*BW$7*KVARDI,2))</f>
        <v/>
      </c>
      <c r="BY30" s="39"/>
      <c r="BZ30" s="40" t="str">
        <f aca="false">IF(OR(INDEX(Undirviðmið!$G$6:$G$105,(COLUMN()-7-1)/2+1)&lt;&gt;"Starfsbundið",BY30="",BY$8="",BY$7=""),"",ROUND(BY30/BY$8*BY$7*KVARDI,2))</f>
        <v/>
      </c>
      <c r="CA30" s="39"/>
      <c r="CB30" s="40" t="str">
        <f aca="false">IF(OR(INDEX(Undirviðmið!$G$6:$G$105,(COLUMN()-7-1)/2+1)&lt;&gt;"Starfsbundið",CA30="",CA$8="",CA$7=""),"",ROUND(CA30/CA$8*CA$7*KVARDI,2))</f>
        <v/>
      </c>
      <c r="CC30" s="39"/>
      <c r="CD30" s="40" t="str">
        <f aca="false">IF(OR(INDEX(Undirviðmið!$G$6:$G$105,(COLUMN()-7-1)/2+1)&lt;&gt;"Starfsbundið",CC30="",CC$8="",CC$7=""),"",ROUND(CC30/CC$8*CC$7*KVARDI,2))</f>
        <v/>
      </c>
      <c r="CE30" s="39"/>
      <c r="CF30" s="40" t="str">
        <f aca="false">IF(OR(INDEX(Undirviðmið!$G$6:$G$105,(COLUMN()-7-1)/2+1)&lt;&gt;"Starfsbundið",CE30="",CE$8="",CE$7=""),"",ROUND(CE30/CE$8*CE$7*KVARDI,2))</f>
        <v/>
      </c>
      <c r="CG30" s="39"/>
      <c r="CH30" s="40" t="str">
        <f aca="false">IF(OR(INDEX(Undirviðmið!$G$6:$G$105,(COLUMN()-7-1)/2+1)&lt;&gt;"Starfsbundið",CG30="",CG$8="",CG$7=""),"",ROUND(CG30/CG$8*CG$7*KVARDI,2))</f>
        <v/>
      </c>
      <c r="CI30" s="39"/>
      <c r="CJ30" s="40" t="str">
        <f aca="false">IF(OR(INDEX(Undirviðmið!$G$6:$G$105,(COLUMN()-7-1)/2+1)&lt;&gt;"Starfsbundið",CI30="",CI$8="",CI$7=""),"",ROUND(CI30/CI$8*CI$7*KVARDI,2))</f>
        <v/>
      </c>
      <c r="CK30" s="39"/>
      <c r="CL30" s="40" t="str">
        <f aca="false">IF(OR(INDEX(Undirviðmið!$G$6:$G$105,(COLUMN()-7-1)/2+1)&lt;&gt;"Starfsbundið",CK30="",CK$8="",CK$7=""),"",ROUND(CK30/CK$8*CK$7*KVARDI,2))</f>
        <v/>
      </c>
      <c r="CM30" s="39"/>
      <c r="CN30" s="40" t="str">
        <f aca="false">IF(OR(INDEX(Undirviðmið!$G$6:$G$105,(COLUMN()-7-1)/2+1)&lt;&gt;"Starfsbundið",CM30="",CM$8="",CM$7=""),"",ROUND(CM30/CM$8*CM$7*KVARDI,2))</f>
        <v/>
      </c>
      <c r="CO30" s="39"/>
      <c r="CP30" s="40" t="str">
        <f aca="false">IF(OR(INDEX(Undirviðmið!$G$6:$G$105,(COLUMN()-7-1)/2+1)&lt;&gt;"Starfsbundið",CO30="",CO$8="",CO$7=""),"",ROUND(CO30/CO$8*CO$7*KVARDI,2))</f>
        <v/>
      </c>
      <c r="CQ30" s="39"/>
      <c r="CR30" s="40" t="str">
        <f aca="false">IF(OR(INDEX(Undirviðmið!$G$6:$G$105,(COLUMN()-7-1)/2+1)&lt;&gt;"Starfsbundið",CQ30="",CQ$8="",CQ$7=""),"",ROUND(CQ30/CQ$8*CQ$7*KVARDI,2))</f>
        <v/>
      </c>
      <c r="CS30" s="39"/>
      <c r="CT30" s="40" t="str">
        <f aca="false">IF(OR(INDEX(Undirviðmið!$G$6:$G$105,(COLUMN()-7-1)/2+1)&lt;&gt;"Starfsbundið",CS30="",CS$8="",CS$7=""),"",ROUND(CS30/CS$8*CS$7*KVARDI,2))</f>
        <v/>
      </c>
      <c r="CU30" s="39"/>
      <c r="CV30" s="40" t="str">
        <f aca="false">IF(OR(INDEX(Undirviðmið!$G$6:$G$105,(COLUMN()-7-1)/2+1)&lt;&gt;"Starfsbundið",CU30="",CU$8="",CU$7=""),"",ROUND(CU30/CU$8*CU$7*KVARDI,2))</f>
        <v/>
      </c>
      <c r="CW30" s="39"/>
      <c r="CX30" s="40" t="str">
        <f aca="false">IF(OR(INDEX(Undirviðmið!$G$6:$G$105,(COLUMN()-7-1)/2+1)&lt;&gt;"Starfsbundið",CW30="",CW$8="",CW$7=""),"",ROUND(CW30/CW$8*CW$7*KVARDI,2))</f>
        <v/>
      </c>
      <c r="CY30" s="39"/>
      <c r="CZ30" s="40" t="str">
        <f aca="false">IF(OR(INDEX(Undirviðmið!$G$6:$G$105,(COLUMN()-7-1)/2+1)&lt;&gt;"Starfsbundið",CY30="",CY$8="",CY$7=""),"",ROUND(CY30/CY$8*CY$7*KVARDI,2))</f>
        <v/>
      </c>
      <c r="DA30" s="39"/>
      <c r="DB30" s="40" t="str">
        <f aca="false">IF(OR(INDEX(Undirviðmið!$G$6:$G$105,(COLUMN()-7-1)/2+1)&lt;&gt;"Starfsbundið",DA30="",DA$8="",DA$7=""),"",ROUND(DA30/DA$8*DA$7*KVARDI,2))</f>
        <v/>
      </c>
      <c r="DC30" s="39"/>
      <c r="DD30" s="40" t="str">
        <f aca="false">IF(OR(INDEX(Undirviðmið!$G$6:$G$105,(COLUMN()-7-1)/2+1)&lt;&gt;"Starfsbundið",DC30="",DC$8="",DC$7=""),"",ROUND(DC30/DC$8*DC$7*KVARDI,2))</f>
        <v/>
      </c>
      <c r="DE30" s="39"/>
      <c r="DF30" s="40" t="str">
        <f aca="false">IF(OR(INDEX(Undirviðmið!$G$6:$G$105,(COLUMN()-7-1)/2+1)&lt;&gt;"Starfsbundið",DE30="",DE$8="",DE$7=""),"",ROUND(DE30/DE$8*DE$7*KVARDI,2))</f>
        <v/>
      </c>
      <c r="DG30" s="39"/>
      <c r="DH30" s="40" t="str">
        <f aca="false">IF(OR(INDEX(Undirviðmið!$G$6:$G$105,(COLUMN()-7-1)/2+1)&lt;&gt;"Starfsbundið",DG30="",DG$8="",DG$7=""),"",ROUND(DG30/DG$8*DG$7*KVARDI,2))</f>
        <v/>
      </c>
      <c r="DI30" s="39"/>
      <c r="DJ30" s="40" t="str">
        <f aca="false">IF(OR(INDEX(Undirviðmið!$G$6:$G$105,(COLUMN()-7-1)/2+1)&lt;&gt;"Starfsbundið",DI30="",DI$8="",DI$7=""),"",ROUND(DI30/DI$8*DI$7*KVARDI,2))</f>
        <v/>
      </c>
      <c r="DK30" s="39"/>
      <c r="DL30" s="40" t="str">
        <f aca="false">IF(OR(INDEX(Undirviðmið!$G$6:$G$105,(COLUMN()-7-1)/2+1)&lt;&gt;"Starfsbundið",DK30="",DK$8="",DK$7=""),"",ROUND(DK30/DK$8*DK$7*KVARDI,2))</f>
        <v/>
      </c>
      <c r="DM30" s="39"/>
      <c r="DN30" s="40" t="str">
        <f aca="false">IF(OR(INDEX(Undirviðmið!$G$6:$G$105,(COLUMN()-7-1)/2+1)&lt;&gt;"Starfsbundið",DM30="",DM$8="",DM$7=""),"",ROUND(DM30/DM$8*DM$7*KVARDI,2))</f>
        <v/>
      </c>
      <c r="DO30" s="39"/>
      <c r="DP30" s="40" t="str">
        <f aca="false">IF(OR(INDEX(Undirviðmið!$G$6:$G$105,(COLUMN()-7-1)/2+1)&lt;&gt;"Starfsbundið",DO30="",DO$8="",DO$7=""),"",ROUND(DO30/DO$8*DO$7*KVARDI,2))</f>
        <v/>
      </c>
      <c r="DQ30" s="39"/>
      <c r="DR30" s="40" t="str">
        <f aca="false">IF(OR(INDEX(Undirviðmið!$G$6:$G$105,(COLUMN()-7-1)/2+1)&lt;&gt;"Starfsbundið",DQ30="",DQ$8="",DQ$7=""),"",ROUND(DQ30/DQ$8*DQ$7*KVARDI,2))</f>
        <v/>
      </c>
      <c r="DS30" s="39"/>
      <c r="DT30" s="40" t="str">
        <f aca="false">IF(OR(INDEX(Undirviðmið!$G$6:$G$105,(COLUMN()-7-1)/2+1)&lt;&gt;"Starfsbundið",DS30="",DS$8="",DS$7=""),"",ROUND(DS30/DS$8*DS$7*KVARDI,2))</f>
        <v/>
      </c>
      <c r="DU30" s="39"/>
      <c r="DV30" s="40" t="str">
        <f aca="false">IF(OR(INDEX(Undirviðmið!$G$6:$G$105,(COLUMN()-7-1)/2+1)&lt;&gt;"Starfsbundið",DU30="",DU$8="",DU$7=""),"",ROUND(DU30/DU$8*DU$7*KVARDI,2))</f>
        <v/>
      </c>
      <c r="DW30" s="39"/>
      <c r="DX30" s="40" t="str">
        <f aca="false">IF(OR(INDEX(Undirviðmið!$G$6:$G$105,(COLUMN()-7-1)/2+1)&lt;&gt;"Starfsbundið",DW30="",DW$8="",DW$7=""),"",ROUND(DW30/DW$8*DW$7*KVARDI,2))</f>
        <v/>
      </c>
      <c r="DY30" s="39"/>
      <c r="DZ30" s="40" t="str">
        <f aca="false">IF(OR(INDEX(Undirviðmið!$G$6:$G$105,(COLUMN()-7-1)/2+1)&lt;&gt;"Starfsbundið",DY30="",DY$8="",DY$7=""),"",ROUND(DY30/DY$8*DY$7*KVARDI,2))</f>
        <v/>
      </c>
      <c r="EA30" s="39"/>
      <c r="EB30" s="40" t="str">
        <f aca="false">IF(OR(INDEX(Undirviðmið!$G$6:$G$105,(COLUMN()-7-1)/2+1)&lt;&gt;"Starfsbundið",EA30="",EA$8="",EA$7=""),"",ROUND(EA30/EA$8*EA$7*KVARDI,2))</f>
        <v/>
      </c>
      <c r="EC30" s="39"/>
      <c r="ED30" s="40" t="str">
        <f aca="false">IF(OR(INDEX(Undirviðmið!$G$6:$G$105,(COLUMN()-7-1)/2+1)&lt;&gt;"Starfsbundið",EC30="",EC$8="",EC$7=""),"",ROUND(EC30/EC$8*EC$7*KVARDI,2))</f>
        <v/>
      </c>
      <c r="EE30" s="39"/>
      <c r="EF30" s="40" t="str">
        <f aca="false">IF(OR(INDEX(Undirviðmið!$G$6:$G$105,(COLUMN()-7-1)/2+1)&lt;&gt;"Starfsbundið",EE30="",EE$8="",EE$7=""),"",ROUND(EE30/EE$8*EE$7*KVARDI,2))</f>
        <v/>
      </c>
      <c r="EG30" s="39"/>
      <c r="EH30" s="40" t="str">
        <f aca="false">IF(OR(INDEX(Undirviðmið!$G$6:$G$105,(COLUMN()-7-1)/2+1)&lt;&gt;"Starfsbundið",EG30="",EG$8="",EG$7=""),"",ROUND(EG30/EG$8*EG$7*KVARDI,2))</f>
        <v/>
      </c>
      <c r="EI30" s="39"/>
      <c r="EJ30" s="40" t="str">
        <f aca="false">IF(OR(INDEX(Undirviðmið!$G$6:$G$105,(COLUMN()-7-1)/2+1)&lt;&gt;"Starfsbundið",EI30="",EI$8="",EI$7=""),"",ROUND(EI30/EI$8*EI$7*KVARDI,2))</f>
        <v/>
      </c>
      <c r="EK30" s="39"/>
      <c r="EL30" s="40" t="str">
        <f aca="false">IF(OR(INDEX(Undirviðmið!$G$6:$G$105,(COLUMN()-7-1)/2+1)&lt;&gt;"Starfsbundið",EK30="",EK$8="",EK$7=""),"",ROUND(EK30/EK$8*EK$7*KVARDI,2))</f>
        <v/>
      </c>
      <c r="EM30" s="39"/>
      <c r="EN30" s="40" t="str">
        <f aca="false">IF(OR(INDEX(Undirviðmið!$G$6:$G$105,(COLUMN()-7-1)/2+1)&lt;&gt;"Starfsbundið",EM30="",EM$8="",EM$7=""),"",ROUND(EM30/EM$8*EM$7*KVARDI,2))</f>
        <v/>
      </c>
      <c r="EO30" s="39"/>
      <c r="EP30" s="40" t="str">
        <f aca="false">IF(OR(INDEX(Undirviðmið!$G$6:$G$105,(COLUMN()-7-1)/2+1)&lt;&gt;"Starfsbundið",EO30="",EO$8="",EO$7=""),"",ROUND(EO30/EO$8*EO$7*KVARDI,2))</f>
        <v/>
      </c>
      <c r="EQ30" s="39"/>
      <c r="ER30" s="40" t="str">
        <f aca="false">IF(OR(INDEX(Undirviðmið!$G$6:$G$105,(COLUMN()-7-1)/2+1)&lt;&gt;"Starfsbundið",EQ30="",EQ$8="",EQ$7=""),"",ROUND(EQ30/EQ$8*EQ$7*KVARDI,2))</f>
        <v/>
      </c>
      <c r="ES30" s="39"/>
      <c r="ET30" s="40" t="str">
        <f aca="false">IF(OR(INDEX(Undirviðmið!$G$6:$G$105,(COLUMN()-7-1)/2+1)&lt;&gt;"Starfsbundið",ES30="",ES$8="",ES$7=""),"",ROUND(ES30/ES$8*ES$7*KVARDI,2))</f>
        <v/>
      </c>
      <c r="EU30" s="39"/>
      <c r="EV30" s="40" t="str">
        <f aca="false">IF(OR(INDEX(Undirviðmið!$G$6:$G$105,(COLUMN()-7-1)/2+1)&lt;&gt;"Starfsbundið",EU30="",EU$8="",EU$7=""),"",ROUND(EU30/EU$8*EU$7*KVARDI,2))</f>
        <v/>
      </c>
      <c r="EW30" s="39"/>
      <c r="EX30" s="40" t="str">
        <f aca="false">IF(OR(INDEX(Undirviðmið!$G$6:$G$105,(COLUMN()-7-1)/2+1)&lt;&gt;"Starfsbundið",EW30="",EW$8="",EW$7=""),"",ROUND(EW30/EW$8*EW$7*KVARDI,2))</f>
        <v/>
      </c>
      <c r="EY30" s="39"/>
      <c r="EZ30" s="40" t="str">
        <f aca="false">IF(OR(INDEX(Undirviðmið!$G$6:$G$105,(COLUMN()-7-1)/2+1)&lt;&gt;"Starfsbundið",EY30="",EY$8="",EY$7=""),"",ROUND(EY30/EY$8*EY$7*KVARDI,2))</f>
        <v/>
      </c>
      <c r="FA30" s="39"/>
      <c r="FB30" s="40" t="str">
        <f aca="false">IF(OR(INDEX(Undirviðmið!$G$6:$G$105,(COLUMN()-7-1)/2+1)&lt;&gt;"Starfsbundið",FA30="",FA$8="",FA$7=""),"",ROUND(FA30/FA$8*FA$7*KVARDI,2))</f>
        <v/>
      </c>
      <c r="FC30" s="39"/>
      <c r="FD30" s="40" t="str">
        <f aca="false">IF(OR(INDEX(Undirviðmið!$G$6:$G$105,(COLUMN()-7-1)/2+1)&lt;&gt;"Starfsbundið",FC30="",FC$8="",FC$7=""),"",ROUND(FC30/FC$8*FC$7*KVARDI,2))</f>
        <v/>
      </c>
      <c r="FE30" s="39"/>
      <c r="FF30" s="40" t="str">
        <f aca="false">IF(OR(INDEX(Undirviðmið!$G$6:$G$105,(COLUMN()-7-1)/2+1)&lt;&gt;"Starfsbundið",FE30="",FE$8="",FE$7=""),"",ROUND(FE30/FE$8*FE$7*KVARDI,2))</f>
        <v/>
      </c>
      <c r="FG30" s="39"/>
      <c r="FH30" s="40" t="str">
        <f aca="false">IF(OR(INDEX(Undirviðmið!$G$6:$G$105,(COLUMN()-7-1)/2+1)&lt;&gt;"Starfsbundið",FG30="",FG$8="",FG$7=""),"",ROUND(FG30/FG$8*FG$7*KVARDI,2))</f>
        <v/>
      </c>
      <c r="FI30" s="39"/>
      <c r="FJ30" s="40" t="str">
        <f aca="false">IF(OR(INDEX(Undirviðmið!$G$6:$G$105,(COLUMN()-7-1)/2+1)&lt;&gt;"Starfsbundið",FI30="",FI$8="",FI$7=""),"",ROUND(FI30/FI$8*FI$7*KVARDI,2))</f>
        <v/>
      </c>
      <c r="FK30" s="39"/>
      <c r="FL30" s="40" t="str">
        <f aca="false">IF(OR(INDEX(Undirviðmið!$G$6:$G$105,(COLUMN()-7-1)/2+1)&lt;&gt;"Starfsbundið",FK30="",FK$8="",FK$7=""),"",ROUND(FK30/FK$8*FK$7*KVARDI,2))</f>
        <v/>
      </c>
      <c r="FM30" s="39"/>
      <c r="FN30" s="40" t="str">
        <f aca="false">IF(OR(INDEX(Undirviðmið!$G$6:$G$105,(COLUMN()-7-1)/2+1)&lt;&gt;"Starfsbundið",FM30="",FM$8="",FM$7=""),"",ROUND(FM30/FM$8*FM$7*KVARDI,2))</f>
        <v/>
      </c>
      <c r="FO30" s="39"/>
      <c r="FP30" s="40" t="str">
        <f aca="false">IF(OR(INDEX(Undirviðmið!$G$6:$G$105,(COLUMN()-7-1)/2+1)&lt;&gt;"Starfsbundið",FO30="",FO$8="",FO$7=""),"",ROUND(FO30/FO$8*FO$7*KVARDI,2))</f>
        <v/>
      </c>
      <c r="FQ30" s="39"/>
      <c r="FR30" s="40" t="str">
        <f aca="false">IF(OR(INDEX(Undirviðmið!$G$6:$G$105,(COLUMN()-7-1)/2+1)&lt;&gt;"Starfsbundið",FQ30="",FQ$8="",FQ$7=""),"",ROUND(FQ30/FQ$8*FQ$7*KVARDI,2))</f>
        <v/>
      </c>
      <c r="FS30" s="39"/>
      <c r="FT30" s="40" t="str">
        <f aca="false">IF(OR(INDEX(Undirviðmið!$G$6:$G$105,(COLUMN()-7-1)/2+1)&lt;&gt;"Starfsbundið",FS30="",FS$8="",FS$7=""),"",ROUND(FS30/FS$8*FS$7*KVARDI,2))</f>
        <v/>
      </c>
      <c r="FU30" s="39"/>
      <c r="FV30" s="40" t="str">
        <f aca="false">IF(OR(INDEX(Undirviðmið!$G$6:$G$105,(COLUMN()-7-1)/2+1)&lt;&gt;"Starfsbundið",FU30="",FU$8="",FU$7=""),"",ROUND(FU30/FU$8*FU$7*KVARDI,2))</f>
        <v/>
      </c>
      <c r="FW30" s="39"/>
      <c r="FX30" s="40" t="str">
        <f aca="false">IF(OR(INDEX(Undirviðmið!$G$6:$G$105,(COLUMN()-7-1)/2+1)&lt;&gt;"Starfsbundið",FW30="",FW$8="",FW$7=""),"",ROUND(FW30/FW$8*FW$7*KVARDI,2))</f>
        <v/>
      </c>
      <c r="FY30" s="39"/>
      <c r="FZ30" s="40" t="str">
        <f aca="false">IF(OR(INDEX(Undirviðmið!$G$6:$G$105,(COLUMN()-7-1)/2+1)&lt;&gt;"Starfsbundið",FY30="",FY$8="",FY$7=""),"",ROUND(FY30/FY$8*FY$7*KVARDI,2))</f>
        <v/>
      </c>
      <c r="GA30" s="39"/>
      <c r="GB30" s="40" t="str">
        <f aca="false">IF(OR(INDEX(Undirviðmið!$G$6:$G$105,(COLUMN()-7-1)/2+1)&lt;&gt;"Starfsbundið",GA30="",GA$8="",GA$7=""),"",ROUND(GA30/GA$8*GA$7*KVARDI,2))</f>
        <v/>
      </c>
      <c r="GC30" s="39"/>
      <c r="GD30" s="40" t="str">
        <f aca="false">IF(OR(INDEX(Undirviðmið!$G$6:$G$105,(COLUMN()-7-1)/2+1)&lt;&gt;"Starfsbundið",GC30="",GC$8="",GC$7=""),"",ROUND(GC30/GC$8*GC$7*KVARDI,2))</f>
        <v/>
      </c>
      <c r="GE30" s="39"/>
      <c r="GF30" s="40" t="str">
        <f aca="false">IF(OR(INDEX(Undirviðmið!$G$6:$G$105,(COLUMN()-7-1)/2+1)&lt;&gt;"Starfsbundið",GE30="",GE$8="",GE$7=""),"",ROUND(GE30/GE$8*GE$7*KVARDI,2))</f>
        <v/>
      </c>
      <c r="GG30" s="39"/>
      <c r="GH30" s="40" t="str">
        <f aca="false">IF(OR(INDEX(Undirviðmið!$G$6:$G$105,(COLUMN()-7-1)/2+1)&lt;&gt;"Starfsbundið",GG30="",GG$8="",GG$7=""),"",ROUND(GG30/GG$8*GG$7*KVARDI,2))</f>
        <v/>
      </c>
      <c r="GI30" s="39"/>
      <c r="GJ30" s="40" t="str">
        <f aca="false">IF(OR(INDEX(Undirviðmið!$G$6:$G$105,(COLUMN()-7-1)/2+1)&lt;&gt;"Starfsbundið",GI30="",GI$8="",GI$7=""),"",ROUND(GI30/GI$8*GI$7*KVARDI,2))</f>
        <v/>
      </c>
      <c r="GK30" s="39"/>
      <c r="GL30" s="40" t="str">
        <f aca="false">IF(OR(INDEX(Undirviðmið!$G$6:$G$105,(COLUMN()-7-1)/2+1)&lt;&gt;"Starfsbundið",GK30="",GK$8="",GK$7=""),"",ROUND(GK30/GK$8*GK$7*KVARDI,2))</f>
        <v/>
      </c>
      <c r="GM30" s="39"/>
      <c r="GN30" s="40" t="str">
        <f aca="false">IF(OR(INDEX(Undirviðmið!$G$6:$G$105,(COLUMN()-7-1)/2+1)&lt;&gt;"Starfsbundið",GM30="",GM$8="",GM$7=""),"",ROUND(GM30/GM$8*GM$7*KVARDI,2))</f>
        <v/>
      </c>
      <c r="GO30" s="39"/>
      <c r="GP30" s="40" t="str">
        <f aca="false">IF(OR(INDEX(Undirviðmið!$G$6:$G$105,(COLUMN()-7-1)/2+1)&lt;&gt;"Starfsbundið",GO30="",GO$8="",GO$7=""),"",ROUND(GO30/GO$8*GO$7*KVARDI,2))</f>
        <v/>
      </c>
      <c r="GQ30" s="39"/>
      <c r="GR30" s="40" t="str">
        <f aca="false">IF(OR(INDEX(Undirviðmið!$G$6:$G$105,(COLUMN()-7-1)/2+1)&lt;&gt;"Starfsbundið",GQ30="",GQ$8="",GQ$7=""),"",ROUND(GQ30/GQ$8*GQ$7*KVARDI,2))</f>
        <v/>
      </c>
      <c r="GS30" s="39"/>
      <c r="GT30" s="40" t="str">
        <f aca="false">IF(OR(INDEX(Undirviðmið!$G$6:$G$105,(COLUMN()-7-1)/2+1)&lt;&gt;"Starfsbundið",GS30="",GS$8="",GS$7=""),"",ROUND(GS30/GS$8*GS$7*KVARDI,2))</f>
        <v/>
      </c>
      <c r="GU30" s="39"/>
      <c r="GV30" s="40" t="str">
        <f aca="false">IF(OR(INDEX(Undirviðmið!$G$6:$G$105,(COLUMN()-7-1)/2+1)&lt;&gt;"Starfsbundið",GU30="",GU$8="",GU$7=""),"",ROUND(GU30/GU$8*GU$7*KVARDI,2))</f>
        <v/>
      </c>
      <c r="GW30" s="39"/>
      <c r="GX30" s="40" t="str">
        <f aca="false">IF(OR(INDEX(Undirviðmið!$G$6:$G$105,(COLUMN()-7-1)/2+1)&lt;&gt;"Starfsbundið",GW30="",GW$8="",GW$7=""),"",ROUND(GW30/GW$8*GW$7*KVARDI,2))</f>
        <v/>
      </c>
      <c r="GZ30" s="20"/>
    </row>
    <row r="31" customFormat="false" ht="15" hidden="true" customHeight="true" outlineLevel="1" collapsed="false">
      <c r="B31" s="37" t="str">
        <f aca="false" t="array" ref="B31:B31">IFERROR(INDEX(Starfsmenn!$C$6:$C$10005,MATCH(0,COUNTIF($B$11:B30,Starfsmenn!$C$6:$C$10005)+(Starfsmenn!$C$6:$C$10005=""),0)),"")</f>
        <v/>
      </c>
      <c r="C31" s="38" t="n">
        <f aca="false">IFERROR(SUMIF($G$10:$GX$10,"Stig",$G31:$GX31),0)</f>
        <v>0</v>
      </c>
      <c r="G31" s="39"/>
      <c r="H31" s="40" t="str">
        <f aca="false">IF(OR(INDEX(Undirviðmið!$G$6:$G$105,(COLUMN()-7-1)/2+1)&lt;&gt;"Starfsbundið",G31="",G$8="",G$7=""),"",ROUND(G31/G$8*G$7*KVARDI,2))</f>
        <v/>
      </c>
      <c r="I31" s="39"/>
      <c r="J31" s="40" t="str">
        <f aca="false">IF(OR(INDEX(Undirviðmið!$G$6:$G$105,(COLUMN()-7-1)/2+1)&lt;&gt;"Starfsbundið",I31="",I$8="",I$7=""),"",ROUND(I31/I$8*I$7*KVARDI,2))</f>
        <v/>
      </c>
      <c r="K31" s="39"/>
      <c r="L31" s="40" t="str">
        <f aca="false">IF(OR(INDEX(Undirviðmið!$G$6:$G$105,(COLUMN()-7-1)/2+1)&lt;&gt;"Starfsbundið",K31="",K$8="",K$7=""),"",ROUND(K31/K$8*K$7*KVARDI,2))</f>
        <v/>
      </c>
      <c r="M31" s="39"/>
      <c r="N31" s="40" t="str">
        <f aca="false">IF(OR(INDEX(Undirviðmið!$G$6:$G$105,(COLUMN()-7-1)/2+1)&lt;&gt;"Starfsbundið",M31="",M$8="",M$7=""),"",ROUND(M31/M$8*M$7*KVARDI,2))</f>
        <v/>
      </c>
      <c r="O31" s="39"/>
      <c r="P31" s="40" t="str">
        <f aca="false">IF(OR(INDEX(Undirviðmið!$G$6:$G$105,(COLUMN()-7-1)/2+1)&lt;&gt;"Starfsbundið",O31="",O$8="",O$7=""),"",ROUND(O31/O$8*O$7*KVARDI,2))</f>
        <v/>
      </c>
      <c r="Q31" s="39"/>
      <c r="R31" s="40" t="str">
        <f aca="false">IF(OR(INDEX(Undirviðmið!$G$6:$G$105,(COLUMN()-7-1)/2+1)&lt;&gt;"Starfsbundið",Q31="",Q$8="",Q$7=""),"",ROUND(Q31/Q$8*Q$7*KVARDI,2))</f>
        <v/>
      </c>
      <c r="S31" s="39"/>
      <c r="T31" s="40" t="str">
        <f aca="false">IF(OR(INDEX(Undirviðmið!$G$6:$G$105,(COLUMN()-7-1)/2+1)&lt;&gt;"Starfsbundið",S31="",S$8="",S$7=""),"",ROUND(S31/S$8*S$7*KVARDI,2))</f>
        <v/>
      </c>
      <c r="U31" s="39"/>
      <c r="V31" s="40" t="str">
        <f aca="false">IF(OR(INDEX(Undirviðmið!$G$6:$G$105,(COLUMN()-7-1)/2+1)&lt;&gt;"Starfsbundið",U31="",U$8="",U$7=""),"",ROUND(U31/U$8*U$7*KVARDI,2))</f>
        <v/>
      </c>
      <c r="W31" s="39"/>
      <c r="X31" s="40" t="str">
        <f aca="false">IF(OR(INDEX(Undirviðmið!$G$6:$G$105,(COLUMN()-7-1)/2+1)&lt;&gt;"Starfsbundið",W31="",W$8="",W$7=""),"",ROUND(W31/W$8*W$7*KVARDI,2))</f>
        <v/>
      </c>
      <c r="Y31" s="39"/>
      <c r="Z31" s="40" t="str">
        <f aca="false">IF(OR(INDEX(Undirviðmið!$G$6:$G$105,(COLUMN()-7-1)/2+1)&lt;&gt;"Starfsbundið",Y31="",Y$8="",Y$7=""),"",ROUND(Y31/Y$8*Y$7*KVARDI,2))</f>
        <v/>
      </c>
      <c r="AA31" s="39"/>
      <c r="AB31" s="40" t="str">
        <f aca="false">IF(OR(INDEX(Undirviðmið!$G$6:$G$105,(COLUMN()-7-1)/2+1)&lt;&gt;"Starfsbundið",AA31="",AA$8="",AA$7=""),"",ROUND(AA31/AA$8*AA$7*KVARDI,2))</f>
        <v/>
      </c>
      <c r="AC31" s="39"/>
      <c r="AD31" s="40" t="str">
        <f aca="false">IF(OR(INDEX(Undirviðmið!$G$6:$G$105,(COLUMN()-7-1)/2+1)&lt;&gt;"Starfsbundið",AC31="",AC$8="",AC$7=""),"",ROUND(AC31/AC$8*AC$7*KVARDI,2))</f>
        <v/>
      </c>
      <c r="AE31" s="39"/>
      <c r="AF31" s="40" t="str">
        <f aca="false">IF(OR(INDEX(Undirviðmið!$G$6:$G$105,(COLUMN()-7-1)/2+1)&lt;&gt;"Starfsbundið",AE31="",AE$8="",AE$7=""),"",ROUND(AE31/AE$8*AE$7*KVARDI,2))</f>
        <v/>
      </c>
      <c r="AG31" s="39"/>
      <c r="AH31" s="40" t="str">
        <f aca="false">IF(OR(INDEX(Undirviðmið!$G$6:$G$105,(COLUMN()-7-1)/2+1)&lt;&gt;"Starfsbundið",AG31="",AG$8="",AG$7=""),"",ROUND(AG31/AG$8*AG$7*KVARDI,2))</f>
        <v/>
      </c>
      <c r="AI31" s="39"/>
      <c r="AJ31" s="40" t="str">
        <f aca="false">IF(OR(INDEX(Undirviðmið!$G$6:$G$105,(COLUMN()-7-1)/2+1)&lt;&gt;"Starfsbundið",AI31="",AI$8="",AI$7=""),"",ROUND(AI31/AI$8*AI$7*KVARDI,2))</f>
        <v/>
      </c>
      <c r="AK31" s="39"/>
      <c r="AL31" s="40" t="str">
        <f aca="false">IF(OR(INDEX(Undirviðmið!$G$6:$G$105,(COLUMN()-7-1)/2+1)&lt;&gt;"Starfsbundið",AK31="",AK$8="",AK$7=""),"",ROUND(AK31/AK$8*AK$7*KVARDI,2))</f>
        <v/>
      </c>
      <c r="AM31" s="39"/>
      <c r="AN31" s="40" t="str">
        <f aca="false">IF(OR(INDEX(Undirviðmið!$G$6:$G$105,(COLUMN()-7-1)/2+1)&lt;&gt;"Starfsbundið",AM31="",AM$8="",AM$7=""),"",ROUND(AM31/AM$8*AM$7*KVARDI,2))</f>
        <v/>
      </c>
      <c r="AO31" s="39"/>
      <c r="AP31" s="40" t="str">
        <f aca="false">IF(OR(INDEX(Undirviðmið!$G$6:$G$105,(COLUMN()-7-1)/2+1)&lt;&gt;"Starfsbundið",AO31="",AO$8="",AO$7=""),"",ROUND(AO31/AO$8*AO$7*KVARDI,2))</f>
        <v/>
      </c>
      <c r="AQ31" s="39"/>
      <c r="AR31" s="40" t="str">
        <f aca="false">IF(OR(INDEX(Undirviðmið!$G$6:$G$105,(COLUMN()-7-1)/2+1)&lt;&gt;"Starfsbundið",AQ31="",AQ$8="",AQ$7=""),"",ROUND(AQ31/AQ$8*AQ$7*KVARDI,2))</f>
        <v/>
      </c>
      <c r="AS31" s="39"/>
      <c r="AT31" s="40" t="str">
        <f aca="false">IF(OR(INDEX(Undirviðmið!$G$6:$G$105,(COLUMN()-7-1)/2+1)&lt;&gt;"Starfsbundið",AS31="",AS$8="",AS$7=""),"",ROUND(AS31/AS$8*AS$7*KVARDI,2))</f>
        <v/>
      </c>
      <c r="AU31" s="39"/>
      <c r="AV31" s="40" t="str">
        <f aca="false">IF(OR(INDEX(Undirviðmið!$G$6:$G$105,(COLUMN()-7-1)/2+1)&lt;&gt;"Starfsbundið",AU31="",AU$8="",AU$7=""),"",ROUND(AU31/AU$8*AU$7*KVARDI,2))</f>
        <v/>
      </c>
      <c r="AW31" s="39"/>
      <c r="AX31" s="40" t="str">
        <f aca="false">IF(OR(INDEX(Undirviðmið!$G$6:$G$105,(COLUMN()-7-1)/2+1)&lt;&gt;"Starfsbundið",AW31="",AW$8="",AW$7=""),"",ROUND(AW31/AW$8*AW$7*KVARDI,2))</f>
        <v/>
      </c>
      <c r="AY31" s="39"/>
      <c r="AZ31" s="40" t="str">
        <f aca="false">IF(OR(INDEX(Undirviðmið!$G$6:$G$105,(COLUMN()-7-1)/2+1)&lt;&gt;"Starfsbundið",AY31="",AY$8="",AY$7=""),"",ROUND(AY31/AY$8*AY$7*KVARDI,2))</f>
        <v/>
      </c>
      <c r="BA31" s="39"/>
      <c r="BB31" s="40" t="str">
        <f aca="false">IF(OR(INDEX(Undirviðmið!$G$6:$G$105,(COLUMN()-7-1)/2+1)&lt;&gt;"Starfsbundið",BA31="",BA$8="",BA$7=""),"",ROUND(BA31/BA$8*BA$7*KVARDI,2))</f>
        <v/>
      </c>
      <c r="BC31" s="39"/>
      <c r="BD31" s="40" t="str">
        <f aca="false">IF(OR(INDEX(Undirviðmið!$G$6:$G$105,(COLUMN()-7-1)/2+1)&lt;&gt;"Starfsbundið",BC31="",BC$8="",BC$7=""),"",ROUND(BC31/BC$8*BC$7*KVARDI,2))</f>
        <v/>
      </c>
      <c r="BE31" s="39"/>
      <c r="BF31" s="40" t="str">
        <f aca="false">IF(OR(INDEX(Undirviðmið!$G$6:$G$105,(COLUMN()-7-1)/2+1)&lt;&gt;"Starfsbundið",BE31="",BE$8="",BE$7=""),"",ROUND(BE31/BE$8*BE$7*KVARDI,2))</f>
        <v/>
      </c>
      <c r="BG31" s="39"/>
      <c r="BH31" s="40" t="str">
        <f aca="false">IF(OR(INDEX(Undirviðmið!$G$6:$G$105,(COLUMN()-7-1)/2+1)&lt;&gt;"Starfsbundið",BG31="",BG$8="",BG$7=""),"",ROUND(BG31/BG$8*BG$7*KVARDI,2))</f>
        <v/>
      </c>
      <c r="BI31" s="39"/>
      <c r="BJ31" s="40" t="str">
        <f aca="false">IF(OR(INDEX(Undirviðmið!$G$6:$G$105,(COLUMN()-7-1)/2+1)&lt;&gt;"Starfsbundið",BI31="",BI$8="",BI$7=""),"",ROUND(BI31/BI$8*BI$7*KVARDI,2))</f>
        <v/>
      </c>
      <c r="BK31" s="39"/>
      <c r="BL31" s="40" t="str">
        <f aca="false">IF(OR(INDEX(Undirviðmið!$G$6:$G$105,(COLUMN()-7-1)/2+1)&lt;&gt;"Starfsbundið",BK31="",BK$8="",BK$7=""),"",ROUND(BK31/BK$8*BK$7*KVARDI,2))</f>
        <v/>
      </c>
      <c r="BM31" s="39"/>
      <c r="BN31" s="40" t="str">
        <f aca="false">IF(OR(INDEX(Undirviðmið!$G$6:$G$105,(COLUMN()-7-1)/2+1)&lt;&gt;"Starfsbundið",BM31="",BM$8="",BM$7=""),"",ROUND(BM31/BM$8*BM$7*KVARDI,2))</f>
        <v/>
      </c>
      <c r="BO31" s="39"/>
      <c r="BP31" s="40" t="str">
        <f aca="false">IF(OR(INDEX(Undirviðmið!$G$6:$G$105,(COLUMN()-7-1)/2+1)&lt;&gt;"Starfsbundið",BO31="",BO$8="",BO$7=""),"",ROUND(BO31/BO$8*BO$7*KVARDI,2))</f>
        <v/>
      </c>
      <c r="BQ31" s="39"/>
      <c r="BR31" s="40" t="str">
        <f aca="false">IF(OR(INDEX(Undirviðmið!$G$6:$G$105,(COLUMN()-7-1)/2+1)&lt;&gt;"Starfsbundið",BQ31="",BQ$8="",BQ$7=""),"",ROUND(BQ31/BQ$8*BQ$7*KVARDI,2))</f>
        <v/>
      </c>
      <c r="BS31" s="39"/>
      <c r="BT31" s="40" t="str">
        <f aca="false">IF(OR(INDEX(Undirviðmið!$G$6:$G$105,(COLUMN()-7-1)/2+1)&lt;&gt;"Starfsbundið",BS31="",BS$8="",BS$7=""),"",ROUND(BS31/BS$8*BS$7*KVARDI,2))</f>
        <v/>
      </c>
      <c r="BU31" s="39"/>
      <c r="BV31" s="40" t="str">
        <f aca="false">IF(OR(INDEX(Undirviðmið!$G$6:$G$105,(COLUMN()-7-1)/2+1)&lt;&gt;"Starfsbundið",BU31="",BU$8="",BU$7=""),"",ROUND(BU31/BU$8*BU$7*KVARDI,2))</f>
        <v/>
      </c>
      <c r="BW31" s="39"/>
      <c r="BX31" s="40" t="str">
        <f aca="false">IF(OR(INDEX(Undirviðmið!$G$6:$G$105,(COLUMN()-7-1)/2+1)&lt;&gt;"Starfsbundið",BW31="",BW$8="",BW$7=""),"",ROUND(BW31/BW$8*BW$7*KVARDI,2))</f>
        <v/>
      </c>
      <c r="BY31" s="39"/>
      <c r="BZ31" s="40" t="str">
        <f aca="false">IF(OR(INDEX(Undirviðmið!$G$6:$G$105,(COLUMN()-7-1)/2+1)&lt;&gt;"Starfsbundið",BY31="",BY$8="",BY$7=""),"",ROUND(BY31/BY$8*BY$7*KVARDI,2))</f>
        <v/>
      </c>
      <c r="CA31" s="39"/>
      <c r="CB31" s="40" t="str">
        <f aca="false">IF(OR(INDEX(Undirviðmið!$G$6:$G$105,(COLUMN()-7-1)/2+1)&lt;&gt;"Starfsbundið",CA31="",CA$8="",CA$7=""),"",ROUND(CA31/CA$8*CA$7*KVARDI,2))</f>
        <v/>
      </c>
      <c r="CC31" s="39"/>
      <c r="CD31" s="40" t="str">
        <f aca="false">IF(OR(INDEX(Undirviðmið!$G$6:$G$105,(COLUMN()-7-1)/2+1)&lt;&gt;"Starfsbundið",CC31="",CC$8="",CC$7=""),"",ROUND(CC31/CC$8*CC$7*KVARDI,2))</f>
        <v/>
      </c>
      <c r="CE31" s="39"/>
      <c r="CF31" s="40" t="str">
        <f aca="false">IF(OR(INDEX(Undirviðmið!$G$6:$G$105,(COLUMN()-7-1)/2+1)&lt;&gt;"Starfsbundið",CE31="",CE$8="",CE$7=""),"",ROUND(CE31/CE$8*CE$7*KVARDI,2))</f>
        <v/>
      </c>
      <c r="CG31" s="39"/>
      <c r="CH31" s="40" t="str">
        <f aca="false">IF(OR(INDEX(Undirviðmið!$G$6:$G$105,(COLUMN()-7-1)/2+1)&lt;&gt;"Starfsbundið",CG31="",CG$8="",CG$7=""),"",ROUND(CG31/CG$8*CG$7*KVARDI,2))</f>
        <v/>
      </c>
      <c r="CI31" s="39"/>
      <c r="CJ31" s="40" t="str">
        <f aca="false">IF(OR(INDEX(Undirviðmið!$G$6:$G$105,(COLUMN()-7-1)/2+1)&lt;&gt;"Starfsbundið",CI31="",CI$8="",CI$7=""),"",ROUND(CI31/CI$8*CI$7*KVARDI,2))</f>
        <v/>
      </c>
      <c r="CK31" s="39"/>
      <c r="CL31" s="40" t="str">
        <f aca="false">IF(OR(INDEX(Undirviðmið!$G$6:$G$105,(COLUMN()-7-1)/2+1)&lt;&gt;"Starfsbundið",CK31="",CK$8="",CK$7=""),"",ROUND(CK31/CK$8*CK$7*KVARDI,2))</f>
        <v/>
      </c>
      <c r="CM31" s="39"/>
      <c r="CN31" s="40" t="str">
        <f aca="false">IF(OR(INDEX(Undirviðmið!$G$6:$G$105,(COLUMN()-7-1)/2+1)&lt;&gt;"Starfsbundið",CM31="",CM$8="",CM$7=""),"",ROUND(CM31/CM$8*CM$7*KVARDI,2))</f>
        <v/>
      </c>
      <c r="CO31" s="39"/>
      <c r="CP31" s="40" t="str">
        <f aca="false">IF(OR(INDEX(Undirviðmið!$G$6:$G$105,(COLUMN()-7-1)/2+1)&lt;&gt;"Starfsbundið",CO31="",CO$8="",CO$7=""),"",ROUND(CO31/CO$8*CO$7*KVARDI,2))</f>
        <v/>
      </c>
      <c r="CQ31" s="39"/>
      <c r="CR31" s="40" t="str">
        <f aca="false">IF(OR(INDEX(Undirviðmið!$G$6:$G$105,(COLUMN()-7-1)/2+1)&lt;&gt;"Starfsbundið",CQ31="",CQ$8="",CQ$7=""),"",ROUND(CQ31/CQ$8*CQ$7*KVARDI,2))</f>
        <v/>
      </c>
      <c r="CS31" s="39"/>
      <c r="CT31" s="40" t="str">
        <f aca="false">IF(OR(INDEX(Undirviðmið!$G$6:$G$105,(COLUMN()-7-1)/2+1)&lt;&gt;"Starfsbundið",CS31="",CS$8="",CS$7=""),"",ROUND(CS31/CS$8*CS$7*KVARDI,2))</f>
        <v/>
      </c>
      <c r="CU31" s="39"/>
      <c r="CV31" s="40" t="str">
        <f aca="false">IF(OR(INDEX(Undirviðmið!$G$6:$G$105,(COLUMN()-7-1)/2+1)&lt;&gt;"Starfsbundið",CU31="",CU$8="",CU$7=""),"",ROUND(CU31/CU$8*CU$7*KVARDI,2))</f>
        <v/>
      </c>
      <c r="CW31" s="39"/>
      <c r="CX31" s="40" t="str">
        <f aca="false">IF(OR(INDEX(Undirviðmið!$G$6:$G$105,(COLUMN()-7-1)/2+1)&lt;&gt;"Starfsbundið",CW31="",CW$8="",CW$7=""),"",ROUND(CW31/CW$8*CW$7*KVARDI,2))</f>
        <v/>
      </c>
      <c r="CY31" s="39"/>
      <c r="CZ31" s="40" t="str">
        <f aca="false">IF(OR(INDEX(Undirviðmið!$G$6:$G$105,(COLUMN()-7-1)/2+1)&lt;&gt;"Starfsbundið",CY31="",CY$8="",CY$7=""),"",ROUND(CY31/CY$8*CY$7*KVARDI,2))</f>
        <v/>
      </c>
      <c r="DA31" s="39"/>
      <c r="DB31" s="40" t="str">
        <f aca="false">IF(OR(INDEX(Undirviðmið!$G$6:$G$105,(COLUMN()-7-1)/2+1)&lt;&gt;"Starfsbundið",DA31="",DA$8="",DA$7=""),"",ROUND(DA31/DA$8*DA$7*KVARDI,2))</f>
        <v/>
      </c>
      <c r="DC31" s="39"/>
      <c r="DD31" s="40" t="str">
        <f aca="false">IF(OR(INDEX(Undirviðmið!$G$6:$G$105,(COLUMN()-7-1)/2+1)&lt;&gt;"Starfsbundið",DC31="",DC$8="",DC$7=""),"",ROUND(DC31/DC$8*DC$7*KVARDI,2))</f>
        <v/>
      </c>
      <c r="DE31" s="39"/>
      <c r="DF31" s="40" t="str">
        <f aca="false">IF(OR(INDEX(Undirviðmið!$G$6:$G$105,(COLUMN()-7-1)/2+1)&lt;&gt;"Starfsbundið",DE31="",DE$8="",DE$7=""),"",ROUND(DE31/DE$8*DE$7*KVARDI,2))</f>
        <v/>
      </c>
      <c r="DG31" s="39"/>
      <c r="DH31" s="40" t="str">
        <f aca="false">IF(OR(INDEX(Undirviðmið!$G$6:$G$105,(COLUMN()-7-1)/2+1)&lt;&gt;"Starfsbundið",DG31="",DG$8="",DG$7=""),"",ROUND(DG31/DG$8*DG$7*KVARDI,2))</f>
        <v/>
      </c>
      <c r="DI31" s="39"/>
      <c r="DJ31" s="40" t="str">
        <f aca="false">IF(OR(INDEX(Undirviðmið!$G$6:$G$105,(COLUMN()-7-1)/2+1)&lt;&gt;"Starfsbundið",DI31="",DI$8="",DI$7=""),"",ROUND(DI31/DI$8*DI$7*KVARDI,2))</f>
        <v/>
      </c>
      <c r="DK31" s="39"/>
      <c r="DL31" s="40" t="str">
        <f aca="false">IF(OR(INDEX(Undirviðmið!$G$6:$G$105,(COLUMN()-7-1)/2+1)&lt;&gt;"Starfsbundið",DK31="",DK$8="",DK$7=""),"",ROUND(DK31/DK$8*DK$7*KVARDI,2))</f>
        <v/>
      </c>
      <c r="DM31" s="39"/>
      <c r="DN31" s="40" t="str">
        <f aca="false">IF(OR(INDEX(Undirviðmið!$G$6:$G$105,(COLUMN()-7-1)/2+1)&lt;&gt;"Starfsbundið",DM31="",DM$8="",DM$7=""),"",ROUND(DM31/DM$8*DM$7*KVARDI,2))</f>
        <v/>
      </c>
      <c r="DO31" s="39"/>
      <c r="DP31" s="40" t="str">
        <f aca="false">IF(OR(INDEX(Undirviðmið!$G$6:$G$105,(COLUMN()-7-1)/2+1)&lt;&gt;"Starfsbundið",DO31="",DO$8="",DO$7=""),"",ROUND(DO31/DO$8*DO$7*KVARDI,2))</f>
        <v/>
      </c>
      <c r="DQ31" s="39"/>
      <c r="DR31" s="40" t="str">
        <f aca="false">IF(OR(INDEX(Undirviðmið!$G$6:$G$105,(COLUMN()-7-1)/2+1)&lt;&gt;"Starfsbundið",DQ31="",DQ$8="",DQ$7=""),"",ROUND(DQ31/DQ$8*DQ$7*KVARDI,2))</f>
        <v/>
      </c>
      <c r="DS31" s="39"/>
      <c r="DT31" s="40" t="str">
        <f aca="false">IF(OR(INDEX(Undirviðmið!$G$6:$G$105,(COLUMN()-7-1)/2+1)&lt;&gt;"Starfsbundið",DS31="",DS$8="",DS$7=""),"",ROUND(DS31/DS$8*DS$7*KVARDI,2))</f>
        <v/>
      </c>
      <c r="DU31" s="39"/>
      <c r="DV31" s="40" t="str">
        <f aca="false">IF(OR(INDEX(Undirviðmið!$G$6:$G$105,(COLUMN()-7-1)/2+1)&lt;&gt;"Starfsbundið",DU31="",DU$8="",DU$7=""),"",ROUND(DU31/DU$8*DU$7*KVARDI,2))</f>
        <v/>
      </c>
      <c r="DW31" s="39"/>
      <c r="DX31" s="40" t="str">
        <f aca="false">IF(OR(INDEX(Undirviðmið!$G$6:$G$105,(COLUMN()-7-1)/2+1)&lt;&gt;"Starfsbundið",DW31="",DW$8="",DW$7=""),"",ROUND(DW31/DW$8*DW$7*KVARDI,2))</f>
        <v/>
      </c>
      <c r="DY31" s="39"/>
      <c r="DZ31" s="40" t="str">
        <f aca="false">IF(OR(INDEX(Undirviðmið!$G$6:$G$105,(COLUMN()-7-1)/2+1)&lt;&gt;"Starfsbundið",DY31="",DY$8="",DY$7=""),"",ROUND(DY31/DY$8*DY$7*KVARDI,2))</f>
        <v/>
      </c>
      <c r="EA31" s="39"/>
      <c r="EB31" s="40" t="str">
        <f aca="false">IF(OR(INDEX(Undirviðmið!$G$6:$G$105,(COLUMN()-7-1)/2+1)&lt;&gt;"Starfsbundið",EA31="",EA$8="",EA$7=""),"",ROUND(EA31/EA$8*EA$7*KVARDI,2))</f>
        <v/>
      </c>
      <c r="EC31" s="39"/>
      <c r="ED31" s="40" t="str">
        <f aca="false">IF(OR(INDEX(Undirviðmið!$G$6:$G$105,(COLUMN()-7-1)/2+1)&lt;&gt;"Starfsbundið",EC31="",EC$8="",EC$7=""),"",ROUND(EC31/EC$8*EC$7*KVARDI,2))</f>
        <v/>
      </c>
      <c r="EE31" s="39"/>
      <c r="EF31" s="40" t="str">
        <f aca="false">IF(OR(INDEX(Undirviðmið!$G$6:$G$105,(COLUMN()-7-1)/2+1)&lt;&gt;"Starfsbundið",EE31="",EE$8="",EE$7=""),"",ROUND(EE31/EE$8*EE$7*KVARDI,2))</f>
        <v/>
      </c>
      <c r="EG31" s="39"/>
      <c r="EH31" s="40" t="str">
        <f aca="false">IF(OR(INDEX(Undirviðmið!$G$6:$G$105,(COLUMN()-7-1)/2+1)&lt;&gt;"Starfsbundið",EG31="",EG$8="",EG$7=""),"",ROUND(EG31/EG$8*EG$7*KVARDI,2))</f>
        <v/>
      </c>
      <c r="EI31" s="39"/>
      <c r="EJ31" s="40" t="str">
        <f aca="false">IF(OR(INDEX(Undirviðmið!$G$6:$G$105,(COLUMN()-7-1)/2+1)&lt;&gt;"Starfsbundið",EI31="",EI$8="",EI$7=""),"",ROUND(EI31/EI$8*EI$7*KVARDI,2))</f>
        <v/>
      </c>
      <c r="EK31" s="39"/>
      <c r="EL31" s="40" t="str">
        <f aca="false">IF(OR(INDEX(Undirviðmið!$G$6:$G$105,(COLUMN()-7-1)/2+1)&lt;&gt;"Starfsbundið",EK31="",EK$8="",EK$7=""),"",ROUND(EK31/EK$8*EK$7*KVARDI,2))</f>
        <v/>
      </c>
      <c r="EM31" s="39"/>
      <c r="EN31" s="40" t="str">
        <f aca="false">IF(OR(INDEX(Undirviðmið!$G$6:$G$105,(COLUMN()-7-1)/2+1)&lt;&gt;"Starfsbundið",EM31="",EM$8="",EM$7=""),"",ROUND(EM31/EM$8*EM$7*KVARDI,2))</f>
        <v/>
      </c>
      <c r="EO31" s="39"/>
      <c r="EP31" s="40" t="str">
        <f aca="false">IF(OR(INDEX(Undirviðmið!$G$6:$G$105,(COLUMN()-7-1)/2+1)&lt;&gt;"Starfsbundið",EO31="",EO$8="",EO$7=""),"",ROUND(EO31/EO$8*EO$7*KVARDI,2))</f>
        <v/>
      </c>
      <c r="EQ31" s="39"/>
      <c r="ER31" s="40" t="str">
        <f aca="false">IF(OR(INDEX(Undirviðmið!$G$6:$G$105,(COLUMN()-7-1)/2+1)&lt;&gt;"Starfsbundið",EQ31="",EQ$8="",EQ$7=""),"",ROUND(EQ31/EQ$8*EQ$7*KVARDI,2))</f>
        <v/>
      </c>
      <c r="ES31" s="39"/>
      <c r="ET31" s="40" t="str">
        <f aca="false">IF(OR(INDEX(Undirviðmið!$G$6:$G$105,(COLUMN()-7-1)/2+1)&lt;&gt;"Starfsbundið",ES31="",ES$8="",ES$7=""),"",ROUND(ES31/ES$8*ES$7*KVARDI,2))</f>
        <v/>
      </c>
      <c r="EU31" s="39"/>
      <c r="EV31" s="40" t="str">
        <f aca="false">IF(OR(INDEX(Undirviðmið!$G$6:$G$105,(COLUMN()-7-1)/2+1)&lt;&gt;"Starfsbundið",EU31="",EU$8="",EU$7=""),"",ROUND(EU31/EU$8*EU$7*KVARDI,2))</f>
        <v/>
      </c>
      <c r="EW31" s="39"/>
      <c r="EX31" s="40" t="str">
        <f aca="false">IF(OR(INDEX(Undirviðmið!$G$6:$G$105,(COLUMN()-7-1)/2+1)&lt;&gt;"Starfsbundið",EW31="",EW$8="",EW$7=""),"",ROUND(EW31/EW$8*EW$7*KVARDI,2))</f>
        <v/>
      </c>
      <c r="EY31" s="39"/>
      <c r="EZ31" s="40" t="str">
        <f aca="false">IF(OR(INDEX(Undirviðmið!$G$6:$G$105,(COLUMN()-7-1)/2+1)&lt;&gt;"Starfsbundið",EY31="",EY$8="",EY$7=""),"",ROUND(EY31/EY$8*EY$7*KVARDI,2))</f>
        <v/>
      </c>
      <c r="FA31" s="39"/>
      <c r="FB31" s="40" t="str">
        <f aca="false">IF(OR(INDEX(Undirviðmið!$G$6:$G$105,(COLUMN()-7-1)/2+1)&lt;&gt;"Starfsbundið",FA31="",FA$8="",FA$7=""),"",ROUND(FA31/FA$8*FA$7*KVARDI,2))</f>
        <v/>
      </c>
      <c r="FC31" s="39"/>
      <c r="FD31" s="40" t="str">
        <f aca="false">IF(OR(INDEX(Undirviðmið!$G$6:$G$105,(COLUMN()-7-1)/2+1)&lt;&gt;"Starfsbundið",FC31="",FC$8="",FC$7=""),"",ROUND(FC31/FC$8*FC$7*KVARDI,2))</f>
        <v/>
      </c>
      <c r="FE31" s="39"/>
      <c r="FF31" s="40" t="str">
        <f aca="false">IF(OR(INDEX(Undirviðmið!$G$6:$G$105,(COLUMN()-7-1)/2+1)&lt;&gt;"Starfsbundið",FE31="",FE$8="",FE$7=""),"",ROUND(FE31/FE$8*FE$7*KVARDI,2))</f>
        <v/>
      </c>
      <c r="FG31" s="39"/>
      <c r="FH31" s="40" t="str">
        <f aca="false">IF(OR(INDEX(Undirviðmið!$G$6:$G$105,(COLUMN()-7-1)/2+1)&lt;&gt;"Starfsbundið",FG31="",FG$8="",FG$7=""),"",ROUND(FG31/FG$8*FG$7*KVARDI,2))</f>
        <v/>
      </c>
      <c r="FI31" s="39"/>
      <c r="FJ31" s="40" t="str">
        <f aca="false">IF(OR(INDEX(Undirviðmið!$G$6:$G$105,(COLUMN()-7-1)/2+1)&lt;&gt;"Starfsbundið",FI31="",FI$8="",FI$7=""),"",ROUND(FI31/FI$8*FI$7*KVARDI,2))</f>
        <v/>
      </c>
      <c r="FK31" s="39"/>
      <c r="FL31" s="40" t="str">
        <f aca="false">IF(OR(INDEX(Undirviðmið!$G$6:$G$105,(COLUMN()-7-1)/2+1)&lt;&gt;"Starfsbundið",FK31="",FK$8="",FK$7=""),"",ROUND(FK31/FK$8*FK$7*KVARDI,2))</f>
        <v/>
      </c>
      <c r="FM31" s="39"/>
      <c r="FN31" s="40" t="str">
        <f aca="false">IF(OR(INDEX(Undirviðmið!$G$6:$G$105,(COLUMN()-7-1)/2+1)&lt;&gt;"Starfsbundið",FM31="",FM$8="",FM$7=""),"",ROUND(FM31/FM$8*FM$7*KVARDI,2))</f>
        <v/>
      </c>
      <c r="FO31" s="39"/>
      <c r="FP31" s="40" t="str">
        <f aca="false">IF(OR(INDEX(Undirviðmið!$G$6:$G$105,(COLUMN()-7-1)/2+1)&lt;&gt;"Starfsbundið",FO31="",FO$8="",FO$7=""),"",ROUND(FO31/FO$8*FO$7*KVARDI,2))</f>
        <v/>
      </c>
      <c r="FQ31" s="39"/>
      <c r="FR31" s="40" t="str">
        <f aca="false">IF(OR(INDEX(Undirviðmið!$G$6:$G$105,(COLUMN()-7-1)/2+1)&lt;&gt;"Starfsbundið",FQ31="",FQ$8="",FQ$7=""),"",ROUND(FQ31/FQ$8*FQ$7*KVARDI,2))</f>
        <v/>
      </c>
      <c r="FS31" s="39"/>
      <c r="FT31" s="40" t="str">
        <f aca="false">IF(OR(INDEX(Undirviðmið!$G$6:$G$105,(COLUMN()-7-1)/2+1)&lt;&gt;"Starfsbundið",FS31="",FS$8="",FS$7=""),"",ROUND(FS31/FS$8*FS$7*KVARDI,2))</f>
        <v/>
      </c>
      <c r="FU31" s="39"/>
      <c r="FV31" s="40" t="str">
        <f aca="false">IF(OR(INDEX(Undirviðmið!$G$6:$G$105,(COLUMN()-7-1)/2+1)&lt;&gt;"Starfsbundið",FU31="",FU$8="",FU$7=""),"",ROUND(FU31/FU$8*FU$7*KVARDI,2))</f>
        <v/>
      </c>
      <c r="FW31" s="39"/>
      <c r="FX31" s="40" t="str">
        <f aca="false">IF(OR(INDEX(Undirviðmið!$G$6:$G$105,(COLUMN()-7-1)/2+1)&lt;&gt;"Starfsbundið",FW31="",FW$8="",FW$7=""),"",ROUND(FW31/FW$8*FW$7*KVARDI,2))</f>
        <v/>
      </c>
      <c r="FY31" s="39"/>
      <c r="FZ31" s="40" t="str">
        <f aca="false">IF(OR(INDEX(Undirviðmið!$G$6:$G$105,(COLUMN()-7-1)/2+1)&lt;&gt;"Starfsbundið",FY31="",FY$8="",FY$7=""),"",ROUND(FY31/FY$8*FY$7*KVARDI,2))</f>
        <v/>
      </c>
      <c r="GA31" s="39"/>
      <c r="GB31" s="40" t="str">
        <f aca="false">IF(OR(INDEX(Undirviðmið!$G$6:$G$105,(COLUMN()-7-1)/2+1)&lt;&gt;"Starfsbundið",GA31="",GA$8="",GA$7=""),"",ROUND(GA31/GA$8*GA$7*KVARDI,2))</f>
        <v/>
      </c>
      <c r="GC31" s="39"/>
      <c r="GD31" s="40" t="str">
        <f aca="false">IF(OR(INDEX(Undirviðmið!$G$6:$G$105,(COLUMN()-7-1)/2+1)&lt;&gt;"Starfsbundið",GC31="",GC$8="",GC$7=""),"",ROUND(GC31/GC$8*GC$7*KVARDI,2))</f>
        <v/>
      </c>
      <c r="GE31" s="39"/>
      <c r="GF31" s="40" t="str">
        <f aca="false">IF(OR(INDEX(Undirviðmið!$G$6:$G$105,(COLUMN()-7-1)/2+1)&lt;&gt;"Starfsbundið",GE31="",GE$8="",GE$7=""),"",ROUND(GE31/GE$8*GE$7*KVARDI,2))</f>
        <v/>
      </c>
      <c r="GG31" s="39"/>
      <c r="GH31" s="40" t="str">
        <f aca="false">IF(OR(INDEX(Undirviðmið!$G$6:$G$105,(COLUMN()-7-1)/2+1)&lt;&gt;"Starfsbundið",GG31="",GG$8="",GG$7=""),"",ROUND(GG31/GG$8*GG$7*KVARDI,2))</f>
        <v/>
      </c>
      <c r="GI31" s="39"/>
      <c r="GJ31" s="40" t="str">
        <f aca="false">IF(OR(INDEX(Undirviðmið!$G$6:$G$105,(COLUMN()-7-1)/2+1)&lt;&gt;"Starfsbundið",GI31="",GI$8="",GI$7=""),"",ROUND(GI31/GI$8*GI$7*KVARDI,2))</f>
        <v/>
      </c>
      <c r="GK31" s="39"/>
      <c r="GL31" s="40" t="str">
        <f aca="false">IF(OR(INDEX(Undirviðmið!$G$6:$G$105,(COLUMN()-7-1)/2+1)&lt;&gt;"Starfsbundið",GK31="",GK$8="",GK$7=""),"",ROUND(GK31/GK$8*GK$7*KVARDI,2))</f>
        <v/>
      </c>
      <c r="GM31" s="39"/>
      <c r="GN31" s="40" t="str">
        <f aca="false">IF(OR(INDEX(Undirviðmið!$G$6:$G$105,(COLUMN()-7-1)/2+1)&lt;&gt;"Starfsbundið",GM31="",GM$8="",GM$7=""),"",ROUND(GM31/GM$8*GM$7*KVARDI,2))</f>
        <v/>
      </c>
      <c r="GO31" s="39"/>
      <c r="GP31" s="40" t="str">
        <f aca="false">IF(OR(INDEX(Undirviðmið!$G$6:$G$105,(COLUMN()-7-1)/2+1)&lt;&gt;"Starfsbundið",GO31="",GO$8="",GO$7=""),"",ROUND(GO31/GO$8*GO$7*KVARDI,2))</f>
        <v/>
      </c>
      <c r="GQ31" s="39"/>
      <c r="GR31" s="40" t="str">
        <f aca="false">IF(OR(INDEX(Undirviðmið!$G$6:$G$105,(COLUMN()-7-1)/2+1)&lt;&gt;"Starfsbundið",GQ31="",GQ$8="",GQ$7=""),"",ROUND(GQ31/GQ$8*GQ$7*KVARDI,2))</f>
        <v/>
      </c>
      <c r="GS31" s="39"/>
      <c r="GT31" s="40" t="str">
        <f aca="false">IF(OR(INDEX(Undirviðmið!$G$6:$G$105,(COLUMN()-7-1)/2+1)&lt;&gt;"Starfsbundið",GS31="",GS$8="",GS$7=""),"",ROUND(GS31/GS$8*GS$7*KVARDI,2))</f>
        <v/>
      </c>
      <c r="GU31" s="39"/>
      <c r="GV31" s="40" t="str">
        <f aca="false">IF(OR(INDEX(Undirviðmið!$G$6:$G$105,(COLUMN()-7-1)/2+1)&lt;&gt;"Starfsbundið",GU31="",GU$8="",GU$7=""),"",ROUND(GU31/GU$8*GU$7*KVARDI,2))</f>
        <v/>
      </c>
      <c r="GW31" s="39"/>
      <c r="GX31" s="40" t="str">
        <f aca="false">IF(OR(INDEX(Undirviðmið!$G$6:$G$105,(COLUMN()-7-1)/2+1)&lt;&gt;"Starfsbundið",GW31="",GW$8="",GW$7=""),"",ROUND(GW31/GW$8*GW$7*KVARDI,2))</f>
        <v/>
      </c>
      <c r="GZ31" s="20"/>
    </row>
    <row r="32" customFormat="false" ht="15" hidden="true" customHeight="true" outlineLevel="1" collapsed="false">
      <c r="B32" s="37" t="str">
        <f aca="false" t="array" ref="B32:B32">IFERROR(INDEX(Starfsmenn!$C$6:$C$10005,MATCH(0,COUNTIF($B$11:B31,Starfsmenn!$C$6:$C$10005)+(Starfsmenn!$C$6:$C$10005=""),0)),"")</f>
        <v/>
      </c>
      <c r="C32" s="38" t="n">
        <f aca="false">IFERROR(SUMIF($G$10:$GX$10,"Stig",$G32:$GX32),0)</f>
        <v>0</v>
      </c>
      <c r="G32" s="39"/>
      <c r="H32" s="40" t="str">
        <f aca="false">IF(OR(INDEX(Undirviðmið!$G$6:$G$105,(COLUMN()-7-1)/2+1)&lt;&gt;"Starfsbundið",G32="",G$8="",G$7=""),"",ROUND(G32/G$8*G$7*KVARDI,2))</f>
        <v/>
      </c>
      <c r="I32" s="39"/>
      <c r="J32" s="40" t="str">
        <f aca="false">IF(OR(INDEX(Undirviðmið!$G$6:$G$105,(COLUMN()-7-1)/2+1)&lt;&gt;"Starfsbundið",I32="",I$8="",I$7=""),"",ROUND(I32/I$8*I$7*KVARDI,2))</f>
        <v/>
      </c>
      <c r="K32" s="39"/>
      <c r="L32" s="40" t="str">
        <f aca="false">IF(OR(INDEX(Undirviðmið!$G$6:$G$105,(COLUMN()-7-1)/2+1)&lt;&gt;"Starfsbundið",K32="",K$8="",K$7=""),"",ROUND(K32/K$8*K$7*KVARDI,2))</f>
        <v/>
      </c>
      <c r="M32" s="39"/>
      <c r="N32" s="40" t="str">
        <f aca="false">IF(OR(INDEX(Undirviðmið!$G$6:$G$105,(COLUMN()-7-1)/2+1)&lt;&gt;"Starfsbundið",M32="",M$8="",M$7=""),"",ROUND(M32/M$8*M$7*KVARDI,2))</f>
        <v/>
      </c>
      <c r="O32" s="39"/>
      <c r="P32" s="40" t="str">
        <f aca="false">IF(OR(INDEX(Undirviðmið!$G$6:$G$105,(COLUMN()-7-1)/2+1)&lt;&gt;"Starfsbundið",O32="",O$8="",O$7=""),"",ROUND(O32/O$8*O$7*KVARDI,2))</f>
        <v/>
      </c>
      <c r="Q32" s="39"/>
      <c r="R32" s="40" t="str">
        <f aca="false">IF(OR(INDEX(Undirviðmið!$G$6:$G$105,(COLUMN()-7-1)/2+1)&lt;&gt;"Starfsbundið",Q32="",Q$8="",Q$7=""),"",ROUND(Q32/Q$8*Q$7*KVARDI,2))</f>
        <v/>
      </c>
      <c r="S32" s="39"/>
      <c r="T32" s="40" t="str">
        <f aca="false">IF(OR(INDEX(Undirviðmið!$G$6:$G$105,(COLUMN()-7-1)/2+1)&lt;&gt;"Starfsbundið",S32="",S$8="",S$7=""),"",ROUND(S32/S$8*S$7*KVARDI,2))</f>
        <v/>
      </c>
      <c r="U32" s="39"/>
      <c r="V32" s="40" t="str">
        <f aca="false">IF(OR(INDEX(Undirviðmið!$G$6:$G$105,(COLUMN()-7-1)/2+1)&lt;&gt;"Starfsbundið",U32="",U$8="",U$7=""),"",ROUND(U32/U$8*U$7*KVARDI,2))</f>
        <v/>
      </c>
      <c r="W32" s="39"/>
      <c r="X32" s="40" t="str">
        <f aca="false">IF(OR(INDEX(Undirviðmið!$G$6:$G$105,(COLUMN()-7-1)/2+1)&lt;&gt;"Starfsbundið",W32="",W$8="",W$7=""),"",ROUND(W32/W$8*W$7*KVARDI,2))</f>
        <v/>
      </c>
      <c r="Y32" s="39"/>
      <c r="Z32" s="40" t="str">
        <f aca="false">IF(OR(INDEX(Undirviðmið!$G$6:$G$105,(COLUMN()-7-1)/2+1)&lt;&gt;"Starfsbundið",Y32="",Y$8="",Y$7=""),"",ROUND(Y32/Y$8*Y$7*KVARDI,2))</f>
        <v/>
      </c>
      <c r="AA32" s="39"/>
      <c r="AB32" s="40" t="str">
        <f aca="false">IF(OR(INDEX(Undirviðmið!$G$6:$G$105,(COLUMN()-7-1)/2+1)&lt;&gt;"Starfsbundið",AA32="",AA$8="",AA$7=""),"",ROUND(AA32/AA$8*AA$7*KVARDI,2))</f>
        <v/>
      </c>
      <c r="AC32" s="39"/>
      <c r="AD32" s="40" t="str">
        <f aca="false">IF(OR(INDEX(Undirviðmið!$G$6:$G$105,(COLUMN()-7-1)/2+1)&lt;&gt;"Starfsbundið",AC32="",AC$8="",AC$7=""),"",ROUND(AC32/AC$8*AC$7*KVARDI,2))</f>
        <v/>
      </c>
      <c r="AE32" s="39"/>
      <c r="AF32" s="40" t="str">
        <f aca="false">IF(OR(INDEX(Undirviðmið!$G$6:$G$105,(COLUMN()-7-1)/2+1)&lt;&gt;"Starfsbundið",AE32="",AE$8="",AE$7=""),"",ROUND(AE32/AE$8*AE$7*KVARDI,2))</f>
        <v/>
      </c>
      <c r="AG32" s="39"/>
      <c r="AH32" s="40" t="str">
        <f aca="false">IF(OR(INDEX(Undirviðmið!$G$6:$G$105,(COLUMN()-7-1)/2+1)&lt;&gt;"Starfsbundið",AG32="",AG$8="",AG$7=""),"",ROUND(AG32/AG$8*AG$7*KVARDI,2))</f>
        <v/>
      </c>
      <c r="AI32" s="39"/>
      <c r="AJ32" s="40" t="str">
        <f aca="false">IF(OR(INDEX(Undirviðmið!$G$6:$G$105,(COLUMN()-7-1)/2+1)&lt;&gt;"Starfsbundið",AI32="",AI$8="",AI$7=""),"",ROUND(AI32/AI$8*AI$7*KVARDI,2))</f>
        <v/>
      </c>
      <c r="AK32" s="39"/>
      <c r="AL32" s="40" t="str">
        <f aca="false">IF(OR(INDEX(Undirviðmið!$G$6:$G$105,(COLUMN()-7-1)/2+1)&lt;&gt;"Starfsbundið",AK32="",AK$8="",AK$7=""),"",ROUND(AK32/AK$8*AK$7*KVARDI,2))</f>
        <v/>
      </c>
      <c r="AM32" s="39"/>
      <c r="AN32" s="40" t="str">
        <f aca="false">IF(OR(INDEX(Undirviðmið!$G$6:$G$105,(COLUMN()-7-1)/2+1)&lt;&gt;"Starfsbundið",AM32="",AM$8="",AM$7=""),"",ROUND(AM32/AM$8*AM$7*KVARDI,2))</f>
        <v/>
      </c>
      <c r="AO32" s="39"/>
      <c r="AP32" s="40" t="str">
        <f aca="false">IF(OR(INDEX(Undirviðmið!$G$6:$G$105,(COLUMN()-7-1)/2+1)&lt;&gt;"Starfsbundið",AO32="",AO$8="",AO$7=""),"",ROUND(AO32/AO$8*AO$7*KVARDI,2))</f>
        <v/>
      </c>
      <c r="AQ32" s="39"/>
      <c r="AR32" s="40" t="str">
        <f aca="false">IF(OR(INDEX(Undirviðmið!$G$6:$G$105,(COLUMN()-7-1)/2+1)&lt;&gt;"Starfsbundið",AQ32="",AQ$8="",AQ$7=""),"",ROUND(AQ32/AQ$8*AQ$7*KVARDI,2))</f>
        <v/>
      </c>
      <c r="AS32" s="39"/>
      <c r="AT32" s="40" t="str">
        <f aca="false">IF(OR(INDEX(Undirviðmið!$G$6:$G$105,(COLUMN()-7-1)/2+1)&lt;&gt;"Starfsbundið",AS32="",AS$8="",AS$7=""),"",ROUND(AS32/AS$8*AS$7*KVARDI,2))</f>
        <v/>
      </c>
      <c r="AU32" s="39"/>
      <c r="AV32" s="40" t="str">
        <f aca="false">IF(OR(INDEX(Undirviðmið!$G$6:$G$105,(COLUMN()-7-1)/2+1)&lt;&gt;"Starfsbundið",AU32="",AU$8="",AU$7=""),"",ROUND(AU32/AU$8*AU$7*KVARDI,2))</f>
        <v/>
      </c>
      <c r="AW32" s="39"/>
      <c r="AX32" s="40" t="str">
        <f aca="false">IF(OR(INDEX(Undirviðmið!$G$6:$G$105,(COLUMN()-7-1)/2+1)&lt;&gt;"Starfsbundið",AW32="",AW$8="",AW$7=""),"",ROUND(AW32/AW$8*AW$7*KVARDI,2))</f>
        <v/>
      </c>
      <c r="AY32" s="39"/>
      <c r="AZ32" s="40" t="str">
        <f aca="false">IF(OR(INDEX(Undirviðmið!$G$6:$G$105,(COLUMN()-7-1)/2+1)&lt;&gt;"Starfsbundið",AY32="",AY$8="",AY$7=""),"",ROUND(AY32/AY$8*AY$7*KVARDI,2))</f>
        <v/>
      </c>
      <c r="BA32" s="39"/>
      <c r="BB32" s="40" t="str">
        <f aca="false">IF(OR(INDEX(Undirviðmið!$G$6:$G$105,(COLUMN()-7-1)/2+1)&lt;&gt;"Starfsbundið",BA32="",BA$8="",BA$7=""),"",ROUND(BA32/BA$8*BA$7*KVARDI,2))</f>
        <v/>
      </c>
      <c r="BC32" s="39"/>
      <c r="BD32" s="40" t="str">
        <f aca="false">IF(OR(INDEX(Undirviðmið!$G$6:$G$105,(COLUMN()-7-1)/2+1)&lt;&gt;"Starfsbundið",BC32="",BC$8="",BC$7=""),"",ROUND(BC32/BC$8*BC$7*KVARDI,2))</f>
        <v/>
      </c>
      <c r="BE32" s="39"/>
      <c r="BF32" s="40" t="str">
        <f aca="false">IF(OR(INDEX(Undirviðmið!$G$6:$G$105,(COLUMN()-7-1)/2+1)&lt;&gt;"Starfsbundið",BE32="",BE$8="",BE$7=""),"",ROUND(BE32/BE$8*BE$7*KVARDI,2))</f>
        <v/>
      </c>
      <c r="BG32" s="39"/>
      <c r="BH32" s="40" t="str">
        <f aca="false">IF(OR(INDEX(Undirviðmið!$G$6:$G$105,(COLUMN()-7-1)/2+1)&lt;&gt;"Starfsbundið",BG32="",BG$8="",BG$7=""),"",ROUND(BG32/BG$8*BG$7*KVARDI,2))</f>
        <v/>
      </c>
      <c r="BI32" s="39"/>
      <c r="BJ32" s="40" t="str">
        <f aca="false">IF(OR(INDEX(Undirviðmið!$G$6:$G$105,(COLUMN()-7-1)/2+1)&lt;&gt;"Starfsbundið",BI32="",BI$8="",BI$7=""),"",ROUND(BI32/BI$8*BI$7*KVARDI,2))</f>
        <v/>
      </c>
      <c r="BK32" s="39"/>
      <c r="BL32" s="40" t="str">
        <f aca="false">IF(OR(INDEX(Undirviðmið!$G$6:$G$105,(COLUMN()-7-1)/2+1)&lt;&gt;"Starfsbundið",BK32="",BK$8="",BK$7=""),"",ROUND(BK32/BK$8*BK$7*KVARDI,2))</f>
        <v/>
      </c>
      <c r="BM32" s="39"/>
      <c r="BN32" s="40" t="str">
        <f aca="false">IF(OR(INDEX(Undirviðmið!$G$6:$G$105,(COLUMN()-7-1)/2+1)&lt;&gt;"Starfsbundið",BM32="",BM$8="",BM$7=""),"",ROUND(BM32/BM$8*BM$7*KVARDI,2))</f>
        <v/>
      </c>
      <c r="BO32" s="39"/>
      <c r="BP32" s="40" t="str">
        <f aca="false">IF(OR(INDEX(Undirviðmið!$G$6:$G$105,(COLUMN()-7-1)/2+1)&lt;&gt;"Starfsbundið",BO32="",BO$8="",BO$7=""),"",ROUND(BO32/BO$8*BO$7*KVARDI,2))</f>
        <v/>
      </c>
      <c r="BQ32" s="39"/>
      <c r="BR32" s="40" t="str">
        <f aca="false">IF(OR(INDEX(Undirviðmið!$G$6:$G$105,(COLUMN()-7-1)/2+1)&lt;&gt;"Starfsbundið",BQ32="",BQ$8="",BQ$7=""),"",ROUND(BQ32/BQ$8*BQ$7*KVARDI,2))</f>
        <v/>
      </c>
      <c r="BS32" s="39"/>
      <c r="BT32" s="40" t="str">
        <f aca="false">IF(OR(INDEX(Undirviðmið!$G$6:$G$105,(COLUMN()-7-1)/2+1)&lt;&gt;"Starfsbundið",BS32="",BS$8="",BS$7=""),"",ROUND(BS32/BS$8*BS$7*KVARDI,2))</f>
        <v/>
      </c>
      <c r="BU32" s="39"/>
      <c r="BV32" s="40" t="str">
        <f aca="false">IF(OR(INDEX(Undirviðmið!$G$6:$G$105,(COLUMN()-7-1)/2+1)&lt;&gt;"Starfsbundið",BU32="",BU$8="",BU$7=""),"",ROUND(BU32/BU$8*BU$7*KVARDI,2))</f>
        <v/>
      </c>
      <c r="BW32" s="39"/>
      <c r="BX32" s="40" t="str">
        <f aca="false">IF(OR(INDEX(Undirviðmið!$G$6:$G$105,(COLUMN()-7-1)/2+1)&lt;&gt;"Starfsbundið",BW32="",BW$8="",BW$7=""),"",ROUND(BW32/BW$8*BW$7*KVARDI,2))</f>
        <v/>
      </c>
      <c r="BY32" s="39"/>
      <c r="BZ32" s="40" t="str">
        <f aca="false">IF(OR(INDEX(Undirviðmið!$G$6:$G$105,(COLUMN()-7-1)/2+1)&lt;&gt;"Starfsbundið",BY32="",BY$8="",BY$7=""),"",ROUND(BY32/BY$8*BY$7*KVARDI,2))</f>
        <v/>
      </c>
      <c r="CA32" s="39"/>
      <c r="CB32" s="40" t="str">
        <f aca="false">IF(OR(INDEX(Undirviðmið!$G$6:$G$105,(COLUMN()-7-1)/2+1)&lt;&gt;"Starfsbundið",CA32="",CA$8="",CA$7=""),"",ROUND(CA32/CA$8*CA$7*KVARDI,2))</f>
        <v/>
      </c>
      <c r="CC32" s="39"/>
      <c r="CD32" s="40" t="str">
        <f aca="false">IF(OR(INDEX(Undirviðmið!$G$6:$G$105,(COLUMN()-7-1)/2+1)&lt;&gt;"Starfsbundið",CC32="",CC$8="",CC$7=""),"",ROUND(CC32/CC$8*CC$7*KVARDI,2))</f>
        <v/>
      </c>
      <c r="CE32" s="39"/>
      <c r="CF32" s="40" t="str">
        <f aca="false">IF(OR(INDEX(Undirviðmið!$G$6:$G$105,(COLUMN()-7-1)/2+1)&lt;&gt;"Starfsbundið",CE32="",CE$8="",CE$7=""),"",ROUND(CE32/CE$8*CE$7*KVARDI,2))</f>
        <v/>
      </c>
      <c r="CG32" s="39"/>
      <c r="CH32" s="40" t="str">
        <f aca="false">IF(OR(INDEX(Undirviðmið!$G$6:$G$105,(COLUMN()-7-1)/2+1)&lt;&gt;"Starfsbundið",CG32="",CG$8="",CG$7=""),"",ROUND(CG32/CG$8*CG$7*KVARDI,2))</f>
        <v/>
      </c>
      <c r="CI32" s="39"/>
      <c r="CJ32" s="40" t="str">
        <f aca="false">IF(OR(INDEX(Undirviðmið!$G$6:$G$105,(COLUMN()-7-1)/2+1)&lt;&gt;"Starfsbundið",CI32="",CI$8="",CI$7=""),"",ROUND(CI32/CI$8*CI$7*KVARDI,2))</f>
        <v/>
      </c>
      <c r="CK32" s="39"/>
      <c r="CL32" s="40" t="str">
        <f aca="false">IF(OR(INDEX(Undirviðmið!$G$6:$G$105,(COLUMN()-7-1)/2+1)&lt;&gt;"Starfsbundið",CK32="",CK$8="",CK$7=""),"",ROUND(CK32/CK$8*CK$7*KVARDI,2))</f>
        <v/>
      </c>
      <c r="CM32" s="39"/>
      <c r="CN32" s="40" t="str">
        <f aca="false">IF(OR(INDEX(Undirviðmið!$G$6:$G$105,(COLUMN()-7-1)/2+1)&lt;&gt;"Starfsbundið",CM32="",CM$8="",CM$7=""),"",ROUND(CM32/CM$8*CM$7*KVARDI,2))</f>
        <v/>
      </c>
      <c r="CO32" s="39"/>
      <c r="CP32" s="40" t="str">
        <f aca="false">IF(OR(INDEX(Undirviðmið!$G$6:$G$105,(COLUMN()-7-1)/2+1)&lt;&gt;"Starfsbundið",CO32="",CO$8="",CO$7=""),"",ROUND(CO32/CO$8*CO$7*KVARDI,2))</f>
        <v/>
      </c>
      <c r="CQ32" s="39"/>
      <c r="CR32" s="40" t="str">
        <f aca="false">IF(OR(INDEX(Undirviðmið!$G$6:$G$105,(COLUMN()-7-1)/2+1)&lt;&gt;"Starfsbundið",CQ32="",CQ$8="",CQ$7=""),"",ROUND(CQ32/CQ$8*CQ$7*KVARDI,2))</f>
        <v/>
      </c>
      <c r="CS32" s="39"/>
      <c r="CT32" s="40" t="str">
        <f aca="false">IF(OR(INDEX(Undirviðmið!$G$6:$G$105,(COLUMN()-7-1)/2+1)&lt;&gt;"Starfsbundið",CS32="",CS$8="",CS$7=""),"",ROUND(CS32/CS$8*CS$7*KVARDI,2))</f>
        <v/>
      </c>
      <c r="CU32" s="39"/>
      <c r="CV32" s="40" t="str">
        <f aca="false">IF(OR(INDEX(Undirviðmið!$G$6:$G$105,(COLUMN()-7-1)/2+1)&lt;&gt;"Starfsbundið",CU32="",CU$8="",CU$7=""),"",ROUND(CU32/CU$8*CU$7*KVARDI,2))</f>
        <v/>
      </c>
      <c r="CW32" s="39"/>
      <c r="CX32" s="40" t="str">
        <f aca="false">IF(OR(INDEX(Undirviðmið!$G$6:$G$105,(COLUMN()-7-1)/2+1)&lt;&gt;"Starfsbundið",CW32="",CW$8="",CW$7=""),"",ROUND(CW32/CW$8*CW$7*KVARDI,2))</f>
        <v/>
      </c>
      <c r="CY32" s="39"/>
      <c r="CZ32" s="40" t="str">
        <f aca="false">IF(OR(INDEX(Undirviðmið!$G$6:$G$105,(COLUMN()-7-1)/2+1)&lt;&gt;"Starfsbundið",CY32="",CY$8="",CY$7=""),"",ROUND(CY32/CY$8*CY$7*KVARDI,2))</f>
        <v/>
      </c>
      <c r="DA32" s="39"/>
      <c r="DB32" s="40" t="str">
        <f aca="false">IF(OR(INDEX(Undirviðmið!$G$6:$G$105,(COLUMN()-7-1)/2+1)&lt;&gt;"Starfsbundið",DA32="",DA$8="",DA$7=""),"",ROUND(DA32/DA$8*DA$7*KVARDI,2))</f>
        <v/>
      </c>
      <c r="DC32" s="39"/>
      <c r="DD32" s="40" t="str">
        <f aca="false">IF(OR(INDEX(Undirviðmið!$G$6:$G$105,(COLUMN()-7-1)/2+1)&lt;&gt;"Starfsbundið",DC32="",DC$8="",DC$7=""),"",ROUND(DC32/DC$8*DC$7*KVARDI,2))</f>
        <v/>
      </c>
      <c r="DE32" s="39"/>
      <c r="DF32" s="40" t="str">
        <f aca="false">IF(OR(INDEX(Undirviðmið!$G$6:$G$105,(COLUMN()-7-1)/2+1)&lt;&gt;"Starfsbundið",DE32="",DE$8="",DE$7=""),"",ROUND(DE32/DE$8*DE$7*KVARDI,2))</f>
        <v/>
      </c>
      <c r="DG32" s="39"/>
      <c r="DH32" s="40" t="str">
        <f aca="false">IF(OR(INDEX(Undirviðmið!$G$6:$G$105,(COLUMN()-7-1)/2+1)&lt;&gt;"Starfsbundið",DG32="",DG$8="",DG$7=""),"",ROUND(DG32/DG$8*DG$7*KVARDI,2))</f>
        <v/>
      </c>
      <c r="DI32" s="39"/>
      <c r="DJ32" s="40" t="str">
        <f aca="false">IF(OR(INDEX(Undirviðmið!$G$6:$G$105,(COLUMN()-7-1)/2+1)&lt;&gt;"Starfsbundið",DI32="",DI$8="",DI$7=""),"",ROUND(DI32/DI$8*DI$7*KVARDI,2))</f>
        <v/>
      </c>
      <c r="DK32" s="39"/>
      <c r="DL32" s="40" t="str">
        <f aca="false">IF(OR(INDEX(Undirviðmið!$G$6:$G$105,(COLUMN()-7-1)/2+1)&lt;&gt;"Starfsbundið",DK32="",DK$8="",DK$7=""),"",ROUND(DK32/DK$8*DK$7*KVARDI,2))</f>
        <v/>
      </c>
      <c r="DM32" s="39"/>
      <c r="DN32" s="40" t="str">
        <f aca="false">IF(OR(INDEX(Undirviðmið!$G$6:$G$105,(COLUMN()-7-1)/2+1)&lt;&gt;"Starfsbundið",DM32="",DM$8="",DM$7=""),"",ROUND(DM32/DM$8*DM$7*KVARDI,2))</f>
        <v/>
      </c>
      <c r="DO32" s="39"/>
      <c r="DP32" s="40" t="str">
        <f aca="false">IF(OR(INDEX(Undirviðmið!$G$6:$G$105,(COLUMN()-7-1)/2+1)&lt;&gt;"Starfsbundið",DO32="",DO$8="",DO$7=""),"",ROUND(DO32/DO$8*DO$7*KVARDI,2))</f>
        <v/>
      </c>
      <c r="DQ32" s="39"/>
      <c r="DR32" s="40" t="str">
        <f aca="false">IF(OR(INDEX(Undirviðmið!$G$6:$G$105,(COLUMN()-7-1)/2+1)&lt;&gt;"Starfsbundið",DQ32="",DQ$8="",DQ$7=""),"",ROUND(DQ32/DQ$8*DQ$7*KVARDI,2))</f>
        <v/>
      </c>
      <c r="DS32" s="39"/>
      <c r="DT32" s="40" t="str">
        <f aca="false">IF(OR(INDEX(Undirviðmið!$G$6:$G$105,(COLUMN()-7-1)/2+1)&lt;&gt;"Starfsbundið",DS32="",DS$8="",DS$7=""),"",ROUND(DS32/DS$8*DS$7*KVARDI,2))</f>
        <v/>
      </c>
      <c r="DU32" s="39"/>
      <c r="DV32" s="40" t="str">
        <f aca="false">IF(OR(INDEX(Undirviðmið!$G$6:$G$105,(COLUMN()-7-1)/2+1)&lt;&gt;"Starfsbundið",DU32="",DU$8="",DU$7=""),"",ROUND(DU32/DU$8*DU$7*KVARDI,2))</f>
        <v/>
      </c>
      <c r="DW32" s="39"/>
      <c r="DX32" s="40" t="str">
        <f aca="false">IF(OR(INDEX(Undirviðmið!$G$6:$G$105,(COLUMN()-7-1)/2+1)&lt;&gt;"Starfsbundið",DW32="",DW$8="",DW$7=""),"",ROUND(DW32/DW$8*DW$7*KVARDI,2))</f>
        <v/>
      </c>
      <c r="DY32" s="39"/>
      <c r="DZ32" s="40" t="str">
        <f aca="false">IF(OR(INDEX(Undirviðmið!$G$6:$G$105,(COLUMN()-7-1)/2+1)&lt;&gt;"Starfsbundið",DY32="",DY$8="",DY$7=""),"",ROUND(DY32/DY$8*DY$7*KVARDI,2))</f>
        <v/>
      </c>
      <c r="EA32" s="39"/>
      <c r="EB32" s="40" t="str">
        <f aca="false">IF(OR(INDEX(Undirviðmið!$G$6:$G$105,(COLUMN()-7-1)/2+1)&lt;&gt;"Starfsbundið",EA32="",EA$8="",EA$7=""),"",ROUND(EA32/EA$8*EA$7*KVARDI,2))</f>
        <v/>
      </c>
      <c r="EC32" s="39"/>
      <c r="ED32" s="40" t="str">
        <f aca="false">IF(OR(INDEX(Undirviðmið!$G$6:$G$105,(COLUMN()-7-1)/2+1)&lt;&gt;"Starfsbundið",EC32="",EC$8="",EC$7=""),"",ROUND(EC32/EC$8*EC$7*KVARDI,2))</f>
        <v/>
      </c>
      <c r="EE32" s="39"/>
      <c r="EF32" s="40" t="str">
        <f aca="false">IF(OR(INDEX(Undirviðmið!$G$6:$G$105,(COLUMN()-7-1)/2+1)&lt;&gt;"Starfsbundið",EE32="",EE$8="",EE$7=""),"",ROUND(EE32/EE$8*EE$7*KVARDI,2))</f>
        <v/>
      </c>
      <c r="EG32" s="39"/>
      <c r="EH32" s="40" t="str">
        <f aca="false">IF(OR(INDEX(Undirviðmið!$G$6:$G$105,(COLUMN()-7-1)/2+1)&lt;&gt;"Starfsbundið",EG32="",EG$8="",EG$7=""),"",ROUND(EG32/EG$8*EG$7*KVARDI,2))</f>
        <v/>
      </c>
      <c r="EI32" s="39"/>
      <c r="EJ32" s="40" t="str">
        <f aca="false">IF(OR(INDEX(Undirviðmið!$G$6:$G$105,(COLUMN()-7-1)/2+1)&lt;&gt;"Starfsbundið",EI32="",EI$8="",EI$7=""),"",ROUND(EI32/EI$8*EI$7*KVARDI,2))</f>
        <v/>
      </c>
      <c r="EK32" s="39"/>
      <c r="EL32" s="40" t="str">
        <f aca="false">IF(OR(INDEX(Undirviðmið!$G$6:$G$105,(COLUMN()-7-1)/2+1)&lt;&gt;"Starfsbundið",EK32="",EK$8="",EK$7=""),"",ROUND(EK32/EK$8*EK$7*KVARDI,2))</f>
        <v/>
      </c>
      <c r="EM32" s="39"/>
      <c r="EN32" s="40" t="str">
        <f aca="false">IF(OR(INDEX(Undirviðmið!$G$6:$G$105,(COLUMN()-7-1)/2+1)&lt;&gt;"Starfsbundið",EM32="",EM$8="",EM$7=""),"",ROUND(EM32/EM$8*EM$7*KVARDI,2))</f>
        <v/>
      </c>
      <c r="EO32" s="39"/>
      <c r="EP32" s="40" t="str">
        <f aca="false">IF(OR(INDEX(Undirviðmið!$G$6:$G$105,(COLUMN()-7-1)/2+1)&lt;&gt;"Starfsbundið",EO32="",EO$8="",EO$7=""),"",ROUND(EO32/EO$8*EO$7*KVARDI,2))</f>
        <v/>
      </c>
      <c r="EQ32" s="39"/>
      <c r="ER32" s="40" t="str">
        <f aca="false">IF(OR(INDEX(Undirviðmið!$G$6:$G$105,(COLUMN()-7-1)/2+1)&lt;&gt;"Starfsbundið",EQ32="",EQ$8="",EQ$7=""),"",ROUND(EQ32/EQ$8*EQ$7*KVARDI,2))</f>
        <v/>
      </c>
      <c r="ES32" s="39"/>
      <c r="ET32" s="40" t="str">
        <f aca="false">IF(OR(INDEX(Undirviðmið!$G$6:$G$105,(COLUMN()-7-1)/2+1)&lt;&gt;"Starfsbundið",ES32="",ES$8="",ES$7=""),"",ROUND(ES32/ES$8*ES$7*KVARDI,2))</f>
        <v/>
      </c>
      <c r="EU32" s="39"/>
      <c r="EV32" s="40" t="str">
        <f aca="false">IF(OR(INDEX(Undirviðmið!$G$6:$G$105,(COLUMN()-7-1)/2+1)&lt;&gt;"Starfsbundið",EU32="",EU$8="",EU$7=""),"",ROUND(EU32/EU$8*EU$7*KVARDI,2))</f>
        <v/>
      </c>
      <c r="EW32" s="39"/>
      <c r="EX32" s="40" t="str">
        <f aca="false">IF(OR(INDEX(Undirviðmið!$G$6:$G$105,(COLUMN()-7-1)/2+1)&lt;&gt;"Starfsbundið",EW32="",EW$8="",EW$7=""),"",ROUND(EW32/EW$8*EW$7*KVARDI,2))</f>
        <v/>
      </c>
      <c r="EY32" s="39"/>
      <c r="EZ32" s="40" t="str">
        <f aca="false">IF(OR(INDEX(Undirviðmið!$G$6:$G$105,(COLUMN()-7-1)/2+1)&lt;&gt;"Starfsbundið",EY32="",EY$8="",EY$7=""),"",ROUND(EY32/EY$8*EY$7*KVARDI,2))</f>
        <v/>
      </c>
      <c r="FA32" s="39"/>
      <c r="FB32" s="40" t="str">
        <f aca="false">IF(OR(INDEX(Undirviðmið!$G$6:$G$105,(COLUMN()-7-1)/2+1)&lt;&gt;"Starfsbundið",FA32="",FA$8="",FA$7=""),"",ROUND(FA32/FA$8*FA$7*KVARDI,2))</f>
        <v/>
      </c>
      <c r="FC32" s="39"/>
      <c r="FD32" s="40" t="str">
        <f aca="false">IF(OR(INDEX(Undirviðmið!$G$6:$G$105,(COLUMN()-7-1)/2+1)&lt;&gt;"Starfsbundið",FC32="",FC$8="",FC$7=""),"",ROUND(FC32/FC$8*FC$7*KVARDI,2))</f>
        <v/>
      </c>
      <c r="FE32" s="39"/>
      <c r="FF32" s="40" t="str">
        <f aca="false">IF(OR(INDEX(Undirviðmið!$G$6:$G$105,(COLUMN()-7-1)/2+1)&lt;&gt;"Starfsbundið",FE32="",FE$8="",FE$7=""),"",ROUND(FE32/FE$8*FE$7*KVARDI,2))</f>
        <v/>
      </c>
      <c r="FG32" s="39"/>
      <c r="FH32" s="40" t="str">
        <f aca="false">IF(OR(INDEX(Undirviðmið!$G$6:$G$105,(COLUMN()-7-1)/2+1)&lt;&gt;"Starfsbundið",FG32="",FG$8="",FG$7=""),"",ROUND(FG32/FG$8*FG$7*KVARDI,2))</f>
        <v/>
      </c>
      <c r="FI32" s="39"/>
      <c r="FJ32" s="40" t="str">
        <f aca="false">IF(OR(INDEX(Undirviðmið!$G$6:$G$105,(COLUMN()-7-1)/2+1)&lt;&gt;"Starfsbundið",FI32="",FI$8="",FI$7=""),"",ROUND(FI32/FI$8*FI$7*KVARDI,2))</f>
        <v/>
      </c>
      <c r="FK32" s="39"/>
      <c r="FL32" s="40" t="str">
        <f aca="false">IF(OR(INDEX(Undirviðmið!$G$6:$G$105,(COLUMN()-7-1)/2+1)&lt;&gt;"Starfsbundið",FK32="",FK$8="",FK$7=""),"",ROUND(FK32/FK$8*FK$7*KVARDI,2))</f>
        <v/>
      </c>
      <c r="FM32" s="39"/>
      <c r="FN32" s="40" t="str">
        <f aca="false">IF(OR(INDEX(Undirviðmið!$G$6:$G$105,(COLUMN()-7-1)/2+1)&lt;&gt;"Starfsbundið",FM32="",FM$8="",FM$7=""),"",ROUND(FM32/FM$8*FM$7*KVARDI,2))</f>
        <v/>
      </c>
      <c r="FO32" s="39"/>
      <c r="FP32" s="40" t="str">
        <f aca="false">IF(OR(INDEX(Undirviðmið!$G$6:$G$105,(COLUMN()-7-1)/2+1)&lt;&gt;"Starfsbundið",FO32="",FO$8="",FO$7=""),"",ROUND(FO32/FO$8*FO$7*KVARDI,2))</f>
        <v/>
      </c>
      <c r="FQ32" s="39"/>
      <c r="FR32" s="40" t="str">
        <f aca="false">IF(OR(INDEX(Undirviðmið!$G$6:$G$105,(COLUMN()-7-1)/2+1)&lt;&gt;"Starfsbundið",FQ32="",FQ$8="",FQ$7=""),"",ROUND(FQ32/FQ$8*FQ$7*KVARDI,2))</f>
        <v/>
      </c>
      <c r="FS32" s="39"/>
      <c r="FT32" s="40" t="str">
        <f aca="false">IF(OR(INDEX(Undirviðmið!$G$6:$G$105,(COLUMN()-7-1)/2+1)&lt;&gt;"Starfsbundið",FS32="",FS$8="",FS$7=""),"",ROUND(FS32/FS$8*FS$7*KVARDI,2))</f>
        <v/>
      </c>
      <c r="FU32" s="39"/>
      <c r="FV32" s="40" t="str">
        <f aca="false">IF(OR(INDEX(Undirviðmið!$G$6:$G$105,(COLUMN()-7-1)/2+1)&lt;&gt;"Starfsbundið",FU32="",FU$8="",FU$7=""),"",ROUND(FU32/FU$8*FU$7*KVARDI,2))</f>
        <v/>
      </c>
      <c r="FW32" s="39"/>
      <c r="FX32" s="40" t="str">
        <f aca="false">IF(OR(INDEX(Undirviðmið!$G$6:$G$105,(COLUMN()-7-1)/2+1)&lt;&gt;"Starfsbundið",FW32="",FW$8="",FW$7=""),"",ROUND(FW32/FW$8*FW$7*KVARDI,2))</f>
        <v/>
      </c>
      <c r="FY32" s="39"/>
      <c r="FZ32" s="40" t="str">
        <f aca="false">IF(OR(INDEX(Undirviðmið!$G$6:$G$105,(COLUMN()-7-1)/2+1)&lt;&gt;"Starfsbundið",FY32="",FY$8="",FY$7=""),"",ROUND(FY32/FY$8*FY$7*KVARDI,2))</f>
        <v/>
      </c>
      <c r="GA32" s="39"/>
      <c r="GB32" s="40" t="str">
        <f aca="false">IF(OR(INDEX(Undirviðmið!$G$6:$G$105,(COLUMN()-7-1)/2+1)&lt;&gt;"Starfsbundið",GA32="",GA$8="",GA$7=""),"",ROUND(GA32/GA$8*GA$7*KVARDI,2))</f>
        <v/>
      </c>
      <c r="GC32" s="39"/>
      <c r="GD32" s="40" t="str">
        <f aca="false">IF(OR(INDEX(Undirviðmið!$G$6:$G$105,(COLUMN()-7-1)/2+1)&lt;&gt;"Starfsbundið",GC32="",GC$8="",GC$7=""),"",ROUND(GC32/GC$8*GC$7*KVARDI,2))</f>
        <v/>
      </c>
      <c r="GE32" s="39"/>
      <c r="GF32" s="40" t="str">
        <f aca="false">IF(OR(INDEX(Undirviðmið!$G$6:$G$105,(COLUMN()-7-1)/2+1)&lt;&gt;"Starfsbundið",GE32="",GE$8="",GE$7=""),"",ROUND(GE32/GE$8*GE$7*KVARDI,2))</f>
        <v/>
      </c>
      <c r="GG32" s="39"/>
      <c r="GH32" s="40" t="str">
        <f aca="false">IF(OR(INDEX(Undirviðmið!$G$6:$G$105,(COLUMN()-7-1)/2+1)&lt;&gt;"Starfsbundið",GG32="",GG$8="",GG$7=""),"",ROUND(GG32/GG$8*GG$7*KVARDI,2))</f>
        <v/>
      </c>
      <c r="GI32" s="39"/>
      <c r="GJ32" s="40" t="str">
        <f aca="false">IF(OR(INDEX(Undirviðmið!$G$6:$G$105,(COLUMN()-7-1)/2+1)&lt;&gt;"Starfsbundið",GI32="",GI$8="",GI$7=""),"",ROUND(GI32/GI$8*GI$7*KVARDI,2))</f>
        <v/>
      </c>
      <c r="GK32" s="39"/>
      <c r="GL32" s="40" t="str">
        <f aca="false">IF(OR(INDEX(Undirviðmið!$G$6:$G$105,(COLUMN()-7-1)/2+1)&lt;&gt;"Starfsbundið",GK32="",GK$8="",GK$7=""),"",ROUND(GK32/GK$8*GK$7*KVARDI,2))</f>
        <v/>
      </c>
      <c r="GM32" s="39"/>
      <c r="GN32" s="40" t="str">
        <f aca="false">IF(OR(INDEX(Undirviðmið!$G$6:$G$105,(COLUMN()-7-1)/2+1)&lt;&gt;"Starfsbundið",GM32="",GM$8="",GM$7=""),"",ROUND(GM32/GM$8*GM$7*KVARDI,2))</f>
        <v/>
      </c>
      <c r="GO32" s="39"/>
      <c r="GP32" s="40" t="str">
        <f aca="false">IF(OR(INDEX(Undirviðmið!$G$6:$G$105,(COLUMN()-7-1)/2+1)&lt;&gt;"Starfsbundið",GO32="",GO$8="",GO$7=""),"",ROUND(GO32/GO$8*GO$7*KVARDI,2))</f>
        <v/>
      </c>
      <c r="GQ32" s="39"/>
      <c r="GR32" s="40" t="str">
        <f aca="false">IF(OR(INDEX(Undirviðmið!$G$6:$G$105,(COLUMN()-7-1)/2+1)&lt;&gt;"Starfsbundið",GQ32="",GQ$8="",GQ$7=""),"",ROUND(GQ32/GQ$8*GQ$7*KVARDI,2))</f>
        <v/>
      </c>
      <c r="GS32" s="39"/>
      <c r="GT32" s="40" t="str">
        <f aca="false">IF(OR(INDEX(Undirviðmið!$G$6:$G$105,(COLUMN()-7-1)/2+1)&lt;&gt;"Starfsbundið",GS32="",GS$8="",GS$7=""),"",ROUND(GS32/GS$8*GS$7*KVARDI,2))</f>
        <v/>
      </c>
      <c r="GU32" s="39"/>
      <c r="GV32" s="40" t="str">
        <f aca="false">IF(OR(INDEX(Undirviðmið!$G$6:$G$105,(COLUMN()-7-1)/2+1)&lt;&gt;"Starfsbundið",GU32="",GU$8="",GU$7=""),"",ROUND(GU32/GU$8*GU$7*KVARDI,2))</f>
        <v/>
      </c>
      <c r="GW32" s="39"/>
      <c r="GX32" s="40" t="str">
        <f aca="false">IF(OR(INDEX(Undirviðmið!$G$6:$G$105,(COLUMN()-7-1)/2+1)&lt;&gt;"Starfsbundið",GW32="",GW$8="",GW$7=""),"",ROUND(GW32/GW$8*GW$7*KVARDI,2))</f>
        <v/>
      </c>
      <c r="GZ32" s="20"/>
    </row>
    <row r="33" customFormat="false" ht="15" hidden="true" customHeight="true" outlineLevel="1" collapsed="false">
      <c r="B33" s="37" t="str">
        <f aca="false" t="array" ref="B33:B33">IFERROR(INDEX(Starfsmenn!$C$6:$C$10005,MATCH(0,COUNTIF($B$11:B32,Starfsmenn!$C$6:$C$10005)+(Starfsmenn!$C$6:$C$10005=""),0)),"")</f>
        <v/>
      </c>
      <c r="C33" s="38" t="n">
        <f aca="false">IFERROR(SUMIF($G$10:$GX$10,"Stig",$G33:$GX33),0)</f>
        <v>0</v>
      </c>
      <c r="G33" s="39"/>
      <c r="H33" s="40" t="str">
        <f aca="false">IF(OR(INDEX(Undirviðmið!$G$6:$G$105,(COLUMN()-7-1)/2+1)&lt;&gt;"Starfsbundið",G33="",G$8="",G$7=""),"",ROUND(G33/G$8*G$7*KVARDI,2))</f>
        <v/>
      </c>
      <c r="I33" s="39"/>
      <c r="J33" s="40" t="str">
        <f aca="false">IF(OR(INDEX(Undirviðmið!$G$6:$G$105,(COLUMN()-7-1)/2+1)&lt;&gt;"Starfsbundið",I33="",I$8="",I$7=""),"",ROUND(I33/I$8*I$7*KVARDI,2))</f>
        <v/>
      </c>
      <c r="K33" s="39"/>
      <c r="L33" s="40" t="str">
        <f aca="false">IF(OR(INDEX(Undirviðmið!$G$6:$G$105,(COLUMN()-7-1)/2+1)&lt;&gt;"Starfsbundið",K33="",K$8="",K$7=""),"",ROUND(K33/K$8*K$7*KVARDI,2))</f>
        <v/>
      </c>
      <c r="M33" s="39"/>
      <c r="N33" s="40" t="str">
        <f aca="false">IF(OR(INDEX(Undirviðmið!$G$6:$G$105,(COLUMN()-7-1)/2+1)&lt;&gt;"Starfsbundið",M33="",M$8="",M$7=""),"",ROUND(M33/M$8*M$7*KVARDI,2))</f>
        <v/>
      </c>
      <c r="O33" s="39"/>
      <c r="P33" s="40" t="str">
        <f aca="false">IF(OR(INDEX(Undirviðmið!$G$6:$G$105,(COLUMN()-7-1)/2+1)&lt;&gt;"Starfsbundið",O33="",O$8="",O$7=""),"",ROUND(O33/O$8*O$7*KVARDI,2))</f>
        <v/>
      </c>
      <c r="Q33" s="39"/>
      <c r="R33" s="40" t="str">
        <f aca="false">IF(OR(INDEX(Undirviðmið!$G$6:$G$105,(COLUMN()-7-1)/2+1)&lt;&gt;"Starfsbundið",Q33="",Q$8="",Q$7=""),"",ROUND(Q33/Q$8*Q$7*KVARDI,2))</f>
        <v/>
      </c>
      <c r="S33" s="39"/>
      <c r="T33" s="40" t="str">
        <f aca="false">IF(OR(INDEX(Undirviðmið!$G$6:$G$105,(COLUMN()-7-1)/2+1)&lt;&gt;"Starfsbundið",S33="",S$8="",S$7=""),"",ROUND(S33/S$8*S$7*KVARDI,2))</f>
        <v/>
      </c>
      <c r="U33" s="39"/>
      <c r="V33" s="40" t="str">
        <f aca="false">IF(OR(INDEX(Undirviðmið!$G$6:$G$105,(COLUMN()-7-1)/2+1)&lt;&gt;"Starfsbundið",U33="",U$8="",U$7=""),"",ROUND(U33/U$8*U$7*KVARDI,2))</f>
        <v/>
      </c>
      <c r="W33" s="39"/>
      <c r="X33" s="40" t="str">
        <f aca="false">IF(OR(INDEX(Undirviðmið!$G$6:$G$105,(COLUMN()-7-1)/2+1)&lt;&gt;"Starfsbundið",W33="",W$8="",W$7=""),"",ROUND(W33/W$8*W$7*KVARDI,2))</f>
        <v/>
      </c>
      <c r="Y33" s="39"/>
      <c r="Z33" s="40" t="str">
        <f aca="false">IF(OR(INDEX(Undirviðmið!$G$6:$G$105,(COLUMN()-7-1)/2+1)&lt;&gt;"Starfsbundið",Y33="",Y$8="",Y$7=""),"",ROUND(Y33/Y$8*Y$7*KVARDI,2))</f>
        <v/>
      </c>
      <c r="AA33" s="39"/>
      <c r="AB33" s="40" t="str">
        <f aca="false">IF(OR(INDEX(Undirviðmið!$G$6:$G$105,(COLUMN()-7-1)/2+1)&lt;&gt;"Starfsbundið",AA33="",AA$8="",AA$7=""),"",ROUND(AA33/AA$8*AA$7*KVARDI,2))</f>
        <v/>
      </c>
      <c r="AC33" s="39"/>
      <c r="AD33" s="40" t="str">
        <f aca="false">IF(OR(INDEX(Undirviðmið!$G$6:$G$105,(COLUMN()-7-1)/2+1)&lt;&gt;"Starfsbundið",AC33="",AC$8="",AC$7=""),"",ROUND(AC33/AC$8*AC$7*KVARDI,2))</f>
        <v/>
      </c>
      <c r="AE33" s="39"/>
      <c r="AF33" s="40" t="str">
        <f aca="false">IF(OR(INDEX(Undirviðmið!$G$6:$G$105,(COLUMN()-7-1)/2+1)&lt;&gt;"Starfsbundið",AE33="",AE$8="",AE$7=""),"",ROUND(AE33/AE$8*AE$7*KVARDI,2))</f>
        <v/>
      </c>
      <c r="AG33" s="39"/>
      <c r="AH33" s="40" t="str">
        <f aca="false">IF(OR(INDEX(Undirviðmið!$G$6:$G$105,(COLUMN()-7-1)/2+1)&lt;&gt;"Starfsbundið",AG33="",AG$8="",AG$7=""),"",ROUND(AG33/AG$8*AG$7*KVARDI,2))</f>
        <v/>
      </c>
      <c r="AI33" s="39"/>
      <c r="AJ33" s="40" t="str">
        <f aca="false">IF(OR(INDEX(Undirviðmið!$G$6:$G$105,(COLUMN()-7-1)/2+1)&lt;&gt;"Starfsbundið",AI33="",AI$8="",AI$7=""),"",ROUND(AI33/AI$8*AI$7*KVARDI,2))</f>
        <v/>
      </c>
      <c r="AK33" s="39"/>
      <c r="AL33" s="40" t="str">
        <f aca="false">IF(OR(INDEX(Undirviðmið!$G$6:$G$105,(COLUMN()-7-1)/2+1)&lt;&gt;"Starfsbundið",AK33="",AK$8="",AK$7=""),"",ROUND(AK33/AK$8*AK$7*KVARDI,2))</f>
        <v/>
      </c>
      <c r="AM33" s="39"/>
      <c r="AN33" s="40" t="str">
        <f aca="false">IF(OR(INDEX(Undirviðmið!$G$6:$G$105,(COLUMN()-7-1)/2+1)&lt;&gt;"Starfsbundið",AM33="",AM$8="",AM$7=""),"",ROUND(AM33/AM$8*AM$7*KVARDI,2))</f>
        <v/>
      </c>
      <c r="AO33" s="39"/>
      <c r="AP33" s="40" t="str">
        <f aca="false">IF(OR(INDEX(Undirviðmið!$G$6:$G$105,(COLUMN()-7-1)/2+1)&lt;&gt;"Starfsbundið",AO33="",AO$8="",AO$7=""),"",ROUND(AO33/AO$8*AO$7*KVARDI,2))</f>
        <v/>
      </c>
      <c r="AQ33" s="39"/>
      <c r="AR33" s="40" t="str">
        <f aca="false">IF(OR(INDEX(Undirviðmið!$G$6:$G$105,(COLUMN()-7-1)/2+1)&lt;&gt;"Starfsbundið",AQ33="",AQ$8="",AQ$7=""),"",ROUND(AQ33/AQ$8*AQ$7*KVARDI,2))</f>
        <v/>
      </c>
      <c r="AS33" s="39"/>
      <c r="AT33" s="40" t="str">
        <f aca="false">IF(OR(INDEX(Undirviðmið!$G$6:$G$105,(COLUMN()-7-1)/2+1)&lt;&gt;"Starfsbundið",AS33="",AS$8="",AS$7=""),"",ROUND(AS33/AS$8*AS$7*KVARDI,2))</f>
        <v/>
      </c>
      <c r="AU33" s="39"/>
      <c r="AV33" s="40" t="str">
        <f aca="false">IF(OR(INDEX(Undirviðmið!$G$6:$G$105,(COLUMN()-7-1)/2+1)&lt;&gt;"Starfsbundið",AU33="",AU$8="",AU$7=""),"",ROUND(AU33/AU$8*AU$7*KVARDI,2))</f>
        <v/>
      </c>
      <c r="AW33" s="39"/>
      <c r="AX33" s="40" t="str">
        <f aca="false">IF(OR(INDEX(Undirviðmið!$G$6:$G$105,(COLUMN()-7-1)/2+1)&lt;&gt;"Starfsbundið",AW33="",AW$8="",AW$7=""),"",ROUND(AW33/AW$8*AW$7*KVARDI,2))</f>
        <v/>
      </c>
      <c r="AY33" s="39"/>
      <c r="AZ33" s="40" t="str">
        <f aca="false">IF(OR(INDEX(Undirviðmið!$G$6:$G$105,(COLUMN()-7-1)/2+1)&lt;&gt;"Starfsbundið",AY33="",AY$8="",AY$7=""),"",ROUND(AY33/AY$8*AY$7*KVARDI,2))</f>
        <v/>
      </c>
      <c r="BA33" s="39"/>
      <c r="BB33" s="40" t="str">
        <f aca="false">IF(OR(INDEX(Undirviðmið!$G$6:$G$105,(COLUMN()-7-1)/2+1)&lt;&gt;"Starfsbundið",BA33="",BA$8="",BA$7=""),"",ROUND(BA33/BA$8*BA$7*KVARDI,2))</f>
        <v/>
      </c>
      <c r="BC33" s="39"/>
      <c r="BD33" s="40" t="str">
        <f aca="false">IF(OR(INDEX(Undirviðmið!$G$6:$G$105,(COLUMN()-7-1)/2+1)&lt;&gt;"Starfsbundið",BC33="",BC$8="",BC$7=""),"",ROUND(BC33/BC$8*BC$7*KVARDI,2))</f>
        <v/>
      </c>
      <c r="BE33" s="39"/>
      <c r="BF33" s="40" t="str">
        <f aca="false">IF(OR(INDEX(Undirviðmið!$G$6:$G$105,(COLUMN()-7-1)/2+1)&lt;&gt;"Starfsbundið",BE33="",BE$8="",BE$7=""),"",ROUND(BE33/BE$8*BE$7*KVARDI,2))</f>
        <v/>
      </c>
      <c r="BG33" s="39"/>
      <c r="BH33" s="40" t="str">
        <f aca="false">IF(OR(INDEX(Undirviðmið!$G$6:$G$105,(COLUMN()-7-1)/2+1)&lt;&gt;"Starfsbundið",BG33="",BG$8="",BG$7=""),"",ROUND(BG33/BG$8*BG$7*KVARDI,2))</f>
        <v/>
      </c>
      <c r="BI33" s="39"/>
      <c r="BJ33" s="40" t="str">
        <f aca="false">IF(OR(INDEX(Undirviðmið!$G$6:$G$105,(COLUMN()-7-1)/2+1)&lt;&gt;"Starfsbundið",BI33="",BI$8="",BI$7=""),"",ROUND(BI33/BI$8*BI$7*KVARDI,2))</f>
        <v/>
      </c>
      <c r="BK33" s="39"/>
      <c r="BL33" s="40" t="str">
        <f aca="false">IF(OR(INDEX(Undirviðmið!$G$6:$G$105,(COLUMN()-7-1)/2+1)&lt;&gt;"Starfsbundið",BK33="",BK$8="",BK$7=""),"",ROUND(BK33/BK$8*BK$7*KVARDI,2))</f>
        <v/>
      </c>
      <c r="BM33" s="39"/>
      <c r="BN33" s="40" t="str">
        <f aca="false">IF(OR(INDEX(Undirviðmið!$G$6:$G$105,(COLUMN()-7-1)/2+1)&lt;&gt;"Starfsbundið",BM33="",BM$8="",BM$7=""),"",ROUND(BM33/BM$8*BM$7*KVARDI,2))</f>
        <v/>
      </c>
      <c r="BO33" s="39"/>
      <c r="BP33" s="40" t="str">
        <f aca="false">IF(OR(INDEX(Undirviðmið!$G$6:$G$105,(COLUMN()-7-1)/2+1)&lt;&gt;"Starfsbundið",BO33="",BO$8="",BO$7=""),"",ROUND(BO33/BO$8*BO$7*KVARDI,2))</f>
        <v/>
      </c>
      <c r="BQ33" s="39"/>
      <c r="BR33" s="40" t="str">
        <f aca="false">IF(OR(INDEX(Undirviðmið!$G$6:$G$105,(COLUMN()-7-1)/2+1)&lt;&gt;"Starfsbundið",BQ33="",BQ$8="",BQ$7=""),"",ROUND(BQ33/BQ$8*BQ$7*KVARDI,2))</f>
        <v/>
      </c>
      <c r="BS33" s="39"/>
      <c r="BT33" s="40" t="str">
        <f aca="false">IF(OR(INDEX(Undirviðmið!$G$6:$G$105,(COLUMN()-7-1)/2+1)&lt;&gt;"Starfsbundið",BS33="",BS$8="",BS$7=""),"",ROUND(BS33/BS$8*BS$7*KVARDI,2))</f>
        <v/>
      </c>
      <c r="BU33" s="39"/>
      <c r="BV33" s="40" t="str">
        <f aca="false">IF(OR(INDEX(Undirviðmið!$G$6:$G$105,(COLUMN()-7-1)/2+1)&lt;&gt;"Starfsbundið",BU33="",BU$8="",BU$7=""),"",ROUND(BU33/BU$8*BU$7*KVARDI,2))</f>
        <v/>
      </c>
      <c r="BW33" s="39"/>
      <c r="BX33" s="40" t="str">
        <f aca="false">IF(OR(INDEX(Undirviðmið!$G$6:$G$105,(COLUMN()-7-1)/2+1)&lt;&gt;"Starfsbundið",BW33="",BW$8="",BW$7=""),"",ROUND(BW33/BW$8*BW$7*KVARDI,2))</f>
        <v/>
      </c>
      <c r="BY33" s="39"/>
      <c r="BZ33" s="40" t="str">
        <f aca="false">IF(OR(INDEX(Undirviðmið!$G$6:$G$105,(COLUMN()-7-1)/2+1)&lt;&gt;"Starfsbundið",BY33="",BY$8="",BY$7=""),"",ROUND(BY33/BY$8*BY$7*KVARDI,2))</f>
        <v/>
      </c>
      <c r="CA33" s="39"/>
      <c r="CB33" s="40" t="str">
        <f aca="false">IF(OR(INDEX(Undirviðmið!$G$6:$G$105,(COLUMN()-7-1)/2+1)&lt;&gt;"Starfsbundið",CA33="",CA$8="",CA$7=""),"",ROUND(CA33/CA$8*CA$7*KVARDI,2))</f>
        <v/>
      </c>
      <c r="CC33" s="39"/>
      <c r="CD33" s="40" t="str">
        <f aca="false">IF(OR(INDEX(Undirviðmið!$G$6:$G$105,(COLUMN()-7-1)/2+1)&lt;&gt;"Starfsbundið",CC33="",CC$8="",CC$7=""),"",ROUND(CC33/CC$8*CC$7*KVARDI,2))</f>
        <v/>
      </c>
      <c r="CE33" s="39"/>
      <c r="CF33" s="40" t="str">
        <f aca="false">IF(OR(INDEX(Undirviðmið!$G$6:$G$105,(COLUMN()-7-1)/2+1)&lt;&gt;"Starfsbundið",CE33="",CE$8="",CE$7=""),"",ROUND(CE33/CE$8*CE$7*KVARDI,2))</f>
        <v/>
      </c>
      <c r="CG33" s="39"/>
      <c r="CH33" s="40" t="str">
        <f aca="false">IF(OR(INDEX(Undirviðmið!$G$6:$G$105,(COLUMN()-7-1)/2+1)&lt;&gt;"Starfsbundið",CG33="",CG$8="",CG$7=""),"",ROUND(CG33/CG$8*CG$7*KVARDI,2))</f>
        <v/>
      </c>
      <c r="CI33" s="39"/>
      <c r="CJ33" s="40" t="str">
        <f aca="false">IF(OR(INDEX(Undirviðmið!$G$6:$G$105,(COLUMN()-7-1)/2+1)&lt;&gt;"Starfsbundið",CI33="",CI$8="",CI$7=""),"",ROUND(CI33/CI$8*CI$7*KVARDI,2))</f>
        <v/>
      </c>
      <c r="CK33" s="39"/>
      <c r="CL33" s="40" t="str">
        <f aca="false">IF(OR(INDEX(Undirviðmið!$G$6:$G$105,(COLUMN()-7-1)/2+1)&lt;&gt;"Starfsbundið",CK33="",CK$8="",CK$7=""),"",ROUND(CK33/CK$8*CK$7*KVARDI,2))</f>
        <v/>
      </c>
      <c r="CM33" s="39"/>
      <c r="CN33" s="40" t="str">
        <f aca="false">IF(OR(INDEX(Undirviðmið!$G$6:$G$105,(COLUMN()-7-1)/2+1)&lt;&gt;"Starfsbundið",CM33="",CM$8="",CM$7=""),"",ROUND(CM33/CM$8*CM$7*KVARDI,2))</f>
        <v/>
      </c>
      <c r="CO33" s="39"/>
      <c r="CP33" s="40" t="str">
        <f aca="false">IF(OR(INDEX(Undirviðmið!$G$6:$G$105,(COLUMN()-7-1)/2+1)&lt;&gt;"Starfsbundið",CO33="",CO$8="",CO$7=""),"",ROUND(CO33/CO$8*CO$7*KVARDI,2))</f>
        <v/>
      </c>
      <c r="CQ33" s="39"/>
      <c r="CR33" s="40" t="str">
        <f aca="false">IF(OR(INDEX(Undirviðmið!$G$6:$G$105,(COLUMN()-7-1)/2+1)&lt;&gt;"Starfsbundið",CQ33="",CQ$8="",CQ$7=""),"",ROUND(CQ33/CQ$8*CQ$7*KVARDI,2))</f>
        <v/>
      </c>
      <c r="CS33" s="39"/>
      <c r="CT33" s="40" t="str">
        <f aca="false">IF(OR(INDEX(Undirviðmið!$G$6:$G$105,(COLUMN()-7-1)/2+1)&lt;&gt;"Starfsbundið",CS33="",CS$8="",CS$7=""),"",ROUND(CS33/CS$8*CS$7*KVARDI,2))</f>
        <v/>
      </c>
      <c r="CU33" s="39"/>
      <c r="CV33" s="40" t="str">
        <f aca="false">IF(OR(INDEX(Undirviðmið!$G$6:$G$105,(COLUMN()-7-1)/2+1)&lt;&gt;"Starfsbundið",CU33="",CU$8="",CU$7=""),"",ROUND(CU33/CU$8*CU$7*KVARDI,2))</f>
        <v/>
      </c>
      <c r="CW33" s="39"/>
      <c r="CX33" s="40" t="str">
        <f aca="false">IF(OR(INDEX(Undirviðmið!$G$6:$G$105,(COLUMN()-7-1)/2+1)&lt;&gt;"Starfsbundið",CW33="",CW$8="",CW$7=""),"",ROUND(CW33/CW$8*CW$7*KVARDI,2))</f>
        <v/>
      </c>
      <c r="CY33" s="39"/>
      <c r="CZ33" s="40" t="str">
        <f aca="false">IF(OR(INDEX(Undirviðmið!$G$6:$G$105,(COLUMN()-7-1)/2+1)&lt;&gt;"Starfsbundið",CY33="",CY$8="",CY$7=""),"",ROUND(CY33/CY$8*CY$7*KVARDI,2))</f>
        <v/>
      </c>
      <c r="DA33" s="39"/>
      <c r="DB33" s="40" t="str">
        <f aca="false">IF(OR(INDEX(Undirviðmið!$G$6:$G$105,(COLUMN()-7-1)/2+1)&lt;&gt;"Starfsbundið",DA33="",DA$8="",DA$7=""),"",ROUND(DA33/DA$8*DA$7*KVARDI,2))</f>
        <v/>
      </c>
      <c r="DC33" s="39"/>
      <c r="DD33" s="40" t="str">
        <f aca="false">IF(OR(INDEX(Undirviðmið!$G$6:$G$105,(COLUMN()-7-1)/2+1)&lt;&gt;"Starfsbundið",DC33="",DC$8="",DC$7=""),"",ROUND(DC33/DC$8*DC$7*KVARDI,2))</f>
        <v/>
      </c>
      <c r="DE33" s="39"/>
      <c r="DF33" s="40" t="str">
        <f aca="false">IF(OR(INDEX(Undirviðmið!$G$6:$G$105,(COLUMN()-7-1)/2+1)&lt;&gt;"Starfsbundið",DE33="",DE$8="",DE$7=""),"",ROUND(DE33/DE$8*DE$7*KVARDI,2))</f>
        <v/>
      </c>
      <c r="DG33" s="39"/>
      <c r="DH33" s="40" t="str">
        <f aca="false">IF(OR(INDEX(Undirviðmið!$G$6:$G$105,(COLUMN()-7-1)/2+1)&lt;&gt;"Starfsbundið",DG33="",DG$8="",DG$7=""),"",ROUND(DG33/DG$8*DG$7*KVARDI,2))</f>
        <v/>
      </c>
      <c r="DI33" s="39"/>
      <c r="DJ33" s="40" t="str">
        <f aca="false">IF(OR(INDEX(Undirviðmið!$G$6:$G$105,(COLUMN()-7-1)/2+1)&lt;&gt;"Starfsbundið",DI33="",DI$8="",DI$7=""),"",ROUND(DI33/DI$8*DI$7*KVARDI,2))</f>
        <v/>
      </c>
      <c r="DK33" s="39"/>
      <c r="DL33" s="40" t="str">
        <f aca="false">IF(OR(INDEX(Undirviðmið!$G$6:$G$105,(COLUMN()-7-1)/2+1)&lt;&gt;"Starfsbundið",DK33="",DK$8="",DK$7=""),"",ROUND(DK33/DK$8*DK$7*KVARDI,2))</f>
        <v/>
      </c>
      <c r="DM33" s="39"/>
      <c r="DN33" s="40" t="str">
        <f aca="false">IF(OR(INDEX(Undirviðmið!$G$6:$G$105,(COLUMN()-7-1)/2+1)&lt;&gt;"Starfsbundið",DM33="",DM$8="",DM$7=""),"",ROUND(DM33/DM$8*DM$7*KVARDI,2))</f>
        <v/>
      </c>
      <c r="DO33" s="39"/>
      <c r="DP33" s="40" t="str">
        <f aca="false">IF(OR(INDEX(Undirviðmið!$G$6:$G$105,(COLUMN()-7-1)/2+1)&lt;&gt;"Starfsbundið",DO33="",DO$8="",DO$7=""),"",ROUND(DO33/DO$8*DO$7*KVARDI,2))</f>
        <v/>
      </c>
      <c r="DQ33" s="39"/>
      <c r="DR33" s="40" t="str">
        <f aca="false">IF(OR(INDEX(Undirviðmið!$G$6:$G$105,(COLUMN()-7-1)/2+1)&lt;&gt;"Starfsbundið",DQ33="",DQ$8="",DQ$7=""),"",ROUND(DQ33/DQ$8*DQ$7*KVARDI,2))</f>
        <v/>
      </c>
      <c r="DS33" s="39"/>
      <c r="DT33" s="40" t="str">
        <f aca="false">IF(OR(INDEX(Undirviðmið!$G$6:$G$105,(COLUMN()-7-1)/2+1)&lt;&gt;"Starfsbundið",DS33="",DS$8="",DS$7=""),"",ROUND(DS33/DS$8*DS$7*KVARDI,2))</f>
        <v/>
      </c>
      <c r="DU33" s="39"/>
      <c r="DV33" s="40" t="str">
        <f aca="false">IF(OR(INDEX(Undirviðmið!$G$6:$G$105,(COLUMN()-7-1)/2+1)&lt;&gt;"Starfsbundið",DU33="",DU$8="",DU$7=""),"",ROUND(DU33/DU$8*DU$7*KVARDI,2))</f>
        <v/>
      </c>
      <c r="DW33" s="39"/>
      <c r="DX33" s="40" t="str">
        <f aca="false">IF(OR(INDEX(Undirviðmið!$G$6:$G$105,(COLUMN()-7-1)/2+1)&lt;&gt;"Starfsbundið",DW33="",DW$8="",DW$7=""),"",ROUND(DW33/DW$8*DW$7*KVARDI,2))</f>
        <v/>
      </c>
      <c r="DY33" s="39"/>
      <c r="DZ33" s="40" t="str">
        <f aca="false">IF(OR(INDEX(Undirviðmið!$G$6:$G$105,(COLUMN()-7-1)/2+1)&lt;&gt;"Starfsbundið",DY33="",DY$8="",DY$7=""),"",ROUND(DY33/DY$8*DY$7*KVARDI,2))</f>
        <v/>
      </c>
      <c r="EA33" s="39"/>
      <c r="EB33" s="40" t="str">
        <f aca="false">IF(OR(INDEX(Undirviðmið!$G$6:$G$105,(COLUMN()-7-1)/2+1)&lt;&gt;"Starfsbundið",EA33="",EA$8="",EA$7=""),"",ROUND(EA33/EA$8*EA$7*KVARDI,2))</f>
        <v/>
      </c>
      <c r="EC33" s="39"/>
      <c r="ED33" s="40" t="str">
        <f aca="false">IF(OR(INDEX(Undirviðmið!$G$6:$G$105,(COLUMN()-7-1)/2+1)&lt;&gt;"Starfsbundið",EC33="",EC$8="",EC$7=""),"",ROUND(EC33/EC$8*EC$7*KVARDI,2))</f>
        <v/>
      </c>
      <c r="EE33" s="39"/>
      <c r="EF33" s="40" t="str">
        <f aca="false">IF(OR(INDEX(Undirviðmið!$G$6:$G$105,(COLUMN()-7-1)/2+1)&lt;&gt;"Starfsbundið",EE33="",EE$8="",EE$7=""),"",ROUND(EE33/EE$8*EE$7*KVARDI,2))</f>
        <v/>
      </c>
      <c r="EG33" s="39"/>
      <c r="EH33" s="40" t="str">
        <f aca="false">IF(OR(INDEX(Undirviðmið!$G$6:$G$105,(COLUMN()-7-1)/2+1)&lt;&gt;"Starfsbundið",EG33="",EG$8="",EG$7=""),"",ROUND(EG33/EG$8*EG$7*KVARDI,2))</f>
        <v/>
      </c>
      <c r="EI33" s="39"/>
      <c r="EJ33" s="40" t="str">
        <f aca="false">IF(OR(INDEX(Undirviðmið!$G$6:$G$105,(COLUMN()-7-1)/2+1)&lt;&gt;"Starfsbundið",EI33="",EI$8="",EI$7=""),"",ROUND(EI33/EI$8*EI$7*KVARDI,2))</f>
        <v/>
      </c>
      <c r="EK33" s="39"/>
      <c r="EL33" s="40" t="str">
        <f aca="false">IF(OR(INDEX(Undirviðmið!$G$6:$G$105,(COLUMN()-7-1)/2+1)&lt;&gt;"Starfsbundið",EK33="",EK$8="",EK$7=""),"",ROUND(EK33/EK$8*EK$7*KVARDI,2))</f>
        <v/>
      </c>
      <c r="EM33" s="39"/>
      <c r="EN33" s="40" t="str">
        <f aca="false">IF(OR(INDEX(Undirviðmið!$G$6:$G$105,(COLUMN()-7-1)/2+1)&lt;&gt;"Starfsbundið",EM33="",EM$8="",EM$7=""),"",ROUND(EM33/EM$8*EM$7*KVARDI,2))</f>
        <v/>
      </c>
      <c r="EO33" s="39"/>
      <c r="EP33" s="40" t="str">
        <f aca="false">IF(OR(INDEX(Undirviðmið!$G$6:$G$105,(COLUMN()-7-1)/2+1)&lt;&gt;"Starfsbundið",EO33="",EO$8="",EO$7=""),"",ROUND(EO33/EO$8*EO$7*KVARDI,2))</f>
        <v/>
      </c>
      <c r="EQ33" s="39"/>
      <c r="ER33" s="40" t="str">
        <f aca="false">IF(OR(INDEX(Undirviðmið!$G$6:$G$105,(COLUMN()-7-1)/2+1)&lt;&gt;"Starfsbundið",EQ33="",EQ$8="",EQ$7=""),"",ROUND(EQ33/EQ$8*EQ$7*KVARDI,2))</f>
        <v/>
      </c>
      <c r="ES33" s="39"/>
      <c r="ET33" s="40" t="str">
        <f aca="false">IF(OR(INDEX(Undirviðmið!$G$6:$G$105,(COLUMN()-7-1)/2+1)&lt;&gt;"Starfsbundið",ES33="",ES$8="",ES$7=""),"",ROUND(ES33/ES$8*ES$7*KVARDI,2))</f>
        <v/>
      </c>
      <c r="EU33" s="39"/>
      <c r="EV33" s="40" t="str">
        <f aca="false">IF(OR(INDEX(Undirviðmið!$G$6:$G$105,(COLUMN()-7-1)/2+1)&lt;&gt;"Starfsbundið",EU33="",EU$8="",EU$7=""),"",ROUND(EU33/EU$8*EU$7*KVARDI,2))</f>
        <v/>
      </c>
      <c r="EW33" s="39"/>
      <c r="EX33" s="40" t="str">
        <f aca="false">IF(OR(INDEX(Undirviðmið!$G$6:$G$105,(COLUMN()-7-1)/2+1)&lt;&gt;"Starfsbundið",EW33="",EW$8="",EW$7=""),"",ROUND(EW33/EW$8*EW$7*KVARDI,2))</f>
        <v/>
      </c>
      <c r="EY33" s="39"/>
      <c r="EZ33" s="40" t="str">
        <f aca="false">IF(OR(INDEX(Undirviðmið!$G$6:$G$105,(COLUMN()-7-1)/2+1)&lt;&gt;"Starfsbundið",EY33="",EY$8="",EY$7=""),"",ROUND(EY33/EY$8*EY$7*KVARDI,2))</f>
        <v/>
      </c>
      <c r="FA33" s="39"/>
      <c r="FB33" s="40" t="str">
        <f aca="false">IF(OR(INDEX(Undirviðmið!$G$6:$G$105,(COLUMN()-7-1)/2+1)&lt;&gt;"Starfsbundið",FA33="",FA$8="",FA$7=""),"",ROUND(FA33/FA$8*FA$7*KVARDI,2))</f>
        <v/>
      </c>
      <c r="FC33" s="39"/>
      <c r="FD33" s="40" t="str">
        <f aca="false">IF(OR(INDEX(Undirviðmið!$G$6:$G$105,(COLUMN()-7-1)/2+1)&lt;&gt;"Starfsbundið",FC33="",FC$8="",FC$7=""),"",ROUND(FC33/FC$8*FC$7*KVARDI,2))</f>
        <v/>
      </c>
      <c r="FE33" s="39"/>
      <c r="FF33" s="40" t="str">
        <f aca="false">IF(OR(INDEX(Undirviðmið!$G$6:$G$105,(COLUMN()-7-1)/2+1)&lt;&gt;"Starfsbundið",FE33="",FE$8="",FE$7=""),"",ROUND(FE33/FE$8*FE$7*KVARDI,2))</f>
        <v/>
      </c>
      <c r="FG33" s="39"/>
      <c r="FH33" s="40" t="str">
        <f aca="false">IF(OR(INDEX(Undirviðmið!$G$6:$G$105,(COLUMN()-7-1)/2+1)&lt;&gt;"Starfsbundið",FG33="",FG$8="",FG$7=""),"",ROUND(FG33/FG$8*FG$7*KVARDI,2))</f>
        <v/>
      </c>
      <c r="FI33" s="39"/>
      <c r="FJ33" s="40" t="str">
        <f aca="false">IF(OR(INDEX(Undirviðmið!$G$6:$G$105,(COLUMN()-7-1)/2+1)&lt;&gt;"Starfsbundið",FI33="",FI$8="",FI$7=""),"",ROUND(FI33/FI$8*FI$7*KVARDI,2))</f>
        <v/>
      </c>
      <c r="FK33" s="39"/>
      <c r="FL33" s="40" t="str">
        <f aca="false">IF(OR(INDEX(Undirviðmið!$G$6:$G$105,(COLUMN()-7-1)/2+1)&lt;&gt;"Starfsbundið",FK33="",FK$8="",FK$7=""),"",ROUND(FK33/FK$8*FK$7*KVARDI,2))</f>
        <v/>
      </c>
      <c r="FM33" s="39"/>
      <c r="FN33" s="40" t="str">
        <f aca="false">IF(OR(INDEX(Undirviðmið!$G$6:$G$105,(COLUMN()-7-1)/2+1)&lt;&gt;"Starfsbundið",FM33="",FM$8="",FM$7=""),"",ROUND(FM33/FM$8*FM$7*KVARDI,2))</f>
        <v/>
      </c>
      <c r="FO33" s="39"/>
      <c r="FP33" s="40" t="str">
        <f aca="false">IF(OR(INDEX(Undirviðmið!$G$6:$G$105,(COLUMN()-7-1)/2+1)&lt;&gt;"Starfsbundið",FO33="",FO$8="",FO$7=""),"",ROUND(FO33/FO$8*FO$7*KVARDI,2))</f>
        <v/>
      </c>
      <c r="FQ33" s="39"/>
      <c r="FR33" s="40" t="str">
        <f aca="false">IF(OR(INDEX(Undirviðmið!$G$6:$G$105,(COLUMN()-7-1)/2+1)&lt;&gt;"Starfsbundið",FQ33="",FQ$8="",FQ$7=""),"",ROUND(FQ33/FQ$8*FQ$7*KVARDI,2))</f>
        <v/>
      </c>
      <c r="FS33" s="39"/>
      <c r="FT33" s="40" t="str">
        <f aca="false">IF(OR(INDEX(Undirviðmið!$G$6:$G$105,(COLUMN()-7-1)/2+1)&lt;&gt;"Starfsbundið",FS33="",FS$8="",FS$7=""),"",ROUND(FS33/FS$8*FS$7*KVARDI,2))</f>
        <v/>
      </c>
      <c r="FU33" s="39"/>
      <c r="FV33" s="40" t="str">
        <f aca="false">IF(OR(INDEX(Undirviðmið!$G$6:$G$105,(COLUMN()-7-1)/2+1)&lt;&gt;"Starfsbundið",FU33="",FU$8="",FU$7=""),"",ROUND(FU33/FU$8*FU$7*KVARDI,2))</f>
        <v/>
      </c>
      <c r="FW33" s="39"/>
      <c r="FX33" s="40" t="str">
        <f aca="false">IF(OR(INDEX(Undirviðmið!$G$6:$G$105,(COLUMN()-7-1)/2+1)&lt;&gt;"Starfsbundið",FW33="",FW$8="",FW$7=""),"",ROUND(FW33/FW$8*FW$7*KVARDI,2))</f>
        <v/>
      </c>
      <c r="FY33" s="39"/>
      <c r="FZ33" s="40" t="str">
        <f aca="false">IF(OR(INDEX(Undirviðmið!$G$6:$G$105,(COLUMN()-7-1)/2+1)&lt;&gt;"Starfsbundið",FY33="",FY$8="",FY$7=""),"",ROUND(FY33/FY$8*FY$7*KVARDI,2))</f>
        <v/>
      </c>
      <c r="GA33" s="39"/>
      <c r="GB33" s="40" t="str">
        <f aca="false">IF(OR(INDEX(Undirviðmið!$G$6:$G$105,(COLUMN()-7-1)/2+1)&lt;&gt;"Starfsbundið",GA33="",GA$8="",GA$7=""),"",ROUND(GA33/GA$8*GA$7*KVARDI,2))</f>
        <v/>
      </c>
      <c r="GC33" s="39"/>
      <c r="GD33" s="40" t="str">
        <f aca="false">IF(OR(INDEX(Undirviðmið!$G$6:$G$105,(COLUMN()-7-1)/2+1)&lt;&gt;"Starfsbundið",GC33="",GC$8="",GC$7=""),"",ROUND(GC33/GC$8*GC$7*KVARDI,2))</f>
        <v/>
      </c>
      <c r="GE33" s="39"/>
      <c r="GF33" s="40" t="str">
        <f aca="false">IF(OR(INDEX(Undirviðmið!$G$6:$G$105,(COLUMN()-7-1)/2+1)&lt;&gt;"Starfsbundið",GE33="",GE$8="",GE$7=""),"",ROUND(GE33/GE$8*GE$7*KVARDI,2))</f>
        <v/>
      </c>
      <c r="GG33" s="39"/>
      <c r="GH33" s="40" t="str">
        <f aca="false">IF(OR(INDEX(Undirviðmið!$G$6:$G$105,(COLUMN()-7-1)/2+1)&lt;&gt;"Starfsbundið",GG33="",GG$8="",GG$7=""),"",ROUND(GG33/GG$8*GG$7*KVARDI,2))</f>
        <v/>
      </c>
      <c r="GI33" s="39"/>
      <c r="GJ33" s="40" t="str">
        <f aca="false">IF(OR(INDEX(Undirviðmið!$G$6:$G$105,(COLUMN()-7-1)/2+1)&lt;&gt;"Starfsbundið",GI33="",GI$8="",GI$7=""),"",ROUND(GI33/GI$8*GI$7*KVARDI,2))</f>
        <v/>
      </c>
      <c r="GK33" s="39"/>
      <c r="GL33" s="40" t="str">
        <f aca="false">IF(OR(INDEX(Undirviðmið!$G$6:$G$105,(COLUMN()-7-1)/2+1)&lt;&gt;"Starfsbundið",GK33="",GK$8="",GK$7=""),"",ROUND(GK33/GK$8*GK$7*KVARDI,2))</f>
        <v/>
      </c>
      <c r="GM33" s="39"/>
      <c r="GN33" s="40" t="str">
        <f aca="false">IF(OR(INDEX(Undirviðmið!$G$6:$G$105,(COLUMN()-7-1)/2+1)&lt;&gt;"Starfsbundið",GM33="",GM$8="",GM$7=""),"",ROUND(GM33/GM$8*GM$7*KVARDI,2))</f>
        <v/>
      </c>
      <c r="GO33" s="39"/>
      <c r="GP33" s="40" t="str">
        <f aca="false">IF(OR(INDEX(Undirviðmið!$G$6:$G$105,(COLUMN()-7-1)/2+1)&lt;&gt;"Starfsbundið",GO33="",GO$8="",GO$7=""),"",ROUND(GO33/GO$8*GO$7*KVARDI,2))</f>
        <v/>
      </c>
      <c r="GQ33" s="39"/>
      <c r="GR33" s="40" t="str">
        <f aca="false">IF(OR(INDEX(Undirviðmið!$G$6:$G$105,(COLUMN()-7-1)/2+1)&lt;&gt;"Starfsbundið",GQ33="",GQ$8="",GQ$7=""),"",ROUND(GQ33/GQ$8*GQ$7*KVARDI,2))</f>
        <v/>
      </c>
      <c r="GS33" s="39"/>
      <c r="GT33" s="40" t="str">
        <f aca="false">IF(OR(INDEX(Undirviðmið!$G$6:$G$105,(COLUMN()-7-1)/2+1)&lt;&gt;"Starfsbundið",GS33="",GS$8="",GS$7=""),"",ROUND(GS33/GS$8*GS$7*KVARDI,2))</f>
        <v/>
      </c>
      <c r="GU33" s="39"/>
      <c r="GV33" s="40" t="str">
        <f aca="false">IF(OR(INDEX(Undirviðmið!$G$6:$G$105,(COLUMN()-7-1)/2+1)&lt;&gt;"Starfsbundið",GU33="",GU$8="",GU$7=""),"",ROUND(GU33/GU$8*GU$7*KVARDI,2))</f>
        <v/>
      </c>
      <c r="GW33" s="39"/>
      <c r="GX33" s="40" t="str">
        <f aca="false">IF(OR(INDEX(Undirviðmið!$G$6:$G$105,(COLUMN()-7-1)/2+1)&lt;&gt;"Starfsbundið",GW33="",GW$8="",GW$7=""),"",ROUND(GW33/GW$8*GW$7*KVARDI,2))</f>
        <v/>
      </c>
      <c r="GZ33" s="20"/>
    </row>
    <row r="34" customFormat="false" ht="15" hidden="true" customHeight="true" outlineLevel="1" collapsed="false">
      <c r="B34" s="37" t="str">
        <f aca="false" t="array" ref="B34:B34">IFERROR(INDEX(Starfsmenn!$C$6:$C$10005,MATCH(0,COUNTIF($B$11:B33,Starfsmenn!$C$6:$C$10005)+(Starfsmenn!$C$6:$C$10005=""),0)),"")</f>
        <v/>
      </c>
      <c r="C34" s="38" t="n">
        <f aca="false">IFERROR(SUMIF($G$10:$GX$10,"Stig",$G34:$GX34),0)</f>
        <v>0</v>
      </c>
      <c r="G34" s="39"/>
      <c r="H34" s="40" t="str">
        <f aca="false">IF(OR(INDEX(Undirviðmið!$G$6:$G$105,(COLUMN()-7-1)/2+1)&lt;&gt;"Starfsbundið",G34="",G$8="",G$7=""),"",ROUND(G34/G$8*G$7*KVARDI,2))</f>
        <v/>
      </c>
      <c r="I34" s="39"/>
      <c r="J34" s="40" t="str">
        <f aca="false">IF(OR(INDEX(Undirviðmið!$G$6:$G$105,(COLUMN()-7-1)/2+1)&lt;&gt;"Starfsbundið",I34="",I$8="",I$7=""),"",ROUND(I34/I$8*I$7*KVARDI,2))</f>
        <v/>
      </c>
      <c r="K34" s="39"/>
      <c r="L34" s="40" t="str">
        <f aca="false">IF(OR(INDEX(Undirviðmið!$G$6:$G$105,(COLUMN()-7-1)/2+1)&lt;&gt;"Starfsbundið",K34="",K$8="",K$7=""),"",ROUND(K34/K$8*K$7*KVARDI,2))</f>
        <v/>
      </c>
      <c r="M34" s="39"/>
      <c r="N34" s="40" t="str">
        <f aca="false">IF(OR(INDEX(Undirviðmið!$G$6:$G$105,(COLUMN()-7-1)/2+1)&lt;&gt;"Starfsbundið",M34="",M$8="",M$7=""),"",ROUND(M34/M$8*M$7*KVARDI,2))</f>
        <v/>
      </c>
      <c r="O34" s="39"/>
      <c r="P34" s="40" t="str">
        <f aca="false">IF(OR(INDEX(Undirviðmið!$G$6:$G$105,(COLUMN()-7-1)/2+1)&lt;&gt;"Starfsbundið",O34="",O$8="",O$7=""),"",ROUND(O34/O$8*O$7*KVARDI,2))</f>
        <v/>
      </c>
      <c r="Q34" s="39"/>
      <c r="R34" s="40" t="str">
        <f aca="false">IF(OR(INDEX(Undirviðmið!$G$6:$G$105,(COLUMN()-7-1)/2+1)&lt;&gt;"Starfsbundið",Q34="",Q$8="",Q$7=""),"",ROUND(Q34/Q$8*Q$7*KVARDI,2))</f>
        <v/>
      </c>
      <c r="S34" s="39"/>
      <c r="T34" s="40" t="str">
        <f aca="false">IF(OR(INDEX(Undirviðmið!$G$6:$G$105,(COLUMN()-7-1)/2+1)&lt;&gt;"Starfsbundið",S34="",S$8="",S$7=""),"",ROUND(S34/S$8*S$7*KVARDI,2))</f>
        <v/>
      </c>
      <c r="U34" s="39"/>
      <c r="V34" s="40" t="str">
        <f aca="false">IF(OR(INDEX(Undirviðmið!$G$6:$G$105,(COLUMN()-7-1)/2+1)&lt;&gt;"Starfsbundið",U34="",U$8="",U$7=""),"",ROUND(U34/U$8*U$7*KVARDI,2))</f>
        <v/>
      </c>
      <c r="W34" s="39"/>
      <c r="X34" s="40" t="str">
        <f aca="false">IF(OR(INDEX(Undirviðmið!$G$6:$G$105,(COLUMN()-7-1)/2+1)&lt;&gt;"Starfsbundið",W34="",W$8="",W$7=""),"",ROUND(W34/W$8*W$7*KVARDI,2))</f>
        <v/>
      </c>
      <c r="Y34" s="39"/>
      <c r="Z34" s="40" t="str">
        <f aca="false">IF(OR(INDEX(Undirviðmið!$G$6:$G$105,(COLUMN()-7-1)/2+1)&lt;&gt;"Starfsbundið",Y34="",Y$8="",Y$7=""),"",ROUND(Y34/Y$8*Y$7*KVARDI,2))</f>
        <v/>
      </c>
      <c r="AA34" s="39"/>
      <c r="AB34" s="40" t="str">
        <f aca="false">IF(OR(INDEX(Undirviðmið!$G$6:$G$105,(COLUMN()-7-1)/2+1)&lt;&gt;"Starfsbundið",AA34="",AA$8="",AA$7=""),"",ROUND(AA34/AA$8*AA$7*KVARDI,2))</f>
        <v/>
      </c>
      <c r="AC34" s="39"/>
      <c r="AD34" s="40" t="str">
        <f aca="false">IF(OR(INDEX(Undirviðmið!$G$6:$G$105,(COLUMN()-7-1)/2+1)&lt;&gt;"Starfsbundið",AC34="",AC$8="",AC$7=""),"",ROUND(AC34/AC$8*AC$7*KVARDI,2))</f>
        <v/>
      </c>
      <c r="AE34" s="39"/>
      <c r="AF34" s="40" t="str">
        <f aca="false">IF(OR(INDEX(Undirviðmið!$G$6:$G$105,(COLUMN()-7-1)/2+1)&lt;&gt;"Starfsbundið",AE34="",AE$8="",AE$7=""),"",ROUND(AE34/AE$8*AE$7*KVARDI,2))</f>
        <v/>
      </c>
      <c r="AG34" s="39"/>
      <c r="AH34" s="40" t="str">
        <f aca="false">IF(OR(INDEX(Undirviðmið!$G$6:$G$105,(COLUMN()-7-1)/2+1)&lt;&gt;"Starfsbundið",AG34="",AG$8="",AG$7=""),"",ROUND(AG34/AG$8*AG$7*KVARDI,2))</f>
        <v/>
      </c>
      <c r="AI34" s="39"/>
      <c r="AJ34" s="40" t="str">
        <f aca="false">IF(OR(INDEX(Undirviðmið!$G$6:$G$105,(COLUMN()-7-1)/2+1)&lt;&gt;"Starfsbundið",AI34="",AI$8="",AI$7=""),"",ROUND(AI34/AI$8*AI$7*KVARDI,2))</f>
        <v/>
      </c>
      <c r="AK34" s="39"/>
      <c r="AL34" s="40" t="str">
        <f aca="false">IF(OR(INDEX(Undirviðmið!$G$6:$G$105,(COLUMN()-7-1)/2+1)&lt;&gt;"Starfsbundið",AK34="",AK$8="",AK$7=""),"",ROUND(AK34/AK$8*AK$7*KVARDI,2))</f>
        <v/>
      </c>
      <c r="AM34" s="39"/>
      <c r="AN34" s="40" t="str">
        <f aca="false">IF(OR(INDEX(Undirviðmið!$G$6:$G$105,(COLUMN()-7-1)/2+1)&lt;&gt;"Starfsbundið",AM34="",AM$8="",AM$7=""),"",ROUND(AM34/AM$8*AM$7*KVARDI,2))</f>
        <v/>
      </c>
      <c r="AO34" s="39"/>
      <c r="AP34" s="40" t="str">
        <f aca="false">IF(OR(INDEX(Undirviðmið!$G$6:$G$105,(COLUMN()-7-1)/2+1)&lt;&gt;"Starfsbundið",AO34="",AO$8="",AO$7=""),"",ROUND(AO34/AO$8*AO$7*KVARDI,2))</f>
        <v/>
      </c>
      <c r="AQ34" s="39"/>
      <c r="AR34" s="40" t="str">
        <f aca="false">IF(OR(INDEX(Undirviðmið!$G$6:$G$105,(COLUMN()-7-1)/2+1)&lt;&gt;"Starfsbundið",AQ34="",AQ$8="",AQ$7=""),"",ROUND(AQ34/AQ$8*AQ$7*KVARDI,2))</f>
        <v/>
      </c>
      <c r="AS34" s="39"/>
      <c r="AT34" s="40" t="str">
        <f aca="false">IF(OR(INDEX(Undirviðmið!$G$6:$G$105,(COLUMN()-7-1)/2+1)&lt;&gt;"Starfsbundið",AS34="",AS$8="",AS$7=""),"",ROUND(AS34/AS$8*AS$7*KVARDI,2))</f>
        <v/>
      </c>
      <c r="AU34" s="39"/>
      <c r="AV34" s="40" t="str">
        <f aca="false">IF(OR(INDEX(Undirviðmið!$G$6:$G$105,(COLUMN()-7-1)/2+1)&lt;&gt;"Starfsbundið",AU34="",AU$8="",AU$7=""),"",ROUND(AU34/AU$8*AU$7*KVARDI,2))</f>
        <v/>
      </c>
      <c r="AW34" s="39"/>
      <c r="AX34" s="40" t="str">
        <f aca="false">IF(OR(INDEX(Undirviðmið!$G$6:$G$105,(COLUMN()-7-1)/2+1)&lt;&gt;"Starfsbundið",AW34="",AW$8="",AW$7=""),"",ROUND(AW34/AW$8*AW$7*KVARDI,2))</f>
        <v/>
      </c>
      <c r="AY34" s="39"/>
      <c r="AZ34" s="40" t="str">
        <f aca="false">IF(OR(INDEX(Undirviðmið!$G$6:$G$105,(COLUMN()-7-1)/2+1)&lt;&gt;"Starfsbundið",AY34="",AY$8="",AY$7=""),"",ROUND(AY34/AY$8*AY$7*KVARDI,2))</f>
        <v/>
      </c>
      <c r="BA34" s="39"/>
      <c r="BB34" s="40" t="str">
        <f aca="false">IF(OR(INDEX(Undirviðmið!$G$6:$G$105,(COLUMN()-7-1)/2+1)&lt;&gt;"Starfsbundið",BA34="",BA$8="",BA$7=""),"",ROUND(BA34/BA$8*BA$7*KVARDI,2))</f>
        <v/>
      </c>
      <c r="BC34" s="39"/>
      <c r="BD34" s="40" t="str">
        <f aca="false">IF(OR(INDEX(Undirviðmið!$G$6:$G$105,(COLUMN()-7-1)/2+1)&lt;&gt;"Starfsbundið",BC34="",BC$8="",BC$7=""),"",ROUND(BC34/BC$8*BC$7*KVARDI,2))</f>
        <v/>
      </c>
      <c r="BE34" s="39"/>
      <c r="BF34" s="40" t="str">
        <f aca="false">IF(OR(INDEX(Undirviðmið!$G$6:$G$105,(COLUMN()-7-1)/2+1)&lt;&gt;"Starfsbundið",BE34="",BE$8="",BE$7=""),"",ROUND(BE34/BE$8*BE$7*KVARDI,2))</f>
        <v/>
      </c>
      <c r="BG34" s="39"/>
      <c r="BH34" s="40" t="str">
        <f aca="false">IF(OR(INDEX(Undirviðmið!$G$6:$G$105,(COLUMN()-7-1)/2+1)&lt;&gt;"Starfsbundið",BG34="",BG$8="",BG$7=""),"",ROUND(BG34/BG$8*BG$7*KVARDI,2))</f>
        <v/>
      </c>
      <c r="BI34" s="39"/>
      <c r="BJ34" s="40" t="str">
        <f aca="false">IF(OR(INDEX(Undirviðmið!$G$6:$G$105,(COLUMN()-7-1)/2+1)&lt;&gt;"Starfsbundið",BI34="",BI$8="",BI$7=""),"",ROUND(BI34/BI$8*BI$7*KVARDI,2))</f>
        <v/>
      </c>
      <c r="BK34" s="39"/>
      <c r="BL34" s="40" t="str">
        <f aca="false">IF(OR(INDEX(Undirviðmið!$G$6:$G$105,(COLUMN()-7-1)/2+1)&lt;&gt;"Starfsbundið",BK34="",BK$8="",BK$7=""),"",ROUND(BK34/BK$8*BK$7*KVARDI,2))</f>
        <v/>
      </c>
      <c r="BM34" s="39"/>
      <c r="BN34" s="40" t="str">
        <f aca="false">IF(OR(INDEX(Undirviðmið!$G$6:$G$105,(COLUMN()-7-1)/2+1)&lt;&gt;"Starfsbundið",BM34="",BM$8="",BM$7=""),"",ROUND(BM34/BM$8*BM$7*KVARDI,2))</f>
        <v/>
      </c>
      <c r="BO34" s="39"/>
      <c r="BP34" s="40" t="str">
        <f aca="false">IF(OR(INDEX(Undirviðmið!$G$6:$G$105,(COLUMN()-7-1)/2+1)&lt;&gt;"Starfsbundið",BO34="",BO$8="",BO$7=""),"",ROUND(BO34/BO$8*BO$7*KVARDI,2))</f>
        <v/>
      </c>
      <c r="BQ34" s="39"/>
      <c r="BR34" s="40" t="str">
        <f aca="false">IF(OR(INDEX(Undirviðmið!$G$6:$G$105,(COLUMN()-7-1)/2+1)&lt;&gt;"Starfsbundið",BQ34="",BQ$8="",BQ$7=""),"",ROUND(BQ34/BQ$8*BQ$7*KVARDI,2))</f>
        <v/>
      </c>
      <c r="BS34" s="39"/>
      <c r="BT34" s="40" t="str">
        <f aca="false">IF(OR(INDEX(Undirviðmið!$G$6:$G$105,(COLUMN()-7-1)/2+1)&lt;&gt;"Starfsbundið",BS34="",BS$8="",BS$7=""),"",ROUND(BS34/BS$8*BS$7*KVARDI,2))</f>
        <v/>
      </c>
      <c r="BU34" s="39"/>
      <c r="BV34" s="40" t="str">
        <f aca="false">IF(OR(INDEX(Undirviðmið!$G$6:$G$105,(COLUMN()-7-1)/2+1)&lt;&gt;"Starfsbundið",BU34="",BU$8="",BU$7=""),"",ROUND(BU34/BU$8*BU$7*KVARDI,2))</f>
        <v/>
      </c>
      <c r="BW34" s="39"/>
      <c r="BX34" s="40" t="str">
        <f aca="false">IF(OR(INDEX(Undirviðmið!$G$6:$G$105,(COLUMN()-7-1)/2+1)&lt;&gt;"Starfsbundið",BW34="",BW$8="",BW$7=""),"",ROUND(BW34/BW$8*BW$7*KVARDI,2))</f>
        <v/>
      </c>
      <c r="BY34" s="39"/>
      <c r="BZ34" s="40" t="str">
        <f aca="false">IF(OR(INDEX(Undirviðmið!$G$6:$G$105,(COLUMN()-7-1)/2+1)&lt;&gt;"Starfsbundið",BY34="",BY$8="",BY$7=""),"",ROUND(BY34/BY$8*BY$7*KVARDI,2))</f>
        <v/>
      </c>
      <c r="CA34" s="39"/>
      <c r="CB34" s="40" t="str">
        <f aca="false">IF(OR(INDEX(Undirviðmið!$G$6:$G$105,(COLUMN()-7-1)/2+1)&lt;&gt;"Starfsbundið",CA34="",CA$8="",CA$7=""),"",ROUND(CA34/CA$8*CA$7*KVARDI,2))</f>
        <v/>
      </c>
      <c r="CC34" s="39"/>
      <c r="CD34" s="40" t="str">
        <f aca="false">IF(OR(INDEX(Undirviðmið!$G$6:$G$105,(COLUMN()-7-1)/2+1)&lt;&gt;"Starfsbundið",CC34="",CC$8="",CC$7=""),"",ROUND(CC34/CC$8*CC$7*KVARDI,2))</f>
        <v/>
      </c>
      <c r="CE34" s="39"/>
      <c r="CF34" s="40" t="str">
        <f aca="false">IF(OR(INDEX(Undirviðmið!$G$6:$G$105,(COLUMN()-7-1)/2+1)&lt;&gt;"Starfsbundið",CE34="",CE$8="",CE$7=""),"",ROUND(CE34/CE$8*CE$7*KVARDI,2))</f>
        <v/>
      </c>
      <c r="CG34" s="39"/>
      <c r="CH34" s="40" t="str">
        <f aca="false">IF(OR(INDEX(Undirviðmið!$G$6:$G$105,(COLUMN()-7-1)/2+1)&lt;&gt;"Starfsbundið",CG34="",CG$8="",CG$7=""),"",ROUND(CG34/CG$8*CG$7*KVARDI,2))</f>
        <v/>
      </c>
      <c r="CI34" s="39"/>
      <c r="CJ34" s="40" t="str">
        <f aca="false">IF(OR(INDEX(Undirviðmið!$G$6:$G$105,(COLUMN()-7-1)/2+1)&lt;&gt;"Starfsbundið",CI34="",CI$8="",CI$7=""),"",ROUND(CI34/CI$8*CI$7*KVARDI,2))</f>
        <v/>
      </c>
      <c r="CK34" s="39"/>
      <c r="CL34" s="40" t="str">
        <f aca="false">IF(OR(INDEX(Undirviðmið!$G$6:$G$105,(COLUMN()-7-1)/2+1)&lt;&gt;"Starfsbundið",CK34="",CK$8="",CK$7=""),"",ROUND(CK34/CK$8*CK$7*KVARDI,2))</f>
        <v/>
      </c>
      <c r="CM34" s="39"/>
      <c r="CN34" s="40" t="str">
        <f aca="false">IF(OR(INDEX(Undirviðmið!$G$6:$G$105,(COLUMN()-7-1)/2+1)&lt;&gt;"Starfsbundið",CM34="",CM$8="",CM$7=""),"",ROUND(CM34/CM$8*CM$7*KVARDI,2))</f>
        <v/>
      </c>
      <c r="CO34" s="39"/>
      <c r="CP34" s="40" t="str">
        <f aca="false">IF(OR(INDEX(Undirviðmið!$G$6:$G$105,(COLUMN()-7-1)/2+1)&lt;&gt;"Starfsbundið",CO34="",CO$8="",CO$7=""),"",ROUND(CO34/CO$8*CO$7*KVARDI,2))</f>
        <v/>
      </c>
      <c r="CQ34" s="39"/>
      <c r="CR34" s="40" t="str">
        <f aca="false">IF(OR(INDEX(Undirviðmið!$G$6:$G$105,(COLUMN()-7-1)/2+1)&lt;&gt;"Starfsbundið",CQ34="",CQ$8="",CQ$7=""),"",ROUND(CQ34/CQ$8*CQ$7*KVARDI,2))</f>
        <v/>
      </c>
      <c r="CS34" s="39"/>
      <c r="CT34" s="40" t="str">
        <f aca="false">IF(OR(INDEX(Undirviðmið!$G$6:$G$105,(COLUMN()-7-1)/2+1)&lt;&gt;"Starfsbundið",CS34="",CS$8="",CS$7=""),"",ROUND(CS34/CS$8*CS$7*KVARDI,2))</f>
        <v/>
      </c>
      <c r="CU34" s="39"/>
      <c r="CV34" s="40" t="str">
        <f aca="false">IF(OR(INDEX(Undirviðmið!$G$6:$G$105,(COLUMN()-7-1)/2+1)&lt;&gt;"Starfsbundið",CU34="",CU$8="",CU$7=""),"",ROUND(CU34/CU$8*CU$7*KVARDI,2))</f>
        <v/>
      </c>
      <c r="CW34" s="39"/>
      <c r="CX34" s="40" t="str">
        <f aca="false">IF(OR(INDEX(Undirviðmið!$G$6:$G$105,(COLUMN()-7-1)/2+1)&lt;&gt;"Starfsbundið",CW34="",CW$8="",CW$7=""),"",ROUND(CW34/CW$8*CW$7*KVARDI,2))</f>
        <v/>
      </c>
      <c r="CY34" s="39"/>
      <c r="CZ34" s="40" t="str">
        <f aca="false">IF(OR(INDEX(Undirviðmið!$G$6:$G$105,(COLUMN()-7-1)/2+1)&lt;&gt;"Starfsbundið",CY34="",CY$8="",CY$7=""),"",ROUND(CY34/CY$8*CY$7*KVARDI,2))</f>
        <v/>
      </c>
      <c r="DA34" s="39"/>
      <c r="DB34" s="40" t="str">
        <f aca="false">IF(OR(INDEX(Undirviðmið!$G$6:$G$105,(COLUMN()-7-1)/2+1)&lt;&gt;"Starfsbundið",DA34="",DA$8="",DA$7=""),"",ROUND(DA34/DA$8*DA$7*KVARDI,2))</f>
        <v/>
      </c>
      <c r="DC34" s="39"/>
      <c r="DD34" s="40" t="str">
        <f aca="false">IF(OR(INDEX(Undirviðmið!$G$6:$G$105,(COLUMN()-7-1)/2+1)&lt;&gt;"Starfsbundið",DC34="",DC$8="",DC$7=""),"",ROUND(DC34/DC$8*DC$7*KVARDI,2))</f>
        <v/>
      </c>
      <c r="DE34" s="39"/>
      <c r="DF34" s="40" t="str">
        <f aca="false">IF(OR(INDEX(Undirviðmið!$G$6:$G$105,(COLUMN()-7-1)/2+1)&lt;&gt;"Starfsbundið",DE34="",DE$8="",DE$7=""),"",ROUND(DE34/DE$8*DE$7*KVARDI,2))</f>
        <v/>
      </c>
      <c r="DG34" s="39"/>
      <c r="DH34" s="40" t="str">
        <f aca="false">IF(OR(INDEX(Undirviðmið!$G$6:$G$105,(COLUMN()-7-1)/2+1)&lt;&gt;"Starfsbundið",DG34="",DG$8="",DG$7=""),"",ROUND(DG34/DG$8*DG$7*KVARDI,2))</f>
        <v/>
      </c>
      <c r="DI34" s="39"/>
      <c r="DJ34" s="40" t="str">
        <f aca="false">IF(OR(INDEX(Undirviðmið!$G$6:$G$105,(COLUMN()-7-1)/2+1)&lt;&gt;"Starfsbundið",DI34="",DI$8="",DI$7=""),"",ROUND(DI34/DI$8*DI$7*KVARDI,2))</f>
        <v/>
      </c>
      <c r="DK34" s="39"/>
      <c r="DL34" s="40" t="str">
        <f aca="false">IF(OR(INDEX(Undirviðmið!$G$6:$G$105,(COLUMN()-7-1)/2+1)&lt;&gt;"Starfsbundið",DK34="",DK$8="",DK$7=""),"",ROUND(DK34/DK$8*DK$7*KVARDI,2))</f>
        <v/>
      </c>
      <c r="DM34" s="39"/>
      <c r="DN34" s="40" t="str">
        <f aca="false">IF(OR(INDEX(Undirviðmið!$G$6:$G$105,(COLUMN()-7-1)/2+1)&lt;&gt;"Starfsbundið",DM34="",DM$8="",DM$7=""),"",ROUND(DM34/DM$8*DM$7*KVARDI,2))</f>
        <v/>
      </c>
      <c r="DO34" s="39"/>
      <c r="DP34" s="40" t="str">
        <f aca="false">IF(OR(INDEX(Undirviðmið!$G$6:$G$105,(COLUMN()-7-1)/2+1)&lt;&gt;"Starfsbundið",DO34="",DO$8="",DO$7=""),"",ROUND(DO34/DO$8*DO$7*KVARDI,2))</f>
        <v/>
      </c>
      <c r="DQ34" s="39"/>
      <c r="DR34" s="40" t="str">
        <f aca="false">IF(OR(INDEX(Undirviðmið!$G$6:$G$105,(COLUMN()-7-1)/2+1)&lt;&gt;"Starfsbundið",DQ34="",DQ$8="",DQ$7=""),"",ROUND(DQ34/DQ$8*DQ$7*KVARDI,2))</f>
        <v/>
      </c>
      <c r="DS34" s="39"/>
      <c r="DT34" s="40" t="str">
        <f aca="false">IF(OR(INDEX(Undirviðmið!$G$6:$G$105,(COLUMN()-7-1)/2+1)&lt;&gt;"Starfsbundið",DS34="",DS$8="",DS$7=""),"",ROUND(DS34/DS$8*DS$7*KVARDI,2))</f>
        <v/>
      </c>
      <c r="DU34" s="39"/>
      <c r="DV34" s="40" t="str">
        <f aca="false">IF(OR(INDEX(Undirviðmið!$G$6:$G$105,(COLUMN()-7-1)/2+1)&lt;&gt;"Starfsbundið",DU34="",DU$8="",DU$7=""),"",ROUND(DU34/DU$8*DU$7*KVARDI,2))</f>
        <v/>
      </c>
      <c r="DW34" s="39"/>
      <c r="DX34" s="40" t="str">
        <f aca="false">IF(OR(INDEX(Undirviðmið!$G$6:$G$105,(COLUMN()-7-1)/2+1)&lt;&gt;"Starfsbundið",DW34="",DW$8="",DW$7=""),"",ROUND(DW34/DW$8*DW$7*KVARDI,2))</f>
        <v/>
      </c>
      <c r="DY34" s="39"/>
      <c r="DZ34" s="40" t="str">
        <f aca="false">IF(OR(INDEX(Undirviðmið!$G$6:$G$105,(COLUMN()-7-1)/2+1)&lt;&gt;"Starfsbundið",DY34="",DY$8="",DY$7=""),"",ROUND(DY34/DY$8*DY$7*KVARDI,2))</f>
        <v/>
      </c>
      <c r="EA34" s="39"/>
      <c r="EB34" s="40" t="str">
        <f aca="false">IF(OR(INDEX(Undirviðmið!$G$6:$G$105,(COLUMN()-7-1)/2+1)&lt;&gt;"Starfsbundið",EA34="",EA$8="",EA$7=""),"",ROUND(EA34/EA$8*EA$7*KVARDI,2))</f>
        <v/>
      </c>
      <c r="EC34" s="39"/>
      <c r="ED34" s="40" t="str">
        <f aca="false">IF(OR(INDEX(Undirviðmið!$G$6:$G$105,(COLUMN()-7-1)/2+1)&lt;&gt;"Starfsbundið",EC34="",EC$8="",EC$7=""),"",ROUND(EC34/EC$8*EC$7*KVARDI,2))</f>
        <v/>
      </c>
      <c r="EE34" s="39"/>
      <c r="EF34" s="40" t="str">
        <f aca="false">IF(OR(INDEX(Undirviðmið!$G$6:$G$105,(COLUMN()-7-1)/2+1)&lt;&gt;"Starfsbundið",EE34="",EE$8="",EE$7=""),"",ROUND(EE34/EE$8*EE$7*KVARDI,2))</f>
        <v/>
      </c>
      <c r="EG34" s="39"/>
      <c r="EH34" s="40" t="str">
        <f aca="false">IF(OR(INDEX(Undirviðmið!$G$6:$G$105,(COLUMN()-7-1)/2+1)&lt;&gt;"Starfsbundið",EG34="",EG$8="",EG$7=""),"",ROUND(EG34/EG$8*EG$7*KVARDI,2))</f>
        <v/>
      </c>
      <c r="EI34" s="39"/>
      <c r="EJ34" s="40" t="str">
        <f aca="false">IF(OR(INDEX(Undirviðmið!$G$6:$G$105,(COLUMN()-7-1)/2+1)&lt;&gt;"Starfsbundið",EI34="",EI$8="",EI$7=""),"",ROUND(EI34/EI$8*EI$7*KVARDI,2))</f>
        <v/>
      </c>
      <c r="EK34" s="39"/>
      <c r="EL34" s="40" t="str">
        <f aca="false">IF(OR(INDEX(Undirviðmið!$G$6:$G$105,(COLUMN()-7-1)/2+1)&lt;&gt;"Starfsbundið",EK34="",EK$8="",EK$7=""),"",ROUND(EK34/EK$8*EK$7*KVARDI,2))</f>
        <v/>
      </c>
      <c r="EM34" s="39"/>
      <c r="EN34" s="40" t="str">
        <f aca="false">IF(OR(INDEX(Undirviðmið!$G$6:$G$105,(COLUMN()-7-1)/2+1)&lt;&gt;"Starfsbundið",EM34="",EM$8="",EM$7=""),"",ROUND(EM34/EM$8*EM$7*KVARDI,2))</f>
        <v/>
      </c>
      <c r="EO34" s="39"/>
      <c r="EP34" s="40" t="str">
        <f aca="false">IF(OR(INDEX(Undirviðmið!$G$6:$G$105,(COLUMN()-7-1)/2+1)&lt;&gt;"Starfsbundið",EO34="",EO$8="",EO$7=""),"",ROUND(EO34/EO$8*EO$7*KVARDI,2))</f>
        <v/>
      </c>
      <c r="EQ34" s="39"/>
      <c r="ER34" s="40" t="str">
        <f aca="false">IF(OR(INDEX(Undirviðmið!$G$6:$G$105,(COLUMN()-7-1)/2+1)&lt;&gt;"Starfsbundið",EQ34="",EQ$8="",EQ$7=""),"",ROUND(EQ34/EQ$8*EQ$7*KVARDI,2))</f>
        <v/>
      </c>
      <c r="ES34" s="39"/>
      <c r="ET34" s="40" t="str">
        <f aca="false">IF(OR(INDEX(Undirviðmið!$G$6:$G$105,(COLUMN()-7-1)/2+1)&lt;&gt;"Starfsbundið",ES34="",ES$8="",ES$7=""),"",ROUND(ES34/ES$8*ES$7*KVARDI,2))</f>
        <v/>
      </c>
      <c r="EU34" s="39"/>
      <c r="EV34" s="40" t="str">
        <f aca="false">IF(OR(INDEX(Undirviðmið!$G$6:$G$105,(COLUMN()-7-1)/2+1)&lt;&gt;"Starfsbundið",EU34="",EU$8="",EU$7=""),"",ROUND(EU34/EU$8*EU$7*KVARDI,2))</f>
        <v/>
      </c>
      <c r="EW34" s="39"/>
      <c r="EX34" s="40" t="str">
        <f aca="false">IF(OR(INDEX(Undirviðmið!$G$6:$G$105,(COLUMN()-7-1)/2+1)&lt;&gt;"Starfsbundið",EW34="",EW$8="",EW$7=""),"",ROUND(EW34/EW$8*EW$7*KVARDI,2))</f>
        <v/>
      </c>
      <c r="EY34" s="39"/>
      <c r="EZ34" s="40" t="str">
        <f aca="false">IF(OR(INDEX(Undirviðmið!$G$6:$G$105,(COLUMN()-7-1)/2+1)&lt;&gt;"Starfsbundið",EY34="",EY$8="",EY$7=""),"",ROUND(EY34/EY$8*EY$7*KVARDI,2))</f>
        <v/>
      </c>
      <c r="FA34" s="39"/>
      <c r="FB34" s="40" t="str">
        <f aca="false">IF(OR(INDEX(Undirviðmið!$G$6:$G$105,(COLUMN()-7-1)/2+1)&lt;&gt;"Starfsbundið",FA34="",FA$8="",FA$7=""),"",ROUND(FA34/FA$8*FA$7*KVARDI,2))</f>
        <v/>
      </c>
      <c r="FC34" s="39"/>
      <c r="FD34" s="40" t="str">
        <f aca="false">IF(OR(INDEX(Undirviðmið!$G$6:$G$105,(COLUMN()-7-1)/2+1)&lt;&gt;"Starfsbundið",FC34="",FC$8="",FC$7=""),"",ROUND(FC34/FC$8*FC$7*KVARDI,2))</f>
        <v/>
      </c>
      <c r="FE34" s="39"/>
      <c r="FF34" s="40" t="str">
        <f aca="false">IF(OR(INDEX(Undirviðmið!$G$6:$G$105,(COLUMN()-7-1)/2+1)&lt;&gt;"Starfsbundið",FE34="",FE$8="",FE$7=""),"",ROUND(FE34/FE$8*FE$7*KVARDI,2))</f>
        <v/>
      </c>
      <c r="FG34" s="39"/>
      <c r="FH34" s="40" t="str">
        <f aca="false">IF(OR(INDEX(Undirviðmið!$G$6:$G$105,(COLUMN()-7-1)/2+1)&lt;&gt;"Starfsbundið",FG34="",FG$8="",FG$7=""),"",ROUND(FG34/FG$8*FG$7*KVARDI,2))</f>
        <v/>
      </c>
      <c r="FI34" s="39"/>
      <c r="FJ34" s="40" t="str">
        <f aca="false">IF(OR(INDEX(Undirviðmið!$G$6:$G$105,(COLUMN()-7-1)/2+1)&lt;&gt;"Starfsbundið",FI34="",FI$8="",FI$7=""),"",ROUND(FI34/FI$8*FI$7*KVARDI,2))</f>
        <v/>
      </c>
      <c r="FK34" s="39"/>
      <c r="FL34" s="40" t="str">
        <f aca="false">IF(OR(INDEX(Undirviðmið!$G$6:$G$105,(COLUMN()-7-1)/2+1)&lt;&gt;"Starfsbundið",FK34="",FK$8="",FK$7=""),"",ROUND(FK34/FK$8*FK$7*KVARDI,2))</f>
        <v/>
      </c>
      <c r="FM34" s="39"/>
      <c r="FN34" s="40" t="str">
        <f aca="false">IF(OR(INDEX(Undirviðmið!$G$6:$G$105,(COLUMN()-7-1)/2+1)&lt;&gt;"Starfsbundið",FM34="",FM$8="",FM$7=""),"",ROUND(FM34/FM$8*FM$7*KVARDI,2))</f>
        <v/>
      </c>
      <c r="FO34" s="39"/>
      <c r="FP34" s="40" t="str">
        <f aca="false">IF(OR(INDEX(Undirviðmið!$G$6:$G$105,(COLUMN()-7-1)/2+1)&lt;&gt;"Starfsbundið",FO34="",FO$8="",FO$7=""),"",ROUND(FO34/FO$8*FO$7*KVARDI,2))</f>
        <v/>
      </c>
      <c r="FQ34" s="39"/>
      <c r="FR34" s="40" t="str">
        <f aca="false">IF(OR(INDEX(Undirviðmið!$G$6:$G$105,(COLUMN()-7-1)/2+1)&lt;&gt;"Starfsbundið",FQ34="",FQ$8="",FQ$7=""),"",ROUND(FQ34/FQ$8*FQ$7*KVARDI,2))</f>
        <v/>
      </c>
      <c r="FS34" s="39"/>
      <c r="FT34" s="40" t="str">
        <f aca="false">IF(OR(INDEX(Undirviðmið!$G$6:$G$105,(COLUMN()-7-1)/2+1)&lt;&gt;"Starfsbundið",FS34="",FS$8="",FS$7=""),"",ROUND(FS34/FS$8*FS$7*KVARDI,2))</f>
        <v/>
      </c>
      <c r="FU34" s="39"/>
      <c r="FV34" s="40" t="str">
        <f aca="false">IF(OR(INDEX(Undirviðmið!$G$6:$G$105,(COLUMN()-7-1)/2+1)&lt;&gt;"Starfsbundið",FU34="",FU$8="",FU$7=""),"",ROUND(FU34/FU$8*FU$7*KVARDI,2))</f>
        <v/>
      </c>
      <c r="FW34" s="39"/>
      <c r="FX34" s="40" t="str">
        <f aca="false">IF(OR(INDEX(Undirviðmið!$G$6:$G$105,(COLUMN()-7-1)/2+1)&lt;&gt;"Starfsbundið",FW34="",FW$8="",FW$7=""),"",ROUND(FW34/FW$8*FW$7*KVARDI,2))</f>
        <v/>
      </c>
      <c r="FY34" s="39"/>
      <c r="FZ34" s="40" t="str">
        <f aca="false">IF(OR(INDEX(Undirviðmið!$G$6:$G$105,(COLUMN()-7-1)/2+1)&lt;&gt;"Starfsbundið",FY34="",FY$8="",FY$7=""),"",ROUND(FY34/FY$8*FY$7*KVARDI,2))</f>
        <v/>
      </c>
      <c r="GA34" s="39"/>
      <c r="GB34" s="40" t="str">
        <f aca="false">IF(OR(INDEX(Undirviðmið!$G$6:$G$105,(COLUMN()-7-1)/2+1)&lt;&gt;"Starfsbundið",GA34="",GA$8="",GA$7=""),"",ROUND(GA34/GA$8*GA$7*KVARDI,2))</f>
        <v/>
      </c>
      <c r="GC34" s="39"/>
      <c r="GD34" s="40" t="str">
        <f aca="false">IF(OR(INDEX(Undirviðmið!$G$6:$G$105,(COLUMN()-7-1)/2+1)&lt;&gt;"Starfsbundið",GC34="",GC$8="",GC$7=""),"",ROUND(GC34/GC$8*GC$7*KVARDI,2))</f>
        <v/>
      </c>
      <c r="GE34" s="39"/>
      <c r="GF34" s="40" t="str">
        <f aca="false">IF(OR(INDEX(Undirviðmið!$G$6:$G$105,(COLUMN()-7-1)/2+1)&lt;&gt;"Starfsbundið",GE34="",GE$8="",GE$7=""),"",ROUND(GE34/GE$8*GE$7*KVARDI,2))</f>
        <v/>
      </c>
      <c r="GG34" s="39"/>
      <c r="GH34" s="40" t="str">
        <f aca="false">IF(OR(INDEX(Undirviðmið!$G$6:$G$105,(COLUMN()-7-1)/2+1)&lt;&gt;"Starfsbundið",GG34="",GG$8="",GG$7=""),"",ROUND(GG34/GG$8*GG$7*KVARDI,2))</f>
        <v/>
      </c>
      <c r="GI34" s="39"/>
      <c r="GJ34" s="40" t="str">
        <f aca="false">IF(OR(INDEX(Undirviðmið!$G$6:$G$105,(COLUMN()-7-1)/2+1)&lt;&gt;"Starfsbundið",GI34="",GI$8="",GI$7=""),"",ROUND(GI34/GI$8*GI$7*KVARDI,2))</f>
        <v/>
      </c>
      <c r="GK34" s="39"/>
      <c r="GL34" s="40" t="str">
        <f aca="false">IF(OR(INDEX(Undirviðmið!$G$6:$G$105,(COLUMN()-7-1)/2+1)&lt;&gt;"Starfsbundið",GK34="",GK$8="",GK$7=""),"",ROUND(GK34/GK$8*GK$7*KVARDI,2))</f>
        <v/>
      </c>
      <c r="GM34" s="39"/>
      <c r="GN34" s="40" t="str">
        <f aca="false">IF(OR(INDEX(Undirviðmið!$G$6:$G$105,(COLUMN()-7-1)/2+1)&lt;&gt;"Starfsbundið",GM34="",GM$8="",GM$7=""),"",ROUND(GM34/GM$8*GM$7*KVARDI,2))</f>
        <v/>
      </c>
      <c r="GO34" s="39"/>
      <c r="GP34" s="40" t="str">
        <f aca="false">IF(OR(INDEX(Undirviðmið!$G$6:$G$105,(COLUMN()-7-1)/2+1)&lt;&gt;"Starfsbundið",GO34="",GO$8="",GO$7=""),"",ROUND(GO34/GO$8*GO$7*KVARDI,2))</f>
        <v/>
      </c>
      <c r="GQ34" s="39"/>
      <c r="GR34" s="40" t="str">
        <f aca="false">IF(OR(INDEX(Undirviðmið!$G$6:$G$105,(COLUMN()-7-1)/2+1)&lt;&gt;"Starfsbundið",GQ34="",GQ$8="",GQ$7=""),"",ROUND(GQ34/GQ$8*GQ$7*KVARDI,2))</f>
        <v/>
      </c>
      <c r="GS34" s="39"/>
      <c r="GT34" s="40" t="str">
        <f aca="false">IF(OR(INDEX(Undirviðmið!$G$6:$G$105,(COLUMN()-7-1)/2+1)&lt;&gt;"Starfsbundið",GS34="",GS$8="",GS$7=""),"",ROUND(GS34/GS$8*GS$7*KVARDI,2))</f>
        <v/>
      </c>
      <c r="GU34" s="39"/>
      <c r="GV34" s="40" t="str">
        <f aca="false">IF(OR(INDEX(Undirviðmið!$G$6:$G$105,(COLUMN()-7-1)/2+1)&lt;&gt;"Starfsbundið",GU34="",GU$8="",GU$7=""),"",ROUND(GU34/GU$8*GU$7*KVARDI,2))</f>
        <v/>
      </c>
      <c r="GW34" s="39"/>
      <c r="GX34" s="40" t="str">
        <f aca="false">IF(OR(INDEX(Undirviðmið!$G$6:$G$105,(COLUMN()-7-1)/2+1)&lt;&gt;"Starfsbundið",GW34="",GW$8="",GW$7=""),"",ROUND(GW34/GW$8*GW$7*KVARDI,2))</f>
        <v/>
      </c>
      <c r="GZ34" s="20"/>
    </row>
    <row r="35" customFormat="false" ht="15" hidden="true" customHeight="true" outlineLevel="1" collapsed="false">
      <c r="B35" s="37" t="str">
        <f aca="false" t="array" ref="B35:B35">IFERROR(INDEX(Starfsmenn!$C$6:$C$10005,MATCH(0,COUNTIF($B$11:B34,Starfsmenn!$C$6:$C$10005)+(Starfsmenn!$C$6:$C$10005=""),0)),"")</f>
        <v/>
      </c>
      <c r="C35" s="38" t="n">
        <f aca="false">IFERROR(SUMIF($G$10:$GX$10,"Stig",$G35:$GX35),0)</f>
        <v>0</v>
      </c>
      <c r="G35" s="39"/>
      <c r="H35" s="40" t="str">
        <f aca="false">IF(OR(INDEX(Undirviðmið!$G$6:$G$105,(COLUMN()-7-1)/2+1)&lt;&gt;"Starfsbundið",G35="",G$8="",G$7=""),"",ROUND(G35/G$8*G$7*KVARDI,2))</f>
        <v/>
      </c>
      <c r="I35" s="39"/>
      <c r="J35" s="40" t="str">
        <f aca="false">IF(OR(INDEX(Undirviðmið!$G$6:$G$105,(COLUMN()-7-1)/2+1)&lt;&gt;"Starfsbundið",I35="",I$8="",I$7=""),"",ROUND(I35/I$8*I$7*KVARDI,2))</f>
        <v/>
      </c>
      <c r="K35" s="39"/>
      <c r="L35" s="40" t="str">
        <f aca="false">IF(OR(INDEX(Undirviðmið!$G$6:$G$105,(COLUMN()-7-1)/2+1)&lt;&gt;"Starfsbundið",K35="",K$8="",K$7=""),"",ROUND(K35/K$8*K$7*KVARDI,2))</f>
        <v/>
      </c>
      <c r="M35" s="39"/>
      <c r="N35" s="40" t="str">
        <f aca="false">IF(OR(INDEX(Undirviðmið!$G$6:$G$105,(COLUMN()-7-1)/2+1)&lt;&gt;"Starfsbundið",M35="",M$8="",M$7=""),"",ROUND(M35/M$8*M$7*KVARDI,2))</f>
        <v/>
      </c>
      <c r="O35" s="39"/>
      <c r="P35" s="40" t="str">
        <f aca="false">IF(OR(INDEX(Undirviðmið!$G$6:$G$105,(COLUMN()-7-1)/2+1)&lt;&gt;"Starfsbundið",O35="",O$8="",O$7=""),"",ROUND(O35/O$8*O$7*KVARDI,2))</f>
        <v/>
      </c>
      <c r="Q35" s="39"/>
      <c r="R35" s="40" t="str">
        <f aca="false">IF(OR(INDEX(Undirviðmið!$G$6:$G$105,(COLUMN()-7-1)/2+1)&lt;&gt;"Starfsbundið",Q35="",Q$8="",Q$7=""),"",ROUND(Q35/Q$8*Q$7*KVARDI,2))</f>
        <v/>
      </c>
      <c r="S35" s="39"/>
      <c r="T35" s="40" t="str">
        <f aca="false">IF(OR(INDEX(Undirviðmið!$G$6:$G$105,(COLUMN()-7-1)/2+1)&lt;&gt;"Starfsbundið",S35="",S$8="",S$7=""),"",ROUND(S35/S$8*S$7*KVARDI,2))</f>
        <v/>
      </c>
      <c r="U35" s="39"/>
      <c r="V35" s="40" t="str">
        <f aca="false">IF(OR(INDEX(Undirviðmið!$G$6:$G$105,(COLUMN()-7-1)/2+1)&lt;&gt;"Starfsbundið",U35="",U$8="",U$7=""),"",ROUND(U35/U$8*U$7*KVARDI,2))</f>
        <v/>
      </c>
      <c r="W35" s="39"/>
      <c r="X35" s="40" t="str">
        <f aca="false">IF(OR(INDEX(Undirviðmið!$G$6:$G$105,(COLUMN()-7-1)/2+1)&lt;&gt;"Starfsbundið",W35="",W$8="",W$7=""),"",ROUND(W35/W$8*W$7*KVARDI,2))</f>
        <v/>
      </c>
      <c r="Y35" s="39"/>
      <c r="Z35" s="40" t="str">
        <f aca="false">IF(OR(INDEX(Undirviðmið!$G$6:$G$105,(COLUMN()-7-1)/2+1)&lt;&gt;"Starfsbundið",Y35="",Y$8="",Y$7=""),"",ROUND(Y35/Y$8*Y$7*KVARDI,2))</f>
        <v/>
      </c>
      <c r="AA35" s="39"/>
      <c r="AB35" s="40" t="str">
        <f aca="false">IF(OR(INDEX(Undirviðmið!$G$6:$G$105,(COLUMN()-7-1)/2+1)&lt;&gt;"Starfsbundið",AA35="",AA$8="",AA$7=""),"",ROUND(AA35/AA$8*AA$7*KVARDI,2))</f>
        <v/>
      </c>
      <c r="AC35" s="39"/>
      <c r="AD35" s="40" t="str">
        <f aca="false">IF(OR(INDEX(Undirviðmið!$G$6:$G$105,(COLUMN()-7-1)/2+1)&lt;&gt;"Starfsbundið",AC35="",AC$8="",AC$7=""),"",ROUND(AC35/AC$8*AC$7*KVARDI,2))</f>
        <v/>
      </c>
      <c r="AE35" s="39"/>
      <c r="AF35" s="40" t="str">
        <f aca="false">IF(OR(INDEX(Undirviðmið!$G$6:$G$105,(COLUMN()-7-1)/2+1)&lt;&gt;"Starfsbundið",AE35="",AE$8="",AE$7=""),"",ROUND(AE35/AE$8*AE$7*KVARDI,2))</f>
        <v/>
      </c>
      <c r="AG35" s="39"/>
      <c r="AH35" s="40" t="str">
        <f aca="false">IF(OR(INDEX(Undirviðmið!$G$6:$G$105,(COLUMN()-7-1)/2+1)&lt;&gt;"Starfsbundið",AG35="",AG$8="",AG$7=""),"",ROUND(AG35/AG$8*AG$7*KVARDI,2))</f>
        <v/>
      </c>
      <c r="AI35" s="39"/>
      <c r="AJ35" s="40" t="str">
        <f aca="false">IF(OR(INDEX(Undirviðmið!$G$6:$G$105,(COLUMN()-7-1)/2+1)&lt;&gt;"Starfsbundið",AI35="",AI$8="",AI$7=""),"",ROUND(AI35/AI$8*AI$7*KVARDI,2))</f>
        <v/>
      </c>
      <c r="AK35" s="39"/>
      <c r="AL35" s="40" t="str">
        <f aca="false">IF(OR(INDEX(Undirviðmið!$G$6:$G$105,(COLUMN()-7-1)/2+1)&lt;&gt;"Starfsbundið",AK35="",AK$8="",AK$7=""),"",ROUND(AK35/AK$8*AK$7*KVARDI,2))</f>
        <v/>
      </c>
      <c r="AM35" s="39"/>
      <c r="AN35" s="40" t="str">
        <f aca="false">IF(OR(INDEX(Undirviðmið!$G$6:$G$105,(COLUMN()-7-1)/2+1)&lt;&gt;"Starfsbundið",AM35="",AM$8="",AM$7=""),"",ROUND(AM35/AM$8*AM$7*KVARDI,2))</f>
        <v/>
      </c>
      <c r="AO35" s="39"/>
      <c r="AP35" s="40" t="str">
        <f aca="false">IF(OR(INDEX(Undirviðmið!$G$6:$G$105,(COLUMN()-7-1)/2+1)&lt;&gt;"Starfsbundið",AO35="",AO$8="",AO$7=""),"",ROUND(AO35/AO$8*AO$7*KVARDI,2))</f>
        <v/>
      </c>
      <c r="AQ35" s="39"/>
      <c r="AR35" s="40" t="str">
        <f aca="false">IF(OR(INDEX(Undirviðmið!$G$6:$G$105,(COLUMN()-7-1)/2+1)&lt;&gt;"Starfsbundið",AQ35="",AQ$8="",AQ$7=""),"",ROUND(AQ35/AQ$8*AQ$7*KVARDI,2))</f>
        <v/>
      </c>
      <c r="AS35" s="39"/>
      <c r="AT35" s="40" t="str">
        <f aca="false">IF(OR(INDEX(Undirviðmið!$G$6:$G$105,(COLUMN()-7-1)/2+1)&lt;&gt;"Starfsbundið",AS35="",AS$8="",AS$7=""),"",ROUND(AS35/AS$8*AS$7*KVARDI,2))</f>
        <v/>
      </c>
      <c r="AU35" s="39"/>
      <c r="AV35" s="40" t="str">
        <f aca="false">IF(OR(INDEX(Undirviðmið!$G$6:$G$105,(COLUMN()-7-1)/2+1)&lt;&gt;"Starfsbundið",AU35="",AU$8="",AU$7=""),"",ROUND(AU35/AU$8*AU$7*KVARDI,2))</f>
        <v/>
      </c>
      <c r="AW35" s="39"/>
      <c r="AX35" s="40" t="str">
        <f aca="false">IF(OR(INDEX(Undirviðmið!$G$6:$G$105,(COLUMN()-7-1)/2+1)&lt;&gt;"Starfsbundið",AW35="",AW$8="",AW$7=""),"",ROUND(AW35/AW$8*AW$7*KVARDI,2))</f>
        <v/>
      </c>
      <c r="AY35" s="39"/>
      <c r="AZ35" s="40" t="str">
        <f aca="false">IF(OR(INDEX(Undirviðmið!$G$6:$G$105,(COLUMN()-7-1)/2+1)&lt;&gt;"Starfsbundið",AY35="",AY$8="",AY$7=""),"",ROUND(AY35/AY$8*AY$7*KVARDI,2))</f>
        <v/>
      </c>
      <c r="BA35" s="39"/>
      <c r="BB35" s="40" t="str">
        <f aca="false">IF(OR(INDEX(Undirviðmið!$G$6:$G$105,(COLUMN()-7-1)/2+1)&lt;&gt;"Starfsbundið",BA35="",BA$8="",BA$7=""),"",ROUND(BA35/BA$8*BA$7*KVARDI,2))</f>
        <v/>
      </c>
      <c r="BC35" s="39"/>
      <c r="BD35" s="40" t="str">
        <f aca="false">IF(OR(INDEX(Undirviðmið!$G$6:$G$105,(COLUMN()-7-1)/2+1)&lt;&gt;"Starfsbundið",BC35="",BC$8="",BC$7=""),"",ROUND(BC35/BC$8*BC$7*KVARDI,2))</f>
        <v/>
      </c>
      <c r="BE35" s="39"/>
      <c r="BF35" s="40" t="str">
        <f aca="false">IF(OR(INDEX(Undirviðmið!$G$6:$G$105,(COLUMN()-7-1)/2+1)&lt;&gt;"Starfsbundið",BE35="",BE$8="",BE$7=""),"",ROUND(BE35/BE$8*BE$7*KVARDI,2))</f>
        <v/>
      </c>
      <c r="BG35" s="39"/>
      <c r="BH35" s="40" t="str">
        <f aca="false">IF(OR(INDEX(Undirviðmið!$G$6:$G$105,(COLUMN()-7-1)/2+1)&lt;&gt;"Starfsbundið",BG35="",BG$8="",BG$7=""),"",ROUND(BG35/BG$8*BG$7*KVARDI,2))</f>
        <v/>
      </c>
      <c r="BI35" s="39"/>
      <c r="BJ35" s="40" t="str">
        <f aca="false">IF(OR(INDEX(Undirviðmið!$G$6:$G$105,(COLUMN()-7-1)/2+1)&lt;&gt;"Starfsbundið",BI35="",BI$8="",BI$7=""),"",ROUND(BI35/BI$8*BI$7*KVARDI,2))</f>
        <v/>
      </c>
      <c r="BK35" s="39"/>
      <c r="BL35" s="40" t="str">
        <f aca="false">IF(OR(INDEX(Undirviðmið!$G$6:$G$105,(COLUMN()-7-1)/2+1)&lt;&gt;"Starfsbundið",BK35="",BK$8="",BK$7=""),"",ROUND(BK35/BK$8*BK$7*KVARDI,2))</f>
        <v/>
      </c>
      <c r="BM35" s="39"/>
      <c r="BN35" s="40" t="str">
        <f aca="false">IF(OR(INDEX(Undirviðmið!$G$6:$G$105,(COLUMN()-7-1)/2+1)&lt;&gt;"Starfsbundið",BM35="",BM$8="",BM$7=""),"",ROUND(BM35/BM$8*BM$7*KVARDI,2))</f>
        <v/>
      </c>
      <c r="BO35" s="39"/>
      <c r="BP35" s="40" t="str">
        <f aca="false">IF(OR(INDEX(Undirviðmið!$G$6:$G$105,(COLUMN()-7-1)/2+1)&lt;&gt;"Starfsbundið",BO35="",BO$8="",BO$7=""),"",ROUND(BO35/BO$8*BO$7*KVARDI,2))</f>
        <v/>
      </c>
      <c r="BQ35" s="39"/>
      <c r="BR35" s="40" t="str">
        <f aca="false">IF(OR(INDEX(Undirviðmið!$G$6:$G$105,(COLUMN()-7-1)/2+1)&lt;&gt;"Starfsbundið",BQ35="",BQ$8="",BQ$7=""),"",ROUND(BQ35/BQ$8*BQ$7*KVARDI,2))</f>
        <v/>
      </c>
      <c r="BS35" s="39"/>
      <c r="BT35" s="40" t="str">
        <f aca="false">IF(OR(INDEX(Undirviðmið!$G$6:$G$105,(COLUMN()-7-1)/2+1)&lt;&gt;"Starfsbundið",BS35="",BS$8="",BS$7=""),"",ROUND(BS35/BS$8*BS$7*KVARDI,2))</f>
        <v/>
      </c>
      <c r="BU35" s="39"/>
      <c r="BV35" s="40" t="str">
        <f aca="false">IF(OR(INDEX(Undirviðmið!$G$6:$G$105,(COLUMN()-7-1)/2+1)&lt;&gt;"Starfsbundið",BU35="",BU$8="",BU$7=""),"",ROUND(BU35/BU$8*BU$7*KVARDI,2))</f>
        <v/>
      </c>
      <c r="BW35" s="39"/>
      <c r="BX35" s="40" t="str">
        <f aca="false">IF(OR(INDEX(Undirviðmið!$G$6:$G$105,(COLUMN()-7-1)/2+1)&lt;&gt;"Starfsbundið",BW35="",BW$8="",BW$7=""),"",ROUND(BW35/BW$8*BW$7*KVARDI,2))</f>
        <v/>
      </c>
      <c r="BY35" s="39"/>
      <c r="BZ35" s="40" t="str">
        <f aca="false">IF(OR(INDEX(Undirviðmið!$G$6:$G$105,(COLUMN()-7-1)/2+1)&lt;&gt;"Starfsbundið",BY35="",BY$8="",BY$7=""),"",ROUND(BY35/BY$8*BY$7*KVARDI,2))</f>
        <v/>
      </c>
      <c r="CA35" s="39"/>
      <c r="CB35" s="40" t="str">
        <f aca="false">IF(OR(INDEX(Undirviðmið!$G$6:$G$105,(COLUMN()-7-1)/2+1)&lt;&gt;"Starfsbundið",CA35="",CA$8="",CA$7=""),"",ROUND(CA35/CA$8*CA$7*KVARDI,2))</f>
        <v/>
      </c>
      <c r="CC35" s="39"/>
      <c r="CD35" s="40" t="str">
        <f aca="false">IF(OR(INDEX(Undirviðmið!$G$6:$G$105,(COLUMN()-7-1)/2+1)&lt;&gt;"Starfsbundið",CC35="",CC$8="",CC$7=""),"",ROUND(CC35/CC$8*CC$7*KVARDI,2))</f>
        <v/>
      </c>
      <c r="CE35" s="39"/>
      <c r="CF35" s="40" t="str">
        <f aca="false">IF(OR(INDEX(Undirviðmið!$G$6:$G$105,(COLUMN()-7-1)/2+1)&lt;&gt;"Starfsbundið",CE35="",CE$8="",CE$7=""),"",ROUND(CE35/CE$8*CE$7*KVARDI,2))</f>
        <v/>
      </c>
      <c r="CG35" s="39"/>
      <c r="CH35" s="40" t="str">
        <f aca="false">IF(OR(INDEX(Undirviðmið!$G$6:$G$105,(COLUMN()-7-1)/2+1)&lt;&gt;"Starfsbundið",CG35="",CG$8="",CG$7=""),"",ROUND(CG35/CG$8*CG$7*KVARDI,2))</f>
        <v/>
      </c>
      <c r="CI35" s="39"/>
      <c r="CJ35" s="40" t="str">
        <f aca="false">IF(OR(INDEX(Undirviðmið!$G$6:$G$105,(COLUMN()-7-1)/2+1)&lt;&gt;"Starfsbundið",CI35="",CI$8="",CI$7=""),"",ROUND(CI35/CI$8*CI$7*KVARDI,2))</f>
        <v/>
      </c>
      <c r="CK35" s="39"/>
      <c r="CL35" s="40" t="str">
        <f aca="false">IF(OR(INDEX(Undirviðmið!$G$6:$G$105,(COLUMN()-7-1)/2+1)&lt;&gt;"Starfsbundið",CK35="",CK$8="",CK$7=""),"",ROUND(CK35/CK$8*CK$7*KVARDI,2))</f>
        <v/>
      </c>
      <c r="CM35" s="39"/>
      <c r="CN35" s="40" t="str">
        <f aca="false">IF(OR(INDEX(Undirviðmið!$G$6:$G$105,(COLUMN()-7-1)/2+1)&lt;&gt;"Starfsbundið",CM35="",CM$8="",CM$7=""),"",ROUND(CM35/CM$8*CM$7*KVARDI,2))</f>
        <v/>
      </c>
      <c r="CO35" s="39"/>
      <c r="CP35" s="40" t="str">
        <f aca="false">IF(OR(INDEX(Undirviðmið!$G$6:$G$105,(COLUMN()-7-1)/2+1)&lt;&gt;"Starfsbundið",CO35="",CO$8="",CO$7=""),"",ROUND(CO35/CO$8*CO$7*KVARDI,2))</f>
        <v/>
      </c>
      <c r="CQ35" s="39"/>
      <c r="CR35" s="40" t="str">
        <f aca="false">IF(OR(INDEX(Undirviðmið!$G$6:$G$105,(COLUMN()-7-1)/2+1)&lt;&gt;"Starfsbundið",CQ35="",CQ$8="",CQ$7=""),"",ROUND(CQ35/CQ$8*CQ$7*KVARDI,2))</f>
        <v/>
      </c>
      <c r="CS35" s="39"/>
      <c r="CT35" s="40" t="str">
        <f aca="false">IF(OR(INDEX(Undirviðmið!$G$6:$G$105,(COLUMN()-7-1)/2+1)&lt;&gt;"Starfsbundið",CS35="",CS$8="",CS$7=""),"",ROUND(CS35/CS$8*CS$7*KVARDI,2))</f>
        <v/>
      </c>
      <c r="CU35" s="39"/>
      <c r="CV35" s="40" t="str">
        <f aca="false">IF(OR(INDEX(Undirviðmið!$G$6:$G$105,(COLUMN()-7-1)/2+1)&lt;&gt;"Starfsbundið",CU35="",CU$8="",CU$7=""),"",ROUND(CU35/CU$8*CU$7*KVARDI,2))</f>
        <v/>
      </c>
      <c r="CW35" s="39"/>
      <c r="CX35" s="40" t="str">
        <f aca="false">IF(OR(INDEX(Undirviðmið!$G$6:$G$105,(COLUMN()-7-1)/2+1)&lt;&gt;"Starfsbundið",CW35="",CW$8="",CW$7=""),"",ROUND(CW35/CW$8*CW$7*KVARDI,2))</f>
        <v/>
      </c>
      <c r="CY35" s="39"/>
      <c r="CZ35" s="40" t="str">
        <f aca="false">IF(OR(INDEX(Undirviðmið!$G$6:$G$105,(COLUMN()-7-1)/2+1)&lt;&gt;"Starfsbundið",CY35="",CY$8="",CY$7=""),"",ROUND(CY35/CY$8*CY$7*KVARDI,2))</f>
        <v/>
      </c>
      <c r="DA35" s="39"/>
      <c r="DB35" s="40" t="str">
        <f aca="false">IF(OR(INDEX(Undirviðmið!$G$6:$G$105,(COLUMN()-7-1)/2+1)&lt;&gt;"Starfsbundið",DA35="",DA$8="",DA$7=""),"",ROUND(DA35/DA$8*DA$7*KVARDI,2))</f>
        <v/>
      </c>
      <c r="DC35" s="39"/>
      <c r="DD35" s="40" t="str">
        <f aca="false">IF(OR(INDEX(Undirviðmið!$G$6:$G$105,(COLUMN()-7-1)/2+1)&lt;&gt;"Starfsbundið",DC35="",DC$8="",DC$7=""),"",ROUND(DC35/DC$8*DC$7*KVARDI,2))</f>
        <v/>
      </c>
      <c r="DE35" s="39"/>
      <c r="DF35" s="40" t="str">
        <f aca="false">IF(OR(INDEX(Undirviðmið!$G$6:$G$105,(COLUMN()-7-1)/2+1)&lt;&gt;"Starfsbundið",DE35="",DE$8="",DE$7=""),"",ROUND(DE35/DE$8*DE$7*KVARDI,2))</f>
        <v/>
      </c>
      <c r="DG35" s="39"/>
      <c r="DH35" s="40" t="str">
        <f aca="false">IF(OR(INDEX(Undirviðmið!$G$6:$G$105,(COLUMN()-7-1)/2+1)&lt;&gt;"Starfsbundið",DG35="",DG$8="",DG$7=""),"",ROUND(DG35/DG$8*DG$7*KVARDI,2))</f>
        <v/>
      </c>
      <c r="DI35" s="39"/>
      <c r="DJ35" s="40" t="str">
        <f aca="false">IF(OR(INDEX(Undirviðmið!$G$6:$G$105,(COLUMN()-7-1)/2+1)&lt;&gt;"Starfsbundið",DI35="",DI$8="",DI$7=""),"",ROUND(DI35/DI$8*DI$7*KVARDI,2))</f>
        <v/>
      </c>
      <c r="DK35" s="39"/>
      <c r="DL35" s="40" t="str">
        <f aca="false">IF(OR(INDEX(Undirviðmið!$G$6:$G$105,(COLUMN()-7-1)/2+1)&lt;&gt;"Starfsbundið",DK35="",DK$8="",DK$7=""),"",ROUND(DK35/DK$8*DK$7*KVARDI,2))</f>
        <v/>
      </c>
      <c r="DM35" s="39"/>
      <c r="DN35" s="40" t="str">
        <f aca="false">IF(OR(INDEX(Undirviðmið!$G$6:$G$105,(COLUMN()-7-1)/2+1)&lt;&gt;"Starfsbundið",DM35="",DM$8="",DM$7=""),"",ROUND(DM35/DM$8*DM$7*KVARDI,2))</f>
        <v/>
      </c>
      <c r="DO35" s="39"/>
      <c r="DP35" s="40" t="str">
        <f aca="false">IF(OR(INDEX(Undirviðmið!$G$6:$G$105,(COLUMN()-7-1)/2+1)&lt;&gt;"Starfsbundið",DO35="",DO$8="",DO$7=""),"",ROUND(DO35/DO$8*DO$7*KVARDI,2))</f>
        <v/>
      </c>
      <c r="DQ35" s="39"/>
      <c r="DR35" s="40" t="str">
        <f aca="false">IF(OR(INDEX(Undirviðmið!$G$6:$G$105,(COLUMN()-7-1)/2+1)&lt;&gt;"Starfsbundið",DQ35="",DQ$8="",DQ$7=""),"",ROUND(DQ35/DQ$8*DQ$7*KVARDI,2))</f>
        <v/>
      </c>
      <c r="DS35" s="39"/>
      <c r="DT35" s="40" t="str">
        <f aca="false">IF(OR(INDEX(Undirviðmið!$G$6:$G$105,(COLUMN()-7-1)/2+1)&lt;&gt;"Starfsbundið",DS35="",DS$8="",DS$7=""),"",ROUND(DS35/DS$8*DS$7*KVARDI,2))</f>
        <v/>
      </c>
      <c r="DU35" s="39"/>
      <c r="DV35" s="40" t="str">
        <f aca="false">IF(OR(INDEX(Undirviðmið!$G$6:$G$105,(COLUMN()-7-1)/2+1)&lt;&gt;"Starfsbundið",DU35="",DU$8="",DU$7=""),"",ROUND(DU35/DU$8*DU$7*KVARDI,2))</f>
        <v/>
      </c>
      <c r="DW35" s="39"/>
      <c r="DX35" s="40" t="str">
        <f aca="false">IF(OR(INDEX(Undirviðmið!$G$6:$G$105,(COLUMN()-7-1)/2+1)&lt;&gt;"Starfsbundið",DW35="",DW$8="",DW$7=""),"",ROUND(DW35/DW$8*DW$7*KVARDI,2))</f>
        <v/>
      </c>
      <c r="DY35" s="39"/>
      <c r="DZ35" s="40" t="str">
        <f aca="false">IF(OR(INDEX(Undirviðmið!$G$6:$G$105,(COLUMN()-7-1)/2+1)&lt;&gt;"Starfsbundið",DY35="",DY$8="",DY$7=""),"",ROUND(DY35/DY$8*DY$7*KVARDI,2))</f>
        <v/>
      </c>
      <c r="EA35" s="39"/>
      <c r="EB35" s="40" t="str">
        <f aca="false">IF(OR(INDEX(Undirviðmið!$G$6:$G$105,(COLUMN()-7-1)/2+1)&lt;&gt;"Starfsbundið",EA35="",EA$8="",EA$7=""),"",ROUND(EA35/EA$8*EA$7*KVARDI,2))</f>
        <v/>
      </c>
      <c r="EC35" s="39"/>
      <c r="ED35" s="40" t="str">
        <f aca="false">IF(OR(INDEX(Undirviðmið!$G$6:$G$105,(COLUMN()-7-1)/2+1)&lt;&gt;"Starfsbundið",EC35="",EC$8="",EC$7=""),"",ROUND(EC35/EC$8*EC$7*KVARDI,2))</f>
        <v/>
      </c>
      <c r="EE35" s="39"/>
      <c r="EF35" s="40" t="str">
        <f aca="false">IF(OR(INDEX(Undirviðmið!$G$6:$G$105,(COLUMN()-7-1)/2+1)&lt;&gt;"Starfsbundið",EE35="",EE$8="",EE$7=""),"",ROUND(EE35/EE$8*EE$7*KVARDI,2))</f>
        <v/>
      </c>
      <c r="EG35" s="39"/>
      <c r="EH35" s="40" t="str">
        <f aca="false">IF(OR(INDEX(Undirviðmið!$G$6:$G$105,(COLUMN()-7-1)/2+1)&lt;&gt;"Starfsbundið",EG35="",EG$8="",EG$7=""),"",ROUND(EG35/EG$8*EG$7*KVARDI,2))</f>
        <v/>
      </c>
      <c r="EI35" s="39"/>
      <c r="EJ35" s="40" t="str">
        <f aca="false">IF(OR(INDEX(Undirviðmið!$G$6:$G$105,(COLUMN()-7-1)/2+1)&lt;&gt;"Starfsbundið",EI35="",EI$8="",EI$7=""),"",ROUND(EI35/EI$8*EI$7*KVARDI,2))</f>
        <v/>
      </c>
      <c r="EK35" s="39"/>
      <c r="EL35" s="40" t="str">
        <f aca="false">IF(OR(INDEX(Undirviðmið!$G$6:$G$105,(COLUMN()-7-1)/2+1)&lt;&gt;"Starfsbundið",EK35="",EK$8="",EK$7=""),"",ROUND(EK35/EK$8*EK$7*KVARDI,2))</f>
        <v/>
      </c>
      <c r="EM35" s="39"/>
      <c r="EN35" s="40" t="str">
        <f aca="false">IF(OR(INDEX(Undirviðmið!$G$6:$G$105,(COLUMN()-7-1)/2+1)&lt;&gt;"Starfsbundið",EM35="",EM$8="",EM$7=""),"",ROUND(EM35/EM$8*EM$7*KVARDI,2))</f>
        <v/>
      </c>
      <c r="EO35" s="39"/>
      <c r="EP35" s="40" t="str">
        <f aca="false">IF(OR(INDEX(Undirviðmið!$G$6:$G$105,(COLUMN()-7-1)/2+1)&lt;&gt;"Starfsbundið",EO35="",EO$8="",EO$7=""),"",ROUND(EO35/EO$8*EO$7*KVARDI,2))</f>
        <v/>
      </c>
      <c r="EQ35" s="39"/>
      <c r="ER35" s="40" t="str">
        <f aca="false">IF(OR(INDEX(Undirviðmið!$G$6:$G$105,(COLUMN()-7-1)/2+1)&lt;&gt;"Starfsbundið",EQ35="",EQ$8="",EQ$7=""),"",ROUND(EQ35/EQ$8*EQ$7*KVARDI,2))</f>
        <v/>
      </c>
      <c r="ES35" s="39"/>
      <c r="ET35" s="40" t="str">
        <f aca="false">IF(OR(INDEX(Undirviðmið!$G$6:$G$105,(COLUMN()-7-1)/2+1)&lt;&gt;"Starfsbundið",ES35="",ES$8="",ES$7=""),"",ROUND(ES35/ES$8*ES$7*KVARDI,2))</f>
        <v/>
      </c>
      <c r="EU35" s="39"/>
      <c r="EV35" s="40" t="str">
        <f aca="false">IF(OR(INDEX(Undirviðmið!$G$6:$G$105,(COLUMN()-7-1)/2+1)&lt;&gt;"Starfsbundið",EU35="",EU$8="",EU$7=""),"",ROUND(EU35/EU$8*EU$7*KVARDI,2))</f>
        <v/>
      </c>
      <c r="EW35" s="39"/>
      <c r="EX35" s="40" t="str">
        <f aca="false">IF(OR(INDEX(Undirviðmið!$G$6:$G$105,(COLUMN()-7-1)/2+1)&lt;&gt;"Starfsbundið",EW35="",EW$8="",EW$7=""),"",ROUND(EW35/EW$8*EW$7*KVARDI,2))</f>
        <v/>
      </c>
      <c r="EY35" s="39"/>
      <c r="EZ35" s="40" t="str">
        <f aca="false">IF(OR(INDEX(Undirviðmið!$G$6:$G$105,(COLUMN()-7-1)/2+1)&lt;&gt;"Starfsbundið",EY35="",EY$8="",EY$7=""),"",ROUND(EY35/EY$8*EY$7*KVARDI,2))</f>
        <v/>
      </c>
      <c r="FA35" s="39"/>
      <c r="FB35" s="40" t="str">
        <f aca="false">IF(OR(INDEX(Undirviðmið!$G$6:$G$105,(COLUMN()-7-1)/2+1)&lt;&gt;"Starfsbundið",FA35="",FA$8="",FA$7=""),"",ROUND(FA35/FA$8*FA$7*KVARDI,2))</f>
        <v/>
      </c>
      <c r="FC35" s="39"/>
      <c r="FD35" s="40" t="str">
        <f aca="false">IF(OR(INDEX(Undirviðmið!$G$6:$G$105,(COLUMN()-7-1)/2+1)&lt;&gt;"Starfsbundið",FC35="",FC$8="",FC$7=""),"",ROUND(FC35/FC$8*FC$7*KVARDI,2))</f>
        <v/>
      </c>
      <c r="FE35" s="39"/>
      <c r="FF35" s="40" t="str">
        <f aca="false">IF(OR(INDEX(Undirviðmið!$G$6:$G$105,(COLUMN()-7-1)/2+1)&lt;&gt;"Starfsbundið",FE35="",FE$8="",FE$7=""),"",ROUND(FE35/FE$8*FE$7*KVARDI,2))</f>
        <v/>
      </c>
      <c r="FG35" s="39"/>
      <c r="FH35" s="40" t="str">
        <f aca="false">IF(OR(INDEX(Undirviðmið!$G$6:$G$105,(COLUMN()-7-1)/2+1)&lt;&gt;"Starfsbundið",FG35="",FG$8="",FG$7=""),"",ROUND(FG35/FG$8*FG$7*KVARDI,2))</f>
        <v/>
      </c>
      <c r="FI35" s="39"/>
      <c r="FJ35" s="40" t="str">
        <f aca="false">IF(OR(INDEX(Undirviðmið!$G$6:$G$105,(COLUMN()-7-1)/2+1)&lt;&gt;"Starfsbundið",FI35="",FI$8="",FI$7=""),"",ROUND(FI35/FI$8*FI$7*KVARDI,2))</f>
        <v/>
      </c>
      <c r="FK35" s="39"/>
      <c r="FL35" s="40" t="str">
        <f aca="false">IF(OR(INDEX(Undirviðmið!$G$6:$G$105,(COLUMN()-7-1)/2+1)&lt;&gt;"Starfsbundið",FK35="",FK$8="",FK$7=""),"",ROUND(FK35/FK$8*FK$7*KVARDI,2))</f>
        <v/>
      </c>
      <c r="FM35" s="39"/>
      <c r="FN35" s="40" t="str">
        <f aca="false">IF(OR(INDEX(Undirviðmið!$G$6:$G$105,(COLUMN()-7-1)/2+1)&lt;&gt;"Starfsbundið",FM35="",FM$8="",FM$7=""),"",ROUND(FM35/FM$8*FM$7*KVARDI,2))</f>
        <v/>
      </c>
      <c r="FO35" s="39"/>
      <c r="FP35" s="40" t="str">
        <f aca="false">IF(OR(INDEX(Undirviðmið!$G$6:$G$105,(COLUMN()-7-1)/2+1)&lt;&gt;"Starfsbundið",FO35="",FO$8="",FO$7=""),"",ROUND(FO35/FO$8*FO$7*KVARDI,2))</f>
        <v/>
      </c>
      <c r="FQ35" s="39"/>
      <c r="FR35" s="40" t="str">
        <f aca="false">IF(OR(INDEX(Undirviðmið!$G$6:$G$105,(COLUMN()-7-1)/2+1)&lt;&gt;"Starfsbundið",FQ35="",FQ$8="",FQ$7=""),"",ROUND(FQ35/FQ$8*FQ$7*KVARDI,2))</f>
        <v/>
      </c>
      <c r="FS35" s="39"/>
      <c r="FT35" s="40" t="str">
        <f aca="false">IF(OR(INDEX(Undirviðmið!$G$6:$G$105,(COLUMN()-7-1)/2+1)&lt;&gt;"Starfsbundið",FS35="",FS$8="",FS$7=""),"",ROUND(FS35/FS$8*FS$7*KVARDI,2))</f>
        <v/>
      </c>
      <c r="FU35" s="39"/>
      <c r="FV35" s="40" t="str">
        <f aca="false">IF(OR(INDEX(Undirviðmið!$G$6:$G$105,(COLUMN()-7-1)/2+1)&lt;&gt;"Starfsbundið",FU35="",FU$8="",FU$7=""),"",ROUND(FU35/FU$8*FU$7*KVARDI,2))</f>
        <v/>
      </c>
      <c r="FW35" s="39"/>
      <c r="FX35" s="40" t="str">
        <f aca="false">IF(OR(INDEX(Undirviðmið!$G$6:$G$105,(COLUMN()-7-1)/2+1)&lt;&gt;"Starfsbundið",FW35="",FW$8="",FW$7=""),"",ROUND(FW35/FW$8*FW$7*KVARDI,2))</f>
        <v/>
      </c>
      <c r="FY35" s="39"/>
      <c r="FZ35" s="40" t="str">
        <f aca="false">IF(OR(INDEX(Undirviðmið!$G$6:$G$105,(COLUMN()-7-1)/2+1)&lt;&gt;"Starfsbundið",FY35="",FY$8="",FY$7=""),"",ROUND(FY35/FY$8*FY$7*KVARDI,2))</f>
        <v/>
      </c>
      <c r="GA35" s="39"/>
      <c r="GB35" s="40" t="str">
        <f aca="false">IF(OR(INDEX(Undirviðmið!$G$6:$G$105,(COLUMN()-7-1)/2+1)&lt;&gt;"Starfsbundið",GA35="",GA$8="",GA$7=""),"",ROUND(GA35/GA$8*GA$7*KVARDI,2))</f>
        <v/>
      </c>
      <c r="GC35" s="39"/>
      <c r="GD35" s="40" t="str">
        <f aca="false">IF(OR(INDEX(Undirviðmið!$G$6:$G$105,(COLUMN()-7-1)/2+1)&lt;&gt;"Starfsbundið",GC35="",GC$8="",GC$7=""),"",ROUND(GC35/GC$8*GC$7*KVARDI,2))</f>
        <v/>
      </c>
      <c r="GE35" s="39"/>
      <c r="GF35" s="40" t="str">
        <f aca="false">IF(OR(INDEX(Undirviðmið!$G$6:$G$105,(COLUMN()-7-1)/2+1)&lt;&gt;"Starfsbundið",GE35="",GE$8="",GE$7=""),"",ROUND(GE35/GE$8*GE$7*KVARDI,2))</f>
        <v/>
      </c>
      <c r="GG35" s="39"/>
      <c r="GH35" s="40" t="str">
        <f aca="false">IF(OR(INDEX(Undirviðmið!$G$6:$G$105,(COLUMN()-7-1)/2+1)&lt;&gt;"Starfsbundið",GG35="",GG$8="",GG$7=""),"",ROUND(GG35/GG$8*GG$7*KVARDI,2))</f>
        <v/>
      </c>
      <c r="GI35" s="39"/>
      <c r="GJ35" s="40" t="str">
        <f aca="false">IF(OR(INDEX(Undirviðmið!$G$6:$G$105,(COLUMN()-7-1)/2+1)&lt;&gt;"Starfsbundið",GI35="",GI$8="",GI$7=""),"",ROUND(GI35/GI$8*GI$7*KVARDI,2))</f>
        <v/>
      </c>
      <c r="GK35" s="39"/>
      <c r="GL35" s="40" t="str">
        <f aca="false">IF(OR(INDEX(Undirviðmið!$G$6:$G$105,(COLUMN()-7-1)/2+1)&lt;&gt;"Starfsbundið",GK35="",GK$8="",GK$7=""),"",ROUND(GK35/GK$8*GK$7*KVARDI,2))</f>
        <v/>
      </c>
      <c r="GM35" s="39"/>
      <c r="GN35" s="40" t="str">
        <f aca="false">IF(OR(INDEX(Undirviðmið!$G$6:$G$105,(COLUMN()-7-1)/2+1)&lt;&gt;"Starfsbundið",GM35="",GM$8="",GM$7=""),"",ROUND(GM35/GM$8*GM$7*KVARDI,2))</f>
        <v/>
      </c>
      <c r="GO35" s="39"/>
      <c r="GP35" s="40" t="str">
        <f aca="false">IF(OR(INDEX(Undirviðmið!$G$6:$G$105,(COLUMN()-7-1)/2+1)&lt;&gt;"Starfsbundið",GO35="",GO$8="",GO$7=""),"",ROUND(GO35/GO$8*GO$7*KVARDI,2))</f>
        <v/>
      </c>
      <c r="GQ35" s="39"/>
      <c r="GR35" s="40" t="str">
        <f aca="false">IF(OR(INDEX(Undirviðmið!$G$6:$G$105,(COLUMN()-7-1)/2+1)&lt;&gt;"Starfsbundið",GQ35="",GQ$8="",GQ$7=""),"",ROUND(GQ35/GQ$8*GQ$7*KVARDI,2))</f>
        <v/>
      </c>
      <c r="GS35" s="39"/>
      <c r="GT35" s="40" t="str">
        <f aca="false">IF(OR(INDEX(Undirviðmið!$G$6:$G$105,(COLUMN()-7-1)/2+1)&lt;&gt;"Starfsbundið",GS35="",GS$8="",GS$7=""),"",ROUND(GS35/GS$8*GS$7*KVARDI,2))</f>
        <v/>
      </c>
      <c r="GU35" s="39"/>
      <c r="GV35" s="40" t="str">
        <f aca="false">IF(OR(INDEX(Undirviðmið!$G$6:$G$105,(COLUMN()-7-1)/2+1)&lt;&gt;"Starfsbundið",GU35="",GU$8="",GU$7=""),"",ROUND(GU35/GU$8*GU$7*KVARDI,2))</f>
        <v/>
      </c>
      <c r="GW35" s="39"/>
      <c r="GX35" s="40" t="str">
        <f aca="false">IF(OR(INDEX(Undirviðmið!$G$6:$G$105,(COLUMN()-7-1)/2+1)&lt;&gt;"Starfsbundið",GW35="",GW$8="",GW$7=""),"",ROUND(GW35/GW$8*GW$7*KVARDI,2))</f>
        <v/>
      </c>
      <c r="GZ35" s="20"/>
    </row>
    <row r="36" customFormat="false" ht="15" hidden="true" customHeight="true" outlineLevel="1" collapsed="false">
      <c r="B36" s="37" t="str">
        <f aca="false" t="array" ref="B36:B36">IFERROR(INDEX(Starfsmenn!$C$6:$C$10005,MATCH(0,COUNTIF($B$11:B35,Starfsmenn!$C$6:$C$10005)+(Starfsmenn!$C$6:$C$10005=""),0)),"")</f>
        <v/>
      </c>
      <c r="C36" s="38" t="n">
        <f aca="false">IFERROR(SUMIF($G$10:$GX$10,"Stig",$G36:$GX36),0)</f>
        <v>0</v>
      </c>
      <c r="G36" s="39"/>
      <c r="H36" s="40" t="str">
        <f aca="false">IF(OR(INDEX(Undirviðmið!$G$6:$G$105,(COLUMN()-7-1)/2+1)&lt;&gt;"Starfsbundið",G36="",G$8="",G$7=""),"",ROUND(G36/G$8*G$7*KVARDI,2))</f>
        <v/>
      </c>
      <c r="I36" s="39"/>
      <c r="J36" s="40" t="str">
        <f aca="false">IF(OR(INDEX(Undirviðmið!$G$6:$G$105,(COLUMN()-7-1)/2+1)&lt;&gt;"Starfsbundið",I36="",I$8="",I$7=""),"",ROUND(I36/I$8*I$7*KVARDI,2))</f>
        <v/>
      </c>
      <c r="K36" s="39"/>
      <c r="L36" s="40" t="str">
        <f aca="false">IF(OR(INDEX(Undirviðmið!$G$6:$G$105,(COLUMN()-7-1)/2+1)&lt;&gt;"Starfsbundið",K36="",K$8="",K$7=""),"",ROUND(K36/K$8*K$7*KVARDI,2))</f>
        <v/>
      </c>
      <c r="M36" s="39"/>
      <c r="N36" s="40" t="str">
        <f aca="false">IF(OR(INDEX(Undirviðmið!$G$6:$G$105,(COLUMN()-7-1)/2+1)&lt;&gt;"Starfsbundið",M36="",M$8="",M$7=""),"",ROUND(M36/M$8*M$7*KVARDI,2))</f>
        <v/>
      </c>
      <c r="O36" s="39"/>
      <c r="P36" s="40" t="str">
        <f aca="false">IF(OR(INDEX(Undirviðmið!$G$6:$G$105,(COLUMN()-7-1)/2+1)&lt;&gt;"Starfsbundið",O36="",O$8="",O$7=""),"",ROUND(O36/O$8*O$7*KVARDI,2))</f>
        <v/>
      </c>
      <c r="Q36" s="39"/>
      <c r="R36" s="40" t="str">
        <f aca="false">IF(OR(INDEX(Undirviðmið!$G$6:$G$105,(COLUMN()-7-1)/2+1)&lt;&gt;"Starfsbundið",Q36="",Q$8="",Q$7=""),"",ROUND(Q36/Q$8*Q$7*KVARDI,2))</f>
        <v/>
      </c>
      <c r="S36" s="39"/>
      <c r="T36" s="40" t="str">
        <f aca="false">IF(OR(INDEX(Undirviðmið!$G$6:$G$105,(COLUMN()-7-1)/2+1)&lt;&gt;"Starfsbundið",S36="",S$8="",S$7=""),"",ROUND(S36/S$8*S$7*KVARDI,2))</f>
        <v/>
      </c>
      <c r="U36" s="39"/>
      <c r="V36" s="40" t="str">
        <f aca="false">IF(OR(INDEX(Undirviðmið!$G$6:$G$105,(COLUMN()-7-1)/2+1)&lt;&gt;"Starfsbundið",U36="",U$8="",U$7=""),"",ROUND(U36/U$8*U$7*KVARDI,2))</f>
        <v/>
      </c>
      <c r="W36" s="39"/>
      <c r="X36" s="40" t="str">
        <f aca="false">IF(OR(INDEX(Undirviðmið!$G$6:$G$105,(COLUMN()-7-1)/2+1)&lt;&gt;"Starfsbundið",W36="",W$8="",W$7=""),"",ROUND(W36/W$8*W$7*KVARDI,2))</f>
        <v/>
      </c>
      <c r="Y36" s="39"/>
      <c r="Z36" s="40" t="str">
        <f aca="false">IF(OR(INDEX(Undirviðmið!$G$6:$G$105,(COLUMN()-7-1)/2+1)&lt;&gt;"Starfsbundið",Y36="",Y$8="",Y$7=""),"",ROUND(Y36/Y$8*Y$7*KVARDI,2))</f>
        <v/>
      </c>
      <c r="AA36" s="39"/>
      <c r="AB36" s="40" t="str">
        <f aca="false">IF(OR(INDEX(Undirviðmið!$G$6:$G$105,(COLUMN()-7-1)/2+1)&lt;&gt;"Starfsbundið",AA36="",AA$8="",AA$7=""),"",ROUND(AA36/AA$8*AA$7*KVARDI,2))</f>
        <v/>
      </c>
      <c r="AC36" s="39"/>
      <c r="AD36" s="40" t="str">
        <f aca="false">IF(OR(INDEX(Undirviðmið!$G$6:$G$105,(COLUMN()-7-1)/2+1)&lt;&gt;"Starfsbundið",AC36="",AC$8="",AC$7=""),"",ROUND(AC36/AC$8*AC$7*KVARDI,2))</f>
        <v/>
      </c>
      <c r="AE36" s="39"/>
      <c r="AF36" s="40" t="str">
        <f aca="false">IF(OR(INDEX(Undirviðmið!$G$6:$G$105,(COLUMN()-7-1)/2+1)&lt;&gt;"Starfsbundið",AE36="",AE$8="",AE$7=""),"",ROUND(AE36/AE$8*AE$7*KVARDI,2))</f>
        <v/>
      </c>
      <c r="AG36" s="39"/>
      <c r="AH36" s="40" t="str">
        <f aca="false">IF(OR(INDEX(Undirviðmið!$G$6:$G$105,(COLUMN()-7-1)/2+1)&lt;&gt;"Starfsbundið",AG36="",AG$8="",AG$7=""),"",ROUND(AG36/AG$8*AG$7*KVARDI,2))</f>
        <v/>
      </c>
      <c r="AI36" s="39"/>
      <c r="AJ36" s="40" t="str">
        <f aca="false">IF(OR(INDEX(Undirviðmið!$G$6:$G$105,(COLUMN()-7-1)/2+1)&lt;&gt;"Starfsbundið",AI36="",AI$8="",AI$7=""),"",ROUND(AI36/AI$8*AI$7*KVARDI,2))</f>
        <v/>
      </c>
      <c r="AK36" s="39"/>
      <c r="AL36" s="40" t="str">
        <f aca="false">IF(OR(INDEX(Undirviðmið!$G$6:$G$105,(COLUMN()-7-1)/2+1)&lt;&gt;"Starfsbundið",AK36="",AK$8="",AK$7=""),"",ROUND(AK36/AK$8*AK$7*KVARDI,2))</f>
        <v/>
      </c>
      <c r="AM36" s="39"/>
      <c r="AN36" s="40" t="str">
        <f aca="false">IF(OR(INDEX(Undirviðmið!$G$6:$G$105,(COLUMN()-7-1)/2+1)&lt;&gt;"Starfsbundið",AM36="",AM$8="",AM$7=""),"",ROUND(AM36/AM$8*AM$7*KVARDI,2))</f>
        <v/>
      </c>
      <c r="AO36" s="39"/>
      <c r="AP36" s="40" t="str">
        <f aca="false">IF(OR(INDEX(Undirviðmið!$G$6:$G$105,(COLUMN()-7-1)/2+1)&lt;&gt;"Starfsbundið",AO36="",AO$8="",AO$7=""),"",ROUND(AO36/AO$8*AO$7*KVARDI,2))</f>
        <v/>
      </c>
      <c r="AQ36" s="39"/>
      <c r="AR36" s="40" t="str">
        <f aca="false">IF(OR(INDEX(Undirviðmið!$G$6:$G$105,(COLUMN()-7-1)/2+1)&lt;&gt;"Starfsbundið",AQ36="",AQ$8="",AQ$7=""),"",ROUND(AQ36/AQ$8*AQ$7*KVARDI,2))</f>
        <v/>
      </c>
      <c r="AS36" s="39"/>
      <c r="AT36" s="40" t="str">
        <f aca="false">IF(OR(INDEX(Undirviðmið!$G$6:$G$105,(COLUMN()-7-1)/2+1)&lt;&gt;"Starfsbundið",AS36="",AS$8="",AS$7=""),"",ROUND(AS36/AS$8*AS$7*KVARDI,2))</f>
        <v/>
      </c>
      <c r="AU36" s="39"/>
      <c r="AV36" s="40" t="str">
        <f aca="false">IF(OR(INDEX(Undirviðmið!$G$6:$G$105,(COLUMN()-7-1)/2+1)&lt;&gt;"Starfsbundið",AU36="",AU$8="",AU$7=""),"",ROUND(AU36/AU$8*AU$7*KVARDI,2))</f>
        <v/>
      </c>
      <c r="AW36" s="39"/>
      <c r="AX36" s="40" t="str">
        <f aca="false">IF(OR(INDEX(Undirviðmið!$G$6:$G$105,(COLUMN()-7-1)/2+1)&lt;&gt;"Starfsbundið",AW36="",AW$8="",AW$7=""),"",ROUND(AW36/AW$8*AW$7*KVARDI,2))</f>
        <v/>
      </c>
      <c r="AY36" s="39"/>
      <c r="AZ36" s="40" t="str">
        <f aca="false">IF(OR(INDEX(Undirviðmið!$G$6:$G$105,(COLUMN()-7-1)/2+1)&lt;&gt;"Starfsbundið",AY36="",AY$8="",AY$7=""),"",ROUND(AY36/AY$8*AY$7*KVARDI,2))</f>
        <v/>
      </c>
      <c r="BA36" s="39"/>
      <c r="BB36" s="40" t="str">
        <f aca="false">IF(OR(INDEX(Undirviðmið!$G$6:$G$105,(COLUMN()-7-1)/2+1)&lt;&gt;"Starfsbundið",BA36="",BA$8="",BA$7=""),"",ROUND(BA36/BA$8*BA$7*KVARDI,2))</f>
        <v/>
      </c>
      <c r="BC36" s="39"/>
      <c r="BD36" s="40" t="str">
        <f aca="false">IF(OR(INDEX(Undirviðmið!$G$6:$G$105,(COLUMN()-7-1)/2+1)&lt;&gt;"Starfsbundið",BC36="",BC$8="",BC$7=""),"",ROUND(BC36/BC$8*BC$7*KVARDI,2))</f>
        <v/>
      </c>
      <c r="BE36" s="39"/>
      <c r="BF36" s="40" t="str">
        <f aca="false">IF(OR(INDEX(Undirviðmið!$G$6:$G$105,(COLUMN()-7-1)/2+1)&lt;&gt;"Starfsbundið",BE36="",BE$8="",BE$7=""),"",ROUND(BE36/BE$8*BE$7*KVARDI,2))</f>
        <v/>
      </c>
      <c r="BG36" s="39"/>
      <c r="BH36" s="40" t="str">
        <f aca="false">IF(OR(INDEX(Undirviðmið!$G$6:$G$105,(COLUMN()-7-1)/2+1)&lt;&gt;"Starfsbundið",BG36="",BG$8="",BG$7=""),"",ROUND(BG36/BG$8*BG$7*KVARDI,2))</f>
        <v/>
      </c>
      <c r="BI36" s="39"/>
      <c r="BJ36" s="40" t="str">
        <f aca="false">IF(OR(INDEX(Undirviðmið!$G$6:$G$105,(COLUMN()-7-1)/2+1)&lt;&gt;"Starfsbundið",BI36="",BI$8="",BI$7=""),"",ROUND(BI36/BI$8*BI$7*KVARDI,2))</f>
        <v/>
      </c>
      <c r="BK36" s="39"/>
      <c r="BL36" s="40" t="str">
        <f aca="false">IF(OR(INDEX(Undirviðmið!$G$6:$G$105,(COLUMN()-7-1)/2+1)&lt;&gt;"Starfsbundið",BK36="",BK$8="",BK$7=""),"",ROUND(BK36/BK$8*BK$7*KVARDI,2))</f>
        <v/>
      </c>
      <c r="BM36" s="39"/>
      <c r="BN36" s="40" t="str">
        <f aca="false">IF(OR(INDEX(Undirviðmið!$G$6:$G$105,(COLUMN()-7-1)/2+1)&lt;&gt;"Starfsbundið",BM36="",BM$8="",BM$7=""),"",ROUND(BM36/BM$8*BM$7*KVARDI,2))</f>
        <v/>
      </c>
      <c r="BO36" s="39"/>
      <c r="BP36" s="40" t="str">
        <f aca="false">IF(OR(INDEX(Undirviðmið!$G$6:$G$105,(COLUMN()-7-1)/2+1)&lt;&gt;"Starfsbundið",BO36="",BO$8="",BO$7=""),"",ROUND(BO36/BO$8*BO$7*KVARDI,2))</f>
        <v/>
      </c>
      <c r="BQ36" s="39"/>
      <c r="BR36" s="40" t="str">
        <f aca="false">IF(OR(INDEX(Undirviðmið!$G$6:$G$105,(COLUMN()-7-1)/2+1)&lt;&gt;"Starfsbundið",BQ36="",BQ$8="",BQ$7=""),"",ROUND(BQ36/BQ$8*BQ$7*KVARDI,2))</f>
        <v/>
      </c>
      <c r="BS36" s="39"/>
      <c r="BT36" s="40" t="str">
        <f aca="false">IF(OR(INDEX(Undirviðmið!$G$6:$G$105,(COLUMN()-7-1)/2+1)&lt;&gt;"Starfsbundið",BS36="",BS$8="",BS$7=""),"",ROUND(BS36/BS$8*BS$7*KVARDI,2))</f>
        <v/>
      </c>
      <c r="BU36" s="39"/>
      <c r="BV36" s="40" t="str">
        <f aca="false">IF(OR(INDEX(Undirviðmið!$G$6:$G$105,(COLUMN()-7-1)/2+1)&lt;&gt;"Starfsbundið",BU36="",BU$8="",BU$7=""),"",ROUND(BU36/BU$8*BU$7*KVARDI,2))</f>
        <v/>
      </c>
      <c r="BW36" s="39"/>
      <c r="BX36" s="40" t="str">
        <f aca="false">IF(OR(INDEX(Undirviðmið!$G$6:$G$105,(COLUMN()-7-1)/2+1)&lt;&gt;"Starfsbundið",BW36="",BW$8="",BW$7=""),"",ROUND(BW36/BW$8*BW$7*KVARDI,2))</f>
        <v/>
      </c>
      <c r="BY36" s="39"/>
      <c r="BZ36" s="40" t="str">
        <f aca="false">IF(OR(INDEX(Undirviðmið!$G$6:$G$105,(COLUMN()-7-1)/2+1)&lt;&gt;"Starfsbundið",BY36="",BY$8="",BY$7=""),"",ROUND(BY36/BY$8*BY$7*KVARDI,2))</f>
        <v/>
      </c>
      <c r="CA36" s="39"/>
      <c r="CB36" s="40" t="str">
        <f aca="false">IF(OR(INDEX(Undirviðmið!$G$6:$G$105,(COLUMN()-7-1)/2+1)&lt;&gt;"Starfsbundið",CA36="",CA$8="",CA$7=""),"",ROUND(CA36/CA$8*CA$7*KVARDI,2))</f>
        <v/>
      </c>
      <c r="CC36" s="39"/>
      <c r="CD36" s="40" t="str">
        <f aca="false">IF(OR(INDEX(Undirviðmið!$G$6:$G$105,(COLUMN()-7-1)/2+1)&lt;&gt;"Starfsbundið",CC36="",CC$8="",CC$7=""),"",ROUND(CC36/CC$8*CC$7*KVARDI,2))</f>
        <v/>
      </c>
      <c r="CE36" s="39"/>
      <c r="CF36" s="40" t="str">
        <f aca="false">IF(OR(INDEX(Undirviðmið!$G$6:$G$105,(COLUMN()-7-1)/2+1)&lt;&gt;"Starfsbundið",CE36="",CE$8="",CE$7=""),"",ROUND(CE36/CE$8*CE$7*KVARDI,2))</f>
        <v/>
      </c>
      <c r="CG36" s="39"/>
      <c r="CH36" s="40" t="str">
        <f aca="false">IF(OR(INDEX(Undirviðmið!$G$6:$G$105,(COLUMN()-7-1)/2+1)&lt;&gt;"Starfsbundið",CG36="",CG$8="",CG$7=""),"",ROUND(CG36/CG$8*CG$7*KVARDI,2))</f>
        <v/>
      </c>
      <c r="CI36" s="39"/>
      <c r="CJ36" s="40" t="str">
        <f aca="false">IF(OR(INDEX(Undirviðmið!$G$6:$G$105,(COLUMN()-7-1)/2+1)&lt;&gt;"Starfsbundið",CI36="",CI$8="",CI$7=""),"",ROUND(CI36/CI$8*CI$7*KVARDI,2))</f>
        <v/>
      </c>
      <c r="CK36" s="39"/>
      <c r="CL36" s="40" t="str">
        <f aca="false">IF(OR(INDEX(Undirviðmið!$G$6:$G$105,(COLUMN()-7-1)/2+1)&lt;&gt;"Starfsbundið",CK36="",CK$8="",CK$7=""),"",ROUND(CK36/CK$8*CK$7*KVARDI,2))</f>
        <v/>
      </c>
      <c r="CM36" s="39"/>
      <c r="CN36" s="40" t="str">
        <f aca="false">IF(OR(INDEX(Undirviðmið!$G$6:$G$105,(COLUMN()-7-1)/2+1)&lt;&gt;"Starfsbundið",CM36="",CM$8="",CM$7=""),"",ROUND(CM36/CM$8*CM$7*KVARDI,2))</f>
        <v/>
      </c>
      <c r="CO36" s="39"/>
      <c r="CP36" s="40" t="str">
        <f aca="false">IF(OR(INDEX(Undirviðmið!$G$6:$G$105,(COLUMN()-7-1)/2+1)&lt;&gt;"Starfsbundið",CO36="",CO$8="",CO$7=""),"",ROUND(CO36/CO$8*CO$7*KVARDI,2))</f>
        <v/>
      </c>
      <c r="CQ36" s="39"/>
      <c r="CR36" s="40" t="str">
        <f aca="false">IF(OR(INDEX(Undirviðmið!$G$6:$G$105,(COLUMN()-7-1)/2+1)&lt;&gt;"Starfsbundið",CQ36="",CQ$8="",CQ$7=""),"",ROUND(CQ36/CQ$8*CQ$7*KVARDI,2))</f>
        <v/>
      </c>
      <c r="CS36" s="39"/>
      <c r="CT36" s="40" t="str">
        <f aca="false">IF(OR(INDEX(Undirviðmið!$G$6:$G$105,(COLUMN()-7-1)/2+1)&lt;&gt;"Starfsbundið",CS36="",CS$8="",CS$7=""),"",ROUND(CS36/CS$8*CS$7*KVARDI,2))</f>
        <v/>
      </c>
      <c r="CU36" s="39"/>
      <c r="CV36" s="40" t="str">
        <f aca="false">IF(OR(INDEX(Undirviðmið!$G$6:$G$105,(COLUMN()-7-1)/2+1)&lt;&gt;"Starfsbundið",CU36="",CU$8="",CU$7=""),"",ROUND(CU36/CU$8*CU$7*KVARDI,2))</f>
        <v/>
      </c>
      <c r="CW36" s="39"/>
      <c r="CX36" s="40" t="str">
        <f aca="false">IF(OR(INDEX(Undirviðmið!$G$6:$G$105,(COLUMN()-7-1)/2+1)&lt;&gt;"Starfsbundið",CW36="",CW$8="",CW$7=""),"",ROUND(CW36/CW$8*CW$7*KVARDI,2))</f>
        <v/>
      </c>
      <c r="CY36" s="39"/>
      <c r="CZ36" s="40" t="str">
        <f aca="false">IF(OR(INDEX(Undirviðmið!$G$6:$G$105,(COLUMN()-7-1)/2+1)&lt;&gt;"Starfsbundið",CY36="",CY$8="",CY$7=""),"",ROUND(CY36/CY$8*CY$7*KVARDI,2))</f>
        <v/>
      </c>
      <c r="DA36" s="39"/>
      <c r="DB36" s="40" t="str">
        <f aca="false">IF(OR(INDEX(Undirviðmið!$G$6:$G$105,(COLUMN()-7-1)/2+1)&lt;&gt;"Starfsbundið",DA36="",DA$8="",DA$7=""),"",ROUND(DA36/DA$8*DA$7*KVARDI,2))</f>
        <v/>
      </c>
      <c r="DC36" s="39"/>
      <c r="DD36" s="40" t="str">
        <f aca="false">IF(OR(INDEX(Undirviðmið!$G$6:$G$105,(COLUMN()-7-1)/2+1)&lt;&gt;"Starfsbundið",DC36="",DC$8="",DC$7=""),"",ROUND(DC36/DC$8*DC$7*KVARDI,2))</f>
        <v/>
      </c>
      <c r="DE36" s="39"/>
      <c r="DF36" s="40" t="str">
        <f aca="false">IF(OR(INDEX(Undirviðmið!$G$6:$G$105,(COLUMN()-7-1)/2+1)&lt;&gt;"Starfsbundið",DE36="",DE$8="",DE$7=""),"",ROUND(DE36/DE$8*DE$7*KVARDI,2))</f>
        <v/>
      </c>
      <c r="DG36" s="39"/>
      <c r="DH36" s="40" t="str">
        <f aca="false">IF(OR(INDEX(Undirviðmið!$G$6:$G$105,(COLUMN()-7-1)/2+1)&lt;&gt;"Starfsbundið",DG36="",DG$8="",DG$7=""),"",ROUND(DG36/DG$8*DG$7*KVARDI,2))</f>
        <v/>
      </c>
      <c r="DI36" s="39"/>
      <c r="DJ36" s="40" t="str">
        <f aca="false">IF(OR(INDEX(Undirviðmið!$G$6:$G$105,(COLUMN()-7-1)/2+1)&lt;&gt;"Starfsbundið",DI36="",DI$8="",DI$7=""),"",ROUND(DI36/DI$8*DI$7*KVARDI,2))</f>
        <v/>
      </c>
      <c r="DK36" s="39"/>
      <c r="DL36" s="40" t="str">
        <f aca="false">IF(OR(INDEX(Undirviðmið!$G$6:$G$105,(COLUMN()-7-1)/2+1)&lt;&gt;"Starfsbundið",DK36="",DK$8="",DK$7=""),"",ROUND(DK36/DK$8*DK$7*KVARDI,2))</f>
        <v/>
      </c>
      <c r="DM36" s="39"/>
      <c r="DN36" s="40" t="str">
        <f aca="false">IF(OR(INDEX(Undirviðmið!$G$6:$G$105,(COLUMN()-7-1)/2+1)&lt;&gt;"Starfsbundið",DM36="",DM$8="",DM$7=""),"",ROUND(DM36/DM$8*DM$7*KVARDI,2))</f>
        <v/>
      </c>
      <c r="DO36" s="39"/>
      <c r="DP36" s="40" t="str">
        <f aca="false">IF(OR(INDEX(Undirviðmið!$G$6:$G$105,(COLUMN()-7-1)/2+1)&lt;&gt;"Starfsbundið",DO36="",DO$8="",DO$7=""),"",ROUND(DO36/DO$8*DO$7*KVARDI,2))</f>
        <v/>
      </c>
      <c r="DQ36" s="39"/>
      <c r="DR36" s="40" t="str">
        <f aca="false">IF(OR(INDEX(Undirviðmið!$G$6:$G$105,(COLUMN()-7-1)/2+1)&lt;&gt;"Starfsbundið",DQ36="",DQ$8="",DQ$7=""),"",ROUND(DQ36/DQ$8*DQ$7*KVARDI,2))</f>
        <v/>
      </c>
      <c r="DS36" s="39"/>
      <c r="DT36" s="40" t="str">
        <f aca="false">IF(OR(INDEX(Undirviðmið!$G$6:$G$105,(COLUMN()-7-1)/2+1)&lt;&gt;"Starfsbundið",DS36="",DS$8="",DS$7=""),"",ROUND(DS36/DS$8*DS$7*KVARDI,2))</f>
        <v/>
      </c>
      <c r="DU36" s="39"/>
      <c r="DV36" s="40" t="str">
        <f aca="false">IF(OR(INDEX(Undirviðmið!$G$6:$G$105,(COLUMN()-7-1)/2+1)&lt;&gt;"Starfsbundið",DU36="",DU$8="",DU$7=""),"",ROUND(DU36/DU$8*DU$7*KVARDI,2))</f>
        <v/>
      </c>
      <c r="DW36" s="39"/>
      <c r="DX36" s="40" t="str">
        <f aca="false">IF(OR(INDEX(Undirviðmið!$G$6:$G$105,(COLUMN()-7-1)/2+1)&lt;&gt;"Starfsbundið",DW36="",DW$8="",DW$7=""),"",ROUND(DW36/DW$8*DW$7*KVARDI,2))</f>
        <v/>
      </c>
      <c r="DY36" s="39"/>
      <c r="DZ36" s="40" t="str">
        <f aca="false">IF(OR(INDEX(Undirviðmið!$G$6:$G$105,(COLUMN()-7-1)/2+1)&lt;&gt;"Starfsbundið",DY36="",DY$8="",DY$7=""),"",ROUND(DY36/DY$8*DY$7*KVARDI,2))</f>
        <v/>
      </c>
      <c r="EA36" s="39"/>
      <c r="EB36" s="40" t="str">
        <f aca="false">IF(OR(INDEX(Undirviðmið!$G$6:$G$105,(COLUMN()-7-1)/2+1)&lt;&gt;"Starfsbundið",EA36="",EA$8="",EA$7=""),"",ROUND(EA36/EA$8*EA$7*KVARDI,2))</f>
        <v/>
      </c>
      <c r="EC36" s="39"/>
      <c r="ED36" s="40" t="str">
        <f aca="false">IF(OR(INDEX(Undirviðmið!$G$6:$G$105,(COLUMN()-7-1)/2+1)&lt;&gt;"Starfsbundið",EC36="",EC$8="",EC$7=""),"",ROUND(EC36/EC$8*EC$7*KVARDI,2))</f>
        <v/>
      </c>
      <c r="EE36" s="39"/>
      <c r="EF36" s="40" t="str">
        <f aca="false">IF(OR(INDEX(Undirviðmið!$G$6:$G$105,(COLUMN()-7-1)/2+1)&lt;&gt;"Starfsbundið",EE36="",EE$8="",EE$7=""),"",ROUND(EE36/EE$8*EE$7*KVARDI,2))</f>
        <v/>
      </c>
      <c r="EG36" s="39"/>
      <c r="EH36" s="40" t="str">
        <f aca="false">IF(OR(INDEX(Undirviðmið!$G$6:$G$105,(COLUMN()-7-1)/2+1)&lt;&gt;"Starfsbundið",EG36="",EG$8="",EG$7=""),"",ROUND(EG36/EG$8*EG$7*KVARDI,2))</f>
        <v/>
      </c>
      <c r="EI36" s="39"/>
      <c r="EJ36" s="40" t="str">
        <f aca="false">IF(OR(INDEX(Undirviðmið!$G$6:$G$105,(COLUMN()-7-1)/2+1)&lt;&gt;"Starfsbundið",EI36="",EI$8="",EI$7=""),"",ROUND(EI36/EI$8*EI$7*KVARDI,2))</f>
        <v/>
      </c>
      <c r="EK36" s="39"/>
      <c r="EL36" s="40" t="str">
        <f aca="false">IF(OR(INDEX(Undirviðmið!$G$6:$G$105,(COLUMN()-7-1)/2+1)&lt;&gt;"Starfsbundið",EK36="",EK$8="",EK$7=""),"",ROUND(EK36/EK$8*EK$7*KVARDI,2))</f>
        <v/>
      </c>
      <c r="EM36" s="39"/>
      <c r="EN36" s="40" t="str">
        <f aca="false">IF(OR(INDEX(Undirviðmið!$G$6:$G$105,(COLUMN()-7-1)/2+1)&lt;&gt;"Starfsbundið",EM36="",EM$8="",EM$7=""),"",ROUND(EM36/EM$8*EM$7*KVARDI,2))</f>
        <v/>
      </c>
      <c r="EO36" s="39"/>
      <c r="EP36" s="40" t="str">
        <f aca="false">IF(OR(INDEX(Undirviðmið!$G$6:$G$105,(COLUMN()-7-1)/2+1)&lt;&gt;"Starfsbundið",EO36="",EO$8="",EO$7=""),"",ROUND(EO36/EO$8*EO$7*KVARDI,2))</f>
        <v/>
      </c>
      <c r="EQ36" s="39"/>
      <c r="ER36" s="40" t="str">
        <f aca="false">IF(OR(INDEX(Undirviðmið!$G$6:$G$105,(COLUMN()-7-1)/2+1)&lt;&gt;"Starfsbundið",EQ36="",EQ$8="",EQ$7=""),"",ROUND(EQ36/EQ$8*EQ$7*KVARDI,2))</f>
        <v/>
      </c>
      <c r="ES36" s="39"/>
      <c r="ET36" s="40" t="str">
        <f aca="false">IF(OR(INDEX(Undirviðmið!$G$6:$G$105,(COLUMN()-7-1)/2+1)&lt;&gt;"Starfsbundið",ES36="",ES$8="",ES$7=""),"",ROUND(ES36/ES$8*ES$7*KVARDI,2))</f>
        <v/>
      </c>
      <c r="EU36" s="39"/>
      <c r="EV36" s="40" t="str">
        <f aca="false">IF(OR(INDEX(Undirviðmið!$G$6:$G$105,(COLUMN()-7-1)/2+1)&lt;&gt;"Starfsbundið",EU36="",EU$8="",EU$7=""),"",ROUND(EU36/EU$8*EU$7*KVARDI,2))</f>
        <v/>
      </c>
      <c r="EW36" s="39"/>
      <c r="EX36" s="40" t="str">
        <f aca="false">IF(OR(INDEX(Undirviðmið!$G$6:$G$105,(COLUMN()-7-1)/2+1)&lt;&gt;"Starfsbundið",EW36="",EW$8="",EW$7=""),"",ROUND(EW36/EW$8*EW$7*KVARDI,2))</f>
        <v/>
      </c>
      <c r="EY36" s="39"/>
      <c r="EZ36" s="40" t="str">
        <f aca="false">IF(OR(INDEX(Undirviðmið!$G$6:$G$105,(COLUMN()-7-1)/2+1)&lt;&gt;"Starfsbundið",EY36="",EY$8="",EY$7=""),"",ROUND(EY36/EY$8*EY$7*KVARDI,2))</f>
        <v/>
      </c>
      <c r="FA36" s="39"/>
      <c r="FB36" s="40" t="str">
        <f aca="false">IF(OR(INDEX(Undirviðmið!$G$6:$G$105,(COLUMN()-7-1)/2+1)&lt;&gt;"Starfsbundið",FA36="",FA$8="",FA$7=""),"",ROUND(FA36/FA$8*FA$7*KVARDI,2))</f>
        <v/>
      </c>
      <c r="FC36" s="39"/>
      <c r="FD36" s="40" t="str">
        <f aca="false">IF(OR(INDEX(Undirviðmið!$G$6:$G$105,(COLUMN()-7-1)/2+1)&lt;&gt;"Starfsbundið",FC36="",FC$8="",FC$7=""),"",ROUND(FC36/FC$8*FC$7*KVARDI,2))</f>
        <v/>
      </c>
      <c r="FE36" s="39"/>
      <c r="FF36" s="40" t="str">
        <f aca="false">IF(OR(INDEX(Undirviðmið!$G$6:$G$105,(COLUMN()-7-1)/2+1)&lt;&gt;"Starfsbundið",FE36="",FE$8="",FE$7=""),"",ROUND(FE36/FE$8*FE$7*KVARDI,2))</f>
        <v/>
      </c>
      <c r="FG36" s="39"/>
      <c r="FH36" s="40" t="str">
        <f aca="false">IF(OR(INDEX(Undirviðmið!$G$6:$G$105,(COLUMN()-7-1)/2+1)&lt;&gt;"Starfsbundið",FG36="",FG$8="",FG$7=""),"",ROUND(FG36/FG$8*FG$7*KVARDI,2))</f>
        <v/>
      </c>
      <c r="FI36" s="39"/>
      <c r="FJ36" s="40" t="str">
        <f aca="false">IF(OR(INDEX(Undirviðmið!$G$6:$G$105,(COLUMN()-7-1)/2+1)&lt;&gt;"Starfsbundið",FI36="",FI$8="",FI$7=""),"",ROUND(FI36/FI$8*FI$7*KVARDI,2))</f>
        <v/>
      </c>
      <c r="FK36" s="39"/>
      <c r="FL36" s="40" t="str">
        <f aca="false">IF(OR(INDEX(Undirviðmið!$G$6:$G$105,(COLUMN()-7-1)/2+1)&lt;&gt;"Starfsbundið",FK36="",FK$8="",FK$7=""),"",ROUND(FK36/FK$8*FK$7*KVARDI,2))</f>
        <v/>
      </c>
      <c r="FM36" s="39"/>
      <c r="FN36" s="40" t="str">
        <f aca="false">IF(OR(INDEX(Undirviðmið!$G$6:$G$105,(COLUMN()-7-1)/2+1)&lt;&gt;"Starfsbundið",FM36="",FM$8="",FM$7=""),"",ROUND(FM36/FM$8*FM$7*KVARDI,2))</f>
        <v/>
      </c>
      <c r="FO36" s="39"/>
      <c r="FP36" s="40" t="str">
        <f aca="false">IF(OR(INDEX(Undirviðmið!$G$6:$G$105,(COLUMN()-7-1)/2+1)&lt;&gt;"Starfsbundið",FO36="",FO$8="",FO$7=""),"",ROUND(FO36/FO$8*FO$7*KVARDI,2))</f>
        <v/>
      </c>
      <c r="FQ36" s="39"/>
      <c r="FR36" s="40" t="str">
        <f aca="false">IF(OR(INDEX(Undirviðmið!$G$6:$G$105,(COLUMN()-7-1)/2+1)&lt;&gt;"Starfsbundið",FQ36="",FQ$8="",FQ$7=""),"",ROUND(FQ36/FQ$8*FQ$7*KVARDI,2))</f>
        <v/>
      </c>
      <c r="FS36" s="39"/>
      <c r="FT36" s="40" t="str">
        <f aca="false">IF(OR(INDEX(Undirviðmið!$G$6:$G$105,(COLUMN()-7-1)/2+1)&lt;&gt;"Starfsbundið",FS36="",FS$8="",FS$7=""),"",ROUND(FS36/FS$8*FS$7*KVARDI,2))</f>
        <v/>
      </c>
      <c r="FU36" s="39"/>
      <c r="FV36" s="40" t="str">
        <f aca="false">IF(OR(INDEX(Undirviðmið!$G$6:$G$105,(COLUMN()-7-1)/2+1)&lt;&gt;"Starfsbundið",FU36="",FU$8="",FU$7=""),"",ROUND(FU36/FU$8*FU$7*KVARDI,2))</f>
        <v/>
      </c>
      <c r="FW36" s="39"/>
      <c r="FX36" s="40" t="str">
        <f aca="false">IF(OR(INDEX(Undirviðmið!$G$6:$G$105,(COLUMN()-7-1)/2+1)&lt;&gt;"Starfsbundið",FW36="",FW$8="",FW$7=""),"",ROUND(FW36/FW$8*FW$7*KVARDI,2))</f>
        <v/>
      </c>
      <c r="FY36" s="39"/>
      <c r="FZ36" s="40" t="str">
        <f aca="false">IF(OR(INDEX(Undirviðmið!$G$6:$G$105,(COLUMN()-7-1)/2+1)&lt;&gt;"Starfsbundið",FY36="",FY$8="",FY$7=""),"",ROUND(FY36/FY$8*FY$7*KVARDI,2))</f>
        <v/>
      </c>
      <c r="GA36" s="39"/>
      <c r="GB36" s="40" t="str">
        <f aca="false">IF(OR(INDEX(Undirviðmið!$G$6:$G$105,(COLUMN()-7-1)/2+1)&lt;&gt;"Starfsbundið",GA36="",GA$8="",GA$7=""),"",ROUND(GA36/GA$8*GA$7*KVARDI,2))</f>
        <v/>
      </c>
      <c r="GC36" s="39"/>
      <c r="GD36" s="40" t="str">
        <f aca="false">IF(OR(INDEX(Undirviðmið!$G$6:$G$105,(COLUMN()-7-1)/2+1)&lt;&gt;"Starfsbundið",GC36="",GC$8="",GC$7=""),"",ROUND(GC36/GC$8*GC$7*KVARDI,2))</f>
        <v/>
      </c>
      <c r="GE36" s="39"/>
      <c r="GF36" s="40" t="str">
        <f aca="false">IF(OR(INDEX(Undirviðmið!$G$6:$G$105,(COLUMN()-7-1)/2+1)&lt;&gt;"Starfsbundið",GE36="",GE$8="",GE$7=""),"",ROUND(GE36/GE$8*GE$7*KVARDI,2))</f>
        <v/>
      </c>
      <c r="GG36" s="39"/>
      <c r="GH36" s="40" t="str">
        <f aca="false">IF(OR(INDEX(Undirviðmið!$G$6:$G$105,(COLUMN()-7-1)/2+1)&lt;&gt;"Starfsbundið",GG36="",GG$8="",GG$7=""),"",ROUND(GG36/GG$8*GG$7*KVARDI,2))</f>
        <v/>
      </c>
      <c r="GI36" s="39"/>
      <c r="GJ36" s="40" t="str">
        <f aca="false">IF(OR(INDEX(Undirviðmið!$G$6:$G$105,(COLUMN()-7-1)/2+1)&lt;&gt;"Starfsbundið",GI36="",GI$8="",GI$7=""),"",ROUND(GI36/GI$8*GI$7*KVARDI,2))</f>
        <v/>
      </c>
      <c r="GK36" s="39"/>
      <c r="GL36" s="40" t="str">
        <f aca="false">IF(OR(INDEX(Undirviðmið!$G$6:$G$105,(COLUMN()-7-1)/2+1)&lt;&gt;"Starfsbundið",GK36="",GK$8="",GK$7=""),"",ROUND(GK36/GK$8*GK$7*KVARDI,2))</f>
        <v/>
      </c>
      <c r="GM36" s="39"/>
      <c r="GN36" s="40" t="str">
        <f aca="false">IF(OR(INDEX(Undirviðmið!$G$6:$G$105,(COLUMN()-7-1)/2+1)&lt;&gt;"Starfsbundið",GM36="",GM$8="",GM$7=""),"",ROUND(GM36/GM$8*GM$7*KVARDI,2))</f>
        <v/>
      </c>
      <c r="GO36" s="39"/>
      <c r="GP36" s="40" t="str">
        <f aca="false">IF(OR(INDEX(Undirviðmið!$G$6:$G$105,(COLUMN()-7-1)/2+1)&lt;&gt;"Starfsbundið",GO36="",GO$8="",GO$7=""),"",ROUND(GO36/GO$8*GO$7*KVARDI,2))</f>
        <v/>
      </c>
      <c r="GQ36" s="39"/>
      <c r="GR36" s="40" t="str">
        <f aca="false">IF(OR(INDEX(Undirviðmið!$G$6:$G$105,(COLUMN()-7-1)/2+1)&lt;&gt;"Starfsbundið",GQ36="",GQ$8="",GQ$7=""),"",ROUND(GQ36/GQ$8*GQ$7*KVARDI,2))</f>
        <v/>
      </c>
      <c r="GS36" s="39"/>
      <c r="GT36" s="40" t="str">
        <f aca="false">IF(OR(INDEX(Undirviðmið!$G$6:$G$105,(COLUMN()-7-1)/2+1)&lt;&gt;"Starfsbundið",GS36="",GS$8="",GS$7=""),"",ROUND(GS36/GS$8*GS$7*KVARDI,2))</f>
        <v/>
      </c>
      <c r="GU36" s="39"/>
      <c r="GV36" s="40" t="str">
        <f aca="false">IF(OR(INDEX(Undirviðmið!$G$6:$G$105,(COLUMN()-7-1)/2+1)&lt;&gt;"Starfsbundið",GU36="",GU$8="",GU$7=""),"",ROUND(GU36/GU$8*GU$7*KVARDI,2))</f>
        <v/>
      </c>
      <c r="GW36" s="39"/>
      <c r="GX36" s="40" t="str">
        <f aca="false">IF(OR(INDEX(Undirviðmið!$G$6:$G$105,(COLUMN()-7-1)/2+1)&lt;&gt;"Starfsbundið",GW36="",GW$8="",GW$7=""),"",ROUND(GW36/GW$8*GW$7*KVARDI,2))</f>
        <v/>
      </c>
      <c r="GZ36" s="20"/>
    </row>
    <row r="37" customFormat="false" ht="15" hidden="true" customHeight="true" outlineLevel="1" collapsed="false">
      <c r="B37" s="37" t="str">
        <f aca="false" t="array" ref="B37:B37">IFERROR(INDEX(Starfsmenn!$C$6:$C$10005,MATCH(0,COUNTIF($B$11:B36,Starfsmenn!$C$6:$C$10005)+(Starfsmenn!$C$6:$C$10005=""),0)),"")</f>
        <v/>
      </c>
      <c r="C37" s="38" t="n">
        <f aca="false">IFERROR(SUMIF($G$10:$GX$10,"Stig",$G37:$GX37),0)</f>
        <v>0</v>
      </c>
      <c r="G37" s="39"/>
      <c r="H37" s="40" t="str">
        <f aca="false">IF(OR(INDEX(Undirviðmið!$G$6:$G$105,(COLUMN()-7-1)/2+1)&lt;&gt;"Starfsbundið",G37="",G$8="",G$7=""),"",ROUND(G37/G$8*G$7*KVARDI,2))</f>
        <v/>
      </c>
      <c r="I37" s="39"/>
      <c r="J37" s="40" t="str">
        <f aca="false">IF(OR(INDEX(Undirviðmið!$G$6:$G$105,(COLUMN()-7-1)/2+1)&lt;&gt;"Starfsbundið",I37="",I$8="",I$7=""),"",ROUND(I37/I$8*I$7*KVARDI,2))</f>
        <v/>
      </c>
      <c r="K37" s="39"/>
      <c r="L37" s="40" t="str">
        <f aca="false">IF(OR(INDEX(Undirviðmið!$G$6:$G$105,(COLUMN()-7-1)/2+1)&lt;&gt;"Starfsbundið",K37="",K$8="",K$7=""),"",ROUND(K37/K$8*K$7*KVARDI,2))</f>
        <v/>
      </c>
      <c r="M37" s="39"/>
      <c r="N37" s="40" t="str">
        <f aca="false">IF(OR(INDEX(Undirviðmið!$G$6:$G$105,(COLUMN()-7-1)/2+1)&lt;&gt;"Starfsbundið",M37="",M$8="",M$7=""),"",ROUND(M37/M$8*M$7*KVARDI,2))</f>
        <v/>
      </c>
      <c r="O37" s="39"/>
      <c r="P37" s="40" t="str">
        <f aca="false">IF(OR(INDEX(Undirviðmið!$G$6:$G$105,(COLUMN()-7-1)/2+1)&lt;&gt;"Starfsbundið",O37="",O$8="",O$7=""),"",ROUND(O37/O$8*O$7*KVARDI,2))</f>
        <v/>
      </c>
      <c r="Q37" s="39"/>
      <c r="R37" s="40" t="str">
        <f aca="false">IF(OR(INDEX(Undirviðmið!$G$6:$G$105,(COLUMN()-7-1)/2+1)&lt;&gt;"Starfsbundið",Q37="",Q$8="",Q$7=""),"",ROUND(Q37/Q$8*Q$7*KVARDI,2))</f>
        <v/>
      </c>
      <c r="S37" s="39"/>
      <c r="T37" s="40" t="str">
        <f aca="false">IF(OR(INDEX(Undirviðmið!$G$6:$G$105,(COLUMN()-7-1)/2+1)&lt;&gt;"Starfsbundið",S37="",S$8="",S$7=""),"",ROUND(S37/S$8*S$7*KVARDI,2))</f>
        <v/>
      </c>
      <c r="U37" s="39"/>
      <c r="V37" s="40" t="str">
        <f aca="false">IF(OR(INDEX(Undirviðmið!$G$6:$G$105,(COLUMN()-7-1)/2+1)&lt;&gt;"Starfsbundið",U37="",U$8="",U$7=""),"",ROUND(U37/U$8*U$7*KVARDI,2))</f>
        <v/>
      </c>
      <c r="W37" s="39"/>
      <c r="X37" s="40" t="str">
        <f aca="false">IF(OR(INDEX(Undirviðmið!$G$6:$G$105,(COLUMN()-7-1)/2+1)&lt;&gt;"Starfsbundið",W37="",W$8="",W$7=""),"",ROUND(W37/W$8*W$7*KVARDI,2))</f>
        <v/>
      </c>
      <c r="Y37" s="39"/>
      <c r="Z37" s="40" t="str">
        <f aca="false">IF(OR(INDEX(Undirviðmið!$G$6:$G$105,(COLUMN()-7-1)/2+1)&lt;&gt;"Starfsbundið",Y37="",Y$8="",Y$7=""),"",ROUND(Y37/Y$8*Y$7*KVARDI,2))</f>
        <v/>
      </c>
      <c r="AA37" s="39"/>
      <c r="AB37" s="40" t="str">
        <f aca="false">IF(OR(INDEX(Undirviðmið!$G$6:$G$105,(COLUMN()-7-1)/2+1)&lt;&gt;"Starfsbundið",AA37="",AA$8="",AA$7=""),"",ROUND(AA37/AA$8*AA$7*KVARDI,2))</f>
        <v/>
      </c>
      <c r="AC37" s="39"/>
      <c r="AD37" s="40" t="str">
        <f aca="false">IF(OR(INDEX(Undirviðmið!$G$6:$G$105,(COLUMN()-7-1)/2+1)&lt;&gt;"Starfsbundið",AC37="",AC$8="",AC$7=""),"",ROUND(AC37/AC$8*AC$7*KVARDI,2))</f>
        <v/>
      </c>
      <c r="AE37" s="39"/>
      <c r="AF37" s="40" t="str">
        <f aca="false">IF(OR(INDEX(Undirviðmið!$G$6:$G$105,(COLUMN()-7-1)/2+1)&lt;&gt;"Starfsbundið",AE37="",AE$8="",AE$7=""),"",ROUND(AE37/AE$8*AE$7*KVARDI,2))</f>
        <v/>
      </c>
      <c r="AG37" s="39"/>
      <c r="AH37" s="40" t="str">
        <f aca="false">IF(OR(INDEX(Undirviðmið!$G$6:$G$105,(COLUMN()-7-1)/2+1)&lt;&gt;"Starfsbundið",AG37="",AG$8="",AG$7=""),"",ROUND(AG37/AG$8*AG$7*KVARDI,2))</f>
        <v/>
      </c>
      <c r="AI37" s="39"/>
      <c r="AJ37" s="40" t="str">
        <f aca="false">IF(OR(INDEX(Undirviðmið!$G$6:$G$105,(COLUMN()-7-1)/2+1)&lt;&gt;"Starfsbundið",AI37="",AI$8="",AI$7=""),"",ROUND(AI37/AI$8*AI$7*KVARDI,2))</f>
        <v/>
      </c>
      <c r="AK37" s="39"/>
      <c r="AL37" s="40" t="str">
        <f aca="false">IF(OR(INDEX(Undirviðmið!$G$6:$G$105,(COLUMN()-7-1)/2+1)&lt;&gt;"Starfsbundið",AK37="",AK$8="",AK$7=""),"",ROUND(AK37/AK$8*AK$7*KVARDI,2))</f>
        <v/>
      </c>
      <c r="AM37" s="39"/>
      <c r="AN37" s="40" t="str">
        <f aca="false">IF(OR(INDEX(Undirviðmið!$G$6:$G$105,(COLUMN()-7-1)/2+1)&lt;&gt;"Starfsbundið",AM37="",AM$8="",AM$7=""),"",ROUND(AM37/AM$8*AM$7*KVARDI,2))</f>
        <v/>
      </c>
      <c r="AO37" s="39"/>
      <c r="AP37" s="40" t="str">
        <f aca="false">IF(OR(INDEX(Undirviðmið!$G$6:$G$105,(COLUMN()-7-1)/2+1)&lt;&gt;"Starfsbundið",AO37="",AO$8="",AO$7=""),"",ROUND(AO37/AO$8*AO$7*KVARDI,2))</f>
        <v/>
      </c>
      <c r="AQ37" s="39"/>
      <c r="AR37" s="40" t="str">
        <f aca="false">IF(OR(INDEX(Undirviðmið!$G$6:$G$105,(COLUMN()-7-1)/2+1)&lt;&gt;"Starfsbundið",AQ37="",AQ$8="",AQ$7=""),"",ROUND(AQ37/AQ$8*AQ$7*KVARDI,2))</f>
        <v/>
      </c>
      <c r="AS37" s="39"/>
      <c r="AT37" s="40" t="str">
        <f aca="false">IF(OR(INDEX(Undirviðmið!$G$6:$G$105,(COLUMN()-7-1)/2+1)&lt;&gt;"Starfsbundið",AS37="",AS$8="",AS$7=""),"",ROUND(AS37/AS$8*AS$7*KVARDI,2))</f>
        <v/>
      </c>
      <c r="AU37" s="39"/>
      <c r="AV37" s="40" t="str">
        <f aca="false">IF(OR(INDEX(Undirviðmið!$G$6:$G$105,(COLUMN()-7-1)/2+1)&lt;&gt;"Starfsbundið",AU37="",AU$8="",AU$7=""),"",ROUND(AU37/AU$8*AU$7*KVARDI,2))</f>
        <v/>
      </c>
      <c r="AW37" s="39"/>
      <c r="AX37" s="40" t="str">
        <f aca="false">IF(OR(INDEX(Undirviðmið!$G$6:$G$105,(COLUMN()-7-1)/2+1)&lt;&gt;"Starfsbundið",AW37="",AW$8="",AW$7=""),"",ROUND(AW37/AW$8*AW$7*KVARDI,2))</f>
        <v/>
      </c>
      <c r="AY37" s="39"/>
      <c r="AZ37" s="40" t="str">
        <f aca="false">IF(OR(INDEX(Undirviðmið!$G$6:$G$105,(COLUMN()-7-1)/2+1)&lt;&gt;"Starfsbundið",AY37="",AY$8="",AY$7=""),"",ROUND(AY37/AY$8*AY$7*KVARDI,2))</f>
        <v/>
      </c>
      <c r="BA37" s="39"/>
      <c r="BB37" s="40" t="str">
        <f aca="false">IF(OR(INDEX(Undirviðmið!$G$6:$G$105,(COLUMN()-7-1)/2+1)&lt;&gt;"Starfsbundið",BA37="",BA$8="",BA$7=""),"",ROUND(BA37/BA$8*BA$7*KVARDI,2))</f>
        <v/>
      </c>
      <c r="BC37" s="39"/>
      <c r="BD37" s="40" t="str">
        <f aca="false">IF(OR(INDEX(Undirviðmið!$G$6:$G$105,(COLUMN()-7-1)/2+1)&lt;&gt;"Starfsbundið",BC37="",BC$8="",BC$7=""),"",ROUND(BC37/BC$8*BC$7*KVARDI,2))</f>
        <v/>
      </c>
      <c r="BE37" s="39"/>
      <c r="BF37" s="40" t="str">
        <f aca="false">IF(OR(INDEX(Undirviðmið!$G$6:$G$105,(COLUMN()-7-1)/2+1)&lt;&gt;"Starfsbundið",BE37="",BE$8="",BE$7=""),"",ROUND(BE37/BE$8*BE$7*KVARDI,2))</f>
        <v/>
      </c>
      <c r="BG37" s="39"/>
      <c r="BH37" s="40" t="str">
        <f aca="false">IF(OR(INDEX(Undirviðmið!$G$6:$G$105,(COLUMN()-7-1)/2+1)&lt;&gt;"Starfsbundið",BG37="",BG$8="",BG$7=""),"",ROUND(BG37/BG$8*BG$7*KVARDI,2))</f>
        <v/>
      </c>
      <c r="BI37" s="39"/>
      <c r="BJ37" s="40" t="str">
        <f aca="false">IF(OR(INDEX(Undirviðmið!$G$6:$G$105,(COLUMN()-7-1)/2+1)&lt;&gt;"Starfsbundið",BI37="",BI$8="",BI$7=""),"",ROUND(BI37/BI$8*BI$7*KVARDI,2))</f>
        <v/>
      </c>
      <c r="BK37" s="39"/>
      <c r="BL37" s="40" t="str">
        <f aca="false">IF(OR(INDEX(Undirviðmið!$G$6:$G$105,(COLUMN()-7-1)/2+1)&lt;&gt;"Starfsbundið",BK37="",BK$8="",BK$7=""),"",ROUND(BK37/BK$8*BK$7*KVARDI,2))</f>
        <v/>
      </c>
      <c r="BM37" s="39"/>
      <c r="BN37" s="40" t="str">
        <f aca="false">IF(OR(INDEX(Undirviðmið!$G$6:$G$105,(COLUMN()-7-1)/2+1)&lt;&gt;"Starfsbundið",BM37="",BM$8="",BM$7=""),"",ROUND(BM37/BM$8*BM$7*KVARDI,2))</f>
        <v/>
      </c>
      <c r="BO37" s="39"/>
      <c r="BP37" s="40" t="str">
        <f aca="false">IF(OR(INDEX(Undirviðmið!$G$6:$G$105,(COLUMN()-7-1)/2+1)&lt;&gt;"Starfsbundið",BO37="",BO$8="",BO$7=""),"",ROUND(BO37/BO$8*BO$7*KVARDI,2))</f>
        <v/>
      </c>
      <c r="BQ37" s="39"/>
      <c r="BR37" s="40" t="str">
        <f aca="false">IF(OR(INDEX(Undirviðmið!$G$6:$G$105,(COLUMN()-7-1)/2+1)&lt;&gt;"Starfsbundið",BQ37="",BQ$8="",BQ$7=""),"",ROUND(BQ37/BQ$8*BQ$7*KVARDI,2))</f>
        <v/>
      </c>
      <c r="BS37" s="39"/>
      <c r="BT37" s="40" t="str">
        <f aca="false">IF(OR(INDEX(Undirviðmið!$G$6:$G$105,(COLUMN()-7-1)/2+1)&lt;&gt;"Starfsbundið",BS37="",BS$8="",BS$7=""),"",ROUND(BS37/BS$8*BS$7*KVARDI,2))</f>
        <v/>
      </c>
      <c r="BU37" s="39"/>
      <c r="BV37" s="40" t="str">
        <f aca="false">IF(OR(INDEX(Undirviðmið!$G$6:$G$105,(COLUMN()-7-1)/2+1)&lt;&gt;"Starfsbundið",BU37="",BU$8="",BU$7=""),"",ROUND(BU37/BU$8*BU$7*KVARDI,2))</f>
        <v/>
      </c>
      <c r="BW37" s="39"/>
      <c r="BX37" s="40" t="str">
        <f aca="false">IF(OR(INDEX(Undirviðmið!$G$6:$G$105,(COLUMN()-7-1)/2+1)&lt;&gt;"Starfsbundið",BW37="",BW$8="",BW$7=""),"",ROUND(BW37/BW$8*BW$7*KVARDI,2))</f>
        <v/>
      </c>
      <c r="BY37" s="39"/>
      <c r="BZ37" s="40" t="str">
        <f aca="false">IF(OR(INDEX(Undirviðmið!$G$6:$G$105,(COLUMN()-7-1)/2+1)&lt;&gt;"Starfsbundið",BY37="",BY$8="",BY$7=""),"",ROUND(BY37/BY$8*BY$7*KVARDI,2))</f>
        <v/>
      </c>
      <c r="CA37" s="39"/>
      <c r="CB37" s="40" t="str">
        <f aca="false">IF(OR(INDEX(Undirviðmið!$G$6:$G$105,(COLUMN()-7-1)/2+1)&lt;&gt;"Starfsbundið",CA37="",CA$8="",CA$7=""),"",ROUND(CA37/CA$8*CA$7*KVARDI,2))</f>
        <v/>
      </c>
      <c r="CC37" s="39"/>
      <c r="CD37" s="40" t="str">
        <f aca="false">IF(OR(INDEX(Undirviðmið!$G$6:$G$105,(COLUMN()-7-1)/2+1)&lt;&gt;"Starfsbundið",CC37="",CC$8="",CC$7=""),"",ROUND(CC37/CC$8*CC$7*KVARDI,2))</f>
        <v/>
      </c>
      <c r="CE37" s="39"/>
      <c r="CF37" s="40" t="str">
        <f aca="false">IF(OR(INDEX(Undirviðmið!$G$6:$G$105,(COLUMN()-7-1)/2+1)&lt;&gt;"Starfsbundið",CE37="",CE$8="",CE$7=""),"",ROUND(CE37/CE$8*CE$7*KVARDI,2))</f>
        <v/>
      </c>
      <c r="CG37" s="39"/>
      <c r="CH37" s="40" t="str">
        <f aca="false">IF(OR(INDEX(Undirviðmið!$G$6:$G$105,(COLUMN()-7-1)/2+1)&lt;&gt;"Starfsbundið",CG37="",CG$8="",CG$7=""),"",ROUND(CG37/CG$8*CG$7*KVARDI,2))</f>
        <v/>
      </c>
      <c r="CI37" s="39"/>
      <c r="CJ37" s="40" t="str">
        <f aca="false">IF(OR(INDEX(Undirviðmið!$G$6:$G$105,(COLUMN()-7-1)/2+1)&lt;&gt;"Starfsbundið",CI37="",CI$8="",CI$7=""),"",ROUND(CI37/CI$8*CI$7*KVARDI,2))</f>
        <v/>
      </c>
      <c r="CK37" s="39"/>
      <c r="CL37" s="40" t="str">
        <f aca="false">IF(OR(INDEX(Undirviðmið!$G$6:$G$105,(COLUMN()-7-1)/2+1)&lt;&gt;"Starfsbundið",CK37="",CK$8="",CK$7=""),"",ROUND(CK37/CK$8*CK$7*KVARDI,2))</f>
        <v/>
      </c>
      <c r="CM37" s="39"/>
      <c r="CN37" s="40" t="str">
        <f aca="false">IF(OR(INDEX(Undirviðmið!$G$6:$G$105,(COLUMN()-7-1)/2+1)&lt;&gt;"Starfsbundið",CM37="",CM$8="",CM$7=""),"",ROUND(CM37/CM$8*CM$7*KVARDI,2))</f>
        <v/>
      </c>
      <c r="CO37" s="39"/>
      <c r="CP37" s="40" t="str">
        <f aca="false">IF(OR(INDEX(Undirviðmið!$G$6:$G$105,(COLUMN()-7-1)/2+1)&lt;&gt;"Starfsbundið",CO37="",CO$8="",CO$7=""),"",ROUND(CO37/CO$8*CO$7*KVARDI,2))</f>
        <v/>
      </c>
      <c r="CQ37" s="39"/>
      <c r="CR37" s="40" t="str">
        <f aca="false">IF(OR(INDEX(Undirviðmið!$G$6:$G$105,(COLUMN()-7-1)/2+1)&lt;&gt;"Starfsbundið",CQ37="",CQ$8="",CQ$7=""),"",ROUND(CQ37/CQ$8*CQ$7*KVARDI,2))</f>
        <v/>
      </c>
      <c r="CS37" s="39"/>
      <c r="CT37" s="40" t="str">
        <f aca="false">IF(OR(INDEX(Undirviðmið!$G$6:$G$105,(COLUMN()-7-1)/2+1)&lt;&gt;"Starfsbundið",CS37="",CS$8="",CS$7=""),"",ROUND(CS37/CS$8*CS$7*KVARDI,2))</f>
        <v/>
      </c>
      <c r="CU37" s="39"/>
      <c r="CV37" s="40" t="str">
        <f aca="false">IF(OR(INDEX(Undirviðmið!$G$6:$G$105,(COLUMN()-7-1)/2+1)&lt;&gt;"Starfsbundið",CU37="",CU$8="",CU$7=""),"",ROUND(CU37/CU$8*CU$7*KVARDI,2))</f>
        <v/>
      </c>
      <c r="CW37" s="39"/>
      <c r="CX37" s="40" t="str">
        <f aca="false">IF(OR(INDEX(Undirviðmið!$G$6:$G$105,(COLUMN()-7-1)/2+1)&lt;&gt;"Starfsbundið",CW37="",CW$8="",CW$7=""),"",ROUND(CW37/CW$8*CW$7*KVARDI,2))</f>
        <v/>
      </c>
      <c r="CY37" s="39"/>
      <c r="CZ37" s="40" t="str">
        <f aca="false">IF(OR(INDEX(Undirviðmið!$G$6:$G$105,(COLUMN()-7-1)/2+1)&lt;&gt;"Starfsbundið",CY37="",CY$8="",CY$7=""),"",ROUND(CY37/CY$8*CY$7*KVARDI,2))</f>
        <v/>
      </c>
      <c r="DA37" s="39"/>
      <c r="DB37" s="40" t="str">
        <f aca="false">IF(OR(INDEX(Undirviðmið!$G$6:$G$105,(COLUMN()-7-1)/2+1)&lt;&gt;"Starfsbundið",DA37="",DA$8="",DA$7=""),"",ROUND(DA37/DA$8*DA$7*KVARDI,2))</f>
        <v/>
      </c>
      <c r="DC37" s="39"/>
      <c r="DD37" s="40" t="str">
        <f aca="false">IF(OR(INDEX(Undirviðmið!$G$6:$G$105,(COLUMN()-7-1)/2+1)&lt;&gt;"Starfsbundið",DC37="",DC$8="",DC$7=""),"",ROUND(DC37/DC$8*DC$7*KVARDI,2))</f>
        <v/>
      </c>
      <c r="DE37" s="39"/>
      <c r="DF37" s="40" t="str">
        <f aca="false">IF(OR(INDEX(Undirviðmið!$G$6:$G$105,(COLUMN()-7-1)/2+1)&lt;&gt;"Starfsbundið",DE37="",DE$8="",DE$7=""),"",ROUND(DE37/DE$8*DE$7*KVARDI,2))</f>
        <v/>
      </c>
      <c r="DG37" s="39"/>
      <c r="DH37" s="40" t="str">
        <f aca="false">IF(OR(INDEX(Undirviðmið!$G$6:$G$105,(COLUMN()-7-1)/2+1)&lt;&gt;"Starfsbundið",DG37="",DG$8="",DG$7=""),"",ROUND(DG37/DG$8*DG$7*KVARDI,2))</f>
        <v/>
      </c>
      <c r="DI37" s="39"/>
      <c r="DJ37" s="40" t="str">
        <f aca="false">IF(OR(INDEX(Undirviðmið!$G$6:$G$105,(COLUMN()-7-1)/2+1)&lt;&gt;"Starfsbundið",DI37="",DI$8="",DI$7=""),"",ROUND(DI37/DI$8*DI$7*KVARDI,2))</f>
        <v/>
      </c>
      <c r="DK37" s="39"/>
      <c r="DL37" s="40" t="str">
        <f aca="false">IF(OR(INDEX(Undirviðmið!$G$6:$G$105,(COLUMN()-7-1)/2+1)&lt;&gt;"Starfsbundið",DK37="",DK$8="",DK$7=""),"",ROUND(DK37/DK$8*DK$7*KVARDI,2))</f>
        <v/>
      </c>
      <c r="DM37" s="39"/>
      <c r="DN37" s="40" t="str">
        <f aca="false">IF(OR(INDEX(Undirviðmið!$G$6:$G$105,(COLUMN()-7-1)/2+1)&lt;&gt;"Starfsbundið",DM37="",DM$8="",DM$7=""),"",ROUND(DM37/DM$8*DM$7*KVARDI,2))</f>
        <v/>
      </c>
      <c r="DO37" s="39"/>
      <c r="DP37" s="40" t="str">
        <f aca="false">IF(OR(INDEX(Undirviðmið!$G$6:$G$105,(COLUMN()-7-1)/2+1)&lt;&gt;"Starfsbundið",DO37="",DO$8="",DO$7=""),"",ROUND(DO37/DO$8*DO$7*KVARDI,2))</f>
        <v/>
      </c>
      <c r="DQ37" s="39"/>
      <c r="DR37" s="40" t="str">
        <f aca="false">IF(OR(INDEX(Undirviðmið!$G$6:$G$105,(COLUMN()-7-1)/2+1)&lt;&gt;"Starfsbundið",DQ37="",DQ$8="",DQ$7=""),"",ROUND(DQ37/DQ$8*DQ$7*KVARDI,2))</f>
        <v/>
      </c>
      <c r="DS37" s="39"/>
      <c r="DT37" s="40" t="str">
        <f aca="false">IF(OR(INDEX(Undirviðmið!$G$6:$G$105,(COLUMN()-7-1)/2+1)&lt;&gt;"Starfsbundið",DS37="",DS$8="",DS$7=""),"",ROUND(DS37/DS$8*DS$7*KVARDI,2))</f>
        <v/>
      </c>
      <c r="DU37" s="39"/>
      <c r="DV37" s="40" t="str">
        <f aca="false">IF(OR(INDEX(Undirviðmið!$G$6:$G$105,(COLUMN()-7-1)/2+1)&lt;&gt;"Starfsbundið",DU37="",DU$8="",DU$7=""),"",ROUND(DU37/DU$8*DU$7*KVARDI,2))</f>
        <v/>
      </c>
      <c r="DW37" s="39"/>
      <c r="DX37" s="40" t="str">
        <f aca="false">IF(OR(INDEX(Undirviðmið!$G$6:$G$105,(COLUMN()-7-1)/2+1)&lt;&gt;"Starfsbundið",DW37="",DW$8="",DW$7=""),"",ROUND(DW37/DW$8*DW$7*KVARDI,2))</f>
        <v/>
      </c>
      <c r="DY37" s="39"/>
      <c r="DZ37" s="40" t="str">
        <f aca="false">IF(OR(INDEX(Undirviðmið!$G$6:$G$105,(COLUMN()-7-1)/2+1)&lt;&gt;"Starfsbundið",DY37="",DY$8="",DY$7=""),"",ROUND(DY37/DY$8*DY$7*KVARDI,2))</f>
        <v/>
      </c>
      <c r="EA37" s="39"/>
      <c r="EB37" s="40" t="str">
        <f aca="false">IF(OR(INDEX(Undirviðmið!$G$6:$G$105,(COLUMN()-7-1)/2+1)&lt;&gt;"Starfsbundið",EA37="",EA$8="",EA$7=""),"",ROUND(EA37/EA$8*EA$7*KVARDI,2))</f>
        <v/>
      </c>
      <c r="EC37" s="39"/>
      <c r="ED37" s="40" t="str">
        <f aca="false">IF(OR(INDEX(Undirviðmið!$G$6:$G$105,(COLUMN()-7-1)/2+1)&lt;&gt;"Starfsbundið",EC37="",EC$8="",EC$7=""),"",ROUND(EC37/EC$8*EC$7*KVARDI,2))</f>
        <v/>
      </c>
      <c r="EE37" s="39"/>
      <c r="EF37" s="40" t="str">
        <f aca="false">IF(OR(INDEX(Undirviðmið!$G$6:$G$105,(COLUMN()-7-1)/2+1)&lt;&gt;"Starfsbundið",EE37="",EE$8="",EE$7=""),"",ROUND(EE37/EE$8*EE$7*KVARDI,2))</f>
        <v/>
      </c>
      <c r="EG37" s="39"/>
      <c r="EH37" s="40" t="str">
        <f aca="false">IF(OR(INDEX(Undirviðmið!$G$6:$G$105,(COLUMN()-7-1)/2+1)&lt;&gt;"Starfsbundið",EG37="",EG$8="",EG$7=""),"",ROUND(EG37/EG$8*EG$7*KVARDI,2))</f>
        <v/>
      </c>
      <c r="EI37" s="39"/>
      <c r="EJ37" s="40" t="str">
        <f aca="false">IF(OR(INDEX(Undirviðmið!$G$6:$G$105,(COLUMN()-7-1)/2+1)&lt;&gt;"Starfsbundið",EI37="",EI$8="",EI$7=""),"",ROUND(EI37/EI$8*EI$7*KVARDI,2))</f>
        <v/>
      </c>
      <c r="EK37" s="39"/>
      <c r="EL37" s="40" t="str">
        <f aca="false">IF(OR(INDEX(Undirviðmið!$G$6:$G$105,(COLUMN()-7-1)/2+1)&lt;&gt;"Starfsbundið",EK37="",EK$8="",EK$7=""),"",ROUND(EK37/EK$8*EK$7*KVARDI,2))</f>
        <v/>
      </c>
      <c r="EM37" s="39"/>
      <c r="EN37" s="40" t="str">
        <f aca="false">IF(OR(INDEX(Undirviðmið!$G$6:$G$105,(COLUMN()-7-1)/2+1)&lt;&gt;"Starfsbundið",EM37="",EM$8="",EM$7=""),"",ROUND(EM37/EM$8*EM$7*KVARDI,2))</f>
        <v/>
      </c>
      <c r="EO37" s="39"/>
      <c r="EP37" s="40" t="str">
        <f aca="false">IF(OR(INDEX(Undirviðmið!$G$6:$G$105,(COLUMN()-7-1)/2+1)&lt;&gt;"Starfsbundið",EO37="",EO$8="",EO$7=""),"",ROUND(EO37/EO$8*EO$7*KVARDI,2))</f>
        <v/>
      </c>
      <c r="EQ37" s="39"/>
      <c r="ER37" s="40" t="str">
        <f aca="false">IF(OR(INDEX(Undirviðmið!$G$6:$G$105,(COLUMN()-7-1)/2+1)&lt;&gt;"Starfsbundið",EQ37="",EQ$8="",EQ$7=""),"",ROUND(EQ37/EQ$8*EQ$7*KVARDI,2))</f>
        <v/>
      </c>
      <c r="ES37" s="39"/>
      <c r="ET37" s="40" t="str">
        <f aca="false">IF(OR(INDEX(Undirviðmið!$G$6:$G$105,(COLUMN()-7-1)/2+1)&lt;&gt;"Starfsbundið",ES37="",ES$8="",ES$7=""),"",ROUND(ES37/ES$8*ES$7*KVARDI,2))</f>
        <v/>
      </c>
      <c r="EU37" s="39"/>
      <c r="EV37" s="40" t="str">
        <f aca="false">IF(OR(INDEX(Undirviðmið!$G$6:$G$105,(COLUMN()-7-1)/2+1)&lt;&gt;"Starfsbundið",EU37="",EU$8="",EU$7=""),"",ROUND(EU37/EU$8*EU$7*KVARDI,2))</f>
        <v/>
      </c>
      <c r="EW37" s="39"/>
      <c r="EX37" s="40" t="str">
        <f aca="false">IF(OR(INDEX(Undirviðmið!$G$6:$G$105,(COLUMN()-7-1)/2+1)&lt;&gt;"Starfsbundið",EW37="",EW$8="",EW$7=""),"",ROUND(EW37/EW$8*EW$7*KVARDI,2))</f>
        <v/>
      </c>
      <c r="EY37" s="39"/>
      <c r="EZ37" s="40" t="str">
        <f aca="false">IF(OR(INDEX(Undirviðmið!$G$6:$G$105,(COLUMN()-7-1)/2+1)&lt;&gt;"Starfsbundið",EY37="",EY$8="",EY$7=""),"",ROUND(EY37/EY$8*EY$7*KVARDI,2))</f>
        <v/>
      </c>
      <c r="FA37" s="39"/>
      <c r="FB37" s="40" t="str">
        <f aca="false">IF(OR(INDEX(Undirviðmið!$G$6:$G$105,(COLUMN()-7-1)/2+1)&lt;&gt;"Starfsbundið",FA37="",FA$8="",FA$7=""),"",ROUND(FA37/FA$8*FA$7*KVARDI,2))</f>
        <v/>
      </c>
      <c r="FC37" s="39"/>
      <c r="FD37" s="40" t="str">
        <f aca="false">IF(OR(INDEX(Undirviðmið!$G$6:$G$105,(COLUMN()-7-1)/2+1)&lt;&gt;"Starfsbundið",FC37="",FC$8="",FC$7=""),"",ROUND(FC37/FC$8*FC$7*KVARDI,2))</f>
        <v/>
      </c>
      <c r="FE37" s="39"/>
      <c r="FF37" s="40" t="str">
        <f aca="false">IF(OR(INDEX(Undirviðmið!$G$6:$G$105,(COLUMN()-7-1)/2+1)&lt;&gt;"Starfsbundið",FE37="",FE$8="",FE$7=""),"",ROUND(FE37/FE$8*FE$7*KVARDI,2))</f>
        <v/>
      </c>
      <c r="FG37" s="39"/>
      <c r="FH37" s="40" t="str">
        <f aca="false">IF(OR(INDEX(Undirviðmið!$G$6:$G$105,(COLUMN()-7-1)/2+1)&lt;&gt;"Starfsbundið",FG37="",FG$8="",FG$7=""),"",ROUND(FG37/FG$8*FG$7*KVARDI,2))</f>
        <v/>
      </c>
      <c r="FI37" s="39"/>
      <c r="FJ37" s="40" t="str">
        <f aca="false">IF(OR(INDEX(Undirviðmið!$G$6:$G$105,(COLUMN()-7-1)/2+1)&lt;&gt;"Starfsbundið",FI37="",FI$8="",FI$7=""),"",ROUND(FI37/FI$8*FI$7*KVARDI,2))</f>
        <v/>
      </c>
      <c r="FK37" s="39"/>
      <c r="FL37" s="40" t="str">
        <f aca="false">IF(OR(INDEX(Undirviðmið!$G$6:$G$105,(COLUMN()-7-1)/2+1)&lt;&gt;"Starfsbundið",FK37="",FK$8="",FK$7=""),"",ROUND(FK37/FK$8*FK$7*KVARDI,2))</f>
        <v/>
      </c>
      <c r="FM37" s="39"/>
      <c r="FN37" s="40" t="str">
        <f aca="false">IF(OR(INDEX(Undirviðmið!$G$6:$G$105,(COLUMN()-7-1)/2+1)&lt;&gt;"Starfsbundið",FM37="",FM$8="",FM$7=""),"",ROUND(FM37/FM$8*FM$7*KVARDI,2))</f>
        <v/>
      </c>
      <c r="FO37" s="39"/>
      <c r="FP37" s="40" t="str">
        <f aca="false">IF(OR(INDEX(Undirviðmið!$G$6:$G$105,(COLUMN()-7-1)/2+1)&lt;&gt;"Starfsbundið",FO37="",FO$8="",FO$7=""),"",ROUND(FO37/FO$8*FO$7*KVARDI,2))</f>
        <v/>
      </c>
      <c r="FQ37" s="39"/>
      <c r="FR37" s="40" t="str">
        <f aca="false">IF(OR(INDEX(Undirviðmið!$G$6:$G$105,(COLUMN()-7-1)/2+1)&lt;&gt;"Starfsbundið",FQ37="",FQ$8="",FQ$7=""),"",ROUND(FQ37/FQ$8*FQ$7*KVARDI,2))</f>
        <v/>
      </c>
      <c r="FS37" s="39"/>
      <c r="FT37" s="40" t="str">
        <f aca="false">IF(OR(INDEX(Undirviðmið!$G$6:$G$105,(COLUMN()-7-1)/2+1)&lt;&gt;"Starfsbundið",FS37="",FS$8="",FS$7=""),"",ROUND(FS37/FS$8*FS$7*KVARDI,2))</f>
        <v/>
      </c>
      <c r="FU37" s="39"/>
      <c r="FV37" s="40" t="str">
        <f aca="false">IF(OR(INDEX(Undirviðmið!$G$6:$G$105,(COLUMN()-7-1)/2+1)&lt;&gt;"Starfsbundið",FU37="",FU$8="",FU$7=""),"",ROUND(FU37/FU$8*FU$7*KVARDI,2))</f>
        <v/>
      </c>
      <c r="FW37" s="39"/>
      <c r="FX37" s="40" t="str">
        <f aca="false">IF(OR(INDEX(Undirviðmið!$G$6:$G$105,(COLUMN()-7-1)/2+1)&lt;&gt;"Starfsbundið",FW37="",FW$8="",FW$7=""),"",ROUND(FW37/FW$8*FW$7*KVARDI,2))</f>
        <v/>
      </c>
      <c r="FY37" s="39"/>
      <c r="FZ37" s="40" t="str">
        <f aca="false">IF(OR(INDEX(Undirviðmið!$G$6:$G$105,(COLUMN()-7-1)/2+1)&lt;&gt;"Starfsbundið",FY37="",FY$8="",FY$7=""),"",ROUND(FY37/FY$8*FY$7*KVARDI,2))</f>
        <v/>
      </c>
      <c r="GA37" s="39"/>
      <c r="GB37" s="40" t="str">
        <f aca="false">IF(OR(INDEX(Undirviðmið!$G$6:$G$105,(COLUMN()-7-1)/2+1)&lt;&gt;"Starfsbundið",GA37="",GA$8="",GA$7=""),"",ROUND(GA37/GA$8*GA$7*KVARDI,2))</f>
        <v/>
      </c>
      <c r="GC37" s="39"/>
      <c r="GD37" s="40" t="str">
        <f aca="false">IF(OR(INDEX(Undirviðmið!$G$6:$G$105,(COLUMN()-7-1)/2+1)&lt;&gt;"Starfsbundið",GC37="",GC$8="",GC$7=""),"",ROUND(GC37/GC$8*GC$7*KVARDI,2))</f>
        <v/>
      </c>
      <c r="GE37" s="39"/>
      <c r="GF37" s="40" t="str">
        <f aca="false">IF(OR(INDEX(Undirviðmið!$G$6:$G$105,(COLUMN()-7-1)/2+1)&lt;&gt;"Starfsbundið",GE37="",GE$8="",GE$7=""),"",ROUND(GE37/GE$8*GE$7*KVARDI,2))</f>
        <v/>
      </c>
      <c r="GG37" s="39"/>
      <c r="GH37" s="40" t="str">
        <f aca="false">IF(OR(INDEX(Undirviðmið!$G$6:$G$105,(COLUMN()-7-1)/2+1)&lt;&gt;"Starfsbundið",GG37="",GG$8="",GG$7=""),"",ROUND(GG37/GG$8*GG$7*KVARDI,2))</f>
        <v/>
      </c>
      <c r="GI37" s="39"/>
      <c r="GJ37" s="40" t="str">
        <f aca="false">IF(OR(INDEX(Undirviðmið!$G$6:$G$105,(COLUMN()-7-1)/2+1)&lt;&gt;"Starfsbundið",GI37="",GI$8="",GI$7=""),"",ROUND(GI37/GI$8*GI$7*KVARDI,2))</f>
        <v/>
      </c>
      <c r="GK37" s="39"/>
      <c r="GL37" s="40" t="str">
        <f aca="false">IF(OR(INDEX(Undirviðmið!$G$6:$G$105,(COLUMN()-7-1)/2+1)&lt;&gt;"Starfsbundið",GK37="",GK$8="",GK$7=""),"",ROUND(GK37/GK$8*GK$7*KVARDI,2))</f>
        <v/>
      </c>
      <c r="GM37" s="39"/>
      <c r="GN37" s="40" t="str">
        <f aca="false">IF(OR(INDEX(Undirviðmið!$G$6:$G$105,(COLUMN()-7-1)/2+1)&lt;&gt;"Starfsbundið",GM37="",GM$8="",GM$7=""),"",ROUND(GM37/GM$8*GM$7*KVARDI,2))</f>
        <v/>
      </c>
      <c r="GO37" s="39"/>
      <c r="GP37" s="40" t="str">
        <f aca="false">IF(OR(INDEX(Undirviðmið!$G$6:$G$105,(COLUMN()-7-1)/2+1)&lt;&gt;"Starfsbundið",GO37="",GO$8="",GO$7=""),"",ROUND(GO37/GO$8*GO$7*KVARDI,2))</f>
        <v/>
      </c>
      <c r="GQ37" s="39"/>
      <c r="GR37" s="40" t="str">
        <f aca="false">IF(OR(INDEX(Undirviðmið!$G$6:$G$105,(COLUMN()-7-1)/2+1)&lt;&gt;"Starfsbundið",GQ37="",GQ$8="",GQ$7=""),"",ROUND(GQ37/GQ$8*GQ$7*KVARDI,2))</f>
        <v/>
      </c>
      <c r="GS37" s="39"/>
      <c r="GT37" s="40" t="str">
        <f aca="false">IF(OR(INDEX(Undirviðmið!$G$6:$G$105,(COLUMN()-7-1)/2+1)&lt;&gt;"Starfsbundið",GS37="",GS$8="",GS$7=""),"",ROUND(GS37/GS$8*GS$7*KVARDI,2))</f>
        <v/>
      </c>
      <c r="GU37" s="39"/>
      <c r="GV37" s="40" t="str">
        <f aca="false">IF(OR(INDEX(Undirviðmið!$G$6:$G$105,(COLUMN()-7-1)/2+1)&lt;&gt;"Starfsbundið",GU37="",GU$8="",GU$7=""),"",ROUND(GU37/GU$8*GU$7*KVARDI,2))</f>
        <v/>
      </c>
      <c r="GW37" s="39"/>
      <c r="GX37" s="40" t="str">
        <f aca="false">IF(OR(INDEX(Undirviðmið!$G$6:$G$105,(COLUMN()-7-1)/2+1)&lt;&gt;"Starfsbundið",GW37="",GW$8="",GW$7=""),"",ROUND(GW37/GW$8*GW$7*KVARDI,2))</f>
        <v/>
      </c>
      <c r="GZ37" s="20"/>
    </row>
    <row r="38" customFormat="false" ht="15" hidden="true" customHeight="true" outlineLevel="1" collapsed="false">
      <c r="B38" s="37" t="str">
        <f aca="false" t="array" ref="B38:B38">IFERROR(INDEX(Starfsmenn!$C$6:$C$10005,MATCH(0,COUNTIF($B$11:B37,Starfsmenn!$C$6:$C$10005)+(Starfsmenn!$C$6:$C$10005=""),0)),"")</f>
        <v/>
      </c>
      <c r="C38" s="38" t="n">
        <f aca="false">IFERROR(SUMIF($G$10:$GX$10,"Stig",$G38:$GX38),0)</f>
        <v>0</v>
      </c>
      <c r="G38" s="39"/>
      <c r="H38" s="40" t="str">
        <f aca="false">IF(OR(INDEX(Undirviðmið!$G$6:$G$105,(COLUMN()-7-1)/2+1)&lt;&gt;"Starfsbundið",G38="",G$8="",G$7=""),"",ROUND(G38/G$8*G$7*KVARDI,2))</f>
        <v/>
      </c>
      <c r="I38" s="39"/>
      <c r="J38" s="40" t="str">
        <f aca="false">IF(OR(INDEX(Undirviðmið!$G$6:$G$105,(COLUMN()-7-1)/2+1)&lt;&gt;"Starfsbundið",I38="",I$8="",I$7=""),"",ROUND(I38/I$8*I$7*KVARDI,2))</f>
        <v/>
      </c>
      <c r="K38" s="39"/>
      <c r="L38" s="40" t="str">
        <f aca="false">IF(OR(INDEX(Undirviðmið!$G$6:$G$105,(COLUMN()-7-1)/2+1)&lt;&gt;"Starfsbundið",K38="",K$8="",K$7=""),"",ROUND(K38/K$8*K$7*KVARDI,2))</f>
        <v/>
      </c>
      <c r="M38" s="39"/>
      <c r="N38" s="40" t="str">
        <f aca="false">IF(OR(INDEX(Undirviðmið!$G$6:$G$105,(COLUMN()-7-1)/2+1)&lt;&gt;"Starfsbundið",M38="",M$8="",M$7=""),"",ROUND(M38/M$8*M$7*KVARDI,2))</f>
        <v/>
      </c>
      <c r="O38" s="39"/>
      <c r="P38" s="40" t="str">
        <f aca="false">IF(OR(INDEX(Undirviðmið!$G$6:$G$105,(COLUMN()-7-1)/2+1)&lt;&gt;"Starfsbundið",O38="",O$8="",O$7=""),"",ROUND(O38/O$8*O$7*KVARDI,2))</f>
        <v/>
      </c>
      <c r="Q38" s="39"/>
      <c r="R38" s="40" t="str">
        <f aca="false">IF(OR(INDEX(Undirviðmið!$G$6:$G$105,(COLUMN()-7-1)/2+1)&lt;&gt;"Starfsbundið",Q38="",Q$8="",Q$7=""),"",ROUND(Q38/Q$8*Q$7*KVARDI,2))</f>
        <v/>
      </c>
      <c r="S38" s="39"/>
      <c r="T38" s="40" t="str">
        <f aca="false">IF(OR(INDEX(Undirviðmið!$G$6:$G$105,(COLUMN()-7-1)/2+1)&lt;&gt;"Starfsbundið",S38="",S$8="",S$7=""),"",ROUND(S38/S$8*S$7*KVARDI,2))</f>
        <v/>
      </c>
      <c r="U38" s="39"/>
      <c r="V38" s="40" t="str">
        <f aca="false">IF(OR(INDEX(Undirviðmið!$G$6:$G$105,(COLUMN()-7-1)/2+1)&lt;&gt;"Starfsbundið",U38="",U$8="",U$7=""),"",ROUND(U38/U$8*U$7*KVARDI,2))</f>
        <v/>
      </c>
      <c r="W38" s="39"/>
      <c r="X38" s="40" t="str">
        <f aca="false">IF(OR(INDEX(Undirviðmið!$G$6:$G$105,(COLUMN()-7-1)/2+1)&lt;&gt;"Starfsbundið",W38="",W$8="",W$7=""),"",ROUND(W38/W$8*W$7*KVARDI,2))</f>
        <v/>
      </c>
      <c r="Y38" s="39"/>
      <c r="Z38" s="40" t="str">
        <f aca="false">IF(OR(INDEX(Undirviðmið!$G$6:$G$105,(COLUMN()-7-1)/2+1)&lt;&gt;"Starfsbundið",Y38="",Y$8="",Y$7=""),"",ROUND(Y38/Y$8*Y$7*KVARDI,2))</f>
        <v/>
      </c>
      <c r="AA38" s="39"/>
      <c r="AB38" s="40" t="str">
        <f aca="false">IF(OR(INDEX(Undirviðmið!$G$6:$G$105,(COLUMN()-7-1)/2+1)&lt;&gt;"Starfsbundið",AA38="",AA$8="",AA$7=""),"",ROUND(AA38/AA$8*AA$7*KVARDI,2))</f>
        <v/>
      </c>
      <c r="AC38" s="39"/>
      <c r="AD38" s="40" t="str">
        <f aca="false">IF(OR(INDEX(Undirviðmið!$G$6:$G$105,(COLUMN()-7-1)/2+1)&lt;&gt;"Starfsbundið",AC38="",AC$8="",AC$7=""),"",ROUND(AC38/AC$8*AC$7*KVARDI,2))</f>
        <v/>
      </c>
      <c r="AE38" s="39"/>
      <c r="AF38" s="40" t="str">
        <f aca="false">IF(OR(INDEX(Undirviðmið!$G$6:$G$105,(COLUMN()-7-1)/2+1)&lt;&gt;"Starfsbundið",AE38="",AE$8="",AE$7=""),"",ROUND(AE38/AE$8*AE$7*KVARDI,2))</f>
        <v/>
      </c>
      <c r="AG38" s="39"/>
      <c r="AH38" s="40" t="str">
        <f aca="false">IF(OR(INDEX(Undirviðmið!$G$6:$G$105,(COLUMN()-7-1)/2+1)&lt;&gt;"Starfsbundið",AG38="",AG$8="",AG$7=""),"",ROUND(AG38/AG$8*AG$7*KVARDI,2))</f>
        <v/>
      </c>
      <c r="AI38" s="39"/>
      <c r="AJ38" s="40" t="str">
        <f aca="false">IF(OR(INDEX(Undirviðmið!$G$6:$G$105,(COLUMN()-7-1)/2+1)&lt;&gt;"Starfsbundið",AI38="",AI$8="",AI$7=""),"",ROUND(AI38/AI$8*AI$7*KVARDI,2))</f>
        <v/>
      </c>
      <c r="AK38" s="39"/>
      <c r="AL38" s="40" t="str">
        <f aca="false">IF(OR(INDEX(Undirviðmið!$G$6:$G$105,(COLUMN()-7-1)/2+1)&lt;&gt;"Starfsbundið",AK38="",AK$8="",AK$7=""),"",ROUND(AK38/AK$8*AK$7*KVARDI,2))</f>
        <v/>
      </c>
      <c r="AM38" s="39"/>
      <c r="AN38" s="40" t="str">
        <f aca="false">IF(OR(INDEX(Undirviðmið!$G$6:$G$105,(COLUMN()-7-1)/2+1)&lt;&gt;"Starfsbundið",AM38="",AM$8="",AM$7=""),"",ROUND(AM38/AM$8*AM$7*KVARDI,2))</f>
        <v/>
      </c>
      <c r="AO38" s="39"/>
      <c r="AP38" s="40" t="str">
        <f aca="false">IF(OR(INDEX(Undirviðmið!$G$6:$G$105,(COLUMN()-7-1)/2+1)&lt;&gt;"Starfsbundið",AO38="",AO$8="",AO$7=""),"",ROUND(AO38/AO$8*AO$7*KVARDI,2))</f>
        <v/>
      </c>
      <c r="AQ38" s="39"/>
      <c r="AR38" s="40" t="str">
        <f aca="false">IF(OR(INDEX(Undirviðmið!$G$6:$G$105,(COLUMN()-7-1)/2+1)&lt;&gt;"Starfsbundið",AQ38="",AQ$8="",AQ$7=""),"",ROUND(AQ38/AQ$8*AQ$7*KVARDI,2))</f>
        <v/>
      </c>
      <c r="AS38" s="39"/>
      <c r="AT38" s="40" t="str">
        <f aca="false">IF(OR(INDEX(Undirviðmið!$G$6:$G$105,(COLUMN()-7-1)/2+1)&lt;&gt;"Starfsbundið",AS38="",AS$8="",AS$7=""),"",ROUND(AS38/AS$8*AS$7*KVARDI,2))</f>
        <v/>
      </c>
      <c r="AU38" s="39"/>
      <c r="AV38" s="40" t="str">
        <f aca="false">IF(OR(INDEX(Undirviðmið!$G$6:$G$105,(COLUMN()-7-1)/2+1)&lt;&gt;"Starfsbundið",AU38="",AU$8="",AU$7=""),"",ROUND(AU38/AU$8*AU$7*KVARDI,2))</f>
        <v/>
      </c>
      <c r="AW38" s="39"/>
      <c r="AX38" s="40" t="str">
        <f aca="false">IF(OR(INDEX(Undirviðmið!$G$6:$G$105,(COLUMN()-7-1)/2+1)&lt;&gt;"Starfsbundið",AW38="",AW$8="",AW$7=""),"",ROUND(AW38/AW$8*AW$7*KVARDI,2))</f>
        <v/>
      </c>
      <c r="AY38" s="39"/>
      <c r="AZ38" s="40" t="str">
        <f aca="false">IF(OR(INDEX(Undirviðmið!$G$6:$G$105,(COLUMN()-7-1)/2+1)&lt;&gt;"Starfsbundið",AY38="",AY$8="",AY$7=""),"",ROUND(AY38/AY$8*AY$7*KVARDI,2))</f>
        <v/>
      </c>
      <c r="BA38" s="39"/>
      <c r="BB38" s="40" t="str">
        <f aca="false">IF(OR(INDEX(Undirviðmið!$G$6:$G$105,(COLUMN()-7-1)/2+1)&lt;&gt;"Starfsbundið",BA38="",BA$8="",BA$7=""),"",ROUND(BA38/BA$8*BA$7*KVARDI,2))</f>
        <v/>
      </c>
      <c r="BC38" s="39"/>
      <c r="BD38" s="40" t="str">
        <f aca="false">IF(OR(INDEX(Undirviðmið!$G$6:$G$105,(COLUMN()-7-1)/2+1)&lt;&gt;"Starfsbundið",BC38="",BC$8="",BC$7=""),"",ROUND(BC38/BC$8*BC$7*KVARDI,2))</f>
        <v/>
      </c>
      <c r="BE38" s="39"/>
      <c r="BF38" s="40" t="str">
        <f aca="false">IF(OR(INDEX(Undirviðmið!$G$6:$G$105,(COLUMN()-7-1)/2+1)&lt;&gt;"Starfsbundið",BE38="",BE$8="",BE$7=""),"",ROUND(BE38/BE$8*BE$7*KVARDI,2))</f>
        <v/>
      </c>
      <c r="BG38" s="39"/>
      <c r="BH38" s="40" t="str">
        <f aca="false">IF(OR(INDEX(Undirviðmið!$G$6:$G$105,(COLUMN()-7-1)/2+1)&lt;&gt;"Starfsbundið",BG38="",BG$8="",BG$7=""),"",ROUND(BG38/BG$8*BG$7*KVARDI,2))</f>
        <v/>
      </c>
      <c r="BI38" s="39"/>
      <c r="BJ38" s="40" t="str">
        <f aca="false">IF(OR(INDEX(Undirviðmið!$G$6:$G$105,(COLUMN()-7-1)/2+1)&lt;&gt;"Starfsbundið",BI38="",BI$8="",BI$7=""),"",ROUND(BI38/BI$8*BI$7*KVARDI,2))</f>
        <v/>
      </c>
      <c r="BK38" s="39"/>
      <c r="BL38" s="40" t="str">
        <f aca="false">IF(OR(INDEX(Undirviðmið!$G$6:$G$105,(COLUMN()-7-1)/2+1)&lt;&gt;"Starfsbundið",BK38="",BK$8="",BK$7=""),"",ROUND(BK38/BK$8*BK$7*KVARDI,2))</f>
        <v/>
      </c>
      <c r="BM38" s="39"/>
      <c r="BN38" s="40" t="str">
        <f aca="false">IF(OR(INDEX(Undirviðmið!$G$6:$G$105,(COLUMN()-7-1)/2+1)&lt;&gt;"Starfsbundið",BM38="",BM$8="",BM$7=""),"",ROUND(BM38/BM$8*BM$7*KVARDI,2))</f>
        <v/>
      </c>
      <c r="BO38" s="39"/>
      <c r="BP38" s="40" t="str">
        <f aca="false">IF(OR(INDEX(Undirviðmið!$G$6:$G$105,(COLUMN()-7-1)/2+1)&lt;&gt;"Starfsbundið",BO38="",BO$8="",BO$7=""),"",ROUND(BO38/BO$8*BO$7*KVARDI,2))</f>
        <v/>
      </c>
      <c r="BQ38" s="39"/>
      <c r="BR38" s="40" t="str">
        <f aca="false">IF(OR(INDEX(Undirviðmið!$G$6:$G$105,(COLUMN()-7-1)/2+1)&lt;&gt;"Starfsbundið",BQ38="",BQ$8="",BQ$7=""),"",ROUND(BQ38/BQ$8*BQ$7*KVARDI,2))</f>
        <v/>
      </c>
      <c r="BS38" s="39"/>
      <c r="BT38" s="40" t="str">
        <f aca="false">IF(OR(INDEX(Undirviðmið!$G$6:$G$105,(COLUMN()-7-1)/2+1)&lt;&gt;"Starfsbundið",BS38="",BS$8="",BS$7=""),"",ROUND(BS38/BS$8*BS$7*KVARDI,2))</f>
        <v/>
      </c>
      <c r="BU38" s="39"/>
      <c r="BV38" s="40" t="str">
        <f aca="false">IF(OR(INDEX(Undirviðmið!$G$6:$G$105,(COLUMN()-7-1)/2+1)&lt;&gt;"Starfsbundið",BU38="",BU$8="",BU$7=""),"",ROUND(BU38/BU$8*BU$7*KVARDI,2))</f>
        <v/>
      </c>
      <c r="BW38" s="39"/>
      <c r="BX38" s="40" t="str">
        <f aca="false">IF(OR(INDEX(Undirviðmið!$G$6:$G$105,(COLUMN()-7-1)/2+1)&lt;&gt;"Starfsbundið",BW38="",BW$8="",BW$7=""),"",ROUND(BW38/BW$8*BW$7*KVARDI,2))</f>
        <v/>
      </c>
      <c r="BY38" s="39"/>
      <c r="BZ38" s="40" t="str">
        <f aca="false">IF(OR(INDEX(Undirviðmið!$G$6:$G$105,(COLUMN()-7-1)/2+1)&lt;&gt;"Starfsbundið",BY38="",BY$8="",BY$7=""),"",ROUND(BY38/BY$8*BY$7*KVARDI,2))</f>
        <v/>
      </c>
      <c r="CA38" s="39"/>
      <c r="CB38" s="40" t="str">
        <f aca="false">IF(OR(INDEX(Undirviðmið!$G$6:$G$105,(COLUMN()-7-1)/2+1)&lt;&gt;"Starfsbundið",CA38="",CA$8="",CA$7=""),"",ROUND(CA38/CA$8*CA$7*KVARDI,2))</f>
        <v/>
      </c>
      <c r="CC38" s="39"/>
      <c r="CD38" s="40" t="str">
        <f aca="false">IF(OR(INDEX(Undirviðmið!$G$6:$G$105,(COLUMN()-7-1)/2+1)&lt;&gt;"Starfsbundið",CC38="",CC$8="",CC$7=""),"",ROUND(CC38/CC$8*CC$7*KVARDI,2))</f>
        <v/>
      </c>
      <c r="CE38" s="39"/>
      <c r="CF38" s="40" t="str">
        <f aca="false">IF(OR(INDEX(Undirviðmið!$G$6:$G$105,(COLUMN()-7-1)/2+1)&lt;&gt;"Starfsbundið",CE38="",CE$8="",CE$7=""),"",ROUND(CE38/CE$8*CE$7*KVARDI,2))</f>
        <v/>
      </c>
      <c r="CG38" s="39"/>
      <c r="CH38" s="40" t="str">
        <f aca="false">IF(OR(INDEX(Undirviðmið!$G$6:$G$105,(COLUMN()-7-1)/2+1)&lt;&gt;"Starfsbundið",CG38="",CG$8="",CG$7=""),"",ROUND(CG38/CG$8*CG$7*KVARDI,2))</f>
        <v/>
      </c>
      <c r="CI38" s="39"/>
      <c r="CJ38" s="40" t="str">
        <f aca="false">IF(OR(INDEX(Undirviðmið!$G$6:$G$105,(COLUMN()-7-1)/2+1)&lt;&gt;"Starfsbundið",CI38="",CI$8="",CI$7=""),"",ROUND(CI38/CI$8*CI$7*KVARDI,2))</f>
        <v/>
      </c>
      <c r="CK38" s="39"/>
      <c r="CL38" s="40" t="str">
        <f aca="false">IF(OR(INDEX(Undirviðmið!$G$6:$G$105,(COLUMN()-7-1)/2+1)&lt;&gt;"Starfsbundið",CK38="",CK$8="",CK$7=""),"",ROUND(CK38/CK$8*CK$7*KVARDI,2))</f>
        <v/>
      </c>
      <c r="CM38" s="39"/>
      <c r="CN38" s="40" t="str">
        <f aca="false">IF(OR(INDEX(Undirviðmið!$G$6:$G$105,(COLUMN()-7-1)/2+1)&lt;&gt;"Starfsbundið",CM38="",CM$8="",CM$7=""),"",ROUND(CM38/CM$8*CM$7*KVARDI,2))</f>
        <v/>
      </c>
      <c r="CO38" s="39"/>
      <c r="CP38" s="40" t="str">
        <f aca="false">IF(OR(INDEX(Undirviðmið!$G$6:$G$105,(COLUMN()-7-1)/2+1)&lt;&gt;"Starfsbundið",CO38="",CO$8="",CO$7=""),"",ROUND(CO38/CO$8*CO$7*KVARDI,2))</f>
        <v/>
      </c>
      <c r="CQ38" s="39"/>
      <c r="CR38" s="40" t="str">
        <f aca="false">IF(OR(INDEX(Undirviðmið!$G$6:$G$105,(COLUMN()-7-1)/2+1)&lt;&gt;"Starfsbundið",CQ38="",CQ$8="",CQ$7=""),"",ROUND(CQ38/CQ$8*CQ$7*KVARDI,2))</f>
        <v/>
      </c>
      <c r="CS38" s="39"/>
      <c r="CT38" s="40" t="str">
        <f aca="false">IF(OR(INDEX(Undirviðmið!$G$6:$G$105,(COLUMN()-7-1)/2+1)&lt;&gt;"Starfsbundið",CS38="",CS$8="",CS$7=""),"",ROUND(CS38/CS$8*CS$7*KVARDI,2))</f>
        <v/>
      </c>
      <c r="CU38" s="39"/>
      <c r="CV38" s="40" t="str">
        <f aca="false">IF(OR(INDEX(Undirviðmið!$G$6:$G$105,(COLUMN()-7-1)/2+1)&lt;&gt;"Starfsbundið",CU38="",CU$8="",CU$7=""),"",ROUND(CU38/CU$8*CU$7*KVARDI,2))</f>
        <v/>
      </c>
      <c r="CW38" s="39"/>
      <c r="CX38" s="40" t="str">
        <f aca="false">IF(OR(INDEX(Undirviðmið!$G$6:$G$105,(COLUMN()-7-1)/2+1)&lt;&gt;"Starfsbundið",CW38="",CW$8="",CW$7=""),"",ROUND(CW38/CW$8*CW$7*KVARDI,2))</f>
        <v/>
      </c>
      <c r="CY38" s="39"/>
      <c r="CZ38" s="40" t="str">
        <f aca="false">IF(OR(INDEX(Undirviðmið!$G$6:$G$105,(COLUMN()-7-1)/2+1)&lt;&gt;"Starfsbundið",CY38="",CY$8="",CY$7=""),"",ROUND(CY38/CY$8*CY$7*KVARDI,2))</f>
        <v/>
      </c>
      <c r="DA38" s="39"/>
      <c r="DB38" s="40" t="str">
        <f aca="false">IF(OR(INDEX(Undirviðmið!$G$6:$G$105,(COLUMN()-7-1)/2+1)&lt;&gt;"Starfsbundið",DA38="",DA$8="",DA$7=""),"",ROUND(DA38/DA$8*DA$7*KVARDI,2))</f>
        <v/>
      </c>
      <c r="DC38" s="39"/>
      <c r="DD38" s="40" t="str">
        <f aca="false">IF(OR(INDEX(Undirviðmið!$G$6:$G$105,(COLUMN()-7-1)/2+1)&lt;&gt;"Starfsbundið",DC38="",DC$8="",DC$7=""),"",ROUND(DC38/DC$8*DC$7*KVARDI,2))</f>
        <v/>
      </c>
      <c r="DE38" s="39"/>
      <c r="DF38" s="40" t="str">
        <f aca="false">IF(OR(INDEX(Undirviðmið!$G$6:$G$105,(COLUMN()-7-1)/2+1)&lt;&gt;"Starfsbundið",DE38="",DE$8="",DE$7=""),"",ROUND(DE38/DE$8*DE$7*KVARDI,2))</f>
        <v/>
      </c>
      <c r="DG38" s="39"/>
      <c r="DH38" s="40" t="str">
        <f aca="false">IF(OR(INDEX(Undirviðmið!$G$6:$G$105,(COLUMN()-7-1)/2+1)&lt;&gt;"Starfsbundið",DG38="",DG$8="",DG$7=""),"",ROUND(DG38/DG$8*DG$7*KVARDI,2))</f>
        <v/>
      </c>
      <c r="DI38" s="39"/>
      <c r="DJ38" s="40" t="str">
        <f aca="false">IF(OR(INDEX(Undirviðmið!$G$6:$G$105,(COLUMN()-7-1)/2+1)&lt;&gt;"Starfsbundið",DI38="",DI$8="",DI$7=""),"",ROUND(DI38/DI$8*DI$7*KVARDI,2))</f>
        <v/>
      </c>
      <c r="DK38" s="39"/>
      <c r="DL38" s="40" t="str">
        <f aca="false">IF(OR(INDEX(Undirviðmið!$G$6:$G$105,(COLUMN()-7-1)/2+1)&lt;&gt;"Starfsbundið",DK38="",DK$8="",DK$7=""),"",ROUND(DK38/DK$8*DK$7*KVARDI,2))</f>
        <v/>
      </c>
      <c r="DM38" s="39"/>
      <c r="DN38" s="40" t="str">
        <f aca="false">IF(OR(INDEX(Undirviðmið!$G$6:$G$105,(COLUMN()-7-1)/2+1)&lt;&gt;"Starfsbundið",DM38="",DM$8="",DM$7=""),"",ROUND(DM38/DM$8*DM$7*KVARDI,2))</f>
        <v/>
      </c>
      <c r="DO38" s="39"/>
      <c r="DP38" s="40" t="str">
        <f aca="false">IF(OR(INDEX(Undirviðmið!$G$6:$G$105,(COLUMN()-7-1)/2+1)&lt;&gt;"Starfsbundið",DO38="",DO$8="",DO$7=""),"",ROUND(DO38/DO$8*DO$7*KVARDI,2))</f>
        <v/>
      </c>
      <c r="DQ38" s="39"/>
      <c r="DR38" s="40" t="str">
        <f aca="false">IF(OR(INDEX(Undirviðmið!$G$6:$G$105,(COLUMN()-7-1)/2+1)&lt;&gt;"Starfsbundið",DQ38="",DQ$8="",DQ$7=""),"",ROUND(DQ38/DQ$8*DQ$7*KVARDI,2))</f>
        <v/>
      </c>
      <c r="DS38" s="39"/>
      <c r="DT38" s="40" t="str">
        <f aca="false">IF(OR(INDEX(Undirviðmið!$G$6:$G$105,(COLUMN()-7-1)/2+1)&lt;&gt;"Starfsbundið",DS38="",DS$8="",DS$7=""),"",ROUND(DS38/DS$8*DS$7*KVARDI,2))</f>
        <v/>
      </c>
      <c r="DU38" s="39"/>
      <c r="DV38" s="40" t="str">
        <f aca="false">IF(OR(INDEX(Undirviðmið!$G$6:$G$105,(COLUMN()-7-1)/2+1)&lt;&gt;"Starfsbundið",DU38="",DU$8="",DU$7=""),"",ROUND(DU38/DU$8*DU$7*KVARDI,2))</f>
        <v/>
      </c>
      <c r="DW38" s="39"/>
      <c r="DX38" s="40" t="str">
        <f aca="false">IF(OR(INDEX(Undirviðmið!$G$6:$G$105,(COLUMN()-7-1)/2+1)&lt;&gt;"Starfsbundið",DW38="",DW$8="",DW$7=""),"",ROUND(DW38/DW$8*DW$7*KVARDI,2))</f>
        <v/>
      </c>
      <c r="DY38" s="39"/>
      <c r="DZ38" s="40" t="str">
        <f aca="false">IF(OR(INDEX(Undirviðmið!$G$6:$G$105,(COLUMN()-7-1)/2+1)&lt;&gt;"Starfsbundið",DY38="",DY$8="",DY$7=""),"",ROUND(DY38/DY$8*DY$7*KVARDI,2))</f>
        <v/>
      </c>
      <c r="EA38" s="39"/>
      <c r="EB38" s="40" t="str">
        <f aca="false">IF(OR(INDEX(Undirviðmið!$G$6:$G$105,(COLUMN()-7-1)/2+1)&lt;&gt;"Starfsbundið",EA38="",EA$8="",EA$7=""),"",ROUND(EA38/EA$8*EA$7*KVARDI,2))</f>
        <v/>
      </c>
      <c r="EC38" s="39"/>
      <c r="ED38" s="40" t="str">
        <f aca="false">IF(OR(INDEX(Undirviðmið!$G$6:$G$105,(COLUMN()-7-1)/2+1)&lt;&gt;"Starfsbundið",EC38="",EC$8="",EC$7=""),"",ROUND(EC38/EC$8*EC$7*KVARDI,2))</f>
        <v/>
      </c>
      <c r="EE38" s="39"/>
      <c r="EF38" s="40" t="str">
        <f aca="false">IF(OR(INDEX(Undirviðmið!$G$6:$G$105,(COLUMN()-7-1)/2+1)&lt;&gt;"Starfsbundið",EE38="",EE$8="",EE$7=""),"",ROUND(EE38/EE$8*EE$7*KVARDI,2))</f>
        <v/>
      </c>
      <c r="EG38" s="39"/>
      <c r="EH38" s="40" t="str">
        <f aca="false">IF(OR(INDEX(Undirviðmið!$G$6:$G$105,(COLUMN()-7-1)/2+1)&lt;&gt;"Starfsbundið",EG38="",EG$8="",EG$7=""),"",ROUND(EG38/EG$8*EG$7*KVARDI,2))</f>
        <v/>
      </c>
      <c r="EI38" s="39"/>
      <c r="EJ38" s="40" t="str">
        <f aca="false">IF(OR(INDEX(Undirviðmið!$G$6:$G$105,(COLUMN()-7-1)/2+1)&lt;&gt;"Starfsbundið",EI38="",EI$8="",EI$7=""),"",ROUND(EI38/EI$8*EI$7*KVARDI,2))</f>
        <v/>
      </c>
      <c r="EK38" s="39"/>
      <c r="EL38" s="40" t="str">
        <f aca="false">IF(OR(INDEX(Undirviðmið!$G$6:$G$105,(COLUMN()-7-1)/2+1)&lt;&gt;"Starfsbundið",EK38="",EK$8="",EK$7=""),"",ROUND(EK38/EK$8*EK$7*KVARDI,2))</f>
        <v/>
      </c>
      <c r="EM38" s="39"/>
      <c r="EN38" s="40" t="str">
        <f aca="false">IF(OR(INDEX(Undirviðmið!$G$6:$G$105,(COLUMN()-7-1)/2+1)&lt;&gt;"Starfsbundið",EM38="",EM$8="",EM$7=""),"",ROUND(EM38/EM$8*EM$7*KVARDI,2))</f>
        <v/>
      </c>
      <c r="EO38" s="39"/>
      <c r="EP38" s="40" t="str">
        <f aca="false">IF(OR(INDEX(Undirviðmið!$G$6:$G$105,(COLUMN()-7-1)/2+1)&lt;&gt;"Starfsbundið",EO38="",EO$8="",EO$7=""),"",ROUND(EO38/EO$8*EO$7*KVARDI,2))</f>
        <v/>
      </c>
      <c r="EQ38" s="39"/>
      <c r="ER38" s="40" t="str">
        <f aca="false">IF(OR(INDEX(Undirviðmið!$G$6:$G$105,(COLUMN()-7-1)/2+1)&lt;&gt;"Starfsbundið",EQ38="",EQ$8="",EQ$7=""),"",ROUND(EQ38/EQ$8*EQ$7*KVARDI,2))</f>
        <v/>
      </c>
      <c r="ES38" s="39"/>
      <c r="ET38" s="40" t="str">
        <f aca="false">IF(OR(INDEX(Undirviðmið!$G$6:$G$105,(COLUMN()-7-1)/2+1)&lt;&gt;"Starfsbundið",ES38="",ES$8="",ES$7=""),"",ROUND(ES38/ES$8*ES$7*KVARDI,2))</f>
        <v/>
      </c>
      <c r="EU38" s="39"/>
      <c r="EV38" s="40" t="str">
        <f aca="false">IF(OR(INDEX(Undirviðmið!$G$6:$G$105,(COLUMN()-7-1)/2+1)&lt;&gt;"Starfsbundið",EU38="",EU$8="",EU$7=""),"",ROUND(EU38/EU$8*EU$7*KVARDI,2))</f>
        <v/>
      </c>
      <c r="EW38" s="39"/>
      <c r="EX38" s="40" t="str">
        <f aca="false">IF(OR(INDEX(Undirviðmið!$G$6:$G$105,(COLUMN()-7-1)/2+1)&lt;&gt;"Starfsbundið",EW38="",EW$8="",EW$7=""),"",ROUND(EW38/EW$8*EW$7*KVARDI,2))</f>
        <v/>
      </c>
      <c r="EY38" s="39"/>
      <c r="EZ38" s="40" t="str">
        <f aca="false">IF(OR(INDEX(Undirviðmið!$G$6:$G$105,(COLUMN()-7-1)/2+1)&lt;&gt;"Starfsbundið",EY38="",EY$8="",EY$7=""),"",ROUND(EY38/EY$8*EY$7*KVARDI,2))</f>
        <v/>
      </c>
      <c r="FA38" s="39"/>
      <c r="FB38" s="40" t="str">
        <f aca="false">IF(OR(INDEX(Undirviðmið!$G$6:$G$105,(COLUMN()-7-1)/2+1)&lt;&gt;"Starfsbundið",FA38="",FA$8="",FA$7=""),"",ROUND(FA38/FA$8*FA$7*KVARDI,2))</f>
        <v/>
      </c>
      <c r="FC38" s="39"/>
      <c r="FD38" s="40" t="str">
        <f aca="false">IF(OR(INDEX(Undirviðmið!$G$6:$G$105,(COLUMN()-7-1)/2+1)&lt;&gt;"Starfsbundið",FC38="",FC$8="",FC$7=""),"",ROUND(FC38/FC$8*FC$7*KVARDI,2))</f>
        <v/>
      </c>
      <c r="FE38" s="39"/>
      <c r="FF38" s="40" t="str">
        <f aca="false">IF(OR(INDEX(Undirviðmið!$G$6:$G$105,(COLUMN()-7-1)/2+1)&lt;&gt;"Starfsbundið",FE38="",FE$8="",FE$7=""),"",ROUND(FE38/FE$8*FE$7*KVARDI,2))</f>
        <v/>
      </c>
      <c r="FG38" s="39"/>
      <c r="FH38" s="40" t="str">
        <f aca="false">IF(OR(INDEX(Undirviðmið!$G$6:$G$105,(COLUMN()-7-1)/2+1)&lt;&gt;"Starfsbundið",FG38="",FG$8="",FG$7=""),"",ROUND(FG38/FG$8*FG$7*KVARDI,2))</f>
        <v/>
      </c>
      <c r="FI38" s="39"/>
      <c r="FJ38" s="40" t="str">
        <f aca="false">IF(OR(INDEX(Undirviðmið!$G$6:$G$105,(COLUMN()-7-1)/2+1)&lt;&gt;"Starfsbundið",FI38="",FI$8="",FI$7=""),"",ROUND(FI38/FI$8*FI$7*KVARDI,2))</f>
        <v/>
      </c>
      <c r="FK38" s="39"/>
      <c r="FL38" s="40" t="str">
        <f aca="false">IF(OR(INDEX(Undirviðmið!$G$6:$G$105,(COLUMN()-7-1)/2+1)&lt;&gt;"Starfsbundið",FK38="",FK$8="",FK$7=""),"",ROUND(FK38/FK$8*FK$7*KVARDI,2))</f>
        <v/>
      </c>
      <c r="FM38" s="39"/>
      <c r="FN38" s="40" t="str">
        <f aca="false">IF(OR(INDEX(Undirviðmið!$G$6:$G$105,(COLUMN()-7-1)/2+1)&lt;&gt;"Starfsbundið",FM38="",FM$8="",FM$7=""),"",ROUND(FM38/FM$8*FM$7*KVARDI,2))</f>
        <v/>
      </c>
      <c r="FO38" s="39"/>
      <c r="FP38" s="40" t="str">
        <f aca="false">IF(OR(INDEX(Undirviðmið!$G$6:$G$105,(COLUMN()-7-1)/2+1)&lt;&gt;"Starfsbundið",FO38="",FO$8="",FO$7=""),"",ROUND(FO38/FO$8*FO$7*KVARDI,2))</f>
        <v/>
      </c>
      <c r="FQ38" s="39"/>
      <c r="FR38" s="40" t="str">
        <f aca="false">IF(OR(INDEX(Undirviðmið!$G$6:$G$105,(COLUMN()-7-1)/2+1)&lt;&gt;"Starfsbundið",FQ38="",FQ$8="",FQ$7=""),"",ROUND(FQ38/FQ$8*FQ$7*KVARDI,2))</f>
        <v/>
      </c>
      <c r="FS38" s="39"/>
      <c r="FT38" s="40" t="str">
        <f aca="false">IF(OR(INDEX(Undirviðmið!$G$6:$G$105,(COLUMN()-7-1)/2+1)&lt;&gt;"Starfsbundið",FS38="",FS$8="",FS$7=""),"",ROUND(FS38/FS$8*FS$7*KVARDI,2))</f>
        <v/>
      </c>
      <c r="FU38" s="39"/>
      <c r="FV38" s="40" t="str">
        <f aca="false">IF(OR(INDEX(Undirviðmið!$G$6:$G$105,(COLUMN()-7-1)/2+1)&lt;&gt;"Starfsbundið",FU38="",FU$8="",FU$7=""),"",ROUND(FU38/FU$8*FU$7*KVARDI,2))</f>
        <v/>
      </c>
      <c r="FW38" s="39"/>
      <c r="FX38" s="40" t="str">
        <f aca="false">IF(OR(INDEX(Undirviðmið!$G$6:$G$105,(COLUMN()-7-1)/2+1)&lt;&gt;"Starfsbundið",FW38="",FW$8="",FW$7=""),"",ROUND(FW38/FW$8*FW$7*KVARDI,2))</f>
        <v/>
      </c>
      <c r="FY38" s="39"/>
      <c r="FZ38" s="40" t="str">
        <f aca="false">IF(OR(INDEX(Undirviðmið!$G$6:$G$105,(COLUMN()-7-1)/2+1)&lt;&gt;"Starfsbundið",FY38="",FY$8="",FY$7=""),"",ROUND(FY38/FY$8*FY$7*KVARDI,2))</f>
        <v/>
      </c>
      <c r="GA38" s="39"/>
      <c r="GB38" s="40" t="str">
        <f aca="false">IF(OR(INDEX(Undirviðmið!$G$6:$G$105,(COLUMN()-7-1)/2+1)&lt;&gt;"Starfsbundið",GA38="",GA$8="",GA$7=""),"",ROUND(GA38/GA$8*GA$7*KVARDI,2))</f>
        <v/>
      </c>
      <c r="GC38" s="39"/>
      <c r="GD38" s="40" t="str">
        <f aca="false">IF(OR(INDEX(Undirviðmið!$G$6:$G$105,(COLUMN()-7-1)/2+1)&lt;&gt;"Starfsbundið",GC38="",GC$8="",GC$7=""),"",ROUND(GC38/GC$8*GC$7*KVARDI,2))</f>
        <v/>
      </c>
      <c r="GE38" s="39"/>
      <c r="GF38" s="40" t="str">
        <f aca="false">IF(OR(INDEX(Undirviðmið!$G$6:$G$105,(COLUMN()-7-1)/2+1)&lt;&gt;"Starfsbundið",GE38="",GE$8="",GE$7=""),"",ROUND(GE38/GE$8*GE$7*KVARDI,2))</f>
        <v/>
      </c>
      <c r="GG38" s="39"/>
      <c r="GH38" s="40" t="str">
        <f aca="false">IF(OR(INDEX(Undirviðmið!$G$6:$G$105,(COLUMN()-7-1)/2+1)&lt;&gt;"Starfsbundið",GG38="",GG$8="",GG$7=""),"",ROUND(GG38/GG$8*GG$7*KVARDI,2))</f>
        <v/>
      </c>
      <c r="GI38" s="39"/>
      <c r="GJ38" s="40" t="str">
        <f aca="false">IF(OR(INDEX(Undirviðmið!$G$6:$G$105,(COLUMN()-7-1)/2+1)&lt;&gt;"Starfsbundið",GI38="",GI$8="",GI$7=""),"",ROUND(GI38/GI$8*GI$7*KVARDI,2))</f>
        <v/>
      </c>
      <c r="GK38" s="39"/>
      <c r="GL38" s="40" t="str">
        <f aca="false">IF(OR(INDEX(Undirviðmið!$G$6:$G$105,(COLUMN()-7-1)/2+1)&lt;&gt;"Starfsbundið",GK38="",GK$8="",GK$7=""),"",ROUND(GK38/GK$8*GK$7*KVARDI,2))</f>
        <v/>
      </c>
      <c r="GM38" s="39"/>
      <c r="GN38" s="40" t="str">
        <f aca="false">IF(OR(INDEX(Undirviðmið!$G$6:$G$105,(COLUMN()-7-1)/2+1)&lt;&gt;"Starfsbundið",GM38="",GM$8="",GM$7=""),"",ROUND(GM38/GM$8*GM$7*KVARDI,2))</f>
        <v/>
      </c>
      <c r="GO38" s="39"/>
      <c r="GP38" s="40" t="str">
        <f aca="false">IF(OR(INDEX(Undirviðmið!$G$6:$G$105,(COLUMN()-7-1)/2+1)&lt;&gt;"Starfsbundið",GO38="",GO$8="",GO$7=""),"",ROUND(GO38/GO$8*GO$7*KVARDI,2))</f>
        <v/>
      </c>
      <c r="GQ38" s="39"/>
      <c r="GR38" s="40" t="str">
        <f aca="false">IF(OR(INDEX(Undirviðmið!$G$6:$G$105,(COLUMN()-7-1)/2+1)&lt;&gt;"Starfsbundið",GQ38="",GQ$8="",GQ$7=""),"",ROUND(GQ38/GQ$8*GQ$7*KVARDI,2))</f>
        <v/>
      </c>
      <c r="GS38" s="39"/>
      <c r="GT38" s="40" t="str">
        <f aca="false">IF(OR(INDEX(Undirviðmið!$G$6:$G$105,(COLUMN()-7-1)/2+1)&lt;&gt;"Starfsbundið",GS38="",GS$8="",GS$7=""),"",ROUND(GS38/GS$8*GS$7*KVARDI,2))</f>
        <v/>
      </c>
      <c r="GU38" s="39"/>
      <c r="GV38" s="40" t="str">
        <f aca="false">IF(OR(INDEX(Undirviðmið!$G$6:$G$105,(COLUMN()-7-1)/2+1)&lt;&gt;"Starfsbundið",GU38="",GU$8="",GU$7=""),"",ROUND(GU38/GU$8*GU$7*KVARDI,2))</f>
        <v/>
      </c>
      <c r="GW38" s="39"/>
      <c r="GX38" s="40" t="str">
        <f aca="false">IF(OR(INDEX(Undirviðmið!$G$6:$G$105,(COLUMN()-7-1)/2+1)&lt;&gt;"Starfsbundið",GW38="",GW$8="",GW$7=""),"",ROUND(GW38/GW$8*GW$7*KVARDI,2))</f>
        <v/>
      </c>
      <c r="GZ38" s="20"/>
    </row>
    <row r="39" customFormat="false" ht="15" hidden="true" customHeight="true" outlineLevel="1" collapsed="false">
      <c r="B39" s="37" t="str">
        <f aca="false" t="array" ref="B39:B39">IFERROR(INDEX(Starfsmenn!$C$6:$C$10005,MATCH(0,COUNTIF($B$11:B38,Starfsmenn!$C$6:$C$10005)+(Starfsmenn!$C$6:$C$10005=""),0)),"")</f>
        <v/>
      </c>
      <c r="C39" s="38" t="n">
        <f aca="false">IFERROR(SUMIF($G$10:$GX$10,"Stig",$G39:$GX39),0)</f>
        <v>0</v>
      </c>
      <c r="G39" s="39"/>
      <c r="H39" s="40" t="str">
        <f aca="false">IF(OR(INDEX(Undirviðmið!$G$6:$G$105,(COLUMN()-7-1)/2+1)&lt;&gt;"Starfsbundið",G39="",G$8="",G$7=""),"",ROUND(G39/G$8*G$7*KVARDI,2))</f>
        <v/>
      </c>
      <c r="I39" s="39"/>
      <c r="J39" s="40" t="str">
        <f aca="false">IF(OR(INDEX(Undirviðmið!$G$6:$G$105,(COLUMN()-7-1)/2+1)&lt;&gt;"Starfsbundið",I39="",I$8="",I$7=""),"",ROUND(I39/I$8*I$7*KVARDI,2))</f>
        <v/>
      </c>
      <c r="K39" s="39"/>
      <c r="L39" s="40" t="str">
        <f aca="false">IF(OR(INDEX(Undirviðmið!$G$6:$G$105,(COLUMN()-7-1)/2+1)&lt;&gt;"Starfsbundið",K39="",K$8="",K$7=""),"",ROUND(K39/K$8*K$7*KVARDI,2))</f>
        <v/>
      </c>
      <c r="M39" s="39"/>
      <c r="N39" s="40" t="str">
        <f aca="false">IF(OR(INDEX(Undirviðmið!$G$6:$G$105,(COLUMN()-7-1)/2+1)&lt;&gt;"Starfsbundið",M39="",M$8="",M$7=""),"",ROUND(M39/M$8*M$7*KVARDI,2))</f>
        <v/>
      </c>
      <c r="O39" s="39"/>
      <c r="P39" s="40" t="str">
        <f aca="false">IF(OR(INDEX(Undirviðmið!$G$6:$G$105,(COLUMN()-7-1)/2+1)&lt;&gt;"Starfsbundið",O39="",O$8="",O$7=""),"",ROUND(O39/O$8*O$7*KVARDI,2))</f>
        <v/>
      </c>
      <c r="Q39" s="39"/>
      <c r="R39" s="40" t="str">
        <f aca="false">IF(OR(INDEX(Undirviðmið!$G$6:$G$105,(COLUMN()-7-1)/2+1)&lt;&gt;"Starfsbundið",Q39="",Q$8="",Q$7=""),"",ROUND(Q39/Q$8*Q$7*KVARDI,2))</f>
        <v/>
      </c>
      <c r="S39" s="39"/>
      <c r="T39" s="40" t="str">
        <f aca="false">IF(OR(INDEX(Undirviðmið!$G$6:$G$105,(COLUMN()-7-1)/2+1)&lt;&gt;"Starfsbundið",S39="",S$8="",S$7=""),"",ROUND(S39/S$8*S$7*KVARDI,2))</f>
        <v/>
      </c>
      <c r="U39" s="39"/>
      <c r="V39" s="40" t="str">
        <f aca="false">IF(OR(INDEX(Undirviðmið!$G$6:$G$105,(COLUMN()-7-1)/2+1)&lt;&gt;"Starfsbundið",U39="",U$8="",U$7=""),"",ROUND(U39/U$8*U$7*KVARDI,2))</f>
        <v/>
      </c>
      <c r="W39" s="39"/>
      <c r="X39" s="40" t="str">
        <f aca="false">IF(OR(INDEX(Undirviðmið!$G$6:$G$105,(COLUMN()-7-1)/2+1)&lt;&gt;"Starfsbundið",W39="",W$8="",W$7=""),"",ROUND(W39/W$8*W$7*KVARDI,2))</f>
        <v/>
      </c>
      <c r="Y39" s="39"/>
      <c r="Z39" s="40" t="str">
        <f aca="false">IF(OR(INDEX(Undirviðmið!$G$6:$G$105,(COLUMN()-7-1)/2+1)&lt;&gt;"Starfsbundið",Y39="",Y$8="",Y$7=""),"",ROUND(Y39/Y$8*Y$7*KVARDI,2))</f>
        <v/>
      </c>
      <c r="AA39" s="39"/>
      <c r="AB39" s="40" t="str">
        <f aca="false">IF(OR(INDEX(Undirviðmið!$G$6:$G$105,(COLUMN()-7-1)/2+1)&lt;&gt;"Starfsbundið",AA39="",AA$8="",AA$7=""),"",ROUND(AA39/AA$8*AA$7*KVARDI,2))</f>
        <v/>
      </c>
      <c r="AC39" s="39"/>
      <c r="AD39" s="40" t="str">
        <f aca="false">IF(OR(INDEX(Undirviðmið!$G$6:$G$105,(COLUMN()-7-1)/2+1)&lt;&gt;"Starfsbundið",AC39="",AC$8="",AC$7=""),"",ROUND(AC39/AC$8*AC$7*KVARDI,2))</f>
        <v/>
      </c>
      <c r="AE39" s="39"/>
      <c r="AF39" s="40" t="str">
        <f aca="false">IF(OR(INDEX(Undirviðmið!$G$6:$G$105,(COLUMN()-7-1)/2+1)&lt;&gt;"Starfsbundið",AE39="",AE$8="",AE$7=""),"",ROUND(AE39/AE$8*AE$7*KVARDI,2))</f>
        <v/>
      </c>
      <c r="AG39" s="39"/>
      <c r="AH39" s="40" t="str">
        <f aca="false">IF(OR(INDEX(Undirviðmið!$G$6:$G$105,(COLUMN()-7-1)/2+1)&lt;&gt;"Starfsbundið",AG39="",AG$8="",AG$7=""),"",ROUND(AG39/AG$8*AG$7*KVARDI,2))</f>
        <v/>
      </c>
      <c r="AI39" s="39"/>
      <c r="AJ39" s="40" t="str">
        <f aca="false">IF(OR(INDEX(Undirviðmið!$G$6:$G$105,(COLUMN()-7-1)/2+1)&lt;&gt;"Starfsbundið",AI39="",AI$8="",AI$7=""),"",ROUND(AI39/AI$8*AI$7*KVARDI,2))</f>
        <v/>
      </c>
      <c r="AK39" s="39"/>
      <c r="AL39" s="40" t="str">
        <f aca="false">IF(OR(INDEX(Undirviðmið!$G$6:$G$105,(COLUMN()-7-1)/2+1)&lt;&gt;"Starfsbundið",AK39="",AK$8="",AK$7=""),"",ROUND(AK39/AK$8*AK$7*KVARDI,2))</f>
        <v/>
      </c>
      <c r="AM39" s="39"/>
      <c r="AN39" s="40" t="str">
        <f aca="false">IF(OR(INDEX(Undirviðmið!$G$6:$G$105,(COLUMN()-7-1)/2+1)&lt;&gt;"Starfsbundið",AM39="",AM$8="",AM$7=""),"",ROUND(AM39/AM$8*AM$7*KVARDI,2))</f>
        <v/>
      </c>
      <c r="AO39" s="39"/>
      <c r="AP39" s="40" t="str">
        <f aca="false">IF(OR(INDEX(Undirviðmið!$G$6:$G$105,(COLUMN()-7-1)/2+1)&lt;&gt;"Starfsbundið",AO39="",AO$8="",AO$7=""),"",ROUND(AO39/AO$8*AO$7*KVARDI,2))</f>
        <v/>
      </c>
      <c r="AQ39" s="39"/>
      <c r="AR39" s="40" t="str">
        <f aca="false">IF(OR(INDEX(Undirviðmið!$G$6:$G$105,(COLUMN()-7-1)/2+1)&lt;&gt;"Starfsbundið",AQ39="",AQ$8="",AQ$7=""),"",ROUND(AQ39/AQ$8*AQ$7*KVARDI,2))</f>
        <v/>
      </c>
      <c r="AS39" s="39"/>
      <c r="AT39" s="40" t="str">
        <f aca="false">IF(OR(INDEX(Undirviðmið!$G$6:$G$105,(COLUMN()-7-1)/2+1)&lt;&gt;"Starfsbundið",AS39="",AS$8="",AS$7=""),"",ROUND(AS39/AS$8*AS$7*KVARDI,2))</f>
        <v/>
      </c>
      <c r="AU39" s="39"/>
      <c r="AV39" s="40" t="str">
        <f aca="false">IF(OR(INDEX(Undirviðmið!$G$6:$G$105,(COLUMN()-7-1)/2+1)&lt;&gt;"Starfsbundið",AU39="",AU$8="",AU$7=""),"",ROUND(AU39/AU$8*AU$7*KVARDI,2))</f>
        <v/>
      </c>
      <c r="AW39" s="39"/>
      <c r="AX39" s="40" t="str">
        <f aca="false">IF(OR(INDEX(Undirviðmið!$G$6:$G$105,(COLUMN()-7-1)/2+1)&lt;&gt;"Starfsbundið",AW39="",AW$8="",AW$7=""),"",ROUND(AW39/AW$8*AW$7*KVARDI,2))</f>
        <v/>
      </c>
      <c r="AY39" s="39"/>
      <c r="AZ39" s="40" t="str">
        <f aca="false">IF(OR(INDEX(Undirviðmið!$G$6:$G$105,(COLUMN()-7-1)/2+1)&lt;&gt;"Starfsbundið",AY39="",AY$8="",AY$7=""),"",ROUND(AY39/AY$8*AY$7*KVARDI,2))</f>
        <v/>
      </c>
      <c r="BA39" s="39"/>
      <c r="BB39" s="40" t="str">
        <f aca="false">IF(OR(INDEX(Undirviðmið!$G$6:$G$105,(COLUMN()-7-1)/2+1)&lt;&gt;"Starfsbundið",BA39="",BA$8="",BA$7=""),"",ROUND(BA39/BA$8*BA$7*KVARDI,2))</f>
        <v/>
      </c>
      <c r="BC39" s="39"/>
      <c r="BD39" s="40" t="str">
        <f aca="false">IF(OR(INDEX(Undirviðmið!$G$6:$G$105,(COLUMN()-7-1)/2+1)&lt;&gt;"Starfsbundið",BC39="",BC$8="",BC$7=""),"",ROUND(BC39/BC$8*BC$7*KVARDI,2))</f>
        <v/>
      </c>
      <c r="BE39" s="39"/>
      <c r="BF39" s="40" t="str">
        <f aca="false">IF(OR(INDEX(Undirviðmið!$G$6:$G$105,(COLUMN()-7-1)/2+1)&lt;&gt;"Starfsbundið",BE39="",BE$8="",BE$7=""),"",ROUND(BE39/BE$8*BE$7*KVARDI,2))</f>
        <v/>
      </c>
      <c r="BG39" s="39"/>
      <c r="BH39" s="40" t="str">
        <f aca="false">IF(OR(INDEX(Undirviðmið!$G$6:$G$105,(COLUMN()-7-1)/2+1)&lt;&gt;"Starfsbundið",BG39="",BG$8="",BG$7=""),"",ROUND(BG39/BG$8*BG$7*KVARDI,2))</f>
        <v/>
      </c>
      <c r="BI39" s="39"/>
      <c r="BJ39" s="40" t="str">
        <f aca="false">IF(OR(INDEX(Undirviðmið!$G$6:$G$105,(COLUMN()-7-1)/2+1)&lt;&gt;"Starfsbundið",BI39="",BI$8="",BI$7=""),"",ROUND(BI39/BI$8*BI$7*KVARDI,2))</f>
        <v/>
      </c>
      <c r="BK39" s="39"/>
      <c r="BL39" s="40" t="str">
        <f aca="false">IF(OR(INDEX(Undirviðmið!$G$6:$G$105,(COLUMN()-7-1)/2+1)&lt;&gt;"Starfsbundið",BK39="",BK$8="",BK$7=""),"",ROUND(BK39/BK$8*BK$7*KVARDI,2))</f>
        <v/>
      </c>
      <c r="BM39" s="39"/>
      <c r="BN39" s="40" t="str">
        <f aca="false">IF(OR(INDEX(Undirviðmið!$G$6:$G$105,(COLUMN()-7-1)/2+1)&lt;&gt;"Starfsbundið",BM39="",BM$8="",BM$7=""),"",ROUND(BM39/BM$8*BM$7*KVARDI,2))</f>
        <v/>
      </c>
      <c r="BO39" s="39"/>
      <c r="BP39" s="40" t="str">
        <f aca="false">IF(OR(INDEX(Undirviðmið!$G$6:$G$105,(COLUMN()-7-1)/2+1)&lt;&gt;"Starfsbundið",BO39="",BO$8="",BO$7=""),"",ROUND(BO39/BO$8*BO$7*KVARDI,2))</f>
        <v/>
      </c>
      <c r="BQ39" s="39"/>
      <c r="BR39" s="40" t="str">
        <f aca="false">IF(OR(INDEX(Undirviðmið!$G$6:$G$105,(COLUMN()-7-1)/2+1)&lt;&gt;"Starfsbundið",BQ39="",BQ$8="",BQ$7=""),"",ROUND(BQ39/BQ$8*BQ$7*KVARDI,2))</f>
        <v/>
      </c>
      <c r="BS39" s="39"/>
      <c r="BT39" s="40" t="str">
        <f aca="false">IF(OR(INDEX(Undirviðmið!$G$6:$G$105,(COLUMN()-7-1)/2+1)&lt;&gt;"Starfsbundið",BS39="",BS$8="",BS$7=""),"",ROUND(BS39/BS$8*BS$7*KVARDI,2))</f>
        <v/>
      </c>
      <c r="BU39" s="39"/>
      <c r="BV39" s="40" t="str">
        <f aca="false">IF(OR(INDEX(Undirviðmið!$G$6:$G$105,(COLUMN()-7-1)/2+1)&lt;&gt;"Starfsbundið",BU39="",BU$8="",BU$7=""),"",ROUND(BU39/BU$8*BU$7*KVARDI,2))</f>
        <v/>
      </c>
      <c r="BW39" s="39"/>
      <c r="BX39" s="40" t="str">
        <f aca="false">IF(OR(INDEX(Undirviðmið!$G$6:$G$105,(COLUMN()-7-1)/2+1)&lt;&gt;"Starfsbundið",BW39="",BW$8="",BW$7=""),"",ROUND(BW39/BW$8*BW$7*KVARDI,2))</f>
        <v/>
      </c>
      <c r="BY39" s="39"/>
      <c r="BZ39" s="40" t="str">
        <f aca="false">IF(OR(INDEX(Undirviðmið!$G$6:$G$105,(COLUMN()-7-1)/2+1)&lt;&gt;"Starfsbundið",BY39="",BY$8="",BY$7=""),"",ROUND(BY39/BY$8*BY$7*KVARDI,2))</f>
        <v/>
      </c>
      <c r="CA39" s="39"/>
      <c r="CB39" s="40" t="str">
        <f aca="false">IF(OR(INDEX(Undirviðmið!$G$6:$G$105,(COLUMN()-7-1)/2+1)&lt;&gt;"Starfsbundið",CA39="",CA$8="",CA$7=""),"",ROUND(CA39/CA$8*CA$7*KVARDI,2))</f>
        <v/>
      </c>
      <c r="CC39" s="39"/>
      <c r="CD39" s="40" t="str">
        <f aca="false">IF(OR(INDEX(Undirviðmið!$G$6:$G$105,(COLUMN()-7-1)/2+1)&lt;&gt;"Starfsbundið",CC39="",CC$8="",CC$7=""),"",ROUND(CC39/CC$8*CC$7*KVARDI,2))</f>
        <v/>
      </c>
      <c r="CE39" s="39"/>
      <c r="CF39" s="40" t="str">
        <f aca="false">IF(OR(INDEX(Undirviðmið!$G$6:$G$105,(COLUMN()-7-1)/2+1)&lt;&gt;"Starfsbundið",CE39="",CE$8="",CE$7=""),"",ROUND(CE39/CE$8*CE$7*KVARDI,2))</f>
        <v/>
      </c>
      <c r="CG39" s="39"/>
      <c r="CH39" s="40" t="str">
        <f aca="false">IF(OR(INDEX(Undirviðmið!$G$6:$G$105,(COLUMN()-7-1)/2+1)&lt;&gt;"Starfsbundið",CG39="",CG$8="",CG$7=""),"",ROUND(CG39/CG$8*CG$7*KVARDI,2))</f>
        <v/>
      </c>
      <c r="CI39" s="39"/>
      <c r="CJ39" s="40" t="str">
        <f aca="false">IF(OR(INDEX(Undirviðmið!$G$6:$G$105,(COLUMN()-7-1)/2+1)&lt;&gt;"Starfsbundið",CI39="",CI$8="",CI$7=""),"",ROUND(CI39/CI$8*CI$7*KVARDI,2))</f>
        <v/>
      </c>
      <c r="CK39" s="39"/>
      <c r="CL39" s="40" t="str">
        <f aca="false">IF(OR(INDEX(Undirviðmið!$G$6:$G$105,(COLUMN()-7-1)/2+1)&lt;&gt;"Starfsbundið",CK39="",CK$8="",CK$7=""),"",ROUND(CK39/CK$8*CK$7*KVARDI,2))</f>
        <v/>
      </c>
      <c r="CM39" s="39"/>
      <c r="CN39" s="40" t="str">
        <f aca="false">IF(OR(INDEX(Undirviðmið!$G$6:$G$105,(COLUMN()-7-1)/2+1)&lt;&gt;"Starfsbundið",CM39="",CM$8="",CM$7=""),"",ROUND(CM39/CM$8*CM$7*KVARDI,2))</f>
        <v/>
      </c>
      <c r="CO39" s="39"/>
      <c r="CP39" s="40" t="str">
        <f aca="false">IF(OR(INDEX(Undirviðmið!$G$6:$G$105,(COLUMN()-7-1)/2+1)&lt;&gt;"Starfsbundið",CO39="",CO$8="",CO$7=""),"",ROUND(CO39/CO$8*CO$7*KVARDI,2))</f>
        <v/>
      </c>
      <c r="CQ39" s="39"/>
      <c r="CR39" s="40" t="str">
        <f aca="false">IF(OR(INDEX(Undirviðmið!$G$6:$G$105,(COLUMN()-7-1)/2+1)&lt;&gt;"Starfsbundið",CQ39="",CQ$8="",CQ$7=""),"",ROUND(CQ39/CQ$8*CQ$7*KVARDI,2))</f>
        <v/>
      </c>
      <c r="CS39" s="39"/>
      <c r="CT39" s="40" t="str">
        <f aca="false">IF(OR(INDEX(Undirviðmið!$G$6:$G$105,(COLUMN()-7-1)/2+1)&lt;&gt;"Starfsbundið",CS39="",CS$8="",CS$7=""),"",ROUND(CS39/CS$8*CS$7*KVARDI,2))</f>
        <v/>
      </c>
      <c r="CU39" s="39"/>
      <c r="CV39" s="40" t="str">
        <f aca="false">IF(OR(INDEX(Undirviðmið!$G$6:$G$105,(COLUMN()-7-1)/2+1)&lt;&gt;"Starfsbundið",CU39="",CU$8="",CU$7=""),"",ROUND(CU39/CU$8*CU$7*KVARDI,2))</f>
        <v/>
      </c>
      <c r="CW39" s="39"/>
      <c r="CX39" s="40" t="str">
        <f aca="false">IF(OR(INDEX(Undirviðmið!$G$6:$G$105,(COLUMN()-7-1)/2+1)&lt;&gt;"Starfsbundið",CW39="",CW$8="",CW$7=""),"",ROUND(CW39/CW$8*CW$7*KVARDI,2))</f>
        <v/>
      </c>
      <c r="CY39" s="39"/>
      <c r="CZ39" s="40" t="str">
        <f aca="false">IF(OR(INDEX(Undirviðmið!$G$6:$G$105,(COLUMN()-7-1)/2+1)&lt;&gt;"Starfsbundið",CY39="",CY$8="",CY$7=""),"",ROUND(CY39/CY$8*CY$7*KVARDI,2))</f>
        <v/>
      </c>
      <c r="DA39" s="39"/>
      <c r="DB39" s="40" t="str">
        <f aca="false">IF(OR(INDEX(Undirviðmið!$G$6:$G$105,(COLUMN()-7-1)/2+1)&lt;&gt;"Starfsbundið",DA39="",DA$8="",DA$7=""),"",ROUND(DA39/DA$8*DA$7*KVARDI,2))</f>
        <v/>
      </c>
      <c r="DC39" s="39"/>
      <c r="DD39" s="40" t="str">
        <f aca="false">IF(OR(INDEX(Undirviðmið!$G$6:$G$105,(COLUMN()-7-1)/2+1)&lt;&gt;"Starfsbundið",DC39="",DC$8="",DC$7=""),"",ROUND(DC39/DC$8*DC$7*KVARDI,2))</f>
        <v/>
      </c>
      <c r="DE39" s="39"/>
      <c r="DF39" s="40" t="str">
        <f aca="false">IF(OR(INDEX(Undirviðmið!$G$6:$G$105,(COLUMN()-7-1)/2+1)&lt;&gt;"Starfsbundið",DE39="",DE$8="",DE$7=""),"",ROUND(DE39/DE$8*DE$7*KVARDI,2))</f>
        <v/>
      </c>
      <c r="DG39" s="39"/>
      <c r="DH39" s="40" t="str">
        <f aca="false">IF(OR(INDEX(Undirviðmið!$G$6:$G$105,(COLUMN()-7-1)/2+1)&lt;&gt;"Starfsbundið",DG39="",DG$8="",DG$7=""),"",ROUND(DG39/DG$8*DG$7*KVARDI,2))</f>
        <v/>
      </c>
      <c r="DI39" s="39"/>
      <c r="DJ39" s="40" t="str">
        <f aca="false">IF(OR(INDEX(Undirviðmið!$G$6:$G$105,(COLUMN()-7-1)/2+1)&lt;&gt;"Starfsbundið",DI39="",DI$8="",DI$7=""),"",ROUND(DI39/DI$8*DI$7*KVARDI,2))</f>
        <v/>
      </c>
      <c r="DK39" s="39"/>
      <c r="DL39" s="40" t="str">
        <f aca="false">IF(OR(INDEX(Undirviðmið!$G$6:$G$105,(COLUMN()-7-1)/2+1)&lt;&gt;"Starfsbundið",DK39="",DK$8="",DK$7=""),"",ROUND(DK39/DK$8*DK$7*KVARDI,2))</f>
        <v/>
      </c>
      <c r="DM39" s="39"/>
      <c r="DN39" s="40" t="str">
        <f aca="false">IF(OR(INDEX(Undirviðmið!$G$6:$G$105,(COLUMN()-7-1)/2+1)&lt;&gt;"Starfsbundið",DM39="",DM$8="",DM$7=""),"",ROUND(DM39/DM$8*DM$7*KVARDI,2))</f>
        <v/>
      </c>
      <c r="DO39" s="39"/>
      <c r="DP39" s="40" t="str">
        <f aca="false">IF(OR(INDEX(Undirviðmið!$G$6:$G$105,(COLUMN()-7-1)/2+1)&lt;&gt;"Starfsbundið",DO39="",DO$8="",DO$7=""),"",ROUND(DO39/DO$8*DO$7*KVARDI,2))</f>
        <v/>
      </c>
      <c r="DQ39" s="39"/>
      <c r="DR39" s="40" t="str">
        <f aca="false">IF(OR(INDEX(Undirviðmið!$G$6:$G$105,(COLUMN()-7-1)/2+1)&lt;&gt;"Starfsbundið",DQ39="",DQ$8="",DQ$7=""),"",ROUND(DQ39/DQ$8*DQ$7*KVARDI,2))</f>
        <v/>
      </c>
      <c r="DS39" s="39"/>
      <c r="DT39" s="40" t="str">
        <f aca="false">IF(OR(INDEX(Undirviðmið!$G$6:$G$105,(COLUMN()-7-1)/2+1)&lt;&gt;"Starfsbundið",DS39="",DS$8="",DS$7=""),"",ROUND(DS39/DS$8*DS$7*KVARDI,2))</f>
        <v/>
      </c>
      <c r="DU39" s="39"/>
      <c r="DV39" s="40" t="str">
        <f aca="false">IF(OR(INDEX(Undirviðmið!$G$6:$G$105,(COLUMN()-7-1)/2+1)&lt;&gt;"Starfsbundið",DU39="",DU$8="",DU$7=""),"",ROUND(DU39/DU$8*DU$7*KVARDI,2))</f>
        <v/>
      </c>
      <c r="DW39" s="39"/>
      <c r="DX39" s="40" t="str">
        <f aca="false">IF(OR(INDEX(Undirviðmið!$G$6:$G$105,(COLUMN()-7-1)/2+1)&lt;&gt;"Starfsbundið",DW39="",DW$8="",DW$7=""),"",ROUND(DW39/DW$8*DW$7*KVARDI,2))</f>
        <v/>
      </c>
      <c r="DY39" s="39"/>
      <c r="DZ39" s="40" t="str">
        <f aca="false">IF(OR(INDEX(Undirviðmið!$G$6:$G$105,(COLUMN()-7-1)/2+1)&lt;&gt;"Starfsbundið",DY39="",DY$8="",DY$7=""),"",ROUND(DY39/DY$8*DY$7*KVARDI,2))</f>
        <v/>
      </c>
      <c r="EA39" s="39"/>
      <c r="EB39" s="40" t="str">
        <f aca="false">IF(OR(INDEX(Undirviðmið!$G$6:$G$105,(COLUMN()-7-1)/2+1)&lt;&gt;"Starfsbundið",EA39="",EA$8="",EA$7=""),"",ROUND(EA39/EA$8*EA$7*KVARDI,2))</f>
        <v/>
      </c>
      <c r="EC39" s="39"/>
      <c r="ED39" s="40" t="str">
        <f aca="false">IF(OR(INDEX(Undirviðmið!$G$6:$G$105,(COLUMN()-7-1)/2+1)&lt;&gt;"Starfsbundið",EC39="",EC$8="",EC$7=""),"",ROUND(EC39/EC$8*EC$7*KVARDI,2))</f>
        <v/>
      </c>
      <c r="EE39" s="39"/>
      <c r="EF39" s="40" t="str">
        <f aca="false">IF(OR(INDEX(Undirviðmið!$G$6:$G$105,(COLUMN()-7-1)/2+1)&lt;&gt;"Starfsbundið",EE39="",EE$8="",EE$7=""),"",ROUND(EE39/EE$8*EE$7*KVARDI,2))</f>
        <v/>
      </c>
      <c r="EG39" s="39"/>
      <c r="EH39" s="40" t="str">
        <f aca="false">IF(OR(INDEX(Undirviðmið!$G$6:$G$105,(COLUMN()-7-1)/2+1)&lt;&gt;"Starfsbundið",EG39="",EG$8="",EG$7=""),"",ROUND(EG39/EG$8*EG$7*KVARDI,2))</f>
        <v/>
      </c>
      <c r="EI39" s="39"/>
      <c r="EJ39" s="40" t="str">
        <f aca="false">IF(OR(INDEX(Undirviðmið!$G$6:$G$105,(COLUMN()-7-1)/2+1)&lt;&gt;"Starfsbundið",EI39="",EI$8="",EI$7=""),"",ROUND(EI39/EI$8*EI$7*KVARDI,2))</f>
        <v/>
      </c>
      <c r="EK39" s="39"/>
      <c r="EL39" s="40" t="str">
        <f aca="false">IF(OR(INDEX(Undirviðmið!$G$6:$G$105,(COLUMN()-7-1)/2+1)&lt;&gt;"Starfsbundið",EK39="",EK$8="",EK$7=""),"",ROUND(EK39/EK$8*EK$7*KVARDI,2))</f>
        <v/>
      </c>
      <c r="EM39" s="39"/>
      <c r="EN39" s="40" t="str">
        <f aca="false">IF(OR(INDEX(Undirviðmið!$G$6:$G$105,(COLUMN()-7-1)/2+1)&lt;&gt;"Starfsbundið",EM39="",EM$8="",EM$7=""),"",ROUND(EM39/EM$8*EM$7*KVARDI,2))</f>
        <v/>
      </c>
      <c r="EO39" s="39"/>
      <c r="EP39" s="40" t="str">
        <f aca="false">IF(OR(INDEX(Undirviðmið!$G$6:$G$105,(COLUMN()-7-1)/2+1)&lt;&gt;"Starfsbundið",EO39="",EO$8="",EO$7=""),"",ROUND(EO39/EO$8*EO$7*KVARDI,2))</f>
        <v/>
      </c>
      <c r="EQ39" s="39"/>
      <c r="ER39" s="40" t="str">
        <f aca="false">IF(OR(INDEX(Undirviðmið!$G$6:$G$105,(COLUMN()-7-1)/2+1)&lt;&gt;"Starfsbundið",EQ39="",EQ$8="",EQ$7=""),"",ROUND(EQ39/EQ$8*EQ$7*KVARDI,2))</f>
        <v/>
      </c>
      <c r="ES39" s="39"/>
      <c r="ET39" s="40" t="str">
        <f aca="false">IF(OR(INDEX(Undirviðmið!$G$6:$G$105,(COLUMN()-7-1)/2+1)&lt;&gt;"Starfsbundið",ES39="",ES$8="",ES$7=""),"",ROUND(ES39/ES$8*ES$7*KVARDI,2))</f>
        <v/>
      </c>
      <c r="EU39" s="39"/>
      <c r="EV39" s="40" t="str">
        <f aca="false">IF(OR(INDEX(Undirviðmið!$G$6:$G$105,(COLUMN()-7-1)/2+1)&lt;&gt;"Starfsbundið",EU39="",EU$8="",EU$7=""),"",ROUND(EU39/EU$8*EU$7*KVARDI,2))</f>
        <v/>
      </c>
      <c r="EW39" s="39"/>
      <c r="EX39" s="40" t="str">
        <f aca="false">IF(OR(INDEX(Undirviðmið!$G$6:$G$105,(COLUMN()-7-1)/2+1)&lt;&gt;"Starfsbundið",EW39="",EW$8="",EW$7=""),"",ROUND(EW39/EW$8*EW$7*KVARDI,2))</f>
        <v/>
      </c>
      <c r="EY39" s="39"/>
      <c r="EZ39" s="40" t="str">
        <f aca="false">IF(OR(INDEX(Undirviðmið!$G$6:$G$105,(COLUMN()-7-1)/2+1)&lt;&gt;"Starfsbundið",EY39="",EY$8="",EY$7=""),"",ROUND(EY39/EY$8*EY$7*KVARDI,2))</f>
        <v/>
      </c>
      <c r="FA39" s="39"/>
      <c r="FB39" s="40" t="str">
        <f aca="false">IF(OR(INDEX(Undirviðmið!$G$6:$G$105,(COLUMN()-7-1)/2+1)&lt;&gt;"Starfsbundið",FA39="",FA$8="",FA$7=""),"",ROUND(FA39/FA$8*FA$7*KVARDI,2))</f>
        <v/>
      </c>
      <c r="FC39" s="39"/>
      <c r="FD39" s="40" t="str">
        <f aca="false">IF(OR(INDEX(Undirviðmið!$G$6:$G$105,(COLUMN()-7-1)/2+1)&lt;&gt;"Starfsbundið",FC39="",FC$8="",FC$7=""),"",ROUND(FC39/FC$8*FC$7*KVARDI,2))</f>
        <v/>
      </c>
      <c r="FE39" s="39"/>
      <c r="FF39" s="40" t="str">
        <f aca="false">IF(OR(INDEX(Undirviðmið!$G$6:$G$105,(COLUMN()-7-1)/2+1)&lt;&gt;"Starfsbundið",FE39="",FE$8="",FE$7=""),"",ROUND(FE39/FE$8*FE$7*KVARDI,2))</f>
        <v/>
      </c>
      <c r="FG39" s="39"/>
      <c r="FH39" s="40" t="str">
        <f aca="false">IF(OR(INDEX(Undirviðmið!$G$6:$G$105,(COLUMN()-7-1)/2+1)&lt;&gt;"Starfsbundið",FG39="",FG$8="",FG$7=""),"",ROUND(FG39/FG$8*FG$7*KVARDI,2))</f>
        <v/>
      </c>
      <c r="FI39" s="39"/>
      <c r="FJ39" s="40" t="str">
        <f aca="false">IF(OR(INDEX(Undirviðmið!$G$6:$G$105,(COLUMN()-7-1)/2+1)&lt;&gt;"Starfsbundið",FI39="",FI$8="",FI$7=""),"",ROUND(FI39/FI$8*FI$7*KVARDI,2))</f>
        <v/>
      </c>
      <c r="FK39" s="39"/>
      <c r="FL39" s="40" t="str">
        <f aca="false">IF(OR(INDEX(Undirviðmið!$G$6:$G$105,(COLUMN()-7-1)/2+1)&lt;&gt;"Starfsbundið",FK39="",FK$8="",FK$7=""),"",ROUND(FK39/FK$8*FK$7*KVARDI,2))</f>
        <v/>
      </c>
      <c r="FM39" s="39"/>
      <c r="FN39" s="40" t="str">
        <f aca="false">IF(OR(INDEX(Undirviðmið!$G$6:$G$105,(COLUMN()-7-1)/2+1)&lt;&gt;"Starfsbundið",FM39="",FM$8="",FM$7=""),"",ROUND(FM39/FM$8*FM$7*KVARDI,2))</f>
        <v/>
      </c>
      <c r="FO39" s="39"/>
      <c r="FP39" s="40" t="str">
        <f aca="false">IF(OR(INDEX(Undirviðmið!$G$6:$G$105,(COLUMN()-7-1)/2+1)&lt;&gt;"Starfsbundið",FO39="",FO$8="",FO$7=""),"",ROUND(FO39/FO$8*FO$7*KVARDI,2))</f>
        <v/>
      </c>
      <c r="FQ39" s="39"/>
      <c r="FR39" s="40" t="str">
        <f aca="false">IF(OR(INDEX(Undirviðmið!$G$6:$G$105,(COLUMN()-7-1)/2+1)&lt;&gt;"Starfsbundið",FQ39="",FQ$8="",FQ$7=""),"",ROUND(FQ39/FQ$8*FQ$7*KVARDI,2))</f>
        <v/>
      </c>
      <c r="FS39" s="39"/>
      <c r="FT39" s="40" t="str">
        <f aca="false">IF(OR(INDEX(Undirviðmið!$G$6:$G$105,(COLUMN()-7-1)/2+1)&lt;&gt;"Starfsbundið",FS39="",FS$8="",FS$7=""),"",ROUND(FS39/FS$8*FS$7*KVARDI,2))</f>
        <v/>
      </c>
      <c r="FU39" s="39"/>
      <c r="FV39" s="40" t="str">
        <f aca="false">IF(OR(INDEX(Undirviðmið!$G$6:$G$105,(COLUMN()-7-1)/2+1)&lt;&gt;"Starfsbundið",FU39="",FU$8="",FU$7=""),"",ROUND(FU39/FU$8*FU$7*KVARDI,2))</f>
        <v/>
      </c>
      <c r="FW39" s="39"/>
      <c r="FX39" s="40" t="str">
        <f aca="false">IF(OR(INDEX(Undirviðmið!$G$6:$G$105,(COLUMN()-7-1)/2+1)&lt;&gt;"Starfsbundið",FW39="",FW$8="",FW$7=""),"",ROUND(FW39/FW$8*FW$7*KVARDI,2))</f>
        <v/>
      </c>
      <c r="FY39" s="39"/>
      <c r="FZ39" s="40" t="str">
        <f aca="false">IF(OR(INDEX(Undirviðmið!$G$6:$G$105,(COLUMN()-7-1)/2+1)&lt;&gt;"Starfsbundið",FY39="",FY$8="",FY$7=""),"",ROUND(FY39/FY$8*FY$7*KVARDI,2))</f>
        <v/>
      </c>
      <c r="GA39" s="39"/>
      <c r="GB39" s="40" t="str">
        <f aca="false">IF(OR(INDEX(Undirviðmið!$G$6:$G$105,(COLUMN()-7-1)/2+1)&lt;&gt;"Starfsbundið",GA39="",GA$8="",GA$7=""),"",ROUND(GA39/GA$8*GA$7*KVARDI,2))</f>
        <v/>
      </c>
      <c r="GC39" s="39"/>
      <c r="GD39" s="40" t="str">
        <f aca="false">IF(OR(INDEX(Undirviðmið!$G$6:$G$105,(COLUMN()-7-1)/2+1)&lt;&gt;"Starfsbundið",GC39="",GC$8="",GC$7=""),"",ROUND(GC39/GC$8*GC$7*KVARDI,2))</f>
        <v/>
      </c>
      <c r="GE39" s="39"/>
      <c r="GF39" s="40" t="str">
        <f aca="false">IF(OR(INDEX(Undirviðmið!$G$6:$G$105,(COLUMN()-7-1)/2+1)&lt;&gt;"Starfsbundið",GE39="",GE$8="",GE$7=""),"",ROUND(GE39/GE$8*GE$7*KVARDI,2))</f>
        <v/>
      </c>
      <c r="GG39" s="39"/>
      <c r="GH39" s="40" t="str">
        <f aca="false">IF(OR(INDEX(Undirviðmið!$G$6:$G$105,(COLUMN()-7-1)/2+1)&lt;&gt;"Starfsbundið",GG39="",GG$8="",GG$7=""),"",ROUND(GG39/GG$8*GG$7*KVARDI,2))</f>
        <v/>
      </c>
      <c r="GI39" s="39"/>
      <c r="GJ39" s="40" t="str">
        <f aca="false">IF(OR(INDEX(Undirviðmið!$G$6:$G$105,(COLUMN()-7-1)/2+1)&lt;&gt;"Starfsbundið",GI39="",GI$8="",GI$7=""),"",ROUND(GI39/GI$8*GI$7*KVARDI,2))</f>
        <v/>
      </c>
      <c r="GK39" s="39"/>
      <c r="GL39" s="40" t="str">
        <f aca="false">IF(OR(INDEX(Undirviðmið!$G$6:$G$105,(COLUMN()-7-1)/2+1)&lt;&gt;"Starfsbundið",GK39="",GK$8="",GK$7=""),"",ROUND(GK39/GK$8*GK$7*KVARDI,2))</f>
        <v/>
      </c>
      <c r="GM39" s="39"/>
      <c r="GN39" s="40" t="str">
        <f aca="false">IF(OR(INDEX(Undirviðmið!$G$6:$G$105,(COLUMN()-7-1)/2+1)&lt;&gt;"Starfsbundið",GM39="",GM$8="",GM$7=""),"",ROUND(GM39/GM$8*GM$7*KVARDI,2))</f>
        <v/>
      </c>
      <c r="GO39" s="39"/>
      <c r="GP39" s="40" t="str">
        <f aca="false">IF(OR(INDEX(Undirviðmið!$G$6:$G$105,(COLUMN()-7-1)/2+1)&lt;&gt;"Starfsbundið",GO39="",GO$8="",GO$7=""),"",ROUND(GO39/GO$8*GO$7*KVARDI,2))</f>
        <v/>
      </c>
      <c r="GQ39" s="39"/>
      <c r="GR39" s="40" t="str">
        <f aca="false">IF(OR(INDEX(Undirviðmið!$G$6:$G$105,(COLUMN()-7-1)/2+1)&lt;&gt;"Starfsbundið",GQ39="",GQ$8="",GQ$7=""),"",ROUND(GQ39/GQ$8*GQ$7*KVARDI,2))</f>
        <v/>
      </c>
      <c r="GS39" s="39"/>
      <c r="GT39" s="40" t="str">
        <f aca="false">IF(OR(INDEX(Undirviðmið!$G$6:$G$105,(COLUMN()-7-1)/2+1)&lt;&gt;"Starfsbundið",GS39="",GS$8="",GS$7=""),"",ROUND(GS39/GS$8*GS$7*KVARDI,2))</f>
        <v/>
      </c>
      <c r="GU39" s="39"/>
      <c r="GV39" s="40" t="str">
        <f aca="false">IF(OR(INDEX(Undirviðmið!$G$6:$G$105,(COLUMN()-7-1)/2+1)&lt;&gt;"Starfsbundið",GU39="",GU$8="",GU$7=""),"",ROUND(GU39/GU$8*GU$7*KVARDI,2))</f>
        <v/>
      </c>
      <c r="GW39" s="39"/>
      <c r="GX39" s="40" t="str">
        <f aca="false">IF(OR(INDEX(Undirviðmið!$G$6:$G$105,(COLUMN()-7-1)/2+1)&lt;&gt;"Starfsbundið",GW39="",GW$8="",GW$7=""),"",ROUND(GW39/GW$8*GW$7*KVARDI,2))</f>
        <v/>
      </c>
      <c r="GZ39" s="20"/>
    </row>
    <row r="40" customFormat="false" ht="15" hidden="true" customHeight="true" outlineLevel="1" collapsed="false">
      <c r="B40" s="37" t="str">
        <f aca="false" t="array" ref="B40:B40">IFERROR(INDEX(Starfsmenn!$C$6:$C$10005,MATCH(0,COUNTIF($B$11:B39,Starfsmenn!$C$6:$C$10005)+(Starfsmenn!$C$6:$C$10005=""),0)),"")</f>
        <v/>
      </c>
      <c r="C40" s="38" t="n">
        <f aca="false">IFERROR(SUMIF($G$10:$GX$10,"Stig",$G40:$GX40),0)</f>
        <v>0</v>
      </c>
      <c r="G40" s="39"/>
      <c r="H40" s="40" t="str">
        <f aca="false">IF(OR(INDEX(Undirviðmið!$G$6:$G$105,(COLUMN()-7-1)/2+1)&lt;&gt;"Starfsbundið",G40="",G$8="",G$7=""),"",ROUND(G40/G$8*G$7*KVARDI,2))</f>
        <v/>
      </c>
      <c r="I40" s="39"/>
      <c r="J40" s="40" t="str">
        <f aca="false">IF(OR(INDEX(Undirviðmið!$G$6:$G$105,(COLUMN()-7-1)/2+1)&lt;&gt;"Starfsbundið",I40="",I$8="",I$7=""),"",ROUND(I40/I$8*I$7*KVARDI,2))</f>
        <v/>
      </c>
      <c r="K40" s="39"/>
      <c r="L40" s="40" t="str">
        <f aca="false">IF(OR(INDEX(Undirviðmið!$G$6:$G$105,(COLUMN()-7-1)/2+1)&lt;&gt;"Starfsbundið",K40="",K$8="",K$7=""),"",ROUND(K40/K$8*K$7*KVARDI,2))</f>
        <v/>
      </c>
      <c r="M40" s="39"/>
      <c r="N40" s="40" t="str">
        <f aca="false">IF(OR(INDEX(Undirviðmið!$G$6:$G$105,(COLUMN()-7-1)/2+1)&lt;&gt;"Starfsbundið",M40="",M$8="",M$7=""),"",ROUND(M40/M$8*M$7*KVARDI,2))</f>
        <v/>
      </c>
      <c r="O40" s="39"/>
      <c r="P40" s="40" t="str">
        <f aca="false">IF(OR(INDEX(Undirviðmið!$G$6:$G$105,(COLUMN()-7-1)/2+1)&lt;&gt;"Starfsbundið",O40="",O$8="",O$7=""),"",ROUND(O40/O$8*O$7*KVARDI,2))</f>
        <v/>
      </c>
      <c r="Q40" s="39"/>
      <c r="R40" s="40" t="str">
        <f aca="false">IF(OR(INDEX(Undirviðmið!$G$6:$G$105,(COLUMN()-7-1)/2+1)&lt;&gt;"Starfsbundið",Q40="",Q$8="",Q$7=""),"",ROUND(Q40/Q$8*Q$7*KVARDI,2))</f>
        <v/>
      </c>
      <c r="S40" s="39"/>
      <c r="T40" s="40" t="str">
        <f aca="false">IF(OR(INDEX(Undirviðmið!$G$6:$G$105,(COLUMN()-7-1)/2+1)&lt;&gt;"Starfsbundið",S40="",S$8="",S$7=""),"",ROUND(S40/S$8*S$7*KVARDI,2))</f>
        <v/>
      </c>
      <c r="U40" s="39"/>
      <c r="V40" s="40" t="str">
        <f aca="false">IF(OR(INDEX(Undirviðmið!$G$6:$G$105,(COLUMN()-7-1)/2+1)&lt;&gt;"Starfsbundið",U40="",U$8="",U$7=""),"",ROUND(U40/U$8*U$7*KVARDI,2))</f>
        <v/>
      </c>
      <c r="W40" s="39"/>
      <c r="X40" s="40" t="str">
        <f aca="false">IF(OR(INDEX(Undirviðmið!$G$6:$G$105,(COLUMN()-7-1)/2+1)&lt;&gt;"Starfsbundið",W40="",W$8="",W$7=""),"",ROUND(W40/W$8*W$7*KVARDI,2))</f>
        <v/>
      </c>
      <c r="Y40" s="39"/>
      <c r="Z40" s="40" t="str">
        <f aca="false">IF(OR(INDEX(Undirviðmið!$G$6:$G$105,(COLUMN()-7-1)/2+1)&lt;&gt;"Starfsbundið",Y40="",Y$8="",Y$7=""),"",ROUND(Y40/Y$8*Y$7*KVARDI,2))</f>
        <v/>
      </c>
      <c r="AA40" s="39"/>
      <c r="AB40" s="40" t="str">
        <f aca="false">IF(OR(INDEX(Undirviðmið!$G$6:$G$105,(COLUMN()-7-1)/2+1)&lt;&gt;"Starfsbundið",AA40="",AA$8="",AA$7=""),"",ROUND(AA40/AA$8*AA$7*KVARDI,2))</f>
        <v/>
      </c>
      <c r="AC40" s="39"/>
      <c r="AD40" s="40" t="str">
        <f aca="false">IF(OR(INDEX(Undirviðmið!$G$6:$G$105,(COLUMN()-7-1)/2+1)&lt;&gt;"Starfsbundið",AC40="",AC$8="",AC$7=""),"",ROUND(AC40/AC$8*AC$7*KVARDI,2))</f>
        <v/>
      </c>
      <c r="AE40" s="39"/>
      <c r="AF40" s="40" t="str">
        <f aca="false">IF(OR(INDEX(Undirviðmið!$G$6:$G$105,(COLUMN()-7-1)/2+1)&lt;&gt;"Starfsbundið",AE40="",AE$8="",AE$7=""),"",ROUND(AE40/AE$8*AE$7*KVARDI,2))</f>
        <v/>
      </c>
      <c r="AG40" s="39"/>
      <c r="AH40" s="40" t="str">
        <f aca="false">IF(OR(INDEX(Undirviðmið!$G$6:$G$105,(COLUMN()-7-1)/2+1)&lt;&gt;"Starfsbundið",AG40="",AG$8="",AG$7=""),"",ROUND(AG40/AG$8*AG$7*KVARDI,2))</f>
        <v/>
      </c>
      <c r="AI40" s="39"/>
      <c r="AJ40" s="40" t="str">
        <f aca="false">IF(OR(INDEX(Undirviðmið!$G$6:$G$105,(COLUMN()-7-1)/2+1)&lt;&gt;"Starfsbundið",AI40="",AI$8="",AI$7=""),"",ROUND(AI40/AI$8*AI$7*KVARDI,2))</f>
        <v/>
      </c>
      <c r="AK40" s="39"/>
      <c r="AL40" s="40" t="str">
        <f aca="false">IF(OR(INDEX(Undirviðmið!$G$6:$G$105,(COLUMN()-7-1)/2+1)&lt;&gt;"Starfsbundið",AK40="",AK$8="",AK$7=""),"",ROUND(AK40/AK$8*AK$7*KVARDI,2))</f>
        <v/>
      </c>
      <c r="AM40" s="39"/>
      <c r="AN40" s="40" t="str">
        <f aca="false">IF(OR(INDEX(Undirviðmið!$G$6:$G$105,(COLUMN()-7-1)/2+1)&lt;&gt;"Starfsbundið",AM40="",AM$8="",AM$7=""),"",ROUND(AM40/AM$8*AM$7*KVARDI,2))</f>
        <v/>
      </c>
      <c r="AO40" s="39"/>
      <c r="AP40" s="40" t="str">
        <f aca="false">IF(OR(INDEX(Undirviðmið!$G$6:$G$105,(COLUMN()-7-1)/2+1)&lt;&gt;"Starfsbundið",AO40="",AO$8="",AO$7=""),"",ROUND(AO40/AO$8*AO$7*KVARDI,2))</f>
        <v/>
      </c>
      <c r="AQ40" s="39"/>
      <c r="AR40" s="40" t="str">
        <f aca="false">IF(OR(INDEX(Undirviðmið!$G$6:$G$105,(COLUMN()-7-1)/2+1)&lt;&gt;"Starfsbundið",AQ40="",AQ$8="",AQ$7=""),"",ROUND(AQ40/AQ$8*AQ$7*KVARDI,2))</f>
        <v/>
      </c>
      <c r="AS40" s="39"/>
      <c r="AT40" s="40" t="str">
        <f aca="false">IF(OR(INDEX(Undirviðmið!$G$6:$G$105,(COLUMN()-7-1)/2+1)&lt;&gt;"Starfsbundið",AS40="",AS$8="",AS$7=""),"",ROUND(AS40/AS$8*AS$7*KVARDI,2))</f>
        <v/>
      </c>
      <c r="AU40" s="39"/>
      <c r="AV40" s="40" t="str">
        <f aca="false">IF(OR(INDEX(Undirviðmið!$G$6:$G$105,(COLUMN()-7-1)/2+1)&lt;&gt;"Starfsbundið",AU40="",AU$8="",AU$7=""),"",ROUND(AU40/AU$8*AU$7*KVARDI,2))</f>
        <v/>
      </c>
      <c r="AW40" s="39"/>
      <c r="AX40" s="40" t="str">
        <f aca="false">IF(OR(INDEX(Undirviðmið!$G$6:$G$105,(COLUMN()-7-1)/2+1)&lt;&gt;"Starfsbundið",AW40="",AW$8="",AW$7=""),"",ROUND(AW40/AW$8*AW$7*KVARDI,2))</f>
        <v/>
      </c>
      <c r="AY40" s="39"/>
      <c r="AZ40" s="40" t="str">
        <f aca="false">IF(OR(INDEX(Undirviðmið!$G$6:$G$105,(COLUMN()-7-1)/2+1)&lt;&gt;"Starfsbundið",AY40="",AY$8="",AY$7=""),"",ROUND(AY40/AY$8*AY$7*KVARDI,2))</f>
        <v/>
      </c>
      <c r="BA40" s="39"/>
      <c r="BB40" s="40" t="str">
        <f aca="false">IF(OR(INDEX(Undirviðmið!$G$6:$G$105,(COLUMN()-7-1)/2+1)&lt;&gt;"Starfsbundið",BA40="",BA$8="",BA$7=""),"",ROUND(BA40/BA$8*BA$7*KVARDI,2))</f>
        <v/>
      </c>
      <c r="BC40" s="39"/>
      <c r="BD40" s="40" t="str">
        <f aca="false">IF(OR(INDEX(Undirviðmið!$G$6:$G$105,(COLUMN()-7-1)/2+1)&lt;&gt;"Starfsbundið",BC40="",BC$8="",BC$7=""),"",ROUND(BC40/BC$8*BC$7*KVARDI,2))</f>
        <v/>
      </c>
      <c r="BE40" s="39"/>
      <c r="BF40" s="40" t="str">
        <f aca="false">IF(OR(INDEX(Undirviðmið!$G$6:$G$105,(COLUMN()-7-1)/2+1)&lt;&gt;"Starfsbundið",BE40="",BE$8="",BE$7=""),"",ROUND(BE40/BE$8*BE$7*KVARDI,2))</f>
        <v/>
      </c>
      <c r="BG40" s="39"/>
      <c r="BH40" s="40" t="str">
        <f aca="false">IF(OR(INDEX(Undirviðmið!$G$6:$G$105,(COLUMN()-7-1)/2+1)&lt;&gt;"Starfsbundið",BG40="",BG$8="",BG$7=""),"",ROUND(BG40/BG$8*BG$7*KVARDI,2))</f>
        <v/>
      </c>
      <c r="BI40" s="39"/>
      <c r="BJ40" s="40" t="str">
        <f aca="false">IF(OR(INDEX(Undirviðmið!$G$6:$G$105,(COLUMN()-7-1)/2+1)&lt;&gt;"Starfsbundið",BI40="",BI$8="",BI$7=""),"",ROUND(BI40/BI$8*BI$7*KVARDI,2))</f>
        <v/>
      </c>
      <c r="BK40" s="39"/>
      <c r="BL40" s="40" t="str">
        <f aca="false">IF(OR(INDEX(Undirviðmið!$G$6:$G$105,(COLUMN()-7-1)/2+1)&lt;&gt;"Starfsbundið",BK40="",BK$8="",BK$7=""),"",ROUND(BK40/BK$8*BK$7*KVARDI,2))</f>
        <v/>
      </c>
      <c r="BM40" s="39"/>
      <c r="BN40" s="40" t="str">
        <f aca="false">IF(OR(INDEX(Undirviðmið!$G$6:$G$105,(COLUMN()-7-1)/2+1)&lt;&gt;"Starfsbundið",BM40="",BM$8="",BM$7=""),"",ROUND(BM40/BM$8*BM$7*KVARDI,2))</f>
        <v/>
      </c>
      <c r="BO40" s="39"/>
      <c r="BP40" s="40" t="str">
        <f aca="false">IF(OR(INDEX(Undirviðmið!$G$6:$G$105,(COLUMN()-7-1)/2+1)&lt;&gt;"Starfsbundið",BO40="",BO$8="",BO$7=""),"",ROUND(BO40/BO$8*BO$7*KVARDI,2))</f>
        <v/>
      </c>
      <c r="BQ40" s="39"/>
      <c r="BR40" s="40" t="str">
        <f aca="false">IF(OR(INDEX(Undirviðmið!$G$6:$G$105,(COLUMN()-7-1)/2+1)&lt;&gt;"Starfsbundið",BQ40="",BQ$8="",BQ$7=""),"",ROUND(BQ40/BQ$8*BQ$7*KVARDI,2))</f>
        <v/>
      </c>
      <c r="BS40" s="39"/>
      <c r="BT40" s="40" t="str">
        <f aca="false">IF(OR(INDEX(Undirviðmið!$G$6:$G$105,(COLUMN()-7-1)/2+1)&lt;&gt;"Starfsbundið",BS40="",BS$8="",BS$7=""),"",ROUND(BS40/BS$8*BS$7*KVARDI,2))</f>
        <v/>
      </c>
      <c r="BU40" s="39"/>
      <c r="BV40" s="40" t="str">
        <f aca="false">IF(OR(INDEX(Undirviðmið!$G$6:$G$105,(COLUMN()-7-1)/2+1)&lt;&gt;"Starfsbundið",BU40="",BU$8="",BU$7=""),"",ROUND(BU40/BU$8*BU$7*KVARDI,2))</f>
        <v/>
      </c>
      <c r="BW40" s="39"/>
      <c r="BX40" s="40" t="str">
        <f aca="false">IF(OR(INDEX(Undirviðmið!$G$6:$G$105,(COLUMN()-7-1)/2+1)&lt;&gt;"Starfsbundið",BW40="",BW$8="",BW$7=""),"",ROUND(BW40/BW$8*BW$7*KVARDI,2))</f>
        <v/>
      </c>
      <c r="BY40" s="39"/>
      <c r="BZ40" s="40" t="str">
        <f aca="false">IF(OR(INDEX(Undirviðmið!$G$6:$G$105,(COLUMN()-7-1)/2+1)&lt;&gt;"Starfsbundið",BY40="",BY$8="",BY$7=""),"",ROUND(BY40/BY$8*BY$7*KVARDI,2))</f>
        <v/>
      </c>
      <c r="CA40" s="39"/>
      <c r="CB40" s="40" t="str">
        <f aca="false">IF(OR(INDEX(Undirviðmið!$G$6:$G$105,(COLUMN()-7-1)/2+1)&lt;&gt;"Starfsbundið",CA40="",CA$8="",CA$7=""),"",ROUND(CA40/CA$8*CA$7*KVARDI,2))</f>
        <v/>
      </c>
      <c r="CC40" s="39"/>
      <c r="CD40" s="40" t="str">
        <f aca="false">IF(OR(INDEX(Undirviðmið!$G$6:$G$105,(COLUMN()-7-1)/2+1)&lt;&gt;"Starfsbundið",CC40="",CC$8="",CC$7=""),"",ROUND(CC40/CC$8*CC$7*KVARDI,2))</f>
        <v/>
      </c>
      <c r="CE40" s="39"/>
      <c r="CF40" s="40" t="str">
        <f aca="false">IF(OR(INDEX(Undirviðmið!$G$6:$G$105,(COLUMN()-7-1)/2+1)&lt;&gt;"Starfsbundið",CE40="",CE$8="",CE$7=""),"",ROUND(CE40/CE$8*CE$7*KVARDI,2))</f>
        <v/>
      </c>
      <c r="CG40" s="39"/>
      <c r="CH40" s="40" t="str">
        <f aca="false">IF(OR(INDEX(Undirviðmið!$G$6:$G$105,(COLUMN()-7-1)/2+1)&lt;&gt;"Starfsbundið",CG40="",CG$8="",CG$7=""),"",ROUND(CG40/CG$8*CG$7*KVARDI,2))</f>
        <v/>
      </c>
      <c r="CI40" s="39"/>
      <c r="CJ40" s="40" t="str">
        <f aca="false">IF(OR(INDEX(Undirviðmið!$G$6:$G$105,(COLUMN()-7-1)/2+1)&lt;&gt;"Starfsbundið",CI40="",CI$8="",CI$7=""),"",ROUND(CI40/CI$8*CI$7*KVARDI,2))</f>
        <v/>
      </c>
      <c r="CK40" s="39"/>
      <c r="CL40" s="40" t="str">
        <f aca="false">IF(OR(INDEX(Undirviðmið!$G$6:$G$105,(COLUMN()-7-1)/2+1)&lt;&gt;"Starfsbundið",CK40="",CK$8="",CK$7=""),"",ROUND(CK40/CK$8*CK$7*KVARDI,2))</f>
        <v/>
      </c>
      <c r="CM40" s="39"/>
      <c r="CN40" s="40" t="str">
        <f aca="false">IF(OR(INDEX(Undirviðmið!$G$6:$G$105,(COLUMN()-7-1)/2+1)&lt;&gt;"Starfsbundið",CM40="",CM$8="",CM$7=""),"",ROUND(CM40/CM$8*CM$7*KVARDI,2))</f>
        <v/>
      </c>
      <c r="CO40" s="39"/>
      <c r="CP40" s="40" t="str">
        <f aca="false">IF(OR(INDEX(Undirviðmið!$G$6:$G$105,(COLUMN()-7-1)/2+1)&lt;&gt;"Starfsbundið",CO40="",CO$8="",CO$7=""),"",ROUND(CO40/CO$8*CO$7*KVARDI,2))</f>
        <v/>
      </c>
      <c r="CQ40" s="39"/>
      <c r="CR40" s="40" t="str">
        <f aca="false">IF(OR(INDEX(Undirviðmið!$G$6:$G$105,(COLUMN()-7-1)/2+1)&lt;&gt;"Starfsbundið",CQ40="",CQ$8="",CQ$7=""),"",ROUND(CQ40/CQ$8*CQ$7*KVARDI,2))</f>
        <v/>
      </c>
      <c r="CS40" s="39"/>
      <c r="CT40" s="40" t="str">
        <f aca="false">IF(OR(INDEX(Undirviðmið!$G$6:$G$105,(COLUMN()-7-1)/2+1)&lt;&gt;"Starfsbundið",CS40="",CS$8="",CS$7=""),"",ROUND(CS40/CS$8*CS$7*KVARDI,2))</f>
        <v/>
      </c>
      <c r="CU40" s="39"/>
      <c r="CV40" s="40" t="str">
        <f aca="false">IF(OR(INDEX(Undirviðmið!$G$6:$G$105,(COLUMN()-7-1)/2+1)&lt;&gt;"Starfsbundið",CU40="",CU$8="",CU$7=""),"",ROUND(CU40/CU$8*CU$7*KVARDI,2))</f>
        <v/>
      </c>
      <c r="CW40" s="39"/>
      <c r="CX40" s="40" t="str">
        <f aca="false">IF(OR(INDEX(Undirviðmið!$G$6:$G$105,(COLUMN()-7-1)/2+1)&lt;&gt;"Starfsbundið",CW40="",CW$8="",CW$7=""),"",ROUND(CW40/CW$8*CW$7*KVARDI,2))</f>
        <v/>
      </c>
      <c r="CY40" s="39"/>
      <c r="CZ40" s="40" t="str">
        <f aca="false">IF(OR(INDEX(Undirviðmið!$G$6:$G$105,(COLUMN()-7-1)/2+1)&lt;&gt;"Starfsbundið",CY40="",CY$8="",CY$7=""),"",ROUND(CY40/CY$8*CY$7*KVARDI,2))</f>
        <v/>
      </c>
      <c r="DA40" s="39"/>
      <c r="DB40" s="40" t="str">
        <f aca="false">IF(OR(INDEX(Undirviðmið!$G$6:$G$105,(COLUMN()-7-1)/2+1)&lt;&gt;"Starfsbundið",DA40="",DA$8="",DA$7=""),"",ROUND(DA40/DA$8*DA$7*KVARDI,2))</f>
        <v/>
      </c>
      <c r="DC40" s="39"/>
      <c r="DD40" s="40" t="str">
        <f aca="false">IF(OR(INDEX(Undirviðmið!$G$6:$G$105,(COLUMN()-7-1)/2+1)&lt;&gt;"Starfsbundið",DC40="",DC$8="",DC$7=""),"",ROUND(DC40/DC$8*DC$7*KVARDI,2))</f>
        <v/>
      </c>
      <c r="DE40" s="39"/>
      <c r="DF40" s="40" t="str">
        <f aca="false">IF(OR(INDEX(Undirviðmið!$G$6:$G$105,(COLUMN()-7-1)/2+1)&lt;&gt;"Starfsbundið",DE40="",DE$8="",DE$7=""),"",ROUND(DE40/DE$8*DE$7*KVARDI,2))</f>
        <v/>
      </c>
      <c r="DG40" s="39"/>
      <c r="DH40" s="40" t="str">
        <f aca="false">IF(OR(INDEX(Undirviðmið!$G$6:$G$105,(COLUMN()-7-1)/2+1)&lt;&gt;"Starfsbundið",DG40="",DG$8="",DG$7=""),"",ROUND(DG40/DG$8*DG$7*KVARDI,2))</f>
        <v/>
      </c>
      <c r="DI40" s="39"/>
      <c r="DJ40" s="40" t="str">
        <f aca="false">IF(OR(INDEX(Undirviðmið!$G$6:$G$105,(COLUMN()-7-1)/2+1)&lt;&gt;"Starfsbundið",DI40="",DI$8="",DI$7=""),"",ROUND(DI40/DI$8*DI$7*KVARDI,2))</f>
        <v/>
      </c>
      <c r="DK40" s="39"/>
      <c r="DL40" s="40" t="str">
        <f aca="false">IF(OR(INDEX(Undirviðmið!$G$6:$G$105,(COLUMN()-7-1)/2+1)&lt;&gt;"Starfsbundið",DK40="",DK$8="",DK$7=""),"",ROUND(DK40/DK$8*DK$7*KVARDI,2))</f>
        <v/>
      </c>
      <c r="DM40" s="39"/>
      <c r="DN40" s="40" t="str">
        <f aca="false">IF(OR(INDEX(Undirviðmið!$G$6:$G$105,(COLUMN()-7-1)/2+1)&lt;&gt;"Starfsbundið",DM40="",DM$8="",DM$7=""),"",ROUND(DM40/DM$8*DM$7*KVARDI,2))</f>
        <v/>
      </c>
      <c r="DO40" s="39"/>
      <c r="DP40" s="40" t="str">
        <f aca="false">IF(OR(INDEX(Undirviðmið!$G$6:$G$105,(COLUMN()-7-1)/2+1)&lt;&gt;"Starfsbundið",DO40="",DO$8="",DO$7=""),"",ROUND(DO40/DO$8*DO$7*KVARDI,2))</f>
        <v/>
      </c>
      <c r="DQ40" s="39"/>
      <c r="DR40" s="40" t="str">
        <f aca="false">IF(OR(INDEX(Undirviðmið!$G$6:$G$105,(COLUMN()-7-1)/2+1)&lt;&gt;"Starfsbundið",DQ40="",DQ$8="",DQ$7=""),"",ROUND(DQ40/DQ$8*DQ$7*KVARDI,2))</f>
        <v/>
      </c>
      <c r="DS40" s="39"/>
      <c r="DT40" s="40" t="str">
        <f aca="false">IF(OR(INDEX(Undirviðmið!$G$6:$G$105,(COLUMN()-7-1)/2+1)&lt;&gt;"Starfsbundið",DS40="",DS$8="",DS$7=""),"",ROUND(DS40/DS$8*DS$7*KVARDI,2))</f>
        <v/>
      </c>
      <c r="DU40" s="39"/>
      <c r="DV40" s="40" t="str">
        <f aca="false">IF(OR(INDEX(Undirviðmið!$G$6:$G$105,(COLUMN()-7-1)/2+1)&lt;&gt;"Starfsbundið",DU40="",DU$8="",DU$7=""),"",ROUND(DU40/DU$8*DU$7*KVARDI,2))</f>
        <v/>
      </c>
      <c r="DW40" s="39"/>
      <c r="DX40" s="40" t="str">
        <f aca="false">IF(OR(INDEX(Undirviðmið!$G$6:$G$105,(COLUMN()-7-1)/2+1)&lt;&gt;"Starfsbundið",DW40="",DW$8="",DW$7=""),"",ROUND(DW40/DW$8*DW$7*KVARDI,2))</f>
        <v/>
      </c>
      <c r="DY40" s="39"/>
      <c r="DZ40" s="40" t="str">
        <f aca="false">IF(OR(INDEX(Undirviðmið!$G$6:$G$105,(COLUMN()-7-1)/2+1)&lt;&gt;"Starfsbundið",DY40="",DY$8="",DY$7=""),"",ROUND(DY40/DY$8*DY$7*KVARDI,2))</f>
        <v/>
      </c>
      <c r="EA40" s="39"/>
      <c r="EB40" s="40" t="str">
        <f aca="false">IF(OR(INDEX(Undirviðmið!$G$6:$G$105,(COLUMN()-7-1)/2+1)&lt;&gt;"Starfsbundið",EA40="",EA$8="",EA$7=""),"",ROUND(EA40/EA$8*EA$7*KVARDI,2))</f>
        <v/>
      </c>
      <c r="EC40" s="39"/>
      <c r="ED40" s="40" t="str">
        <f aca="false">IF(OR(INDEX(Undirviðmið!$G$6:$G$105,(COLUMN()-7-1)/2+1)&lt;&gt;"Starfsbundið",EC40="",EC$8="",EC$7=""),"",ROUND(EC40/EC$8*EC$7*KVARDI,2))</f>
        <v/>
      </c>
      <c r="EE40" s="39"/>
      <c r="EF40" s="40" t="str">
        <f aca="false">IF(OR(INDEX(Undirviðmið!$G$6:$G$105,(COLUMN()-7-1)/2+1)&lt;&gt;"Starfsbundið",EE40="",EE$8="",EE$7=""),"",ROUND(EE40/EE$8*EE$7*KVARDI,2))</f>
        <v/>
      </c>
      <c r="EG40" s="39"/>
      <c r="EH40" s="40" t="str">
        <f aca="false">IF(OR(INDEX(Undirviðmið!$G$6:$G$105,(COLUMN()-7-1)/2+1)&lt;&gt;"Starfsbundið",EG40="",EG$8="",EG$7=""),"",ROUND(EG40/EG$8*EG$7*KVARDI,2))</f>
        <v/>
      </c>
      <c r="EI40" s="39"/>
      <c r="EJ40" s="40" t="str">
        <f aca="false">IF(OR(INDEX(Undirviðmið!$G$6:$G$105,(COLUMN()-7-1)/2+1)&lt;&gt;"Starfsbundið",EI40="",EI$8="",EI$7=""),"",ROUND(EI40/EI$8*EI$7*KVARDI,2))</f>
        <v/>
      </c>
      <c r="EK40" s="39"/>
      <c r="EL40" s="40" t="str">
        <f aca="false">IF(OR(INDEX(Undirviðmið!$G$6:$G$105,(COLUMN()-7-1)/2+1)&lt;&gt;"Starfsbundið",EK40="",EK$8="",EK$7=""),"",ROUND(EK40/EK$8*EK$7*KVARDI,2))</f>
        <v/>
      </c>
      <c r="EM40" s="39"/>
      <c r="EN40" s="40" t="str">
        <f aca="false">IF(OR(INDEX(Undirviðmið!$G$6:$G$105,(COLUMN()-7-1)/2+1)&lt;&gt;"Starfsbundið",EM40="",EM$8="",EM$7=""),"",ROUND(EM40/EM$8*EM$7*KVARDI,2))</f>
        <v/>
      </c>
      <c r="EO40" s="39"/>
      <c r="EP40" s="40" t="str">
        <f aca="false">IF(OR(INDEX(Undirviðmið!$G$6:$G$105,(COLUMN()-7-1)/2+1)&lt;&gt;"Starfsbundið",EO40="",EO$8="",EO$7=""),"",ROUND(EO40/EO$8*EO$7*KVARDI,2))</f>
        <v/>
      </c>
      <c r="EQ40" s="39"/>
      <c r="ER40" s="40" t="str">
        <f aca="false">IF(OR(INDEX(Undirviðmið!$G$6:$G$105,(COLUMN()-7-1)/2+1)&lt;&gt;"Starfsbundið",EQ40="",EQ$8="",EQ$7=""),"",ROUND(EQ40/EQ$8*EQ$7*KVARDI,2))</f>
        <v/>
      </c>
      <c r="ES40" s="39"/>
      <c r="ET40" s="40" t="str">
        <f aca="false">IF(OR(INDEX(Undirviðmið!$G$6:$G$105,(COLUMN()-7-1)/2+1)&lt;&gt;"Starfsbundið",ES40="",ES$8="",ES$7=""),"",ROUND(ES40/ES$8*ES$7*KVARDI,2))</f>
        <v/>
      </c>
      <c r="EU40" s="39"/>
      <c r="EV40" s="40" t="str">
        <f aca="false">IF(OR(INDEX(Undirviðmið!$G$6:$G$105,(COLUMN()-7-1)/2+1)&lt;&gt;"Starfsbundið",EU40="",EU$8="",EU$7=""),"",ROUND(EU40/EU$8*EU$7*KVARDI,2))</f>
        <v/>
      </c>
      <c r="EW40" s="39"/>
      <c r="EX40" s="40" t="str">
        <f aca="false">IF(OR(INDEX(Undirviðmið!$G$6:$G$105,(COLUMN()-7-1)/2+1)&lt;&gt;"Starfsbundið",EW40="",EW$8="",EW$7=""),"",ROUND(EW40/EW$8*EW$7*KVARDI,2))</f>
        <v/>
      </c>
      <c r="EY40" s="39"/>
      <c r="EZ40" s="40" t="str">
        <f aca="false">IF(OR(INDEX(Undirviðmið!$G$6:$G$105,(COLUMN()-7-1)/2+1)&lt;&gt;"Starfsbundið",EY40="",EY$8="",EY$7=""),"",ROUND(EY40/EY$8*EY$7*KVARDI,2))</f>
        <v/>
      </c>
      <c r="FA40" s="39"/>
      <c r="FB40" s="40" t="str">
        <f aca="false">IF(OR(INDEX(Undirviðmið!$G$6:$G$105,(COLUMN()-7-1)/2+1)&lt;&gt;"Starfsbundið",FA40="",FA$8="",FA$7=""),"",ROUND(FA40/FA$8*FA$7*KVARDI,2))</f>
        <v/>
      </c>
      <c r="FC40" s="39"/>
      <c r="FD40" s="40" t="str">
        <f aca="false">IF(OR(INDEX(Undirviðmið!$G$6:$G$105,(COLUMN()-7-1)/2+1)&lt;&gt;"Starfsbundið",FC40="",FC$8="",FC$7=""),"",ROUND(FC40/FC$8*FC$7*KVARDI,2))</f>
        <v/>
      </c>
      <c r="FE40" s="39"/>
      <c r="FF40" s="40" t="str">
        <f aca="false">IF(OR(INDEX(Undirviðmið!$G$6:$G$105,(COLUMN()-7-1)/2+1)&lt;&gt;"Starfsbundið",FE40="",FE$8="",FE$7=""),"",ROUND(FE40/FE$8*FE$7*KVARDI,2))</f>
        <v/>
      </c>
      <c r="FG40" s="39"/>
      <c r="FH40" s="40" t="str">
        <f aca="false">IF(OR(INDEX(Undirviðmið!$G$6:$G$105,(COLUMN()-7-1)/2+1)&lt;&gt;"Starfsbundið",FG40="",FG$8="",FG$7=""),"",ROUND(FG40/FG$8*FG$7*KVARDI,2))</f>
        <v/>
      </c>
      <c r="FI40" s="39"/>
      <c r="FJ40" s="40" t="str">
        <f aca="false">IF(OR(INDEX(Undirviðmið!$G$6:$G$105,(COLUMN()-7-1)/2+1)&lt;&gt;"Starfsbundið",FI40="",FI$8="",FI$7=""),"",ROUND(FI40/FI$8*FI$7*KVARDI,2))</f>
        <v/>
      </c>
      <c r="FK40" s="39"/>
      <c r="FL40" s="40" t="str">
        <f aca="false">IF(OR(INDEX(Undirviðmið!$G$6:$G$105,(COLUMN()-7-1)/2+1)&lt;&gt;"Starfsbundið",FK40="",FK$8="",FK$7=""),"",ROUND(FK40/FK$8*FK$7*KVARDI,2))</f>
        <v/>
      </c>
      <c r="FM40" s="39"/>
      <c r="FN40" s="40" t="str">
        <f aca="false">IF(OR(INDEX(Undirviðmið!$G$6:$G$105,(COLUMN()-7-1)/2+1)&lt;&gt;"Starfsbundið",FM40="",FM$8="",FM$7=""),"",ROUND(FM40/FM$8*FM$7*KVARDI,2))</f>
        <v/>
      </c>
      <c r="FO40" s="39"/>
      <c r="FP40" s="40" t="str">
        <f aca="false">IF(OR(INDEX(Undirviðmið!$G$6:$G$105,(COLUMN()-7-1)/2+1)&lt;&gt;"Starfsbundið",FO40="",FO$8="",FO$7=""),"",ROUND(FO40/FO$8*FO$7*KVARDI,2))</f>
        <v/>
      </c>
      <c r="FQ40" s="39"/>
      <c r="FR40" s="40" t="str">
        <f aca="false">IF(OR(INDEX(Undirviðmið!$G$6:$G$105,(COLUMN()-7-1)/2+1)&lt;&gt;"Starfsbundið",FQ40="",FQ$8="",FQ$7=""),"",ROUND(FQ40/FQ$8*FQ$7*KVARDI,2))</f>
        <v/>
      </c>
      <c r="FS40" s="39"/>
      <c r="FT40" s="40" t="str">
        <f aca="false">IF(OR(INDEX(Undirviðmið!$G$6:$G$105,(COLUMN()-7-1)/2+1)&lt;&gt;"Starfsbundið",FS40="",FS$8="",FS$7=""),"",ROUND(FS40/FS$8*FS$7*KVARDI,2))</f>
        <v/>
      </c>
      <c r="FU40" s="39"/>
      <c r="FV40" s="40" t="str">
        <f aca="false">IF(OR(INDEX(Undirviðmið!$G$6:$G$105,(COLUMN()-7-1)/2+1)&lt;&gt;"Starfsbundið",FU40="",FU$8="",FU$7=""),"",ROUND(FU40/FU$8*FU$7*KVARDI,2))</f>
        <v/>
      </c>
      <c r="FW40" s="39"/>
      <c r="FX40" s="40" t="str">
        <f aca="false">IF(OR(INDEX(Undirviðmið!$G$6:$G$105,(COLUMN()-7-1)/2+1)&lt;&gt;"Starfsbundið",FW40="",FW$8="",FW$7=""),"",ROUND(FW40/FW$8*FW$7*KVARDI,2))</f>
        <v/>
      </c>
      <c r="FY40" s="39"/>
      <c r="FZ40" s="40" t="str">
        <f aca="false">IF(OR(INDEX(Undirviðmið!$G$6:$G$105,(COLUMN()-7-1)/2+1)&lt;&gt;"Starfsbundið",FY40="",FY$8="",FY$7=""),"",ROUND(FY40/FY$8*FY$7*KVARDI,2))</f>
        <v/>
      </c>
      <c r="GA40" s="39"/>
      <c r="GB40" s="40" t="str">
        <f aca="false">IF(OR(INDEX(Undirviðmið!$G$6:$G$105,(COLUMN()-7-1)/2+1)&lt;&gt;"Starfsbundið",GA40="",GA$8="",GA$7=""),"",ROUND(GA40/GA$8*GA$7*KVARDI,2))</f>
        <v/>
      </c>
      <c r="GC40" s="39"/>
      <c r="GD40" s="40" t="str">
        <f aca="false">IF(OR(INDEX(Undirviðmið!$G$6:$G$105,(COLUMN()-7-1)/2+1)&lt;&gt;"Starfsbundið",GC40="",GC$8="",GC$7=""),"",ROUND(GC40/GC$8*GC$7*KVARDI,2))</f>
        <v/>
      </c>
      <c r="GE40" s="39"/>
      <c r="GF40" s="40" t="str">
        <f aca="false">IF(OR(INDEX(Undirviðmið!$G$6:$G$105,(COLUMN()-7-1)/2+1)&lt;&gt;"Starfsbundið",GE40="",GE$8="",GE$7=""),"",ROUND(GE40/GE$8*GE$7*KVARDI,2))</f>
        <v/>
      </c>
      <c r="GG40" s="39"/>
      <c r="GH40" s="40" t="str">
        <f aca="false">IF(OR(INDEX(Undirviðmið!$G$6:$G$105,(COLUMN()-7-1)/2+1)&lt;&gt;"Starfsbundið",GG40="",GG$8="",GG$7=""),"",ROUND(GG40/GG$8*GG$7*KVARDI,2))</f>
        <v/>
      </c>
      <c r="GI40" s="39"/>
      <c r="GJ40" s="40" t="str">
        <f aca="false">IF(OR(INDEX(Undirviðmið!$G$6:$G$105,(COLUMN()-7-1)/2+1)&lt;&gt;"Starfsbundið",GI40="",GI$8="",GI$7=""),"",ROUND(GI40/GI$8*GI$7*KVARDI,2))</f>
        <v/>
      </c>
      <c r="GK40" s="39"/>
      <c r="GL40" s="40" t="str">
        <f aca="false">IF(OR(INDEX(Undirviðmið!$G$6:$G$105,(COLUMN()-7-1)/2+1)&lt;&gt;"Starfsbundið",GK40="",GK$8="",GK$7=""),"",ROUND(GK40/GK$8*GK$7*KVARDI,2))</f>
        <v/>
      </c>
      <c r="GM40" s="39"/>
      <c r="GN40" s="40" t="str">
        <f aca="false">IF(OR(INDEX(Undirviðmið!$G$6:$G$105,(COLUMN()-7-1)/2+1)&lt;&gt;"Starfsbundið",GM40="",GM$8="",GM$7=""),"",ROUND(GM40/GM$8*GM$7*KVARDI,2))</f>
        <v/>
      </c>
      <c r="GO40" s="39"/>
      <c r="GP40" s="40" t="str">
        <f aca="false">IF(OR(INDEX(Undirviðmið!$G$6:$G$105,(COLUMN()-7-1)/2+1)&lt;&gt;"Starfsbundið",GO40="",GO$8="",GO$7=""),"",ROUND(GO40/GO$8*GO$7*KVARDI,2))</f>
        <v/>
      </c>
      <c r="GQ40" s="39"/>
      <c r="GR40" s="40" t="str">
        <f aca="false">IF(OR(INDEX(Undirviðmið!$G$6:$G$105,(COLUMN()-7-1)/2+1)&lt;&gt;"Starfsbundið",GQ40="",GQ$8="",GQ$7=""),"",ROUND(GQ40/GQ$8*GQ$7*KVARDI,2))</f>
        <v/>
      </c>
      <c r="GS40" s="39"/>
      <c r="GT40" s="40" t="str">
        <f aca="false">IF(OR(INDEX(Undirviðmið!$G$6:$G$105,(COLUMN()-7-1)/2+1)&lt;&gt;"Starfsbundið",GS40="",GS$8="",GS$7=""),"",ROUND(GS40/GS$8*GS$7*KVARDI,2))</f>
        <v/>
      </c>
      <c r="GU40" s="39"/>
      <c r="GV40" s="40" t="str">
        <f aca="false">IF(OR(INDEX(Undirviðmið!$G$6:$G$105,(COLUMN()-7-1)/2+1)&lt;&gt;"Starfsbundið",GU40="",GU$8="",GU$7=""),"",ROUND(GU40/GU$8*GU$7*KVARDI,2))</f>
        <v/>
      </c>
      <c r="GW40" s="39"/>
      <c r="GX40" s="40" t="str">
        <f aca="false">IF(OR(INDEX(Undirviðmið!$G$6:$G$105,(COLUMN()-7-1)/2+1)&lt;&gt;"Starfsbundið",GW40="",GW$8="",GW$7=""),"",ROUND(GW40/GW$8*GW$7*KVARDI,2))</f>
        <v/>
      </c>
      <c r="GZ40" s="20"/>
    </row>
    <row r="41" customFormat="false" ht="15" hidden="true" customHeight="true" outlineLevel="1" collapsed="false">
      <c r="B41" s="37" t="str">
        <f aca="false" t="array" ref="B41:B41">IFERROR(INDEX(Starfsmenn!$C$6:$C$10005,MATCH(0,COUNTIF($B$11:B40,Starfsmenn!$C$6:$C$10005)+(Starfsmenn!$C$6:$C$10005=""),0)),"")</f>
        <v/>
      </c>
      <c r="C41" s="38" t="n">
        <f aca="false">IFERROR(SUMIF($G$10:$GX$10,"Stig",$G41:$GX41),0)</f>
        <v>0</v>
      </c>
      <c r="G41" s="39"/>
      <c r="H41" s="40" t="str">
        <f aca="false">IF(OR(INDEX(Undirviðmið!$G$6:$G$105,(COLUMN()-7-1)/2+1)&lt;&gt;"Starfsbundið",G41="",G$8="",G$7=""),"",ROUND(G41/G$8*G$7*KVARDI,2))</f>
        <v/>
      </c>
      <c r="I41" s="39"/>
      <c r="J41" s="40" t="str">
        <f aca="false">IF(OR(INDEX(Undirviðmið!$G$6:$G$105,(COLUMN()-7-1)/2+1)&lt;&gt;"Starfsbundið",I41="",I$8="",I$7=""),"",ROUND(I41/I$8*I$7*KVARDI,2))</f>
        <v/>
      </c>
      <c r="K41" s="39"/>
      <c r="L41" s="40" t="str">
        <f aca="false">IF(OR(INDEX(Undirviðmið!$G$6:$G$105,(COLUMN()-7-1)/2+1)&lt;&gt;"Starfsbundið",K41="",K$8="",K$7=""),"",ROUND(K41/K$8*K$7*KVARDI,2))</f>
        <v/>
      </c>
      <c r="M41" s="39"/>
      <c r="N41" s="40" t="str">
        <f aca="false">IF(OR(INDEX(Undirviðmið!$G$6:$G$105,(COLUMN()-7-1)/2+1)&lt;&gt;"Starfsbundið",M41="",M$8="",M$7=""),"",ROUND(M41/M$8*M$7*KVARDI,2))</f>
        <v/>
      </c>
      <c r="O41" s="39"/>
      <c r="P41" s="40" t="str">
        <f aca="false">IF(OR(INDEX(Undirviðmið!$G$6:$G$105,(COLUMN()-7-1)/2+1)&lt;&gt;"Starfsbundið",O41="",O$8="",O$7=""),"",ROUND(O41/O$8*O$7*KVARDI,2))</f>
        <v/>
      </c>
      <c r="Q41" s="39"/>
      <c r="R41" s="40" t="str">
        <f aca="false">IF(OR(INDEX(Undirviðmið!$G$6:$G$105,(COLUMN()-7-1)/2+1)&lt;&gt;"Starfsbundið",Q41="",Q$8="",Q$7=""),"",ROUND(Q41/Q$8*Q$7*KVARDI,2))</f>
        <v/>
      </c>
      <c r="S41" s="39"/>
      <c r="T41" s="40" t="str">
        <f aca="false">IF(OR(INDEX(Undirviðmið!$G$6:$G$105,(COLUMN()-7-1)/2+1)&lt;&gt;"Starfsbundið",S41="",S$8="",S$7=""),"",ROUND(S41/S$8*S$7*KVARDI,2))</f>
        <v/>
      </c>
      <c r="U41" s="39"/>
      <c r="V41" s="40" t="str">
        <f aca="false">IF(OR(INDEX(Undirviðmið!$G$6:$G$105,(COLUMN()-7-1)/2+1)&lt;&gt;"Starfsbundið",U41="",U$8="",U$7=""),"",ROUND(U41/U$8*U$7*KVARDI,2))</f>
        <v/>
      </c>
      <c r="W41" s="39"/>
      <c r="X41" s="40" t="str">
        <f aca="false">IF(OR(INDEX(Undirviðmið!$G$6:$G$105,(COLUMN()-7-1)/2+1)&lt;&gt;"Starfsbundið",W41="",W$8="",W$7=""),"",ROUND(W41/W$8*W$7*KVARDI,2))</f>
        <v/>
      </c>
      <c r="Y41" s="39"/>
      <c r="Z41" s="40" t="str">
        <f aca="false">IF(OR(INDEX(Undirviðmið!$G$6:$G$105,(COLUMN()-7-1)/2+1)&lt;&gt;"Starfsbundið",Y41="",Y$8="",Y$7=""),"",ROUND(Y41/Y$8*Y$7*KVARDI,2))</f>
        <v/>
      </c>
      <c r="AA41" s="39"/>
      <c r="AB41" s="40" t="str">
        <f aca="false">IF(OR(INDEX(Undirviðmið!$G$6:$G$105,(COLUMN()-7-1)/2+1)&lt;&gt;"Starfsbundið",AA41="",AA$8="",AA$7=""),"",ROUND(AA41/AA$8*AA$7*KVARDI,2))</f>
        <v/>
      </c>
      <c r="AC41" s="39"/>
      <c r="AD41" s="40" t="str">
        <f aca="false">IF(OR(INDEX(Undirviðmið!$G$6:$G$105,(COLUMN()-7-1)/2+1)&lt;&gt;"Starfsbundið",AC41="",AC$8="",AC$7=""),"",ROUND(AC41/AC$8*AC$7*KVARDI,2))</f>
        <v/>
      </c>
      <c r="AE41" s="39"/>
      <c r="AF41" s="40" t="str">
        <f aca="false">IF(OR(INDEX(Undirviðmið!$G$6:$G$105,(COLUMN()-7-1)/2+1)&lt;&gt;"Starfsbundið",AE41="",AE$8="",AE$7=""),"",ROUND(AE41/AE$8*AE$7*KVARDI,2))</f>
        <v/>
      </c>
      <c r="AG41" s="39"/>
      <c r="AH41" s="40" t="str">
        <f aca="false">IF(OR(INDEX(Undirviðmið!$G$6:$G$105,(COLUMN()-7-1)/2+1)&lt;&gt;"Starfsbundið",AG41="",AG$8="",AG$7=""),"",ROUND(AG41/AG$8*AG$7*KVARDI,2))</f>
        <v/>
      </c>
      <c r="AI41" s="39"/>
      <c r="AJ41" s="40" t="str">
        <f aca="false">IF(OR(INDEX(Undirviðmið!$G$6:$G$105,(COLUMN()-7-1)/2+1)&lt;&gt;"Starfsbundið",AI41="",AI$8="",AI$7=""),"",ROUND(AI41/AI$8*AI$7*KVARDI,2))</f>
        <v/>
      </c>
      <c r="AK41" s="39"/>
      <c r="AL41" s="40" t="str">
        <f aca="false">IF(OR(INDEX(Undirviðmið!$G$6:$G$105,(COLUMN()-7-1)/2+1)&lt;&gt;"Starfsbundið",AK41="",AK$8="",AK$7=""),"",ROUND(AK41/AK$8*AK$7*KVARDI,2))</f>
        <v/>
      </c>
      <c r="AM41" s="39"/>
      <c r="AN41" s="40" t="str">
        <f aca="false">IF(OR(INDEX(Undirviðmið!$G$6:$G$105,(COLUMN()-7-1)/2+1)&lt;&gt;"Starfsbundið",AM41="",AM$8="",AM$7=""),"",ROUND(AM41/AM$8*AM$7*KVARDI,2))</f>
        <v/>
      </c>
      <c r="AO41" s="39"/>
      <c r="AP41" s="40" t="str">
        <f aca="false">IF(OR(INDEX(Undirviðmið!$G$6:$G$105,(COLUMN()-7-1)/2+1)&lt;&gt;"Starfsbundið",AO41="",AO$8="",AO$7=""),"",ROUND(AO41/AO$8*AO$7*KVARDI,2))</f>
        <v/>
      </c>
      <c r="AQ41" s="39"/>
      <c r="AR41" s="40" t="str">
        <f aca="false">IF(OR(INDEX(Undirviðmið!$G$6:$G$105,(COLUMN()-7-1)/2+1)&lt;&gt;"Starfsbundið",AQ41="",AQ$8="",AQ$7=""),"",ROUND(AQ41/AQ$8*AQ$7*KVARDI,2))</f>
        <v/>
      </c>
      <c r="AS41" s="39"/>
      <c r="AT41" s="40" t="str">
        <f aca="false">IF(OR(INDEX(Undirviðmið!$G$6:$G$105,(COLUMN()-7-1)/2+1)&lt;&gt;"Starfsbundið",AS41="",AS$8="",AS$7=""),"",ROUND(AS41/AS$8*AS$7*KVARDI,2))</f>
        <v/>
      </c>
      <c r="AU41" s="39"/>
      <c r="AV41" s="40" t="str">
        <f aca="false">IF(OR(INDEX(Undirviðmið!$G$6:$G$105,(COLUMN()-7-1)/2+1)&lt;&gt;"Starfsbundið",AU41="",AU$8="",AU$7=""),"",ROUND(AU41/AU$8*AU$7*KVARDI,2))</f>
        <v/>
      </c>
      <c r="AW41" s="39"/>
      <c r="AX41" s="40" t="str">
        <f aca="false">IF(OR(INDEX(Undirviðmið!$G$6:$G$105,(COLUMN()-7-1)/2+1)&lt;&gt;"Starfsbundið",AW41="",AW$8="",AW$7=""),"",ROUND(AW41/AW$8*AW$7*KVARDI,2))</f>
        <v/>
      </c>
      <c r="AY41" s="39"/>
      <c r="AZ41" s="40" t="str">
        <f aca="false">IF(OR(INDEX(Undirviðmið!$G$6:$G$105,(COLUMN()-7-1)/2+1)&lt;&gt;"Starfsbundið",AY41="",AY$8="",AY$7=""),"",ROUND(AY41/AY$8*AY$7*KVARDI,2))</f>
        <v/>
      </c>
      <c r="BA41" s="39"/>
      <c r="BB41" s="40" t="str">
        <f aca="false">IF(OR(INDEX(Undirviðmið!$G$6:$G$105,(COLUMN()-7-1)/2+1)&lt;&gt;"Starfsbundið",BA41="",BA$8="",BA$7=""),"",ROUND(BA41/BA$8*BA$7*KVARDI,2))</f>
        <v/>
      </c>
      <c r="BC41" s="39"/>
      <c r="BD41" s="40" t="str">
        <f aca="false">IF(OR(INDEX(Undirviðmið!$G$6:$G$105,(COLUMN()-7-1)/2+1)&lt;&gt;"Starfsbundið",BC41="",BC$8="",BC$7=""),"",ROUND(BC41/BC$8*BC$7*KVARDI,2))</f>
        <v/>
      </c>
      <c r="BE41" s="39"/>
      <c r="BF41" s="40" t="str">
        <f aca="false">IF(OR(INDEX(Undirviðmið!$G$6:$G$105,(COLUMN()-7-1)/2+1)&lt;&gt;"Starfsbundið",BE41="",BE$8="",BE$7=""),"",ROUND(BE41/BE$8*BE$7*KVARDI,2))</f>
        <v/>
      </c>
      <c r="BG41" s="39"/>
      <c r="BH41" s="40" t="str">
        <f aca="false">IF(OR(INDEX(Undirviðmið!$G$6:$G$105,(COLUMN()-7-1)/2+1)&lt;&gt;"Starfsbundið",BG41="",BG$8="",BG$7=""),"",ROUND(BG41/BG$8*BG$7*KVARDI,2))</f>
        <v/>
      </c>
      <c r="BI41" s="39"/>
      <c r="BJ41" s="40" t="str">
        <f aca="false">IF(OR(INDEX(Undirviðmið!$G$6:$G$105,(COLUMN()-7-1)/2+1)&lt;&gt;"Starfsbundið",BI41="",BI$8="",BI$7=""),"",ROUND(BI41/BI$8*BI$7*KVARDI,2))</f>
        <v/>
      </c>
      <c r="BK41" s="39"/>
      <c r="BL41" s="40" t="str">
        <f aca="false">IF(OR(INDEX(Undirviðmið!$G$6:$G$105,(COLUMN()-7-1)/2+1)&lt;&gt;"Starfsbundið",BK41="",BK$8="",BK$7=""),"",ROUND(BK41/BK$8*BK$7*KVARDI,2))</f>
        <v/>
      </c>
      <c r="BM41" s="39"/>
      <c r="BN41" s="40" t="str">
        <f aca="false">IF(OR(INDEX(Undirviðmið!$G$6:$G$105,(COLUMN()-7-1)/2+1)&lt;&gt;"Starfsbundið",BM41="",BM$8="",BM$7=""),"",ROUND(BM41/BM$8*BM$7*KVARDI,2))</f>
        <v/>
      </c>
      <c r="BO41" s="39"/>
      <c r="BP41" s="40" t="str">
        <f aca="false">IF(OR(INDEX(Undirviðmið!$G$6:$G$105,(COLUMN()-7-1)/2+1)&lt;&gt;"Starfsbundið",BO41="",BO$8="",BO$7=""),"",ROUND(BO41/BO$8*BO$7*KVARDI,2))</f>
        <v/>
      </c>
      <c r="BQ41" s="39"/>
      <c r="BR41" s="40" t="str">
        <f aca="false">IF(OR(INDEX(Undirviðmið!$G$6:$G$105,(COLUMN()-7-1)/2+1)&lt;&gt;"Starfsbundið",BQ41="",BQ$8="",BQ$7=""),"",ROUND(BQ41/BQ$8*BQ$7*KVARDI,2))</f>
        <v/>
      </c>
      <c r="BS41" s="39"/>
      <c r="BT41" s="40" t="str">
        <f aca="false">IF(OR(INDEX(Undirviðmið!$G$6:$G$105,(COLUMN()-7-1)/2+1)&lt;&gt;"Starfsbundið",BS41="",BS$8="",BS$7=""),"",ROUND(BS41/BS$8*BS$7*KVARDI,2))</f>
        <v/>
      </c>
      <c r="BU41" s="39"/>
      <c r="BV41" s="40" t="str">
        <f aca="false">IF(OR(INDEX(Undirviðmið!$G$6:$G$105,(COLUMN()-7-1)/2+1)&lt;&gt;"Starfsbundið",BU41="",BU$8="",BU$7=""),"",ROUND(BU41/BU$8*BU$7*KVARDI,2))</f>
        <v/>
      </c>
      <c r="BW41" s="39"/>
      <c r="BX41" s="40" t="str">
        <f aca="false">IF(OR(INDEX(Undirviðmið!$G$6:$G$105,(COLUMN()-7-1)/2+1)&lt;&gt;"Starfsbundið",BW41="",BW$8="",BW$7=""),"",ROUND(BW41/BW$8*BW$7*KVARDI,2))</f>
        <v/>
      </c>
      <c r="BY41" s="39"/>
      <c r="BZ41" s="40" t="str">
        <f aca="false">IF(OR(INDEX(Undirviðmið!$G$6:$G$105,(COLUMN()-7-1)/2+1)&lt;&gt;"Starfsbundið",BY41="",BY$8="",BY$7=""),"",ROUND(BY41/BY$8*BY$7*KVARDI,2))</f>
        <v/>
      </c>
      <c r="CA41" s="39"/>
      <c r="CB41" s="40" t="str">
        <f aca="false">IF(OR(INDEX(Undirviðmið!$G$6:$G$105,(COLUMN()-7-1)/2+1)&lt;&gt;"Starfsbundið",CA41="",CA$8="",CA$7=""),"",ROUND(CA41/CA$8*CA$7*KVARDI,2))</f>
        <v/>
      </c>
      <c r="CC41" s="39"/>
      <c r="CD41" s="40" t="str">
        <f aca="false">IF(OR(INDEX(Undirviðmið!$G$6:$G$105,(COLUMN()-7-1)/2+1)&lt;&gt;"Starfsbundið",CC41="",CC$8="",CC$7=""),"",ROUND(CC41/CC$8*CC$7*KVARDI,2))</f>
        <v/>
      </c>
      <c r="CE41" s="39"/>
      <c r="CF41" s="40" t="str">
        <f aca="false">IF(OR(INDEX(Undirviðmið!$G$6:$G$105,(COLUMN()-7-1)/2+1)&lt;&gt;"Starfsbundið",CE41="",CE$8="",CE$7=""),"",ROUND(CE41/CE$8*CE$7*KVARDI,2))</f>
        <v/>
      </c>
      <c r="CG41" s="39"/>
      <c r="CH41" s="40" t="str">
        <f aca="false">IF(OR(INDEX(Undirviðmið!$G$6:$G$105,(COLUMN()-7-1)/2+1)&lt;&gt;"Starfsbundið",CG41="",CG$8="",CG$7=""),"",ROUND(CG41/CG$8*CG$7*KVARDI,2))</f>
        <v/>
      </c>
      <c r="CI41" s="39"/>
      <c r="CJ41" s="40" t="str">
        <f aca="false">IF(OR(INDEX(Undirviðmið!$G$6:$G$105,(COLUMN()-7-1)/2+1)&lt;&gt;"Starfsbundið",CI41="",CI$8="",CI$7=""),"",ROUND(CI41/CI$8*CI$7*KVARDI,2))</f>
        <v/>
      </c>
      <c r="CK41" s="39"/>
      <c r="CL41" s="40" t="str">
        <f aca="false">IF(OR(INDEX(Undirviðmið!$G$6:$G$105,(COLUMN()-7-1)/2+1)&lt;&gt;"Starfsbundið",CK41="",CK$8="",CK$7=""),"",ROUND(CK41/CK$8*CK$7*KVARDI,2))</f>
        <v/>
      </c>
      <c r="CM41" s="39"/>
      <c r="CN41" s="40" t="str">
        <f aca="false">IF(OR(INDEX(Undirviðmið!$G$6:$G$105,(COLUMN()-7-1)/2+1)&lt;&gt;"Starfsbundið",CM41="",CM$8="",CM$7=""),"",ROUND(CM41/CM$8*CM$7*KVARDI,2))</f>
        <v/>
      </c>
      <c r="CO41" s="39"/>
      <c r="CP41" s="40" t="str">
        <f aca="false">IF(OR(INDEX(Undirviðmið!$G$6:$G$105,(COLUMN()-7-1)/2+1)&lt;&gt;"Starfsbundið",CO41="",CO$8="",CO$7=""),"",ROUND(CO41/CO$8*CO$7*KVARDI,2))</f>
        <v/>
      </c>
      <c r="CQ41" s="39"/>
      <c r="CR41" s="40" t="str">
        <f aca="false">IF(OR(INDEX(Undirviðmið!$G$6:$G$105,(COLUMN()-7-1)/2+1)&lt;&gt;"Starfsbundið",CQ41="",CQ$8="",CQ$7=""),"",ROUND(CQ41/CQ$8*CQ$7*KVARDI,2))</f>
        <v/>
      </c>
      <c r="CS41" s="39"/>
      <c r="CT41" s="40" t="str">
        <f aca="false">IF(OR(INDEX(Undirviðmið!$G$6:$G$105,(COLUMN()-7-1)/2+1)&lt;&gt;"Starfsbundið",CS41="",CS$8="",CS$7=""),"",ROUND(CS41/CS$8*CS$7*KVARDI,2))</f>
        <v/>
      </c>
      <c r="CU41" s="39"/>
      <c r="CV41" s="40" t="str">
        <f aca="false">IF(OR(INDEX(Undirviðmið!$G$6:$G$105,(COLUMN()-7-1)/2+1)&lt;&gt;"Starfsbundið",CU41="",CU$8="",CU$7=""),"",ROUND(CU41/CU$8*CU$7*KVARDI,2))</f>
        <v/>
      </c>
      <c r="CW41" s="39"/>
      <c r="CX41" s="40" t="str">
        <f aca="false">IF(OR(INDEX(Undirviðmið!$G$6:$G$105,(COLUMN()-7-1)/2+1)&lt;&gt;"Starfsbundið",CW41="",CW$8="",CW$7=""),"",ROUND(CW41/CW$8*CW$7*KVARDI,2))</f>
        <v/>
      </c>
      <c r="CY41" s="39"/>
      <c r="CZ41" s="40" t="str">
        <f aca="false">IF(OR(INDEX(Undirviðmið!$G$6:$G$105,(COLUMN()-7-1)/2+1)&lt;&gt;"Starfsbundið",CY41="",CY$8="",CY$7=""),"",ROUND(CY41/CY$8*CY$7*KVARDI,2))</f>
        <v/>
      </c>
      <c r="DA41" s="39"/>
      <c r="DB41" s="40" t="str">
        <f aca="false">IF(OR(INDEX(Undirviðmið!$G$6:$G$105,(COLUMN()-7-1)/2+1)&lt;&gt;"Starfsbundið",DA41="",DA$8="",DA$7=""),"",ROUND(DA41/DA$8*DA$7*KVARDI,2))</f>
        <v/>
      </c>
      <c r="DC41" s="39"/>
      <c r="DD41" s="40" t="str">
        <f aca="false">IF(OR(INDEX(Undirviðmið!$G$6:$G$105,(COLUMN()-7-1)/2+1)&lt;&gt;"Starfsbundið",DC41="",DC$8="",DC$7=""),"",ROUND(DC41/DC$8*DC$7*KVARDI,2))</f>
        <v/>
      </c>
      <c r="DE41" s="39"/>
      <c r="DF41" s="40" t="str">
        <f aca="false">IF(OR(INDEX(Undirviðmið!$G$6:$G$105,(COLUMN()-7-1)/2+1)&lt;&gt;"Starfsbundið",DE41="",DE$8="",DE$7=""),"",ROUND(DE41/DE$8*DE$7*KVARDI,2))</f>
        <v/>
      </c>
      <c r="DG41" s="39"/>
      <c r="DH41" s="40" t="str">
        <f aca="false">IF(OR(INDEX(Undirviðmið!$G$6:$G$105,(COLUMN()-7-1)/2+1)&lt;&gt;"Starfsbundið",DG41="",DG$8="",DG$7=""),"",ROUND(DG41/DG$8*DG$7*KVARDI,2))</f>
        <v/>
      </c>
      <c r="DI41" s="39"/>
      <c r="DJ41" s="40" t="str">
        <f aca="false">IF(OR(INDEX(Undirviðmið!$G$6:$G$105,(COLUMN()-7-1)/2+1)&lt;&gt;"Starfsbundið",DI41="",DI$8="",DI$7=""),"",ROUND(DI41/DI$8*DI$7*KVARDI,2))</f>
        <v/>
      </c>
      <c r="DK41" s="39"/>
      <c r="DL41" s="40" t="str">
        <f aca="false">IF(OR(INDEX(Undirviðmið!$G$6:$G$105,(COLUMN()-7-1)/2+1)&lt;&gt;"Starfsbundið",DK41="",DK$8="",DK$7=""),"",ROUND(DK41/DK$8*DK$7*KVARDI,2))</f>
        <v/>
      </c>
      <c r="DM41" s="39"/>
      <c r="DN41" s="40" t="str">
        <f aca="false">IF(OR(INDEX(Undirviðmið!$G$6:$G$105,(COLUMN()-7-1)/2+1)&lt;&gt;"Starfsbundið",DM41="",DM$8="",DM$7=""),"",ROUND(DM41/DM$8*DM$7*KVARDI,2))</f>
        <v/>
      </c>
      <c r="DO41" s="39"/>
      <c r="DP41" s="40" t="str">
        <f aca="false">IF(OR(INDEX(Undirviðmið!$G$6:$G$105,(COLUMN()-7-1)/2+1)&lt;&gt;"Starfsbundið",DO41="",DO$8="",DO$7=""),"",ROUND(DO41/DO$8*DO$7*KVARDI,2))</f>
        <v/>
      </c>
      <c r="DQ41" s="39"/>
      <c r="DR41" s="40" t="str">
        <f aca="false">IF(OR(INDEX(Undirviðmið!$G$6:$G$105,(COLUMN()-7-1)/2+1)&lt;&gt;"Starfsbundið",DQ41="",DQ$8="",DQ$7=""),"",ROUND(DQ41/DQ$8*DQ$7*KVARDI,2))</f>
        <v/>
      </c>
      <c r="DS41" s="39"/>
      <c r="DT41" s="40" t="str">
        <f aca="false">IF(OR(INDEX(Undirviðmið!$G$6:$G$105,(COLUMN()-7-1)/2+1)&lt;&gt;"Starfsbundið",DS41="",DS$8="",DS$7=""),"",ROUND(DS41/DS$8*DS$7*KVARDI,2))</f>
        <v/>
      </c>
      <c r="DU41" s="39"/>
      <c r="DV41" s="40" t="str">
        <f aca="false">IF(OR(INDEX(Undirviðmið!$G$6:$G$105,(COLUMN()-7-1)/2+1)&lt;&gt;"Starfsbundið",DU41="",DU$8="",DU$7=""),"",ROUND(DU41/DU$8*DU$7*KVARDI,2))</f>
        <v/>
      </c>
      <c r="DW41" s="39"/>
      <c r="DX41" s="40" t="str">
        <f aca="false">IF(OR(INDEX(Undirviðmið!$G$6:$G$105,(COLUMN()-7-1)/2+1)&lt;&gt;"Starfsbundið",DW41="",DW$8="",DW$7=""),"",ROUND(DW41/DW$8*DW$7*KVARDI,2))</f>
        <v/>
      </c>
      <c r="DY41" s="39"/>
      <c r="DZ41" s="40" t="str">
        <f aca="false">IF(OR(INDEX(Undirviðmið!$G$6:$G$105,(COLUMN()-7-1)/2+1)&lt;&gt;"Starfsbundið",DY41="",DY$8="",DY$7=""),"",ROUND(DY41/DY$8*DY$7*KVARDI,2))</f>
        <v/>
      </c>
      <c r="EA41" s="39"/>
      <c r="EB41" s="40" t="str">
        <f aca="false">IF(OR(INDEX(Undirviðmið!$G$6:$G$105,(COLUMN()-7-1)/2+1)&lt;&gt;"Starfsbundið",EA41="",EA$8="",EA$7=""),"",ROUND(EA41/EA$8*EA$7*KVARDI,2))</f>
        <v/>
      </c>
      <c r="EC41" s="39"/>
      <c r="ED41" s="40" t="str">
        <f aca="false">IF(OR(INDEX(Undirviðmið!$G$6:$G$105,(COLUMN()-7-1)/2+1)&lt;&gt;"Starfsbundið",EC41="",EC$8="",EC$7=""),"",ROUND(EC41/EC$8*EC$7*KVARDI,2))</f>
        <v/>
      </c>
      <c r="EE41" s="39"/>
      <c r="EF41" s="40" t="str">
        <f aca="false">IF(OR(INDEX(Undirviðmið!$G$6:$G$105,(COLUMN()-7-1)/2+1)&lt;&gt;"Starfsbundið",EE41="",EE$8="",EE$7=""),"",ROUND(EE41/EE$8*EE$7*KVARDI,2))</f>
        <v/>
      </c>
      <c r="EG41" s="39"/>
      <c r="EH41" s="40" t="str">
        <f aca="false">IF(OR(INDEX(Undirviðmið!$G$6:$G$105,(COLUMN()-7-1)/2+1)&lt;&gt;"Starfsbundið",EG41="",EG$8="",EG$7=""),"",ROUND(EG41/EG$8*EG$7*KVARDI,2))</f>
        <v/>
      </c>
      <c r="EI41" s="39"/>
      <c r="EJ41" s="40" t="str">
        <f aca="false">IF(OR(INDEX(Undirviðmið!$G$6:$G$105,(COLUMN()-7-1)/2+1)&lt;&gt;"Starfsbundið",EI41="",EI$8="",EI$7=""),"",ROUND(EI41/EI$8*EI$7*KVARDI,2))</f>
        <v/>
      </c>
      <c r="EK41" s="39"/>
      <c r="EL41" s="40" t="str">
        <f aca="false">IF(OR(INDEX(Undirviðmið!$G$6:$G$105,(COLUMN()-7-1)/2+1)&lt;&gt;"Starfsbundið",EK41="",EK$8="",EK$7=""),"",ROUND(EK41/EK$8*EK$7*KVARDI,2))</f>
        <v/>
      </c>
      <c r="EM41" s="39"/>
      <c r="EN41" s="40" t="str">
        <f aca="false">IF(OR(INDEX(Undirviðmið!$G$6:$G$105,(COLUMN()-7-1)/2+1)&lt;&gt;"Starfsbundið",EM41="",EM$8="",EM$7=""),"",ROUND(EM41/EM$8*EM$7*KVARDI,2))</f>
        <v/>
      </c>
      <c r="EO41" s="39"/>
      <c r="EP41" s="40" t="str">
        <f aca="false">IF(OR(INDEX(Undirviðmið!$G$6:$G$105,(COLUMN()-7-1)/2+1)&lt;&gt;"Starfsbundið",EO41="",EO$8="",EO$7=""),"",ROUND(EO41/EO$8*EO$7*KVARDI,2))</f>
        <v/>
      </c>
      <c r="EQ41" s="39"/>
      <c r="ER41" s="40" t="str">
        <f aca="false">IF(OR(INDEX(Undirviðmið!$G$6:$G$105,(COLUMN()-7-1)/2+1)&lt;&gt;"Starfsbundið",EQ41="",EQ$8="",EQ$7=""),"",ROUND(EQ41/EQ$8*EQ$7*KVARDI,2))</f>
        <v/>
      </c>
      <c r="ES41" s="39"/>
      <c r="ET41" s="40" t="str">
        <f aca="false">IF(OR(INDEX(Undirviðmið!$G$6:$G$105,(COLUMN()-7-1)/2+1)&lt;&gt;"Starfsbundið",ES41="",ES$8="",ES$7=""),"",ROUND(ES41/ES$8*ES$7*KVARDI,2))</f>
        <v/>
      </c>
      <c r="EU41" s="39"/>
      <c r="EV41" s="40" t="str">
        <f aca="false">IF(OR(INDEX(Undirviðmið!$G$6:$G$105,(COLUMN()-7-1)/2+1)&lt;&gt;"Starfsbundið",EU41="",EU$8="",EU$7=""),"",ROUND(EU41/EU$8*EU$7*KVARDI,2))</f>
        <v/>
      </c>
      <c r="EW41" s="39"/>
      <c r="EX41" s="40" t="str">
        <f aca="false">IF(OR(INDEX(Undirviðmið!$G$6:$G$105,(COLUMN()-7-1)/2+1)&lt;&gt;"Starfsbundið",EW41="",EW$8="",EW$7=""),"",ROUND(EW41/EW$8*EW$7*KVARDI,2))</f>
        <v/>
      </c>
      <c r="EY41" s="39"/>
      <c r="EZ41" s="40" t="str">
        <f aca="false">IF(OR(INDEX(Undirviðmið!$G$6:$G$105,(COLUMN()-7-1)/2+1)&lt;&gt;"Starfsbundið",EY41="",EY$8="",EY$7=""),"",ROUND(EY41/EY$8*EY$7*KVARDI,2))</f>
        <v/>
      </c>
      <c r="FA41" s="39"/>
      <c r="FB41" s="40" t="str">
        <f aca="false">IF(OR(INDEX(Undirviðmið!$G$6:$G$105,(COLUMN()-7-1)/2+1)&lt;&gt;"Starfsbundið",FA41="",FA$8="",FA$7=""),"",ROUND(FA41/FA$8*FA$7*KVARDI,2))</f>
        <v/>
      </c>
      <c r="FC41" s="39"/>
      <c r="FD41" s="40" t="str">
        <f aca="false">IF(OR(INDEX(Undirviðmið!$G$6:$G$105,(COLUMN()-7-1)/2+1)&lt;&gt;"Starfsbundið",FC41="",FC$8="",FC$7=""),"",ROUND(FC41/FC$8*FC$7*KVARDI,2))</f>
        <v/>
      </c>
      <c r="FE41" s="39"/>
      <c r="FF41" s="40" t="str">
        <f aca="false">IF(OR(INDEX(Undirviðmið!$G$6:$G$105,(COLUMN()-7-1)/2+1)&lt;&gt;"Starfsbundið",FE41="",FE$8="",FE$7=""),"",ROUND(FE41/FE$8*FE$7*KVARDI,2))</f>
        <v/>
      </c>
      <c r="FG41" s="39"/>
      <c r="FH41" s="40" t="str">
        <f aca="false">IF(OR(INDEX(Undirviðmið!$G$6:$G$105,(COLUMN()-7-1)/2+1)&lt;&gt;"Starfsbundið",FG41="",FG$8="",FG$7=""),"",ROUND(FG41/FG$8*FG$7*KVARDI,2))</f>
        <v/>
      </c>
      <c r="FI41" s="39"/>
      <c r="FJ41" s="40" t="str">
        <f aca="false">IF(OR(INDEX(Undirviðmið!$G$6:$G$105,(COLUMN()-7-1)/2+1)&lt;&gt;"Starfsbundið",FI41="",FI$8="",FI$7=""),"",ROUND(FI41/FI$8*FI$7*KVARDI,2))</f>
        <v/>
      </c>
      <c r="FK41" s="39"/>
      <c r="FL41" s="40" t="str">
        <f aca="false">IF(OR(INDEX(Undirviðmið!$G$6:$G$105,(COLUMN()-7-1)/2+1)&lt;&gt;"Starfsbundið",FK41="",FK$8="",FK$7=""),"",ROUND(FK41/FK$8*FK$7*KVARDI,2))</f>
        <v/>
      </c>
      <c r="FM41" s="39"/>
      <c r="FN41" s="40" t="str">
        <f aca="false">IF(OR(INDEX(Undirviðmið!$G$6:$G$105,(COLUMN()-7-1)/2+1)&lt;&gt;"Starfsbundið",FM41="",FM$8="",FM$7=""),"",ROUND(FM41/FM$8*FM$7*KVARDI,2))</f>
        <v/>
      </c>
      <c r="FO41" s="39"/>
      <c r="FP41" s="40" t="str">
        <f aca="false">IF(OR(INDEX(Undirviðmið!$G$6:$G$105,(COLUMN()-7-1)/2+1)&lt;&gt;"Starfsbundið",FO41="",FO$8="",FO$7=""),"",ROUND(FO41/FO$8*FO$7*KVARDI,2))</f>
        <v/>
      </c>
      <c r="FQ41" s="39"/>
      <c r="FR41" s="40" t="str">
        <f aca="false">IF(OR(INDEX(Undirviðmið!$G$6:$G$105,(COLUMN()-7-1)/2+1)&lt;&gt;"Starfsbundið",FQ41="",FQ$8="",FQ$7=""),"",ROUND(FQ41/FQ$8*FQ$7*KVARDI,2))</f>
        <v/>
      </c>
      <c r="FS41" s="39"/>
      <c r="FT41" s="40" t="str">
        <f aca="false">IF(OR(INDEX(Undirviðmið!$G$6:$G$105,(COLUMN()-7-1)/2+1)&lt;&gt;"Starfsbundið",FS41="",FS$8="",FS$7=""),"",ROUND(FS41/FS$8*FS$7*KVARDI,2))</f>
        <v/>
      </c>
      <c r="FU41" s="39"/>
      <c r="FV41" s="40" t="str">
        <f aca="false">IF(OR(INDEX(Undirviðmið!$G$6:$G$105,(COLUMN()-7-1)/2+1)&lt;&gt;"Starfsbundið",FU41="",FU$8="",FU$7=""),"",ROUND(FU41/FU$8*FU$7*KVARDI,2))</f>
        <v/>
      </c>
      <c r="FW41" s="39"/>
      <c r="FX41" s="40" t="str">
        <f aca="false">IF(OR(INDEX(Undirviðmið!$G$6:$G$105,(COLUMN()-7-1)/2+1)&lt;&gt;"Starfsbundið",FW41="",FW$8="",FW$7=""),"",ROUND(FW41/FW$8*FW$7*KVARDI,2))</f>
        <v/>
      </c>
      <c r="FY41" s="39"/>
      <c r="FZ41" s="40" t="str">
        <f aca="false">IF(OR(INDEX(Undirviðmið!$G$6:$G$105,(COLUMN()-7-1)/2+1)&lt;&gt;"Starfsbundið",FY41="",FY$8="",FY$7=""),"",ROUND(FY41/FY$8*FY$7*KVARDI,2))</f>
        <v/>
      </c>
      <c r="GA41" s="39"/>
      <c r="GB41" s="40" t="str">
        <f aca="false">IF(OR(INDEX(Undirviðmið!$G$6:$G$105,(COLUMN()-7-1)/2+1)&lt;&gt;"Starfsbundið",GA41="",GA$8="",GA$7=""),"",ROUND(GA41/GA$8*GA$7*KVARDI,2))</f>
        <v/>
      </c>
      <c r="GC41" s="39"/>
      <c r="GD41" s="40" t="str">
        <f aca="false">IF(OR(INDEX(Undirviðmið!$G$6:$G$105,(COLUMN()-7-1)/2+1)&lt;&gt;"Starfsbundið",GC41="",GC$8="",GC$7=""),"",ROUND(GC41/GC$8*GC$7*KVARDI,2))</f>
        <v/>
      </c>
      <c r="GE41" s="39"/>
      <c r="GF41" s="40" t="str">
        <f aca="false">IF(OR(INDEX(Undirviðmið!$G$6:$G$105,(COLUMN()-7-1)/2+1)&lt;&gt;"Starfsbundið",GE41="",GE$8="",GE$7=""),"",ROUND(GE41/GE$8*GE$7*KVARDI,2))</f>
        <v/>
      </c>
      <c r="GG41" s="39"/>
      <c r="GH41" s="40" t="str">
        <f aca="false">IF(OR(INDEX(Undirviðmið!$G$6:$G$105,(COLUMN()-7-1)/2+1)&lt;&gt;"Starfsbundið",GG41="",GG$8="",GG$7=""),"",ROUND(GG41/GG$8*GG$7*KVARDI,2))</f>
        <v/>
      </c>
      <c r="GI41" s="39"/>
      <c r="GJ41" s="40" t="str">
        <f aca="false">IF(OR(INDEX(Undirviðmið!$G$6:$G$105,(COLUMN()-7-1)/2+1)&lt;&gt;"Starfsbundið",GI41="",GI$8="",GI$7=""),"",ROUND(GI41/GI$8*GI$7*KVARDI,2))</f>
        <v/>
      </c>
      <c r="GK41" s="39"/>
      <c r="GL41" s="40" t="str">
        <f aca="false">IF(OR(INDEX(Undirviðmið!$G$6:$G$105,(COLUMN()-7-1)/2+1)&lt;&gt;"Starfsbundið",GK41="",GK$8="",GK$7=""),"",ROUND(GK41/GK$8*GK$7*KVARDI,2))</f>
        <v/>
      </c>
      <c r="GM41" s="39"/>
      <c r="GN41" s="40" t="str">
        <f aca="false">IF(OR(INDEX(Undirviðmið!$G$6:$G$105,(COLUMN()-7-1)/2+1)&lt;&gt;"Starfsbundið",GM41="",GM$8="",GM$7=""),"",ROUND(GM41/GM$8*GM$7*KVARDI,2))</f>
        <v/>
      </c>
      <c r="GO41" s="39"/>
      <c r="GP41" s="40" t="str">
        <f aca="false">IF(OR(INDEX(Undirviðmið!$G$6:$G$105,(COLUMN()-7-1)/2+1)&lt;&gt;"Starfsbundið",GO41="",GO$8="",GO$7=""),"",ROUND(GO41/GO$8*GO$7*KVARDI,2))</f>
        <v/>
      </c>
      <c r="GQ41" s="39"/>
      <c r="GR41" s="40" t="str">
        <f aca="false">IF(OR(INDEX(Undirviðmið!$G$6:$G$105,(COLUMN()-7-1)/2+1)&lt;&gt;"Starfsbundið",GQ41="",GQ$8="",GQ$7=""),"",ROUND(GQ41/GQ$8*GQ$7*KVARDI,2))</f>
        <v/>
      </c>
      <c r="GS41" s="39"/>
      <c r="GT41" s="40" t="str">
        <f aca="false">IF(OR(INDEX(Undirviðmið!$G$6:$G$105,(COLUMN()-7-1)/2+1)&lt;&gt;"Starfsbundið",GS41="",GS$8="",GS$7=""),"",ROUND(GS41/GS$8*GS$7*KVARDI,2))</f>
        <v/>
      </c>
      <c r="GU41" s="39"/>
      <c r="GV41" s="40" t="str">
        <f aca="false">IF(OR(INDEX(Undirviðmið!$G$6:$G$105,(COLUMN()-7-1)/2+1)&lt;&gt;"Starfsbundið",GU41="",GU$8="",GU$7=""),"",ROUND(GU41/GU$8*GU$7*KVARDI,2))</f>
        <v/>
      </c>
      <c r="GW41" s="39"/>
      <c r="GX41" s="40" t="str">
        <f aca="false">IF(OR(INDEX(Undirviðmið!$G$6:$G$105,(COLUMN()-7-1)/2+1)&lt;&gt;"Starfsbundið",GW41="",GW$8="",GW$7=""),"",ROUND(GW41/GW$8*GW$7*KVARDI,2))</f>
        <v/>
      </c>
      <c r="GZ41" s="20"/>
    </row>
    <row r="42" customFormat="false" ht="15" hidden="true" customHeight="true" outlineLevel="1" collapsed="false">
      <c r="B42" s="37" t="str">
        <f aca="false" t="array" ref="B42:B42">IFERROR(INDEX(Starfsmenn!$C$6:$C$10005,MATCH(0,COUNTIF($B$11:B41,Starfsmenn!$C$6:$C$10005)+(Starfsmenn!$C$6:$C$10005=""),0)),"")</f>
        <v/>
      </c>
      <c r="C42" s="38" t="n">
        <f aca="false">IFERROR(SUMIF($G$10:$GX$10,"Stig",$G42:$GX42),0)</f>
        <v>0</v>
      </c>
      <c r="G42" s="39"/>
      <c r="H42" s="40" t="str">
        <f aca="false">IF(OR(INDEX(Undirviðmið!$G$6:$G$105,(COLUMN()-7-1)/2+1)&lt;&gt;"Starfsbundið",G42="",G$8="",G$7=""),"",ROUND(G42/G$8*G$7*KVARDI,2))</f>
        <v/>
      </c>
      <c r="I42" s="39"/>
      <c r="J42" s="40" t="str">
        <f aca="false">IF(OR(INDEX(Undirviðmið!$G$6:$G$105,(COLUMN()-7-1)/2+1)&lt;&gt;"Starfsbundið",I42="",I$8="",I$7=""),"",ROUND(I42/I$8*I$7*KVARDI,2))</f>
        <v/>
      </c>
      <c r="K42" s="39"/>
      <c r="L42" s="40" t="str">
        <f aca="false">IF(OR(INDEX(Undirviðmið!$G$6:$G$105,(COLUMN()-7-1)/2+1)&lt;&gt;"Starfsbundið",K42="",K$8="",K$7=""),"",ROUND(K42/K$8*K$7*KVARDI,2))</f>
        <v/>
      </c>
      <c r="M42" s="39"/>
      <c r="N42" s="40" t="str">
        <f aca="false">IF(OR(INDEX(Undirviðmið!$G$6:$G$105,(COLUMN()-7-1)/2+1)&lt;&gt;"Starfsbundið",M42="",M$8="",M$7=""),"",ROUND(M42/M$8*M$7*KVARDI,2))</f>
        <v/>
      </c>
      <c r="O42" s="39"/>
      <c r="P42" s="40" t="str">
        <f aca="false">IF(OR(INDEX(Undirviðmið!$G$6:$G$105,(COLUMN()-7-1)/2+1)&lt;&gt;"Starfsbundið",O42="",O$8="",O$7=""),"",ROUND(O42/O$8*O$7*KVARDI,2))</f>
        <v/>
      </c>
      <c r="Q42" s="39"/>
      <c r="R42" s="40" t="str">
        <f aca="false">IF(OR(INDEX(Undirviðmið!$G$6:$G$105,(COLUMN()-7-1)/2+1)&lt;&gt;"Starfsbundið",Q42="",Q$8="",Q$7=""),"",ROUND(Q42/Q$8*Q$7*KVARDI,2))</f>
        <v/>
      </c>
      <c r="S42" s="39"/>
      <c r="T42" s="40" t="str">
        <f aca="false">IF(OR(INDEX(Undirviðmið!$G$6:$G$105,(COLUMN()-7-1)/2+1)&lt;&gt;"Starfsbundið",S42="",S$8="",S$7=""),"",ROUND(S42/S$8*S$7*KVARDI,2))</f>
        <v/>
      </c>
      <c r="U42" s="39"/>
      <c r="V42" s="40" t="str">
        <f aca="false">IF(OR(INDEX(Undirviðmið!$G$6:$G$105,(COLUMN()-7-1)/2+1)&lt;&gt;"Starfsbundið",U42="",U$8="",U$7=""),"",ROUND(U42/U$8*U$7*KVARDI,2))</f>
        <v/>
      </c>
      <c r="W42" s="39"/>
      <c r="X42" s="40" t="str">
        <f aca="false">IF(OR(INDEX(Undirviðmið!$G$6:$G$105,(COLUMN()-7-1)/2+1)&lt;&gt;"Starfsbundið",W42="",W$8="",W$7=""),"",ROUND(W42/W$8*W$7*KVARDI,2))</f>
        <v/>
      </c>
      <c r="Y42" s="39"/>
      <c r="Z42" s="40" t="str">
        <f aca="false">IF(OR(INDEX(Undirviðmið!$G$6:$G$105,(COLUMN()-7-1)/2+1)&lt;&gt;"Starfsbundið",Y42="",Y$8="",Y$7=""),"",ROUND(Y42/Y$8*Y$7*KVARDI,2))</f>
        <v/>
      </c>
      <c r="AA42" s="39"/>
      <c r="AB42" s="40" t="str">
        <f aca="false">IF(OR(INDEX(Undirviðmið!$G$6:$G$105,(COLUMN()-7-1)/2+1)&lt;&gt;"Starfsbundið",AA42="",AA$8="",AA$7=""),"",ROUND(AA42/AA$8*AA$7*KVARDI,2))</f>
        <v/>
      </c>
      <c r="AC42" s="39"/>
      <c r="AD42" s="40" t="str">
        <f aca="false">IF(OR(INDEX(Undirviðmið!$G$6:$G$105,(COLUMN()-7-1)/2+1)&lt;&gt;"Starfsbundið",AC42="",AC$8="",AC$7=""),"",ROUND(AC42/AC$8*AC$7*KVARDI,2))</f>
        <v/>
      </c>
      <c r="AE42" s="39"/>
      <c r="AF42" s="40" t="str">
        <f aca="false">IF(OR(INDEX(Undirviðmið!$G$6:$G$105,(COLUMN()-7-1)/2+1)&lt;&gt;"Starfsbundið",AE42="",AE$8="",AE$7=""),"",ROUND(AE42/AE$8*AE$7*KVARDI,2))</f>
        <v/>
      </c>
      <c r="AG42" s="39"/>
      <c r="AH42" s="40" t="str">
        <f aca="false">IF(OR(INDEX(Undirviðmið!$G$6:$G$105,(COLUMN()-7-1)/2+1)&lt;&gt;"Starfsbundið",AG42="",AG$8="",AG$7=""),"",ROUND(AG42/AG$8*AG$7*KVARDI,2))</f>
        <v/>
      </c>
      <c r="AI42" s="39"/>
      <c r="AJ42" s="40" t="str">
        <f aca="false">IF(OR(INDEX(Undirviðmið!$G$6:$G$105,(COLUMN()-7-1)/2+1)&lt;&gt;"Starfsbundið",AI42="",AI$8="",AI$7=""),"",ROUND(AI42/AI$8*AI$7*KVARDI,2))</f>
        <v/>
      </c>
      <c r="AK42" s="39"/>
      <c r="AL42" s="40" t="str">
        <f aca="false">IF(OR(INDEX(Undirviðmið!$G$6:$G$105,(COLUMN()-7-1)/2+1)&lt;&gt;"Starfsbundið",AK42="",AK$8="",AK$7=""),"",ROUND(AK42/AK$8*AK$7*KVARDI,2))</f>
        <v/>
      </c>
      <c r="AM42" s="39"/>
      <c r="AN42" s="40" t="str">
        <f aca="false">IF(OR(INDEX(Undirviðmið!$G$6:$G$105,(COLUMN()-7-1)/2+1)&lt;&gt;"Starfsbundið",AM42="",AM$8="",AM$7=""),"",ROUND(AM42/AM$8*AM$7*KVARDI,2))</f>
        <v/>
      </c>
      <c r="AO42" s="39"/>
      <c r="AP42" s="40" t="str">
        <f aca="false">IF(OR(INDEX(Undirviðmið!$G$6:$G$105,(COLUMN()-7-1)/2+1)&lt;&gt;"Starfsbundið",AO42="",AO$8="",AO$7=""),"",ROUND(AO42/AO$8*AO$7*KVARDI,2))</f>
        <v/>
      </c>
      <c r="AQ42" s="39"/>
      <c r="AR42" s="40" t="str">
        <f aca="false">IF(OR(INDEX(Undirviðmið!$G$6:$G$105,(COLUMN()-7-1)/2+1)&lt;&gt;"Starfsbundið",AQ42="",AQ$8="",AQ$7=""),"",ROUND(AQ42/AQ$8*AQ$7*KVARDI,2))</f>
        <v/>
      </c>
      <c r="AS42" s="39"/>
      <c r="AT42" s="40" t="str">
        <f aca="false">IF(OR(INDEX(Undirviðmið!$G$6:$G$105,(COLUMN()-7-1)/2+1)&lt;&gt;"Starfsbundið",AS42="",AS$8="",AS$7=""),"",ROUND(AS42/AS$8*AS$7*KVARDI,2))</f>
        <v/>
      </c>
      <c r="AU42" s="39"/>
      <c r="AV42" s="40" t="str">
        <f aca="false">IF(OR(INDEX(Undirviðmið!$G$6:$G$105,(COLUMN()-7-1)/2+1)&lt;&gt;"Starfsbundið",AU42="",AU$8="",AU$7=""),"",ROUND(AU42/AU$8*AU$7*KVARDI,2))</f>
        <v/>
      </c>
      <c r="AW42" s="39"/>
      <c r="AX42" s="40" t="str">
        <f aca="false">IF(OR(INDEX(Undirviðmið!$G$6:$G$105,(COLUMN()-7-1)/2+1)&lt;&gt;"Starfsbundið",AW42="",AW$8="",AW$7=""),"",ROUND(AW42/AW$8*AW$7*KVARDI,2))</f>
        <v/>
      </c>
      <c r="AY42" s="39"/>
      <c r="AZ42" s="40" t="str">
        <f aca="false">IF(OR(INDEX(Undirviðmið!$G$6:$G$105,(COLUMN()-7-1)/2+1)&lt;&gt;"Starfsbundið",AY42="",AY$8="",AY$7=""),"",ROUND(AY42/AY$8*AY$7*KVARDI,2))</f>
        <v/>
      </c>
      <c r="BA42" s="39"/>
      <c r="BB42" s="40" t="str">
        <f aca="false">IF(OR(INDEX(Undirviðmið!$G$6:$G$105,(COLUMN()-7-1)/2+1)&lt;&gt;"Starfsbundið",BA42="",BA$8="",BA$7=""),"",ROUND(BA42/BA$8*BA$7*KVARDI,2))</f>
        <v/>
      </c>
      <c r="BC42" s="39"/>
      <c r="BD42" s="40" t="str">
        <f aca="false">IF(OR(INDEX(Undirviðmið!$G$6:$G$105,(COLUMN()-7-1)/2+1)&lt;&gt;"Starfsbundið",BC42="",BC$8="",BC$7=""),"",ROUND(BC42/BC$8*BC$7*KVARDI,2))</f>
        <v/>
      </c>
      <c r="BE42" s="39"/>
      <c r="BF42" s="40" t="str">
        <f aca="false">IF(OR(INDEX(Undirviðmið!$G$6:$G$105,(COLUMN()-7-1)/2+1)&lt;&gt;"Starfsbundið",BE42="",BE$8="",BE$7=""),"",ROUND(BE42/BE$8*BE$7*KVARDI,2))</f>
        <v/>
      </c>
      <c r="BG42" s="39"/>
      <c r="BH42" s="40" t="str">
        <f aca="false">IF(OR(INDEX(Undirviðmið!$G$6:$G$105,(COLUMN()-7-1)/2+1)&lt;&gt;"Starfsbundið",BG42="",BG$8="",BG$7=""),"",ROUND(BG42/BG$8*BG$7*KVARDI,2))</f>
        <v/>
      </c>
      <c r="BI42" s="39"/>
      <c r="BJ42" s="40" t="str">
        <f aca="false">IF(OR(INDEX(Undirviðmið!$G$6:$G$105,(COLUMN()-7-1)/2+1)&lt;&gt;"Starfsbundið",BI42="",BI$8="",BI$7=""),"",ROUND(BI42/BI$8*BI$7*KVARDI,2))</f>
        <v/>
      </c>
      <c r="BK42" s="39"/>
      <c r="BL42" s="40" t="str">
        <f aca="false">IF(OR(INDEX(Undirviðmið!$G$6:$G$105,(COLUMN()-7-1)/2+1)&lt;&gt;"Starfsbundið",BK42="",BK$8="",BK$7=""),"",ROUND(BK42/BK$8*BK$7*KVARDI,2))</f>
        <v/>
      </c>
      <c r="BM42" s="39"/>
      <c r="BN42" s="40" t="str">
        <f aca="false">IF(OR(INDEX(Undirviðmið!$G$6:$G$105,(COLUMN()-7-1)/2+1)&lt;&gt;"Starfsbundið",BM42="",BM$8="",BM$7=""),"",ROUND(BM42/BM$8*BM$7*KVARDI,2))</f>
        <v/>
      </c>
      <c r="BO42" s="39"/>
      <c r="BP42" s="40" t="str">
        <f aca="false">IF(OR(INDEX(Undirviðmið!$G$6:$G$105,(COLUMN()-7-1)/2+1)&lt;&gt;"Starfsbundið",BO42="",BO$8="",BO$7=""),"",ROUND(BO42/BO$8*BO$7*KVARDI,2))</f>
        <v/>
      </c>
      <c r="BQ42" s="39"/>
      <c r="BR42" s="40" t="str">
        <f aca="false">IF(OR(INDEX(Undirviðmið!$G$6:$G$105,(COLUMN()-7-1)/2+1)&lt;&gt;"Starfsbundið",BQ42="",BQ$8="",BQ$7=""),"",ROUND(BQ42/BQ$8*BQ$7*KVARDI,2))</f>
        <v/>
      </c>
      <c r="BS42" s="39"/>
      <c r="BT42" s="40" t="str">
        <f aca="false">IF(OR(INDEX(Undirviðmið!$G$6:$G$105,(COLUMN()-7-1)/2+1)&lt;&gt;"Starfsbundið",BS42="",BS$8="",BS$7=""),"",ROUND(BS42/BS$8*BS$7*KVARDI,2))</f>
        <v/>
      </c>
      <c r="BU42" s="39"/>
      <c r="BV42" s="40" t="str">
        <f aca="false">IF(OR(INDEX(Undirviðmið!$G$6:$G$105,(COLUMN()-7-1)/2+1)&lt;&gt;"Starfsbundið",BU42="",BU$8="",BU$7=""),"",ROUND(BU42/BU$8*BU$7*KVARDI,2))</f>
        <v/>
      </c>
      <c r="BW42" s="39"/>
      <c r="BX42" s="40" t="str">
        <f aca="false">IF(OR(INDEX(Undirviðmið!$G$6:$G$105,(COLUMN()-7-1)/2+1)&lt;&gt;"Starfsbundið",BW42="",BW$8="",BW$7=""),"",ROUND(BW42/BW$8*BW$7*KVARDI,2))</f>
        <v/>
      </c>
      <c r="BY42" s="39"/>
      <c r="BZ42" s="40" t="str">
        <f aca="false">IF(OR(INDEX(Undirviðmið!$G$6:$G$105,(COLUMN()-7-1)/2+1)&lt;&gt;"Starfsbundið",BY42="",BY$8="",BY$7=""),"",ROUND(BY42/BY$8*BY$7*KVARDI,2))</f>
        <v/>
      </c>
      <c r="CA42" s="39"/>
      <c r="CB42" s="40" t="str">
        <f aca="false">IF(OR(INDEX(Undirviðmið!$G$6:$G$105,(COLUMN()-7-1)/2+1)&lt;&gt;"Starfsbundið",CA42="",CA$8="",CA$7=""),"",ROUND(CA42/CA$8*CA$7*KVARDI,2))</f>
        <v/>
      </c>
      <c r="CC42" s="39"/>
      <c r="CD42" s="40" t="str">
        <f aca="false">IF(OR(INDEX(Undirviðmið!$G$6:$G$105,(COLUMN()-7-1)/2+1)&lt;&gt;"Starfsbundið",CC42="",CC$8="",CC$7=""),"",ROUND(CC42/CC$8*CC$7*KVARDI,2))</f>
        <v/>
      </c>
      <c r="CE42" s="39"/>
      <c r="CF42" s="40" t="str">
        <f aca="false">IF(OR(INDEX(Undirviðmið!$G$6:$G$105,(COLUMN()-7-1)/2+1)&lt;&gt;"Starfsbundið",CE42="",CE$8="",CE$7=""),"",ROUND(CE42/CE$8*CE$7*KVARDI,2))</f>
        <v/>
      </c>
      <c r="CG42" s="39"/>
      <c r="CH42" s="40" t="str">
        <f aca="false">IF(OR(INDEX(Undirviðmið!$G$6:$G$105,(COLUMN()-7-1)/2+1)&lt;&gt;"Starfsbundið",CG42="",CG$8="",CG$7=""),"",ROUND(CG42/CG$8*CG$7*KVARDI,2))</f>
        <v/>
      </c>
      <c r="CI42" s="39"/>
      <c r="CJ42" s="40" t="str">
        <f aca="false">IF(OR(INDEX(Undirviðmið!$G$6:$G$105,(COLUMN()-7-1)/2+1)&lt;&gt;"Starfsbundið",CI42="",CI$8="",CI$7=""),"",ROUND(CI42/CI$8*CI$7*KVARDI,2))</f>
        <v/>
      </c>
      <c r="CK42" s="39"/>
      <c r="CL42" s="40" t="str">
        <f aca="false">IF(OR(INDEX(Undirviðmið!$G$6:$G$105,(COLUMN()-7-1)/2+1)&lt;&gt;"Starfsbundið",CK42="",CK$8="",CK$7=""),"",ROUND(CK42/CK$8*CK$7*KVARDI,2))</f>
        <v/>
      </c>
      <c r="CM42" s="39"/>
      <c r="CN42" s="40" t="str">
        <f aca="false">IF(OR(INDEX(Undirviðmið!$G$6:$G$105,(COLUMN()-7-1)/2+1)&lt;&gt;"Starfsbundið",CM42="",CM$8="",CM$7=""),"",ROUND(CM42/CM$8*CM$7*KVARDI,2))</f>
        <v/>
      </c>
      <c r="CO42" s="39"/>
      <c r="CP42" s="40" t="str">
        <f aca="false">IF(OR(INDEX(Undirviðmið!$G$6:$G$105,(COLUMN()-7-1)/2+1)&lt;&gt;"Starfsbundið",CO42="",CO$8="",CO$7=""),"",ROUND(CO42/CO$8*CO$7*KVARDI,2))</f>
        <v/>
      </c>
      <c r="CQ42" s="39"/>
      <c r="CR42" s="40" t="str">
        <f aca="false">IF(OR(INDEX(Undirviðmið!$G$6:$G$105,(COLUMN()-7-1)/2+1)&lt;&gt;"Starfsbundið",CQ42="",CQ$8="",CQ$7=""),"",ROUND(CQ42/CQ$8*CQ$7*KVARDI,2))</f>
        <v/>
      </c>
      <c r="CS42" s="39"/>
      <c r="CT42" s="40" t="str">
        <f aca="false">IF(OR(INDEX(Undirviðmið!$G$6:$G$105,(COLUMN()-7-1)/2+1)&lt;&gt;"Starfsbundið",CS42="",CS$8="",CS$7=""),"",ROUND(CS42/CS$8*CS$7*KVARDI,2))</f>
        <v/>
      </c>
      <c r="CU42" s="39"/>
      <c r="CV42" s="40" t="str">
        <f aca="false">IF(OR(INDEX(Undirviðmið!$G$6:$G$105,(COLUMN()-7-1)/2+1)&lt;&gt;"Starfsbundið",CU42="",CU$8="",CU$7=""),"",ROUND(CU42/CU$8*CU$7*KVARDI,2))</f>
        <v/>
      </c>
      <c r="CW42" s="39"/>
      <c r="CX42" s="40" t="str">
        <f aca="false">IF(OR(INDEX(Undirviðmið!$G$6:$G$105,(COLUMN()-7-1)/2+1)&lt;&gt;"Starfsbundið",CW42="",CW$8="",CW$7=""),"",ROUND(CW42/CW$8*CW$7*KVARDI,2))</f>
        <v/>
      </c>
      <c r="CY42" s="39"/>
      <c r="CZ42" s="40" t="str">
        <f aca="false">IF(OR(INDEX(Undirviðmið!$G$6:$G$105,(COLUMN()-7-1)/2+1)&lt;&gt;"Starfsbundið",CY42="",CY$8="",CY$7=""),"",ROUND(CY42/CY$8*CY$7*KVARDI,2))</f>
        <v/>
      </c>
      <c r="DA42" s="39"/>
      <c r="DB42" s="40" t="str">
        <f aca="false">IF(OR(INDEX(Undirviðmið!$G$6:$G$105,(COLUMN()-7-1)/2+1)&lt;&gt;"Starfsbundið",DA42="",DA$8="",DA$7=""),"",ROUND(DA42/DA$8*DA$7*KVARDI,2))</f>
        <v/>
      </c>
      <c r="DC42" s="39"/>
      <c r="DD42" s="40" t="str">
        <f aca="false">IF(OR(INDEX(Undirviðmið!$G$6:$G$105,(COLUMN()-7-1)/2+1)&lt;&gt;"Starfsbundið",DC42="",DC$8="",DC$7=""),"",ROUND(DC42/DC$8*DC$7*KVARDI,2))</f>
        <v/>
      </c>
      <c r="DE42" s="39"/>
      <c r="DF42" s="40" t="str">
        <f aca="false">IF(OR(INDEX(Undirviðmið!$G$6:$G$105,(COLUMN()-7-1)/2+1)&lt;&gt;"Starfsbundið",DE42="",DE$8="",DE$7=""),"",ROUND(DE42/DE$8*DE$7*KVARDI,2))</f>
        <v/>
      </c>
      <c r="DG42" s="39"/>
      <c r="DH42" s="40" t="str">
        <f aca="false">IF(OR(INDEX(Undirviðmið!$G$6:$G$105,(COLUMN()-7-1)/2+1)&lt;&gt;"Starfsbundið",DG42="",DG$8="",DG$7=""),"",ROUND(DG42/DG$8*DG$7*KVARDI,2))</f>
        <v/>
      </c>
      <c r="DI42" s="39"/>
      <c r="DJ42" s="40" t="str">
        <f aca="false">IF(OR(INDEX(Undirviðmið!$G$6:$G$105,(COLUMN()-7-1)/2+1)&lt;&gt;"Starfsbundið",DI42="",DI$8="",DI$7=""),"",ROUND(DI42/DI$8*DI$7*KVARDI,2))</f>
        <v/>
      </c>
      <c r="DK42" s="39"/>
      <c r="DL42" s="40" t="str">
        <f aca="false">IF(OR(INDEX(Undirviðmið!$G$6:$G$105,(COLUMN()-7-1)/2+1)&lt;&gt;"Starfsbundið",DK42="",DK$8="",DK$7=""),"",ROUND(DK42/DK$8*DK$7*KVARDI,2))</f>
        <v/>
      </c>
      <c r="DM42" s="39"/>
      <c r="DN42" s="40" t="str">
        <f aca="false">IF(OR(INDEX(Undirviðmið!$G$6:$G$105,(COLUMN()-7-1)/2+1)&lt;&gt;"Starfsbundið",DM42="",DM$8="",DM$7=""),"",ROUND(DM42/DM$8*DM$7*KVARDI,2))</f>
        <v/>
      </c>
      <c r="DO42" s="39"/>
      <c r="DP42" s="40" t="str">
        <f aca="false">IF(OR(INDEX(Undirviðmið!$G$6:$G$105,(COLUMN()-7-1)/2+1)&lt;&gt;"Starfsbundið",DO42="",DO$8="",DO$7=""),"",ROUND(DO42/DO$8*DO$7*KVARDI,2))</f>
        <v/>
      </c>
      <c r="DQ42" s="39"/>
      <c r="DR42" s="40" t="str">
        <f aca="false">IF(OR(INDEX(Undirviðmið!$G$6:$G$105,(COLUMN()-7-1)/2+1)&lt;&gt;"Starfsbundið",DQ42="",DQ$8="",DQ$7=""),"",ROUND(DQ42/DQ$8*DQ$7*KVARDI,2))</f>
        <v/>
      </c>
      <c r="DS42" s="39"/>
      <c r="DT42" s="40" t="str">
        <f aca="false">IF(OR(INDEX(Undirviðmið!$G$6:$G$105,(COLUMN()-7-1)/2+1)&lt;&gt;"Starfsbundið",DS42="",DS$8="",DS$7=""),"",ROUND(DS42/DS$8*DS$7*KVARDI,2))</f>
        <v/>
      </c>
      <c r="DU42" s="39"/>
      <c r="DV42" s="40" t="str">
        <f aca="false">IF(OR(INDEX(Undirviðmið!$G$6:$G$105,(COLUMN()-7-1)/2+1)&lt;&gt;"Starfsbundið",DU42="",DU$8="",DU$7=""),"",ROUND(DU42/DU$8*DU$7*KVARDI,2))</f>
        <v/>
      </c>
      <c r="DW42" s="39"/>
      <c r="DX42" s="40" t="str">
        <f aca="false">IF(OR(INDEX(Undirviðmið!$G$6:$G$105,(COLUMN()-7-1)/2+1)&lt;&gt;"Starfsbundið",DW42="",DW$8="",DW$7=""),"",ROUND(DW42/DW$8*DW$7*KVARDI,2))</f>
        <v/>
      </c>
      <c r="DY42" s="39"/>
      <c r="DZ42" s="40" t="str">
        <f aca="false">IF(OR(INDEX(Undirviðmið!$G$6:$G$105,(COLUMN()-7-1)/2+1)&lt;&gt;"Starfsbundið",DY42="",DY$8="",DY$7=""),"",ROUND(DY42/DY$8*DY$7*KVARDI,2))</f>
        <v/>
      </c>
      <c r="EA42" s="39"/>
      <c r="EB42" s="40" t="str">
        <f aca="false">IF(OR(INDEX(Undirviðmið!$G$6:$G$105,(COLUMN()-7-1)/2+1)&lt;&gt;"Starfsbundið",EA42="",EA$8="",EA$7=""),"",ROUND(EA42/EA$8*EA$7*KVARDI,2))</f>
        <v/>
      </c>
      <c r="EC42" s="39"/>
      <c r="ED42" s="40" t="str">
        <f aca="false">IF(OR(INDEX(Undirviðmið!$G$6:$G$105,(COLUMN()-7-1)/2+1)&lt;&gt;"Starfsbundið",EC42="",EC$8="",EC$7=""),"",ROUND(EC42/EC$8*EC$7*KVARDI,2))</f>
        <v/>
      </c>
      <c r="EE42" s="39"/>
      <c r="EF42" s="40" t="str">
        <f aca="false">IF(OR(INDEX(Undirviðmið!$G$6:$G$105,(COLUMN()-7-1)/2+1)&lt;&gt;"Starfsbundið",EE42="",EE$8="",EE$7=""),"",ROUND(EE42/EE$8*EE$7*KVARDI,2))</f>
        <v/>
      </c>
      <c r="EG42" s="39"/>
      <c r="EH42" s="40" t="str">
        <f aca="false">IF(OR(INDEX(Undirviðmið!$G$6:$G$105,(COLUMN()-7-1)/2+1)&lt;&gt;"Starfsbundið",EG42="",EG$8="",EG$7=""),"",ROUND(EG42/EG$8*EG$7*KVARDI,2))</f>
        <v/>
      </c>
      <c r="EI42" s="39"/>
      <c r="EJ42" s="40" t="str">
        <f aca="false">IF(OR(INDEX(Undirviðmið!$G$6:$G$105,(COLUMN()-7-1)/2+1)&lt;&gt;"Starfsbundið",EI42="",EI$8="",EI$7=""),"",ROUND(EI42/EI$8*EI$7*KVARDI,2))</f>
        <v/>
      </c>
      <c r="EK42" s="39"/>
      <c r="EL42" s="40" t="str">
        <f aca="false">IF(OR(INDEX(Undirviðmið!$G$6:$G$105,(COLUMN()-7-1)/2+1)&lt;&gt;"Starfsbundið",EK42="",EK$8="",EK$7=""),"",ROUND(EK42/EK$8*EK$7*KVARDI,2))</f>
        <v/>
      </c>
      <c r="EM42" s="39"/>
      <c r="EN42" s="40" t="str">
        <f aca="false">IF(OR(INDEX(Undirviðmið!$G$6:$G$105,(COLUMN()-7-1)/2+1)&lt;&gt;"Starfsbundið",EM42="",EM$8="",EM$7=""),"",ROUND(EM42/EM$8*EM$7*KVARDI,2))</f>
        <v/>
      </c>
      <c r="EO42" s="39"/>
      <c r="EP42" s="40" t="str">
        <f aca="false">IF(OR(INDEX(Undirviðmið!$G$6:$G$105,(COLUMN()-7-1)/2+1)&lt;&gt;"Starfsbundið",EO42="",EO$8="",EO$7=""),"",ROUND(EO42/EO$8*EO$7*KVARDI,2))</f>
        <v/>
      </c>
      <c r="EQ42" s="39"/>
      <c r="ER42" s="40" t="str">
        <f aca="false">IF(OR(INDEX(Undirviðmið!$G$6:$G$105,(COLUMN()-7-1)/2+1)&lt;&gt;"Starfsbundið",EQ42="",EQ$8="",EQ$7=""),"",ROUND(EQ42/EQ$8*EQ$7*KVARDI,2))</f>
        <v/>
      </c>
      <c r="ES42" s="39"/>
      <c r="ET42" s="40" t="str">
        <f aca="false">IF(OR(INDEX(Undirviðmið!$G$6:$G$105,(COLUMN()-7-1)/2+1)&lt;&gt;"Starfsbundið",ES42="",ES$8="",ES$7=""),"",ROUND(ES42/ES$8*ES$7*KVARDI,2))</f>
        <v/>
      </c>
      <c r="EU42" s="39"/>
      <c r="EV42" s="40" t="str">
        <f aca="false">IF(OR(INDEX(Undirviðmið!$G$6:$G$105,(COLUMN()-7-1)/2+1)&lt;&gt;"Starfsbundið",EU42="",EU$8="",EU$7=""),"",ROUND(EU42/EU$8*EU$7*KVARDI,2))</f>
        <v/>
      </c>
      <c r="EW42" s="39"/>
      <c r="EX42" s="40" t="str">
        <f aca="false">IF(OR(INDEX(Undirviðmið!$G$6:$G$105,(COLUMN()-7-1)/2+1)&lt;&gt;"Starfsbundið",EW42="",EW$8="",EW$7=""),"",ROUND(EW42/EW$8*EW$7*KVARDI,2))</f>
        <v/>
      </c>
      <c r="EY42" s="39"/>
      <c r="EZ42" s="40" t="str">
        <f aca="false">IF(OR(INDEX(Undirviðmið!$G$6:$G$105,(COLUMN()-7-1)/2+1)&lt;&gt;"Starfsbundið",EY42="",EY$8="",EY$7=""),"",ROUND(EY42/EY$8*EY$7*KVARDI,2))</f>
        <v/>
      </c>
      <c r="FA42" s="39"/>
      <c r="FB42" s="40" t="str">
        <f aca="false">IF(OR(INDEX(Undirviðmið!$G$6:$G$105,(COLUMN()-7-1)/2+1)&lt;&gt;"Starfsbundið",FA42="",FA$8="",FA$7=""),"",ROUND(FA42/FA$8*FA$7*KVARDI,2))</f>
        <v/>
      </c>
      <c r="FC42" s="39"/>
      <c r="FD42" s="40" t="str">
        <f aca="false">IF(OR(INDEX(Undirviðmið!$G$6:$G$105,(COLUMN()-7-1)/2+1)&lt;&gt;"Starfsbundið",FC42="",FC$8="",FC$7=""),"",ROUND(FC42/FC$8*FC$7*KVARDI,2))</f>
        <v/>
      </c>
      <c r="FE42" s="39"/>
      <c r="FF42" s="40" t="str">
        <f aca="false">IF(OR(INDEX(Undirviðmið!$G$6:$G$105,(COLUMN()-7-1)/2+1)&lt;&gt;"Starfsbundið",FE42="",FE$8="",FE$7=""),"",ROUND(FE42/FE$8*FE$7*KVARDI,2))</f>
        <v/>
      </c>
      <c r="FG42" s="39"/>
      <c r="FH42" s="40" t="str">
        <f aca="false">IF(OR(INDEX(Undirviðmið!$G$6:$G$105,(COLUMN()-7-1)/2+1)&lt;&gt;"Starfsbundið",FG42="",FG$8="",FG$7=""),"",ROUND(FG42/FG$8*FG$7*KVARDI,2))</f>
        <v/>
      </c>
      <c r="FI42" s="39"/>
      <c r="FJ42" s="40" t="str">
        <f aca="false">IF(OR(INDEX(Undirviðmið!$G$6:$G$105,(COLUMN()-7-1)/2+1)&lt;&gt;"Starfsbundið",FI42="",FI$8="",FI$7=""),"",ROUND(FI42/FI$8*FI$7*KVARDI,2))</f>
        <v/>
      </c>
      <c r="FK42" s="39"/>
      <c r="FL42" s="40" t="str">
        <f aca="false">IF(OR(INDEX(Undirviðmið!$G$6:$G$105,(COLUMN()-7-1)/2+1)&lt;&gt;"Starfsbundið",FK42="",FK$8="",FK$7=""),"",ROUND(FK42/FK$8*FK$7*KVARDI,2))</f>
        <v/>
      </c>
      <c r="FM42" s="39"/>
      <c r="FN42" s="40" t="str">
        <f aca="false">IF(OR(INDEX(Undirviðmið!$G$6:$G$105,(COLUMN()-7-1)/2+1)&lt;&gt;"Starfsbundið",FM42="",FM$8="",FM$7=""),"",ROUND(FM42/FM$8*FM$7*KVARDI,2))</f>
        <v/>
      </c>
      <c r="FO42" s="39"/>
      <c r="FP42" s="40" t="str">
        <f aca="false">IF(OR(INDEX(Undirviðmið!$G$6:$G$105,(COLUMN()-7-1)/2+1)&lt;&gt;"Starfsbundið",FO42="",FO$8="",FO$7=""),"",ROUND(FO42/FO$8*FO$7*KVARDI,2))</f>
        <v/>
      </c>
      <c r="FQ42" s="39"/>
      <c r="FR42" s="40" t="str">
        <f aca="false">IF(OR(INDEX(Undirviðmið!$G$6:$G$105,(COLUMN()-7-1)/2+1)&lt;&gt;"Starfsbundið",FQ42="",FQ$8="",FQ$7=""),"",ROUND(FQ42/FQ$8*FQ$7*KVARDI,2))</f>
        <v/>
      </c>
      <c r="FS42" s="39"/>
      <c r="FT42" s="40" t="str">
        <f aca="false">IF(OR(INDEX(Undirviðmið!$G$6:$G$105,(COLUMN()-7-1)/2+1)&lt;&gt;"Starfsbundið",FS42="",FS$8="",FS$7=""),"",ROUND(FS42/FS$8*FS$7*KVARDI,2))</f>
        <v/>
      </c>
      <c r="FU42" s="39"/>
      <c r="FV42" s="40" t="str">
        <f aca="false">IF(OR(INDEX(Undirviðmið!$G$6:$G$105,(COLUMN()-7-1)/2+1)&lt;&gt;"Starfsbundið",FU42="",FU$8="",FU$7=""),"",ROUND(FU42/FU$8*FU$7*KVARDI,2))</f>
        <v/>
      </c>
      <c r="FW42" s="39"/>
      <c r="FX42" s="40" t="str">
        <f aca="false">IF(OR(INDEX(Undirviðmið!$G$6:$G$105,(COLUMN()-7-1)/2+1)&lt;&gt;"Starfsbundið",FW42="",FW$8="",FW$7=""),"",ROUND(FW42/FW$8*FW$7*KVARDI,2))</f>
        <v/>
      </c>
      <c r="FY42" s="39"/>
      <c r="FZ42" s="40" t="str">
        <f aca="false">IF(OR(INDEX(Undirviðmið!$G$6:$G$105,(COLUMN()-7-1)/2+1)&lt;&gt;"Starfsbundið",FY42="",FY$8="",FY$7=""),"",ROUND(FY42/FY$8*FY$7*KVARDI,2))</f>
        <v/>
      </c>
      <c r="GA42" s="39"/>
      <c r="GB42" s="40" t="str">
        <f aca="false">IF(OR(INDEX(Undirviðmið!$G$6:$G$105,(COLUMN()-7-1)/2+1)&lt;&gt;"Starfsbundið",GA42="",GA$8="",GA$7=""),"",ROUND(GA42/GA$8*GA$7*KVARDI,2))</f>
        <v/>
      </c>
      <c r="GC42" s="39"/>
      <c r="GD42" s="40" t="str">
        <f aca="false">IF(OR(INDEX(Undirviðmið!$G$6:$G$105,(COLUMN()-7-1)/2+1)&lt;&gt;"Starfsbundið",GC42="",GC$8="",GC$7=""),"",ROUND(GC42/GC$8*GC$7*KVARDI,2))</f>
        <v/>
      </c>
      <c r="GE42" s="39"/>
      <c r="GF42" s="40" t="str">
        <f aca="false">IF(OR(INDEX(Undirviðmið!$G$6:$G$105,(COLUMN()-7-1)/2+1)&lt;&gt;"Starfsbundið",GE42="",GE$8="",GE$7=""),"",ROUND(GE42/GE$8*GE$7*KVARDI,2))</f>
        <v/>
      </c>
      <c r="GG42" s="39"/>
      <c r="GH42" s="40" t="str">
        <f aca="false">IF(OR(INDEX(Undirviðmið!$G$6:$G$105,(COLUMN()-7-1)/2+1)&lt;&gt;"Starfsbundið",GG42="",GG$8="",GG$7=""),"",ROUND(GG42/GG$8*GG$7*KVARDI,2))</f>
        <v/>
      </c>
      <c r="GI42" s="39"/>
      <c r="GJ42" s="40" t="str">
        <f aca="false">IF(OR(INDEX(Undirviðmið!$G$6:$G$105,(COLUMN()-7-1)/2+1)&lt;&gt;"Starfsbundið",GI42="",GI$8="",GI$7=""),"",ROUND(GI42/GI$8*GI$7*KVARDI,2))</f>
        <v/>
      </c>
      <c r="GK42" s="39"/>
      <c r="GL42" s="40" t="str">
        <f aca="false">IF(OR(INDEX(Undirviðmið!$G$6:$G$105,(COLUMN()-7-1)/2+1)&lt;&gt;"Starfsbundið",GK42="",GK$8="",GK$7=""),"",ROUND(GK42/GK$8*GK$7*KVARDI,2))</f>
        <v/>
      </c>
      <c r="GM42" s="39"/>
      <c r="GN42" s="40" t="str">
        <f aca="false">IF(OR(INDEX(Undirviðmið!$G$6:$G$105,(COLUMN()-7-1)/2+1)&lt;&gt;"Starfsbundið",GM42="",GM$8="",GM$7=""),"",ROUND(GM42/GM$8*GM$7*KVARDI,2))</f>
        <v/>
      </c>
      <c r="GO42" s="39"/>
      <c r="GP42" s="40" t="str">
        <f aca="false">IF(OR(INDEX(Undirviðmið!$G$6:$G$105,(COLUMN()-7-1)/2+1)&lt;&gt;"Starfsbundið",GO42="",GO$8="",GO$7=""),"",ROUND(GO42/GO$8*GO$7*KVARDI,2))</f>
        <v/>
      </c>
      <c r="GQ42" s="39"/>
      <c r="GR42" s="40" t="str">
        <f aca="false">IF(OR(INDEX(Undirviðmið!$G$6:$G$105,(COLUMN()-7-1)/2+1)&lt;&gt;"Starfsbundið",GQ42="",GQ$8="",GQ$7=""),"",ROUND(GQ42/GQ$8*GQ$7*KVARDI,2))</f>
        <v/>
      </c>
      <c r="GS42" s="39"/>
      <c r="GT42" s="40" t="str">
        <f aca="false">IF(OR(INDEX(Undirviðmið!$G$6:$G$105,(COLUMN()-7-1)/2+1)&lt;&gt;"Starfsbundið",GS42="",GS$8="",GS$7=""),"",ROUND(GS42/GS$8*GS$7*KVARDI,2))</f>
        <v/>
      </c>
      <c r="GU42" s="39"/>
      <c r="GV42" s="40" t="str">
        <f aca="false">IF(OR(INDEX(Undirviðmið!$G$6:$G$105,(COLUMN()-7-1)/2+1)&lt;&gt;"Starfsbundið",GU42="",GU$8="",GU$7=""),"",ROUND(GU42/GU$8*GU$7*KVARDI,2))</f>
        <v/>
      </c>
      <c r="GW42" s="39"/>
      <c r="GX42" s="40" t="str">
        <f aca="false">IF(OR(INDEX(Undirviðmið!$G$6:$G$105,(COLUMN()-7-1)/2+1)&lt;&gt;"Starfsbundið",GW42="",GW$8="",GW$7=""),"",ROUND(GW42/GW$8*GW$7*KVARDI,2))</f>
        <v/>
      </c>
      <c r="GZ42" s="20"/>
    </row>
    <row r="43" customFormat="false" ht="15" hidden="true" customHeight="true" outlineLevel="1" collapsed="false">
      <c r="B43" s="37" t="str">
        <f aca="false" t="array" ref="B43:B43">IFERROR(INDEX(Starfsmenn!$C$6:$C$10005,MATCH(0,COUNTIF($B$11:B42,Starfsmenn!$C$6:$C$10005)+(Starfsmenn!$C$6:$C$10005=""),0)),"")</f>
        <v/>
      </c>
      <c r="C43" s="38" t="n">
        <f aca="false">IFERROR(SUMIF($G$10:$GX$10,"Stig",$G43:$GX43),0)</f>
        <v>0</v>
      </c>
      <c r="G43" s="39"/>
      <c r="H43" s="40" t="str">
        <f aca="false">IF(OR(INDEX(Undirviðmið!$G$6:$G$105,(COLUMN()-7-1)/2+1)&lt;&gt;"Starfsbundið",G43="",G$8="",G$7=""),"",ROUND(G43/G$8*G$7*KVARDI,2))</f>
        <v/>
      </c>
      <c r="I43" s="39"/>
      <c r="J43" s="40" t="str">
        <f aca="false">IF(OR(INDEX(Undirviðmið!$G$6:$G$105,(COLUMN()-7-1)/2+1)&lt;&gt;"Starfsbundið",I43="",I$8="",I$7=""),"",ROUND(I43/I$8*I$7*KVARDI,2))</f>
        <v/>
      </c>
      <c r="K43" s="39"/>
      <c r="L43" s="40" t="str">
        <f aca="false">IF(OR(INDEX(Undirviðmið!$G$6:$G$105,(COLUMN()-7-1)/2+1)&lt;&gt;"Starfsbundið",K43="",K$8="",K$7=""),"",ROUND(K43/K$8*K$7*KVARDI,2))</f>
        <v/>
      </c>
      <c r="M43" s="39"/>
      <c r="N43" s="40" t="str">
        <f aca="false">IF(OR(INDEX(Undirviðmið!$G$6:$G$105,(COLUMN()-7-1)/2+1)&lt;&gt;"Starfsbundið",M43="",M$8="",M$7=""),"",ROUND(M43/M$8*M$7*KVARDI,2))</f>
        <v/>
      </c>
      <c r="O43" s="39"/>
      <c r="P43" s="40" t="str">
        <f aca="false">IF(OR(INDEX(Undirviðmið!$G$6:$G$105,(COLUMN()-7-1)/2+1)&lt;&gt;"Starfsbundið",O43="",O$8="",O$7=""),"",ROUND(O43/O$8*O$7*KVARDI,2))</f>
        <v/>
      </c>
      <c r="Q43" s="39"/>
      <c r="R43" s="40" t="str">
        <f aca="false">IF(OR(INDEX(Undirviðmið!$G$6:$G$105,(COLUMN()-7-1)/2+1)&lt;&gt;"Starfsbundið",Q43="",Q$8="",Q$7=""),"",ROUND(Q43/Q$8*Q$7*KVARDI,2))</f>
        <v/>
      </c>
      <c r="S43" s="39"/>
      <c r="T43" s="40" t="str">
        <f aca="false">IF(OR(INDEX(Undirviðmið!$G$6:$G$105,(COLUMN()-7-1)/2+1)&lt;&gt;"Starfsbundið",S43="",S$8="",S$7=""),"",ROUND(S43/S$8*S$7*KVARDI,2))</f>
        <v/>
      </c>
      <c r="U43" s="39"/>
      <c r="V43" s="40" t="str">
        <f aca="false">IF(OR(INDEX(Undirviðmið!$G$6:$G$105,(COLUMN()-7-1)/2+1)&lt;&gt;"Starfsbundið",U43="",U$8="",U$7=""),"",ROUND(U43/U$8*U$7*KVARDI,2))</f>
        <v/>
      </c>
      <c r="W43" s="39"/>
      <c r="X43" s="40" t="str">
        <f aca="false">IF(OR(INDEX(Undirviðmið!$G$6:$G$105,(COLUMN()-7-1)/2+1)&lt;&gt;"Starfsbundið",W43="",W$8="",W$7=""),"",ROUND(W43/W$8*W$7*KVARDI,2))</f>
        <v/>
      </c>
      <c r="Y43" s="39"/>
      <c r="Z43" s="40" t="str">
        <f aca="false">IF(OR(INDEX(Undirviðmið!$G$6:$G$105,(COLUMN()-7-1)/2+1)&lt;&gt;"Starfsbundið",Y43="",Y$8="",Y$7=""),"",ROUND(Y43/Y$8*Y$7*KVARDI,2))</f>
        <v/>
      </c>
      <c r="AA43" s="39"/>
      <c r="AB43" s="40" t="str">
        <f aca="false">IF(OR(INDEX(Undirviðmið!$G$6:$G$105,(COLUMN()-7-1)/2+1)&lt;&gt;"Starfsbundið",AA43="",AA$8="",AA$7=""),"",ROUND(AA43/AA$8*AA$7*KVARDI,2))</f>
        <v/>
      </c>
      <c r="AC43" s="39"/>
      <c r="AD43" s="40" t="str">
        <f aca="false">IF(OR(INDEX(Undirviðmið!$G$6:$G$105,(COLUMN()-7-1)/2+1)&lt;&gt;"Starfsbundið",AC43="",AC$8="",AC$7=""),"",ROUND(AC43/AC$8*AC$7*KVARDI,2))</f>
        <v/>
      </c>
      <c r="AE43" s="39"/>
      <c r="AF43" s="40" t="str">
        <f aca="false">IF(OR(INDEX(Undirviðmið!$G$6:$G$105,(COLUMN()-7-1)/2+1)&lt;&gt;"Starfsbundið",AE43="",AE$8="",AE$7=""),"",ROUND(AE43/AE$8*AE$7*KVARDI,2))</f>
        <v/>
      </c>
      <c r="AG43" s="39"/>
      <c r="AH43" s="40" t="str">
        <f aca="false">IF(OR(INDEX(Undirviðmið!$G$6:$G$105,(COLUMN()-7-1)/2+1)&lt;&gt;"Starfsbundið",AG43="",AG$8="",AG$7=""),"",ROUND(AG43/AG$8*AG$7*KVARDI,2))</f>
        <v/>
      </c>
      <c r="AI43" s="39"/>
      <c r="AJ43" s="40" t="str">
        <f aca="false">IF(OR(INDEX(Undirviðmið!$G$6:$G$105,(COLUMN()-7-1)/2+1)&lt;&gt;"Starfsbundið",AI43="",AI$8="",AI$7=""),"",ROUND(AI43/AI$8*AI$7*KVARDI,2))</f>
        <v/>
      </c>
      <c r="AK43" s="39"/>
      <c r="AL43" s="40" t="str">
        <f aca="false">IF(OR(INDEX(Undirviðmið!$G$6:$G$105,(COLUMN()-7-1)/2+1)&lt;&gt;"Starfsbundið",AK43="",AK$8="",AK$7=""),"",ROUND(AK43/AK$8*AK$7*KVARDI,2))</f>
        <v/>
      </c>
      <c r="AM43" s="39"/>
      <c r="AN43" s="40" t="str">
        <f aca="false">IF(OR(INDEX(Undirviðmið!$G$6:$G$105,(COLUMN()-7-1)/2+1)&lt;&gt;"Starfsbundið",AM43="",AM$8="",AM$7=""),"",ROUND(AM43/AM$8*AM$7*KVARDI,2))</f>
        <v/>
      </c>
      <c r="AO43" s="39"/>
      <c r="AP43" s="40" t="str">
        <f aca="false">IF(OR(INDEX(Undirviðmið!$G$6:$G$105,(COLUMN()-7-1)/2+1)&lt;&gt;"Starfsbundið",AO43="",AO$8="",AO$7=""),"",ROUND(AO43/AO$8*AO$7*KVARDI,2))</f>
        <v/>
      </c>
      <c r="AQ43" s="39"/>
      <c r="AR43" s="40" t="str">
        <f aca="false">IF(OR(INDEX(Undirviðmið!$G$6:$G$105,(COLUMN()-7-1)/2+1)&lt;&gt;"Starfsbundið",AQ43="",AQ$8="",AQ$7=""),"",ROUND(AQ43/AQ$8*AQ$7*KVARDI,2))</f>
        <v/>
      </c>
      <c r="AS43" s="39"/>
      <c r="AT43" s="40" t="str">
        <f aca="false">IF(OR(INDEX(Undirviðmið!$G$6:$G$105,(COLUMN()-7-1)/2+1)&lt;&gt;"Starfsbundið",AS43="",AS$8="",AS$7=""),"",ROUND(AS43/AS$8*AS$7*KVARDI,2))</f>
        <v/>
      </c>
      <c r="AU43" s="39"/>
      <c r="AV43" s="40" t="str">
        <f aca="false">IF(OR(INDEX(Undirviðmið!$G$6:$G$105,(COLUMN()-7-1)/2+1)&lt;&gt;"Starfsbundið",AU43="",AU$8="",AU$7=""),"",ROUND(AU43/AU$8*AU$7*KVARDI,2))</f>
        <v/>
      </c>
      <c r="AW43" s="39"/>
      <c r="AX43" s="40" t="str">
        <f aca="false">IF(OR(INDEX(Undirviðmið!$G$6:$G$105,(COLUMN()-7-1)/2+1)&lt;&gt;"Starfsbundið",AW43="",AW$8="",AW$7=""),"",ROUND(AW43/AW$8*AW$7*KVARDI,2))</f>
        <v/>
      </c>
      <c r="AY43" s="39"/>
      <c r="AZ43" s="40" t="str">
        <f aca="false">IF(OR(INDEX(Undirviðmið!$G$6:$G$105,(COLUMN()-7-1)/2+1)&lt;&gt;"Starfsbundið",AY43="",AY$8="",AY$7=""),"",ROUND(AY43/AY$8*AY$7*KVARDI,2))</f>
        <v/>
      </c>
      <c r="BA43" s="39"/>
      <c r="BB43" s="40" t="str">
        <f aca="false">IF(OR(INDEX(Undirviðmið!$G$6:$G$105,(COLUMN()-7-1)/2+1)&lt;&gt;"Starfsbundið",BA43="",BA$8="",BA$7=""),"",ROUND(BA43/BA$8*BA$7*KVARDI,2))</f>
        <v/>
      </c>
      <c r="BC43" s="39"/>
      <c r="BD43" s="40" t="str">
        <f aca="false">IF(OR(INDEX(Undirviðmið!$G$6:$G$105,(COLUMN()-7-1)/2+1)&lt;&gt;"Starfsbundið",BC43="",BC$8="",BC$7=""),"",ROUND(BC43/BC$8*BC$7*KVARDI,2))</f>
        <v/>
      </c>
      <c r="BE43" s="39"/>
      <c r="BF43" s="40" t="str">
        <f aca="false">IF(OR(INDEX(Undirviðmið!$G$6:$G$105,(COLUMN()-7-1)/2+1)&lt;&gt;"Starfsbundið",BE43="",BE$8="",BE$7=""),"",ROUND(BE43/BE$8*BE$7*KVARDI,2))</f>
        <v/>
      </c>
      <c r="BG43" s="39"/>
      <c r="BH43" s="40" t="str">
        <f aca="false">IF(OR(INDEX(Undirviðmið!$G$6:$G$105,(COLUMN()-7-1)/2+1)&lt;&gt;"Starfsbundið",BG43="",BG$8="",BG$7=""),"",ROUND(BG43/BG$8*BG$7*KVARDI,2))</f>
        <v/>
      </c>
      <c r="BI43" s="39"/>
      <c r="BJ43" s="40" t="str">
        <f aca="false">IF(OR(INDEX(Undirviðmið!$G$6:$G$105,(COLUMN()-7-1)/2+1)&lt;&gt;"Starfsbundið",BI43="",BI$8="",BI$7=""),"",ROUND(BI43/BI$8*BI$7*KVARDI,2))</f>
        <v/>
      </c>
      <c r="BK43" s="39"/>
      <c r="BL43" s="40" t="str">
        <f aca="false">IF(OR(INDEX(Undirviðmið!$G$6:$G$105,(COLUMN()-7-1)/2+1)&lt;&gt;"Starfsbundið",BK43="",BK$8="",BK$7=""),"",ROUND(BK43/BK$8*BK$7*KVARDI,2))</f>
        <v/>
      </c>
      <c r="BM43" s="39"/>
      <c r="BN43" s="40" t="str">
        <f aca="false">IF(OR(INDEX(Undirviðmið!$G$6:$G$105,(COLUMN()-7-1)/2+1)&lt;&gt;"Starfsbundið",BM43="",BM$8="",BM$7=""),"",ROUND(BM43/BM$8*BM$7*KVARDI,2))</f>
        <v/>
      </c>
      <c r="BO43" s="39"/>
      <c r="BP43" s="40" t="str">
        <f aca="false">IF(OR(INDEX(Undirviðmið!$G$6:$G$105,(COLUMN()-7-1)/2+1)&lt;&gt;"Starfsbundið",BO43="",BO$8="",BO$7=""),"",ROUND(BO43/BO$8*BO$7*KVARDI,2))</f>
        <v/>
      </c>
      <c r="BQ43" s="39"/>
      <c r="BR43" s="40" t="str">
        <f aca="false">IF(OR(INDEX(Undirviðmið!$G$6:$G$105,(COLUMN()-7-1)/2+1)&lt;&gt;"Starfsbundið",BQ43="",BQ$8="",BQ$7=""),"",ROUND(BQ43/BQ$8*BQ$7*KVARDI,2))</f>
        <v/>
      </c>
      <c r="BS43" s="39"/>
      <c r="BT43" s="40" t="str">
        <f aca="false">IF(OR(INDEX(Undirviðmið!$G$6:$G$105,(COLUMN()-7-1)/2+1)&lt;&gt;"Starfsbundið",BS43="",BS$8="",BS$7=""),"",ROUND(BS43/BS$8*BS$7*KVARDI,2))</f>
        <v/>
      </c>
      <c r="BU43" s="39"/>
      <c r="BV43" s="40" t="str">
        <f aca="false">IF(OR(INDEX(Undirviðmið!$G$6:$G$105,(COLUMN()-7-1)/2+1)&lt;&gt;"Starfsbundið",BU43="",BU$8="",BU$7=""),"",ROUND(BU43/BU$8*BU$7*KVARDI,2))</f>
        <v/>
      </c>
      <c r="BW43" s="39"/>
      <c r="BX43" s="40" t="str">
        <f aca="false">IF(OR(INDEX(Undirviðmið!$G$6:$G$105,(COLUMN()-7-1)/2+1)&lt;&gt;"Starfsbundið",BW43="",BW$8="",BW$7=""),"",ROUND(BW43/BW$8*BW$7*KVARDI,2))</f>
        <v/>
      </c>
      <c r="BY43" s="39"/>
      <c r="BZ43" s="40" t="str">
        <f aca="false">IF(OR(INDEX(Undirviðmið!$G$6:$G$105,(COLUMN()-7-1)/2+1)&lt;&gt;"Starfsbundið",BY43="",BY$8="",BY$7=""),"",ROUND(BY43/BY$8*BY$7*KVARDI,2))</f>
        <v/>
      </c>
      <c r="CA43" s="39"/>
      <c r="CB43" s="40" t="str">
        <f aca="false">IF(OR(INDEX(Undirviðmið!$G$6:$G$105,(COLUMN()-7-1)/2+1)&lt;&gt;"Starfsbundið",CA43="",CA$8="",CA$7=""),"",ROUND(CA43/CA$8*CA$7*KVARDI,2))</f>
        <v/>
      </c>
      <c r="CC43" s="39"/>
      <c r="CD43" s="40" t="str">
        <f aca="false">IF(OR(INDEX(Undirviðmið!$G$6:$G$105,(COLUMN()-7-1)/2+1)&lt;&gt;"Starfsbundið",CC43="",CC$8="",CC$7=""),"",ROUND(CC43/CC$8*CC$7*KVARDI,2))</f>
        <v/>
      </c>
      <c r="CE43" s="39"/>
      <c r="CF43" s="40" t="str">
        <f aca="false">IF(OR(INDEX(Undirviðmið!$G$6:$G$105,(COLUMN()-7-1)/2+1)&lt;&gt;"Starfsbundið",CE43="",CE$8="",CE$7=""),"",ROUND(CE43/CE$8*CE$7*KVARDI,2))</f>
        <v/>
      </c>
      <c r="CG43" s="39"/>
      <c r="CH43" s="40" t="str">
        <f aca="false">IF(OR(INDEX(Undirviðmið!$G$6:$G$105,(COLUMN()-7-1)/2+1)&lt;&gt;"Starfsbundið",CG43="",CG$8="",CG$7=""),"",ROUND(CG43/CG$8*CG$7*KVARDI,2))</f>
        <v/>
      </c>
      <c r="CI43" s="39"/>
      <c r="CJ43" s="40" t="str">
        <f aca="false">IF(OR(INDEX(Undirviðmið!$G$6:$G$105,(COLUMN()-7-1)/2+1)&lt;&gt;"Starfsbundið",CI43="",CI$8="",CI$7=""),"",ROUND(CI43/CI$8*CI$7*KVARDI,2))</f>
        <v/>
      </c>
      <c r="CK43" s="39"/>
      <c r="CL43" s="40" t="str">
        <f aca="false">IF(OR(INDEX(Undirviðmið!$G$6:$G$105,(COLUMN()-7-1)/2+1)&lt;&gt;"Starfsbundið",CK43="",CK$8="",CK$7=""),"",ROUND(CK43/CK$8*CK$7*KVARDI,2))</f>
        <v/>
      </c>
      <c r="CM43" s="39"/>
      <c r="CN43" s="40" t="str">
        <f aca="false">IF(OR(INDEX(Undirviðmið!$G$6:$G$105,(COLUMN()-7-1)/2+1)&lt;&gt;"Starfsbundið",CM43="",CM$8="",CM$7=""),"",ROUND(CM43/CM$8*CM$7*KVARDI,2))</f>
        <v/>
      </c>
      <c r="CO43" s="39"/>
      <c r="CP43" s="40" t="str">
        <f aca="false">IF(OR(INDEX(Undirviðmið!$G$6:$G$105,(COLUMN()-7-1)/2+1)&lt;&gt;"Starfsbundið",CO43="",CO$8="",CO$7=""),"",ROUND(CO43/CO$8*CO$7*KVARDI,2))</f>
        <v/>
      </c>
      <c r="CQ43" s="39"/>
      <c r="CR43" s="40" t="str">
        <f aca="false">IF(OR(INDEX(Undirviðmið!$G$6:$G$105,(COLUMN()-7-1)/2+1)&lt;&gt;"Starfsbundið",CQ43="",CQ$8="",CQ$7=""),"",ROUND(CQ43/CQ$8*CQ$7*KVARDI,2))</f>
        <v/>
      </c>
      <c r="CS43" s="39"/>
      <c r="CT43" s="40" t="str">
        <f aca="false">IF(OR(INDEX(Undirviðmið!$G$6:$G$105,(COLUMN()-7-1)/2+1)&lt;&gt;"Starfsbundið",CS43="",CS$8="",CS$7=""),"",ROUND(CS43/CS$8*CS$7*KVARDI,2))</f>
        <v/>
      </c>
      <c r="CU43" s="39"/>
      <c r="CV43" s="40" t="str">
        <f aca="false">IF(OR(INDEX(Undirviðmið!$G$6:$G$105,(COLUMN()-7-1)/2+1)&lt;&gt;"Starfsbundið",CU43="",CU$8="",CU$7=""),"",ROUND(CU43/CU$8*CU$7*KVARDI,2))</f>
        <v/>
      </c>
      <c r="CW43" s="39"/>
      <c r="CX43" s="40" t="str">
        <f aca="false">IF(OR(INDEX(Undirviðmið!$G$6:$G$105,(COLUMN()-7-1)/2+1)&lt;&gt;"Starfsbundið",CW43="",CW$8="",CW$7=""),"",ROUND(CW43/CW$8*CW$7*KVARDI,2))</f>
        <v/>
      </c>
      <c r="CY43" s="39"/>
      <c r="CZ43" s="40" t="str">
        <f aca="false">IF(OR(INDEX(Undirviðmið!$G$6:$G$105,(COLUMN()-7-1)/2+1)&lt;&gt;"Starfsbundið",CY43="",CY$8="",CY$7=""),"",ROUND(CY43/CY$8*CY$7*KVARDI,2))</f>
        <v/>
      </c>
      <c r="DA43" s="39"/>
      <c r="DB43" s="40" t="str">
        <f aca="false">IF(OR(INDEX(Undirviðmið!$G$6:$G$105,(COLUMN()-7-1)/2+1)&lt;&gt;"Starfsbundið",DA43="",DA$8="",DA$7=""),"",ROUND(DA43/DA$8*DA$7*KVARDI,2))</f>
        <v/>
      </c>
      <c r="DC43" s="39"/>
      <c r="DD43" s="40" t="str">
        <f aca="false">IF(OR(INDEX(Undirviðmið!$G$6:$G$105,(COLUMN()-7-1)/2+1)&lt;&gt;"Starfsbundið",DC43="",DC$8="",DC$7=""),"",ROUND(DC43/DC$8*DC$7*KVARDI,2))</f>
        <v/>
      </c>
      <c r="DE43" s="39"/>
      <c r="DF43" s="40" t="str">
        <f aca="false">IF(OR(INDEX(Undirviðmið!$G$6:$G$105,(COLUMN()-7-1)/2+1)&lt;&gt;"Starfsbundið",DE43="",DE$8="",DE$7=""),"",ROUND(DE43/DE$8*DE$7*KVARDI,2))</f>
        <v/>
      </c>
      <c r="DG43" s="39"/>
      <c r="DH43" s="40" t="str">
        <f aca="false">IF(OR(INDEX(Undirviðmið!$G$6:$G$105,(COLUMN()-7-1)/2+1)&lt;&gt;"Starfsbundið",DG43="",DG$8="",DG$7=""),"",ROUND(DG43/DG$8*DG$7*KVARDI,2))</f>
        <v/>
      </c>
      <c r="DI43" s="39"/>
      <c r="DJ43" s="40" t="str">
        <f aca="false">IF(OR(INDEX(Undirviðmið!$G$6:$G$105,(COLUMN()-7-1)/2+1)&lt;&gt;"Starfsbundið",DI43="",DI$8="",DI$7=""),"",ROUND(DI43/DI$8*DI$7*KVARDI,2))</f>
        <v/>
      </c>
      <c r="DK43" s="39"/>
      <c r="DL43" s="40" t="str">
        <f aca="false">IF(OR(INDEX(Undirviðmið!$G$6:$G$105,(COLUMN()-7-1)/2+1)&lt;&gt;"Starfsbundið",DK43="",DK$8="",DK$7=""),"",ROUND(DK43/DK$8*DK$7*KVARDI,2))</f>
        <v/>
      </c>
      <c r="DM43" s="39"/>
      <c r="DN43" s="40" t="str">
        <f aca="false">IF(OR(INDEX(Undirviðmið!$G$6:$G$105,(COLUMN()-7-1)/2+1)&lt;&gt;"Starfsbundið",DM43="",DM$8="",DM$7=""),"",ROUND(DM43/DM$8*DM$7*KVARDI,2))</f>
        <v/>
      </c>
      <c r="DO43" s="39"/>
      <c r="DP43" s="40" t="str">
        <f aca="false">IF(OR(INDEX(Undirviðmið!$G$6:$G$105,(COLUMN()-7-1)/2+1)&lt;&gt;"Starfsbundið",DO43="",DO$8="",DO$7=""),"",ROUND(DO43/DO$8*DO$7*KVARDI,2))</f>
        <v/>
      </c>
      <c r="DQ43" s="39"/>
      <c r="DR43" s="40" t="str">
        <f aca="false">IF(OR(INDEX(Undirviðmið!$G$6:$G$105,(COLUMN()-7-1)/2+1)&lt;&gt;"Starfsbundið",DQ43="",DQ$8="",DQ$7=""),"",ROUND(DQ43/DQ$8*DQ$7*KVARDI,2))</f>
        <v/>
      </c>
      <c r="DS43" s="39"/>
      <c r="DT43" s="40" t="str">
        <f aca="false">IF(OR(INDEX(Undirviðmið!$G$6:$G$105,(COLUMN()-7-1)/2+1)&lt;&gt;"Starfsbundið",DS43="",DS$8="",DS$7=""),"",ROUND(DS43/DS$8*DS$7*KVARDI,2))</f>
        <v/>
      </c>
      <c r="DU43" s="39"/>
      <c r="DV43" s="40" t="str">
        <f aca="false">IF(OR(INDEX(Undirviðmið!$G$6:$G$105,(COLUMN()-7-1)/2+1)&lt;&gt;"Starfsbundið",DU43="",DU$8="",DU$7=""),"",ROUND(DU43/DU$8*DU$7*KVARDI,2))</f>
        <v/>
      </c>
      <c r="DW43" s="39"/>
      <c r="DX43" s="40" t="str">
        <f aca="false">IF(OR(INDEX(Undirviðmið!$G$6:$G$105,(COLUMN()-7-1)/2+1)&lt;&gt;"Starfsbundið",DW43="",DW$8="",DW$7=""),"",ROUND(DW43/DW$8*DW$7*KVARDI,2))</f>
        <v/>
      </c>
      <c r="DY43" s="39"/>
      <c r="DZ43" s="40" t="str">
        <f aca="false">IF(OR(INDEX(Undirviðmið!$G$6:$G$105,(COLUMN()-7-1)/2+1)&lt;&gt;"Starfsbundið",DY43="",DY$8="",DY$7=""),"",ROUND(DY43/DY$8*DY$7*KVARDI,2))</f>
        <v/>
      </c>
      <c r="EA43" s="39"/>
      <c r="EB43" s="40" t="str">
        <f aca="false">IF(OR(INDEX(Undirviðmið!$G$6:$G$105,(COLUMN()-7-1)/2+1)&lt;&gt;"Starfsbundið",EA43="",EA$8="",EA$7=""),"",ROUND(EA43/EA$8*EA$7*KVARDI,2))</f>
        <v/>
      </c>
      <c r="EC43" s="39"/>
      <c r="ED43" s="40" t="str">
        <f aca="false">IF(OR(INDEX(Undirviðmið!$G$6:$G$105,(COLUMN()-7-1)/2+1)&lt;&gt;"Starfsbundið",EC43="",EC$8="",EC$7=""),"",ROUND(EC43/EC$8*EC$7*KVARDI,2))</f>
        <v/>
      </c>
      <c r="EE43" s="39"/>
      <c r="EF43" s="40" t="str">
        <f aca="false">IF(OR(INDEX(Undirviðmið!$G$6:$G$105,(COLUMN()-7-1)/2+1)&lt;&gt;"Starfsbundið",EE43="",EE$8="",EE$7=""),"",ROUND(EE43/EE$8*EE$7*KVARDI,2))</f>
        <v/>
      </c>
      <c r="EG43" s="39"/>
      <c r="EH43" s="40" t="str">
        <f aca="false">IF(OR(INDEX(Undirviðmið!$G$6:$G$105,(COLUMN()-7-1)/2+1)&lt;&gt;"Starfsbundið",EG43="",EG$8="",EG$7=""),"",ROUND(EG43/EG$8*EG$7*KVARDI,2))</f>
        <v/>
      </c>
      <c r="EI43" s="39"/>
      <c r="EJ43" s="40" t="str">
        <f aca="false">IF(OR(INDEX(Undirviðmið!$G$6:$G$105,(COLUMN()-7-1)/2+1)&lt;&gt;"Starfsbundið",EI43="",EI$8="",EI$7=""),"",ROUND(EI43/EI$8*EI$7*KVARDI,2))</f>
        <v/>
      </c>
      <c r="EK43" s="39"/>
      <c r="EL43" s="40" t="str">
        <f aca="false">IF(OR(INDEX(Undirviðmið!$G$6:$G$105,(COLUMN()-7-1)/2+1)&lt;&gt;"Starfsbundið",EK43="",EK$8="",EK$7=""),"",ROUND(EK43/EK$8*EK$7*KVARDI,2))</f>
        <v/>
      </c>
      <c r="EM43" s="39"/>
      <c r="EN43" s="40" t="str">
        <f aca="false">IF(OR(INDEX(Undirviðmið!$G$6:$G$105,(COLUMN()-7-1)/2+1)&lt;&gt;"Starfsbundið",EM43="",EM$8="",EM$7=""),"",ROUND(EM43/EM$8*EM$7*KVARDI,2))</f>
        <v/>
      </c>
      <c r="EO43" s="39"/>
      <c r="EP43" s="40" t="str">
        <f aca="false">IF(OR(INDEX(Undirviðmið!$G$6:$G$105,(COLUMN()-7-1)/2+1)&lt;&gt;"Starfsbundið",EO43="",EO$8="",EO$7=""),"",ROUND(EO43/EO$8*EO$7*KVARDI,2))</f>
        <v/>
      </c>
      <c r="EQ43" s="39"/>
      <c r="ER43" s="40" t="str">
        <f aca="false">IF(OR(INDEX(Undirviðmið!$G$6:$G$105,(COLUMN()-7-1)/2+1)&lt;&gt;"Starfsbundið",EQ43="",EQ$8="",EQ$7=""),"",ROUND(EQ43/EQ$8*EQ$7*KVARDI,2))</f>
        <v/>
      </c>
      <c r="ES43" s="39"/>
      <c r="ET43" s="40" t="str">
        <f aca="false">IF(OR(INDEX(Undirviðmið!$G$6:$G$105,(COLUMN()-7-1)/2+1)&lt;&gt;"Starfsbundið",ES43="",ES$8="",ES$7=""),"",ROUND(ES43/ES$8*ES$7*KVARDI,2))</f>
        <v/>
      </c>
      <c r="EU43" s="39"/>
      <c r="EV43" s="40" t="str">
        <f aca="false">IF(OR(INDEX(Undirviðmið!$G$6:$G$105,(COLUMN()-7-1)/2+1)&lt;&gt;"Starfsbundið",EU43="",EU$8="",EU$7=""),"",ROUND(EU43/EU$8*EU$7*KVARDI,2))</f>
        <v/>
      </c>
      <c r="EW43" s="39"/>
      <c r="EX43" s="40" t="str">
        <f aca="false">IF(OR(INDEX(Undirviðmið!$G$6:$G$105,(COLUMN()-7-1)/2+1)&lt;&gt;"Starfsbundið",EW43="",EW$8="",EW$7=""),"",ROUND(EW43/EW$8*EW$7*KVARDI,2))</f>
        <v/>
      </c>
      <c r="EY43" s="39"/>
      <c r="EZ43" s="40" t="str">
        <f aca="false">IF(OR(INDEX(Undirviðmið!$G$6:$G$105,(COLUMN()-7-1)/2+1)&lt;&gt;"Starfsbundið",EY43="",EY$8="",EY$7=""),"",ROUND(EY43/EY$8*EY$7*KVARDI,2))</f>
        <v/>
      </c>
      <c r="FA43" s="39"/>
      <c r="FB43" s="40" t="str">
        <f aca="false">IF(OR(INDEX(Undirviðmið!$G$6:$G$105,(COLUMN()-7-1)/2+1)&lt;&gt;"Starfsbundið",FA43="",FA$8="",FA$7=""),"",ROUND(FA43/FA$8*FA$7*KVARDI,2))</f>
        <v/>
      </c>
      <c r="FC43" s="39"/>
      <c r="FD43" s="40" t="str">
        <f aca="false">IF(OR(INDEX(Undirviðmið!$G$6:$G$105,(COLUMN()-7-1)/2+1)&lt;&gt;"Starfsbundið",FC43="",FC$8="",FC$7=""),"",ROUND(FC43/FC$8*FC$7*KVARDI,2))</f>
        <v/>
      </c>
      <c r="FE43" s="39"/>
      <c r="FF43" s="40" t="str">
        <f aca="false">IF(OR(INDEX(Undirviðmið!$G$6:$G$105,(COLUMN()-7-1)/2+1)&lt;&gt;"Starfsbundið",FE43="",FE$8="",FE$7=""),"",ROUND(FE43/FE$8*FE$7*KVARDI,2))</f>
        <v/>
      </c>
      <c r="FG43" s="39"/>
      <c r="FH43" s="40" t="str">
        <f aca="false">IF(OR(INDEX(Undirviðmið!$G$6:$G$105,(COLUMN()-7-1)/2+1)&lt;&gt;"Starfsbundið",FG43="",FG$8="",FG$7=""),"",ROUND(FG43/FG$8*FG$7*KVARDI,2))</f>
        <v/>
      </c>
      <c r="FI43" s="39"/>
      <c r="FJ43" s="40" t="str">
        <f aca="false">IF(OR(INDEX(Undirviðmið!$G$6:$G$105,(COLUMN()-7-1)/2+1)&lt;&gt;"Starfsbundið",FI43="",FI$8="",FI$7=""),"",ROUND(FI43/FI$8*FI$7*KVARDI,2))</f>
        <v/>
      </c>
      <c r="FK43" s="39"/>
      <c r="FL43" s="40" t="str">
        <f aca="false">IF(OR(INDEX(Undirviðmið!$G$6:$G$105,(COLUMN()-7-1)/2+1)&lt;&gt;"Starfsbundið",FK43="",FK$8="",FK$7=""),"",ROUND(FK43/FK$8*FK$7*KVARDI,2))</f>
        <v/>
      </c>
      <c r="FM43" s="39"/>
      <c r="FN43" s="40" t="str">
        <f aca="false">IF(OR(INDEX(Undirviðmið!$G$6:$G$105,(COLUMN()-7-1)/2+1)&lt;&gt;"Starfsbundið",FM43="",FM$8="",FM$7=""),"",ROUND(FM43/FM$8*FM$7*KVARDI,2))</f>
        <v/>
      </c>
      <c r="FO43" s="39"/>
      <c r="FP43" s="40" t="str">
        <f aca="false">IF(OR(INDEX(Undirviðmið!$G$6:$G$105,(COLUMN()-7-1)/2+1)&lt;&gt;"Starfsbundið",FO43="",FO$8="",FO$7=""),"",ROUND(FO43/FO$8*FO$7*KVARDI,2))</f>
        <v/>
      </c>
      <c r="FQ43" s="39"/>
      <c r="FR43" s="40" t="str">
        <f aca="false">IF(OR(INDEX(Undirviðmið!$G$6:$G$105,(COLUMN()-7-1)/2+1)&lt;&gt;"Starfsbundið",FQ43="",FQ$8="",FQ$7=""),"",ROUND(FQ43/FQ$8*FQ$7*KVARDI,2))</f>
        <v/>
      </c>
      <c r="FS43" s="39"/>
      <c r="FT43" s="40" t="str">
        <f aca="false">IF(OR(INDEX(Undirviðmið!$G$6:$G$105,(COLUMN()-7-1)/2+1)&lt;&gt;"Starfsbundið",FS43="",FS$8="",FS$7=""),"",ROUND(FS43/FS$8*FS$7*KVARDI,2))</f>
        <v/>
      </c>
      <c r="FU43" s="39"/>
      <c r="FV43" s="40" t="str">
        <f aca="false">IF(OR(INDEX(Undirviðmið!$G$6:$G$105,(COLUMN()-7-1)/2+1)&lt;&gt;"Starfsbundið",FU43="",FU$8="",FU$7=""),"",ROUND(FU43/FU$8*FU$7*KVARDI,2))</f>
        <v/>
      </c>
      <c r="FW43" s="39"/>
      <c r="FX43" s="40" t="str">
        <f aca="false">IF(OR(INDEX(Undirviðmið!$G$6:$G$105,(COLUMN()-7-1)/2+1)&lt;&gt;"Starfsbundið",FW43="",FW$8="",FW$7=""),"",ROUND(FW43/FW$8*FW$7*KVARDI,2))</f>
        <v/>
      </c>
      <c r="FY43" s="39"/>
      <c r="FZ43" s="40" t="str">
        <f aca="false">IF(OR(INDEX(Undirviðmið!$G$6:$G$105,(COLUMN()-7-1)/2+1)&lt;&gt;"Starfsbundið",FY43="",FY$8="",FY$7=""),"",ROUND(FY43/FY$8*FY$7*KVARDI,2))</f>
        <v/>
      </c>
      <c r="GA43" s="39"/>
      <c r="GB43" s="40" t="str">
        <f aca="false">IF(OR(INDEX(Undirviðmið!$G$6:$G$105,(COLUMN()-7-1)/2+1)&lt;&gt;"Starfsbundið",GA43="",GA$8="",GA$7=""),"",ROUND(GA43/GA$8*GA$7*KVARDI,2))</f>
        <v/>
      </c>
      <c r="GC43" s="39"/>
      <c r="GD43" s="40" t="str">
        <f aca="false">IF(OR(INDEX(Undirviðmið!$G$6:$G$105,(COLUMN()-7-1)/2+1)&lt;&gt;"Starfsbundið",GC43="",GC$8="",GC$7=""),"",ROUND(GC43/GC$8*GC$7*KVARDI,2))</f>
        <v/>
      </c>
      <c r="GE43" s="39"/>
      <c r="GF43" s="40" t="str">
        <f aca="false">IF(OR(INDEX(Undirviðmið!$G$6:$G$105,(COLUMN()-7-1)/2+1)&lt;&gt;"Starfsbundið",GE43="",GE$8="",GE$7=""),"",ROUND(GE43/GE$8*GE$7*KVARDI,2))</f>
        <v/>
      </c>
      <c r="GG43" s="39"/>
      <c r="GH43" s="40" t="str">
        <f aca="false">IF(OR(INDEX(Undirviðmið!$G$6:$G$105,(COLUMN()-7-1)/2+1)&lt;&gt;"Starfsbundið",GG43="",GG$8="",GG$7=""),"",ROUND(GG43/GG$8*GG$7*KVARDI,2))</f>
        <v/>
      </c>
      <c r="GI43" s="39"/>
      <c r="GJ43" s="40" t="str">
        <f aca="false">IF(OR(INDEX(Undirviðmið!$G$6:$G$105,(COLUMN()-7-1)/2+1)&lt;&gt;"Starfsbundið",GI43="",GI$8="",GI$7=""),"",ROUND(GI43/GI$8*GI$7*KVARDI,2))</f>
        <v/>
      </c>
      <c r="GK43" s="39"/>
      <c r="GL43" s="40" t="str">
        <f aca="false">IF(OR(INDEX(Undirviðmið!$G$6:$G$105,(COLUMN()-7-1)/2+1)&lt;&gt;"Starfsbundið",GK43="",GK$8="",GK$7=""),"",ROUND(GK43/GK$8*GK$7*KVARDI,2))</f>
        <v/>
      </c>
      <c r="GM43" s="39"/>
      <c r="GN43" s="40" t="str">
        <f aca="false">IF(OR(INDEX(Undirviðmið!$G$6:$G$105,(COLUMN()-7-1)/2+1)&lt;&gt;"Starfsbundið",GM43="",GM$8="",GM$7=""),"",ROUND(GM43/GM$8*GM$7*KVARDI,2))</f>
        <v/>
      </c>
      <c r="GO43" s="39"/>
      <c r="GP43" s="40" t="str">
        <f aca="false">IF(OR(INDEX(Undirviðmið!$G$6:$G$105,(COLUMN()-7-1)/2+1)&lt;&gt;"Starfsbundið",GO43="",GO$8="",GO$7=""),"",ROUND(GO43/GO$8*GO$7*KVARDI,2))</f>
        <v/>
      </c>
      <c r="GQ43" s="39"/>
      <c r="GR43" s="40" t="str">
        <f aca="false">IF(OR(INDEX(Undirviðmið!$G$6:$G$105,(COLUMN()-7-1)/2+1)&lt;&gt;"Starfsbundið",GQ43="",GQ$8="",GQ$7=""),"",ROUND(GQ43/GQ$8*GQ$7*KVARDI,2))</f>
        <v/>
      </c>
      <c r="GS43" s="39"/>
      <c r="GT43" s="40" t="str">
        <f aca="false">IF(OR(INDEX(Undirviðmið!$G$6:$G$105,(COLUMN()-7-1)/2+1)&lt;&gt;"Starfsbundið",GS43="",GS$8="",GS$7=""),"",ROUND(GS43/GS$8*GS$7*KVARDI,2))</f>
        <v/>
      </c>
      <c r="GU43" s="39"/>
      <c r="GV43" s="40" t="str">
        <f aca="false">IF(OR(INDEX(Undirviðmið!$G$6:$G$105,(COLUMN()-7-1)/2+1)&lt;&gt;"Starfsbundið",GU43="",GU$8="",GU$7=""),"",ROUND(GU43/GU$8*GU$7*KVARDI,2))</f>
        <v/>
      </c>
      <c r="GW43" s="39"/>
      <c r="GX43" s="40" t="str">
        <f aca="false">IF(OR(INDEX(Undirviðmið!$G$6:$G$105,(COLUMN()-7-1)/2+1)&lt;&gt;"Starfsbundið",GW43="",GW$8="",GW$7=""),"",ROUND(GW43/GW$8*GW$7*KVARDI,2))</f>
        <v/>
      </c>
      <c r="GZ43" s="20"/>
    </row>
    <row r="44" customFormat="false" ht="15" hidden="true" customHeight="true" outlineLevel="1" collapsed="false">
      <c r="B44" s="37" t="str">
        <f aca="false" t="array" ref="B44:B44">IFERROR(INDEX(Starfsmenn!$C$6:$C$10005,MATCH(0,COUNTIF($B$11:B43,Starfsmenn!$C$6:$C$10005)+(Starfsmenn!$C$6:$C$10005=""),0)),"")</f>
        <v/>
      </c>
      <c r="C44" s="38" t="n">
        <f aca="false">IFERROR(SUMIF($G$10:$GX$10,"Stig",$G44:$GX44),0)</f>
        <v>0</v>
      </c>
      <c r="G44" s="39"/>
      <c r="H44" s="40" t="str">
        <f aca="false">IF(OR(INDEX(Undirviðmið!$G$6:$G$105,(COLUMN()-7-1)/2+1)&lt;&gt;"Starfsbundið",G44="",G$8="",G$7=""),"",ROUND(G44/G$8*G$7*KVARDI,2))</f>
        <v/>
      </c>
      <c r="I44" s="39"/>
      <c r="J44" s="40" t="str">
        <f aca="false">IF(OR(INDEX(Undirviðmið!$G$6:$G$105,(COLUMN()-7-1)/2+1)&lt;&gt;"Starfsbundið",I44="",I$8="",I$7=""),"",ROUND(I44/I$8*I$7*KVARDI,2))</f>
        <v/>
      </c>
      <c r="K44" s="39"/>
      <c r="L44" s="40" t="str">
        <f aca="false">IF(OR(INDEX(Undirviðmið!$G$6:$G$105,(COLUMN()-7-1)/2+1)&lt;&gt;"Starfsbundið",K44="",K$8="",K$7=""),"",ROUND(K44/K$8*K$7*KVARDI,2))</f>
        <v/>
      </c>
      <c r="M44" s="39"/>
      <c r="N44" s="40" t="str">
        <f aca="false">IF(OR(INDEX(Undirviðmið!$G$6:$G$105,(COLUMN()-7-1)/2+1)&lt;&gt;"Starfsbundið",M44="",M$8="",M$7=""),"",ROUND(M44/M$8*M$7*KVARDI,2))</f>
        <v/>
      </c>
      <c r="O44" s="39"/>
      <c r="P44" s="40" t="str">
        <f aca="false">IF(OR(INDEX(Undirviðmið!$G$6:$G$105,(COLUMN()-7-1)/2+1)&lt;&gt;"Starfsbundið",O44="",O$8="",O$7=""),"",ROUND(O44/O$8*O$7*KVARDI,2))</f>
        <v/>
      </c>
      <c r="Q44" s="39"/>
      <c r="R44" s="40" t="str">
        <f aca="false">IF(OR(INDEX(Undirviðmið!$G$6:$G$105,(COLUMN()-7-1)/2+1)&lt;&gt;"Starfsbundið",Q44="",Q$8="",Q$7=""),"",ROUND(Q44/Q$8*Q$7*KVARDI,2))</f>
        <v/>
      </c>
      <c r="S44" s="39"/>
      <c r="T44" s="40" t="str">
        <f aca="false">IF(OR(INDEX(Undirviðmið!$G$6:$G$105,(COLUMN()-7-1)/2+1)&lt;&gt;"Starfsbundið",S44="",S$8="",S$7=""),"",ROUND(S44/S$8*S$7*KVARDI,2))</f>
        <v/>
      </c>
      <c r="U44" s="39"/>
      <c r="V44" s="40" t="str">
        <f aca="false">IF(OR(INDEX(Undirviðmið!$G$6:$G$105,(COLUMN()-7-1)/2+1)&lt;&gt;"Starfsbundið",U44="",U$8="",U$7=""),"",ROUND(U44/U$8*U$7*KVARDI,2))</f>
        <v/>
      </c>
      <c r="W44" s="39"/>
      <c r="X44" s="40" t="str">
        <f aca="false">IF(OR(INDEX(Undirviðmið!$G$6:$G$105,(COLUMN()-7-1)/2+1)&lt;&gt;"Starfsbundið",W44="",W$8="",W$7=""),"",ROUND(W44/W$8*W$7*KVARDI,2))</f>
        <v/>
      </c>
      <c r="Y44" s="39"/>
      <c r="Z44" s="40" t="str">
        <f aca="false">IF(OR(INDEX(Undirviðmið!$G$6:$G$105,(COLUMN()-7-1)/2+1)&lt;&gt;"Starfsbundið",Y44="",Y$8="",Y$7=""),"",ROUND(Y44/Y$8*Y$7*KVARDI,2))</f>
        <v/>
      </c>
      <c r="AA44" s="39"/>
      <c r="AB44" s="40" t="str">
        <f aca="false">IF(OR(INDEX(Undirviðmið!$G$6:$G$105,(COLUMN()-7-1)/2+1)&lt;&gt;"Starfsbundið",AA44="",AA$8="",AA$7=""),"",ROUND(AA44/AA$8*AA$7*KVARDI,2))</f>
        <v/>
      </c>
      <c r="AC44" s="39"/>
      <c r="AD44" s="40" t="str">
        <f aca="false">IF(OR(INDEX(Undirviðmið!$G$6:$G$105,(COLUMN()-7-1)/2+1)&lt;&gt;"Starfsbundið",AC44="",AC$8="",AC$7=""),"",ROUND(AC44/AC$8*AC$7*KVARDI,2))</f>
        <v/>
      </c>
      <c r="AE44" s="39"/>
      <c r="AF44" s="40" t="str">
        <f aca="false">IF(OR(INDEX(Undirviðmið!$G$6:$G$105,(COLUMN()-7-1)/2+1)&lt;&gt;"Starfsbundið",AE44="",AE$8="",AE$7=""),"",ROUND(AE44/AE$8*AE$7*KVARDI,2))</f>
        <v/>
      </c>
      <c r="AG44" s="39"/>
      <c r="AH44" s="40" t="str">
        <f aca="false">IF(OR(INDEX(Undirviðmið!$G$6:$G$105,(COLUMN()-7-1)/2+1)&lt;&gt;"Starfsbundið",AG44="",AG$8="",AG$7=""),"",ROUND(AG44/AG$8*AG$7*KVARDI,2))</f>
        <v/>
      </c>
      <c r="AI44" s="39"/>
      <c r="AJ44" s="40" t="str">
        <f aca="false">IF(OR(INDEX(Undirviðmið!$G$6:$G$105,(COLUMN()-7-1)/2+1)&lt;&gt;"Starfsbundið",AI44="",AI$8="",AI$7=""),"",ROUND(AI44/AI$8*AI$7*KVARDI,2))</f>
        <v/>
      </c>
      <c r="AK44" s="39"/>
      <c r="AL44" s="40" t="str">
        <f aca="false">IF(OR(INDEX(Undirviðmið!$G$6:$G$105,(COLUMN()-7-1)/2+1)&lt;&gt;"Starfsbundið",AK44="",AK$8="",AK$7=""),"",ROUND(AK44/AK$8*AK$7*KVARDI,2))</f>
        <v/>
      </c>
      <c r="AM44" s="39"/>
      <c r="AN44" s="40" t="str">
        <f aca="false">IF(OR(INDEX(Undirviðmið!$G$6:$G$105,(COLUMN()-7-1)/2+1)&lt;&gt;"Starfsbundið",AM44="",AM$8="",AM$7=""),"",ROUND(AM44/AM$8*AM$7*KVARDI,2))</f>
        <v/>
      </c>
      <c r="AO44" s="39"/>
      <c r="AP44" s="40" t="str">
        <f aca="false">IF(OR(INDEX(Undirviðmið!$G$6:$G$105,(COLUMN()-7-1)/2+1)&lt;&gt;"Starfsbundið",AO44="",AO$8="",AO$7=""),"",ROUND(AO44/AO$8*AO$7*KVARDI,2))</f>
        <v/>
      </c>
      <c r="AQ44" s="39"/>
      <c r="AR44" s="40" t="str">
        <f aca="false">IF(OR(INDEX(Undirviðmið!$G$6:$G$105,(COLUMN()-7-1)/2+1)&lt;&gt;"Starfsbundið",AQ44="",AQ$8="",AQ$7=""),"",ROUND(AQ44/AQ$8*AQ$7*KVARDI,2))</f>
        <v/>
      </c>
      <c r="AS44" s="39"/>
      <c r="AT44" s="40" t="str">
        <f aca="false">IF(OR(INDEX(Undirviðmið!$G$6:$G$105,(COLUMN()-7-1)/2+1)&lt;&gt;"Starfsbundið",AS44="",AS$8="",AS$7=""),"",ROUND(AS44/AS$8*AS$7*KVARDI,2))</f>
        <v/>
      </c>
      <c r="AU44" s="39"/>
      <c r="AV44" s="40" t="str">
        <f aca="false">IF(OR(INDEX(Undirviðmið!$G$6:$G$105,(COLUMN()-7-1)/2+1)&lt;&gt;"Starfsbundið",AU44="",AU$8="",AU$7=""),"",ROUND(AU44/AU$8*AU$7*KVARDI,2))</f>
        <v/>
      </c>
      <c r="AW44" s="39"/>
      <c r="AX44" s="40" t="str">
        <f aca="false">IF(OR(INDEX(Undirviðmið!$G$6:$G$105,(COLUMN()-7-1)/2+1)&lt;&gt;"Starfsbundið",AW44="",AW$8="",AW$7=""),"",ROUND(AW44/AW$8*AW$7*KVARDI,2))</f>
        <v/>
      </c>
      <c r="AY44" s="39"/>
      <c r="AZ44" s="40" t="str">
        <f aca="false">IF(OR(INDEX(Undirviðmið!$G$6:$G$105,(COLUMN()-7-1)/2+1)&lt;&gt;"Starfsbundið",AY44="",AY$8="",AY$7=""),"",ROUND(AY44/AY$8*AY$7*KVARDI,2))</f>
        <v/>
      </c>
      <c r="BA44" s="39"/>
      <c r="BB44" s="40" t="str">
        <f aca="false">IF(OR(INDEX(Undirviðmið!$G$6:$G$105,(COLUMN()-7-1)/2+1)&lt;&gt;"Starfsbundið",BA44="",BA$8="",BA$7=""),"",ROUND(BA44/BA$8*BA$7*KVARDI,2))</f>
        <v/>
      </c>
      <c r="BC44" s="39"/>
      <c r="BD44" s="40" t="str">
        <f aca="false">IF(OR(INDEX(Undirviðmið!$G$6:$G$105,(COLUMN()-7-1)/2+1)&lt;&gt;"Starfsbundið",BC44="",BC$8="",BC$7=""),"",ROUND(BC44/BC$8*BC$7*KVARDI,2))</f>
        <v/>
      </c>
      <c r="BE44" s="39"/>
      <c r="BF44" s="40" t="str">
        <f aca="false">IF(OR(INDEX(Undirviðmið!$G$6:$G$105,(COLUMN()-7-1)/2+1)&lt;&gt;"Starfsbundið",BE44="",BE$8="",BE$7=""),"",ROUND(BE44/BE$8*BE$7*KVARDI,2))</f>
        <v/>
      </c>
      <c r="BG44" s="39"/>
      <c r="BH44" s="40" t="str">
        <f aca="false">IF(OR(INDEX(Undirviðmið!$G$6:$G$105,(COLUMN()-7-1)/2+1)&lt;&gt;"Starfsbundið",BG44="",BG$8="",BG$7=""),"",ROUND(BG44/BG$8*BG$7*KVARDI,2))</f>
        <v/>
      </c>
      <c r="BI44" s="39"/>
      <c r="BJ44" s="40" t="str">
        <f aca="false">IF(OR(INDEX(Undirviðmið!$G$6:$G$105,(COLUMN()-7-1)/2+1)&lt;&gt;"Starfsbundið",BI44="",BI$8="",BI$7=""),"",ROUND(BI44/BI$8*BI$7*KVARDI,2))</f>
        <v/>
      </c>
      <c r="BK44" s="39"/>
      <c r="BL44" s="40" t="str">
        <f aca="false">IF(OR(INDEX(Undirviðmið!$G$6:$G$105,(COLUMN()-7-1)/2+1)&lt;&gt;"Starfsbundið",BK44="",BK$8="",BK$7=""),"",ROUND(BK44/BK$8*BK$7*KVARDI,2))</f>
        <v/>
      </c>
      <c r="BM44" s="39"/>
      <c r="BN44" s="40" t="str">
        <f aca="false">IF(OR(INDEX(Undirviðmið!$G$6:$G$105,(COLUMN()-7-1)/2+1)&lt;&gt;"Starfsbundið",BM44="",BM$8="",BM$7=""),"",ROUND(BM44/BM$8*BM$7*KVARDI,2))</f>
        <v/>
      </c>
      <c r="BO44" s="39"/>
      <c r="BP44" s="40" t="str">
        <f aca="false">IF(OR(INDEX(Undirviðmið!$G$6:$G$105,(COLUMN()-7-1)/2+1)&lt;&gt;"Starfsbundið",BO44="",BO$8="",BO$7=""),"",ROUND(BO44/BO$8*BO$7*KVARDI,2))</f>
        <v/>
      </c>
      <c r="BQ44" s="39"/>
      <c r="BR44" s="40" t="str">
        <f aca="false">IF(OR(INDEX(Undirviðmið!$G$6:$G$105,(COLUMN()-7-1)/2+1)&lt;&gt;"Starfsbundið",BQ44="",BQ$8="",BQ$7=""),"",ROUND(BQ44/BQ$8*BQ$7*KVARDI,2))</f>
        <v/>
      </c>
      <c r="BS44" s="39"/>
      <c r="BT44" s="40" t="str">
        <f aca="false">IF(OR(INDEX(Undirviðmið!$G$6:$G$105,(COLUMN()-7-1)/2+1)&lt;&gt;"Starfsbundið",BS44="",BS$8="",BS$7=""),"",ROUND(BS44/BS$8*BS$7*KVARDI,2))</f>
        <v/>
      </c>
      <c r="BU44" s="39"/>
      <c r="BV44" s="40" t="str">
        <f aca="false">IF(OR(INDEX(Undirviðmið!$G$6:$G$105,(COLUMN()-7-1)/2+1)&lt;&gt;"Starfsbundið",BU44="",BU$8="",BU$7=""),"",ROUND(BU44/BU$8*BU$7*KVARDI,2))</f>
        <v/>
      </c>
      <c r="BW44" s="39"/>
      <c r="BX44" s="40" t="str">
        <f aca="false">IF(OR(INDEX(Undirviðmið!$G$6:$G$105,(COLUMN()-7-1)/2+1)&lt;&gt;"Starfsbundið",BW44="",BW$8="",BW$7=""),"",ROUND(BW44/BW$8*BW$7*KVARDI,2))</f>
        <v/>
      </c>
      <c r="BY44" s="39"/>
      <c r="BZ44" s="40" t="str">
        <f aca="false">IF(OR(INDEX(Undirviðmið!$G$6:$G$105,(COLUMN()-7-1)/2+1)&lt;&gt;"Starfsbundið",BY44="",BY$8="",BY$7=""),"",ROUND(BY44/BY$8*BY$7*KVARDI,2))</f>
        <v/>
      </c>
      <c r="CA44" s="39"/>
      <c r="CB44" s="40" t="str">
        <f aca="false">IF(OR(INDEX(Undirviðmið!$G$6:$G$105,(COLUMN()-7-1)/2+1)&lt;&gt;"Starfsbundið",CA44="",CA$8="",CA$7=""),"",ROUND(CA44/CA$8*CA$7*KVARDI,2))</f>
        <v/>
      </c>
      <c r="CC44" s="39"/>
      <c r="CD44" s="40" t="str">
        <f aca="false">IF(OR(INDEX(Undirviðmið!$G$6:$G$105,(COLUMN()-7-1)/2+1)&lt;&gt;"Starfsbundið",CC44="",CC$8="",CC$7=""),"",ROUND(CC44/CC$8*CC$7*KVARDI,2))</f>
        <v/>
      </c>
      <c r="CE44" s="39"/>
      <c r="CF44" s="40" t="str">
        <f aca="false">IF(OR(INDEX(Undirviðmið!$G$6:$G$105,(COLUMN()-7-1)/2+1)&lt;&gt;"Starfsbundið",CE44="",CE$8="",CE$7=""),"",ROUND(CE44/CE$8*CE$7*KVARDI,2))</f>
        <v/>
      </c>
      <c r="CG44" s="39"/>
      <c r="CH44" s="40" t="str">
        <f aca="false">IF(OR(INDEX(Undirviðmið!$G$6:$G$105,(COLUMN()-7-1)/2+1)&lt;&gt;"Starfsbundið",CG44="",CG$8="",CG$7=""),"",ROUND(CG44/CG$8*CG$7*KVARDI,2))</f>
        <v/>
      </c>
      <c r="CI44" s="39"/>
      <c r="CJ44" s="40" t="str">
        <f aca="false">IF(OR(INDEX(Undirviðmið!$G$6:$G$105,(COLUMN()-7-1)/2+1)&lt;&gt;"Starfsbundið",CI44="",CI$8="",CI$7=""),"",ROUND(CI44/CI$8*CI$7*KVARDI,2))</f>
        <v/>
      </c>
      <c r="CK44" s="39"/>
      <c r="CL44" s="40" t="str">
        <f aca="false">IF(OR(INDEX(Undirviðmið!$G$6:$G$105,(COLUMN()-7-1)/2+1)&lt;&gt;"Starfsbundið",CK44="",CK$8="",CK$7=""),"",ROUND(CK44/CK$8*CK$7*KVARDI,2))</f>
        <v/>
      </c>
      <c r="CM44" s="39"/>
      <c r="CN44" s="40" t="str">
        <f aca="false">IF(OR(INDEX(Undirviðmið!$G$6:$G$105,(COLUMN()-7-1)/2+1)&lt;&gt;"Starfsbundið",CM44="",CM$8="",CM$7=""),"",ROUND(CM44/CM$8*CM$7*KVARDI,2))</f>
        <v/>
      </c>
      <c r="CO44" s="39"/>
      <c r="CP44" s="40" t="str">
        <f aca="false">IF(OR(INDEX(Undirviðmið!$G$6:$G$105,(COLUMN()-7-1)/2+1)&lt;&gt;"Starfsbundið",CO44="",CO$8="",CO$7=""),"",ROUND(CO44/CO$8*CO$7*KVARDI,2))</f>
        <v/>
      </c>
      <c r="CQ44" s="39"/>
      <c r="CR44" s="40" t="str">
        <f aca="false">IF(OR(INDEX(Undirviðmið!$G$6:$G$105,(COLUMN()-7-1)/2+1)&lt;&gt;"Starfsbundið",CQ44="",CQ$8="",CQ$7=""),"",ROUND(CQ44/CQ$8*CQ$7*KVARDI,2))</f>
        <v/>
      </c>
      <c r="CS44" s="39"/>
      <c r="CT44" s="40" t="str">
        <f aca="false">IF(OR(INDEX(Undirviðmið!$G$6:$G$105,(COLUMN()-7-1)/2+1)&lt;&gt;"Starfsbundið",CS44="",CS$8="",CS$7=""),"",ROUND(CS44/CS$8*CS$7*KVARDI,2))</f>
        <v/>
      </c>
      <c r="CU44" s="39"/>
      <c r="CV44" s="40" t="str">
        <f aca="false">IF(OR(INDEX(Undirviðmið!$G$6:$G$105,(COLUMN()-7-1)/2+1)&lt;&gt;"Starfsbundið",CU44="",CU$8="",CU$7=""),"",ROUND(CU44/CU$8*CU$7*KVARDI,2))</f>
        <v/>
      </c>
      <c r="CW44" s="39"/>
      <c r="CX44" s="40" t="str">
        <f aca="false">IF(OR(INDEX(Undirviðmið!$G$6:$G$105,(COLUMN()-7-1)/2+1)&lt;&gt;"Starfsbundið",CW44="",CW$8="",CW$7=""),"",ROUND(CW44/CW$8*CW$7*KVARDI,2))</f>
        <v/>
      </c>
      <c r="CY44" s="39"/>
      <c r="CZ44" s="40" t="str">
        <f aca="false">IF(OR(INDEX(Undirviðmið!$G$6:$G$105,(COLUMN()-7-1)/2+1)&lt;&gt;"Starfsbundið",CY44="",CY$8="",CY$7=""),"",ROUND(CY44/CY$8*CY$7*KVARDI,2))</f>
        <v/>
      </c>
      <c r="DA44" s="39"/>
      <c r="DB44" s="40" t="str">
        <f aca="false">IF(OR(INDEX(Undirviðmið!$G$6:$G$105,(COLUMN()-7-1)/2+1)&lt;&gt;"Starfsbundið",DA44="",DA$8="",DA$7=""),"",ROUND(DA44/DA$8*DA$7*KVARDI,2))</f>
        <v/>
      </c>
      <c r="DC44" s="39"/>
      <c r="DD44" s="40" t="str">
        <f aca="false">IF(OR(INDEX(Undirviðmið!$G$6:$G$105,(COLUMN()-7-1)/2+1)&lt;&gt;"Starfsbundið",DC44="",DC$8="",DC$7=""),"",ROUND(DC44/DC$8*DC$7*KVARDI,2))</f>
        <v/>
      </c>
      <c r="DE44" s="39"/>
      <c r="DF44" s="40" t="str">
        <f aca="false">IF(OR(INDEX(Undirviðmið!$G$6:$G$105,(COLUMN()-7-1)/2+1)&lt;&gt;"Starfsbundið",DE44="",DE$8="",DE$7=""),"",ROUND(DE44/DE$8*DE$7*KVARDI,2))</f>
        <v/>
      </c>
      <c r="DG44" s="39"/>
      <c r="DH44" s="40" t="str">
        <f aca="false">IF(OR(INDEX(Undirviðmið!$G$6:$G$105,(COLUMN()-7-1)/2+1)&lt;&gt;"Starfsbundið",DG44="",DG$8="",DG$7=""),"",ROUND(DG44/DG$8*DG$7*KVARDI,2))</f>
        <v/>
      </c>
      <c r="DI44" s="39"/>
      <c r="DJ44" s="40" t="str">
        <f aca="false">IF(OR(INDEX(Undirviðmið!$G$6:$G$105,(COLUMN()-7-1)/2+1)&lt;&gt;"Starfsbundið",DI44="",DI$8="",DI$7=""),"",ROUND(DI44/DI$8*DI$7*KVARDI,2))</f>
        <v/>
      </c>
      <c r="DK44" s="39"/>
      <c r="DL44" s="40" t="str">
        <f aca="false">IF(OR(INDEX(Undirviðmið!$G$6:$G$105,(COLUMN()-7-1)/2+1)&lt;&gt;"Starfsbundið",DK44="",DK$8="",DK$7=""),"",ROUND(DK44/DK$8*DK$7*KVARDI,2))</f>
        <v/>
      </c>
      <c r="DM44" s="39"/>
      <c r="DN44" s="40" t="str">
        <f aca="false">IF(OR(INDEX(Undirviðmið!$G$6:$G$105,(COLUMN()-7-1)/2+1)&lt;&gt;"Starfsbundið",DM44="",DM$8="",DM$7=""),"",ROUND(DM44/DM$8*DM$7*KVARDI,2))</f>
        <v/>
      </c>
      <c r="DO44" s="39"/>
      <c r="DP44" s="40" t="str">
        <f aca="false">IF(OR(INDEX(Undirviðmið!$G$6:$G$105,(COLUMN()-7-1)/2+1)&lt;&gt;"Starfsbundið",DO44="",DO$8="",DO$7=""),"",ROUND(DO44/DO$8*DO$7*KVARDI,2))</f>
        <v/>
      </c>
      <c r="DQ44" s="39"/>
      <c r="DR44" s="40" t="str">
        <f aca="false">IF(OR(INDEX(Undirviðmið!$G$6:$G$105,(COLUMN()-7-1)/2+1)&lt;&gt;"Starfsbundið",DQ44="",DQ$8="",DQ$7=""),"",ROUND(DQ44/DQ$8*DQ$7*KVARDI,2))</f>
        <v/>
      </c>
      <c r="DS44" s="39"/>
      <c r="DT44" s="40" t="str">
        <f aca="false">IF(OR(INDEX(Undirviðmið!$G$6:$G$105,(COLUMN()-7-1)/2+1)&lt;&gt;"Starfsbundið",DS44="",DS$8="",DS$7=""),"",ROUND(DS44/DS$8*DS$7*KVARDI,2))</f>
        <v/>
      </c>
      <c r="DU44" s="39"/>
      <c r="DV44" s="40" t="str">
        <f aca="false">IF(OR(INDEX(Undirviðmið!$G$6:$G$105,(COLUMN()-7-1)/2+1)&lt;&gt;"Starfsbundið",DU44="",DU$8="",DU$7=""),"",ROUND(DU44/DU$8*DU$7*KVARDI,2))</f>
        <v/>
      </c>
      <c r="DW44" s="39"/>
      <c r="DX44" s="40" t="str">
        <f aca="false">IF(OR(INDEX(Undirviðmið!$G$6:$G$105,(COLUMN()-7-1)/2+1)&lt;&gt;"Starfsbundið",DW44="",DW$8="",DW$7=""),"",ROUND(DW44/DW$8*DW$7*KVARDI,2))</f>
        <v/>
      </c>
      <c r="DY44" s="39"/>
      <c r="DZ44" s="40" t="str">
        <f aca="false">IF(OR(INDEX(Undirviðmið!$G$6:$G$105,(COLUMN()-7-1)/2+1)&lt;&gt;"Starfsbundið",DY44="",DY$8="",DY$7=""),"",ROUND(DY44/DY$8*DY$7*KVARDI,2))</f>
        <v/>
      </c>
      <c r="EA44" s="39"/>
      <c r="EB44" s="40" t="str">
        <f aca="false">IF(OR(INDEX(Undirviðmið!$G$6:$G$105,(COLUMN()-7-1)/2+1)&lt;&gt;"Starfsbundið",EA44="",EA$8="",EA$7=""),"",ROUND(EA44/EA$8*EA$7*KVARDI,2))</f>
        <v/>
      </c>
      <c r="EC44" s="39"/>
      <c r="ED44" s="40" t="str">
        <f aca="false">IF(OR(INDEX(Undirviðmið!$G$6:$G$105,(COLUMN()-7-1)/2+1)&lt;&gt;"Starfsbundið",EC44="",EC$8="",EC$7=""),"",ROUND(EC44/EC$8*EC$7*KVARDI,2))</f>
        <v/>
      </c>
      <c r="EE44" s="39"/>
      <c r="EF44" s="40" t="str">
        <f aca="false">IF(OR(INDEX(Undirviðmið!$G$6:$G$105,(COLUMN()-7-1)/2+1)&lt;&gt;"Starfsbundið",EE44="",EE$8="",EE$7=""),"",ROUND(EE44/EE$8*EE$7*KVARDI,2))</f>
        <v/>
      </c>
      <c r="EG44" s="39"/>
      <c r="EH44" s="40" t="str">
        <f aca="false">IF(OR(INDEX(Undirviðmið!$G$6:$G$105,(COLUMN()-7-1)/2+1)&lt;&gt;"Starfsbundið",EG44="",EG$8="",EG$7=""),"",ROUND(EG44/EG$8*EG$7*KVARDI,2))</f>
        <v/>
      </c>
      <c r="EI44" s="39"/>
      <c r="EJ44" s="40" t="str">
        <f aca="false">IF(OR(INDEX(Undirviðmið!$G$6:$G$105,(COLUMN()-7-1)/2+1)&lt;&gt;"Starfsbundið",EI44="",EI$8="",EI$7=""),"",ROUND(EI44/EI$8*EI$7*KVARDI,2))</f>
        <v/>
      </c>
      <c r="EK44" s="39"/>
      <c r="EL44" s="40" t="str">
        <f aca="false">IF(OR(INDEX(Undirviðmið!$G$6:$G$105,(COLUMN()-7-1)/2+1)&lt;&gt;"Starfsbundið",EK44="",EK$8="",EK$7=""),"",ROUND(EK44/EK$8*EK$7*KVARDI,2))</f>
        <v/>
      </c>
      <c r="EM44" s="39"/>
      <c r="EN44" s="40" t="str">
        <f aca="false">IF(OR(INDEX(Undirviðmið!$G$6:$G$105,(COLUMN()-7-1)/2+1)&lt;&gt;"Starfsbundið",EM44="",EM$8="",EM$7=""),"",ROUND(EM44/EM$8*EM$7*KVARDI,2))</f>
        <v/>
      </c>
      <c r="EO44" s="39"/>
      <c r="EP44" s="40" t="str">
        <f aca="false">IF(OR(INDEX(Undirviðmið!$G$6:$G$105,(COLUMN()-7-1)/2+1)&lt;&gt;"Starfsbundið",EO44="",EO$8="",EO$7=""),"",ROUND(EO44/EO$8*EO$7*KVARDI,2))</f>
        <v/>
      </c>
      <c r="EQ44" s="39"/>
      <c r="ER44" s="40" t="str">
        <f aca="false">IF(OR(INDEX(Undirviðmið!$G$6:$G$105,(COLUMN()-7-1)/2+1)&lt;&gt;"Starfsbundið",EQ44="",EQ$8="",EQ$7=""),"",ROUND(EQ44/EQ$8*EQ$7*KVARDI,2))</f>
        <v/>
      </c>
      <c r="ES44" s="39"/>
      <c r="ET44" s="40" t="str">
        <f aca="false">IF(OR(INDEX(Undirviðmið!$G$6:$G$105,(COLUMN()-7-1)/2+1)&lt;&gt;"Starfsbundið",ES44="",ES$8="",ES$7=""),"",ROUND(ES44/ES$8*ES$7*KVARDI,2))</f>
        <v/>
      </c>
      <c r="EU44" s="39"/>
      <c r="EV44" s="40" t="str">
        <f aca="false">IF(OR(INDEX(Undirviðmið!$G$6:$G$105,(COLUMN()-7-1)/2+1)&lt;&gt;"Starfsbundið",EU44="",EU$8="",EU$7=""),"",ROUND(EU44/EU$8*EU$7*KVARDI,2))</f>
        <v/>
      </c>
      <c r="EW44" s="39"/>
      <c r="EX44" s="40" t="str">
        <f aca="false">IF(OR(INDEX(Undirviðmið!$G$6:$G$105,(COLUMN()-7-1)/2+1)&lt;&gt;"Starfsbundið",EW44="",EW$8="",EW$7=""),"",ROUND(EW44/EW$8*EW$7*KVARDI,2))</f>
        <v/>
      </c>
      <c r="EY44" s="39"/>
      <c r="EZ44" s="40" t="str">
        <f aca="false">IF(OR(INDEX(Undirviðmið!$G$6:$G$105,(COLUMN()-7-1)/2+1)&lt;&gt;"Starfsbundið",EY44="",EY$8="",EY$7=""),"",ROUND(EY44/EY$8*EY$7*KVARDI,2))</f>
        <v/>
      </c>
      <c r="FA44" s="39"/>
      <c r="FB44" s="40" t="str">
        <f aca="false">IF(OR(INDEX(Undirviðmið!$G$6:$G$105,(COLUMN()-7-1)/2+1)&lt;&gt;"Starfsbundið",FA44="",FA$8="",FA$7=""),"",ROUND(FA44/FA$8*FA$7*KVARDI,2))</f>
        <v/>
      </c>
      <c r="FC44" s="39"/>
      <c r="FD44" s="40" t="str">
        <f aca="false">IF(OR(INDEX(Undirviðmið!$G$6:$G$105,(COLUMN()-7-1)/2+1)&lt;&gt;"Starfsbundið",FC44="",FC$8="",FC$7=""),"",ROUND(FC44/FC$8*FC$7*KVARDI,2))</f>
        <v/>
      </c>
      <c r="FE44" s="39"/>
      <c r="FF44" s="40" t="str">
        <f aca="false">IF(OR(INDEX(Undirviðmið!$G$6:$G$105,(COLUMN()-7-1)/2+1)&lt;&gt;"Starfsbundið",FE44="",FE$8="",FE$7=""),"",ROUND(FE44/FE$8*FE$7*KVARDI,2))</f>
        <v/>
      </c>
      <c r="FG44" s="39"/>
      <c r="FH44" s="40" t="str">
        <f aca="false">IF(OR(INDEX(Undirviðmið!$G$6:$G$105,(COLUMN()-7-1)/2+1)&lt;&gt;"Starfsbundið",FG44="",FG$8="",FG$7=""),"",ROUND(FG44/FG$8*FG$7*KVARDI,2))</f>
        <v/>
      </c>
      <c r="FI44" s="39"/>
      <c r="FJ44" s="40" t="str">
        <f aca="false">IF(OR(INDEX(Undirviðmið!$G$6:$G$105,(COLUMN()-7-1)/2+1)&lt;&gt;"Starfsbundið",FI44="",FI$8="",FI$7=""),"",ROUND(FI44/FI$8*FI$7*KVARDI,2))</f>
        <v/>
      </c>
      <c r="FK44" s="39"/>
      <c r="FL44" s="40" t="str">
        <f aca="false">IF(OR(INDEX(Undirviðmið!$G$6:$G$105,(COLUMN()-7-1)/2+1)&lt;&gt;"Starfsbundið",FK44="",FK$8="",FK$7=""),"",ROUND(FK44/FK$8*FK$7*KVARDI,2))</f>
        <v/>
      </c>
      <c r="FM44" s="39"/>
      <c r="FN44" s="40" t="str">
        <f aca="false">IF(OR(INDEX(Undirviðmið!$G$6:$G$105,(COLUMN()-7-1)/2+1)&lt;&gt;"Starfsbundið",FM44="",FM$8="",FM$7=""),"",ROUND(FM44/FM$8*FM$7*KVARDI,2))</f>
        <v/>
      </c>
      <c r="FO44" s="39"/>
      <c r="FP44" s="40" t="str">
        <f aca="false">IF(OR(INDEX(Undirviðmið!$G$6:$G$105,(COLUMN()-7-1)/2+1)&lt;&gt;"Starfsbundið",FO44="",FO$8="",FO$7=""),"",ROUND(FO44/FO$8*FO$7*KVARDI,2))</f>
        <v/>
      </c>
      <c r="FQ44" s="39"/>
      <c r="FR44" s="40" t="str">
        <f aca="false">IF(OR(INDEX(Undirviðmið!$G$6:$G$105,(COLUMN()-7-1)/2+1)&lt;&gt;"Starfsbundið",FQ44="",FQ$8="",FQ$7=""),"",ROUND(FQ44/FQ$8*FQ$7*KVARDI,2))</f>
        <v/>
      </c>
      <c r="FS44" s="39"/>
      <c r="FT44" s="40" t="str">
        <f aca="false">IF(OR(INDEX(Undirviðmið!$G$6:$G$105,(COLUMN()-7-1)/2+1)&lt;&gt;"Starfsbundið",FS44="",FS$8="",FS$7=""),"",ROUND(FS44/FS$8*FS$7*KVARDI,2))</f>
        <v/>
      </c>
      <c r="FU44" s="39"/>
      <c r="FV44" s="40" t="str">
        <f aca="false">IF(OR(INDEX(Undirviðmið!$G$6:$G$105,(COLUMN()-7-1)/2+1)&lt;&gt;"Starfsbundið",FU44="",FU$8="",FU$7=""),"",ROUND(FU44/FU$8*FU$7*KVARDI,2))</f>
        <v/>
      </c>
      <c r="FW44" s="39"/>
      <c r="FX44" s="40" t="str">
        <f aca="false">IF(OR(INDEX(Undirviðmið!$G$6:$G$105,(COLUMN()-7-1)/2+1)&lt;&gt;"Starfsbundið",FW44="",FW$8="",FW$7=""),"",ROUND(FW44/FW$8*FW$7*KVARDI,2))</f>
        <v/>
      </c>
      <c r="FY44" s="39"/>
      <c r="FZ44" s="40" t="str">
        <f aca="false">IF(OR(INDEX(Undirviðmið!$G$6:$G$105,(COLUMN()-7-1)/2+1)&lt;&gt;"Starfsbundið",FY44="",FY$8="",FY$7=""),"",ROUND(FY44/FY$8*FY$7*KVARDI,2))</f>
        <v/>
      </c>
      <c r="GA44" s="39"/>
      <c r="GB44" s="40" t="str">
        <f aca="false">IF(OR(INDEX(Undirviðmið!$G$6:$G$105,(COLUMN()-7-1)/2+1)&lt;&gt;"Starfsbundið",GA44="",GA$8="",GA$7=""),"",ROUND(GA44/GA$8*GA$7*KVARDI,2))</f>
        <v/>
      </c>
      <c r="GC44" s="39"/>
      <c r="GD44" s="40" t="str">
        <f aca="false">IF(OR(INDEX(Undirviðmið!$G$6:$G$105,(COLUMN()-7-1)/2+1)&lt;&gt;"Starfsbundið",GC44="",GC$8="",GC$7=""),"",ROUND(GC44/GC$8*GC$7*KVARDI,2))</f>
        <v/>
      </c>
      <c r="GE44" s="39"/>
      <c r="GF44" s="40" t="str">
        <f aca="false">IF(OR(INDEX(Undirviðmið!$G$6:$G$105,(COLUMN()-7-1)/2+1)&lt;&gt;"Starfsbundið",GE44="",GE$8="",GE$7=""),"",ROUND(GE44/GE$8*GE$7*KVARDI,2))</f>
        <v/>
      </c>
      <c r="GG44" s="39"/>
      <c r="GH44" s="40" t="str">
        <f aca="false">IF(OR(INDEX(Undirviðmið!$G$6:$G$105,(COLUMN()-7-1)/2+1)&lt;&gt;"Starfsbundið",GG44="",GG$8="",GG$7=""),"",ROUND(GG44/GG$8*GG$7*KVARDI,2))</f>
        <v/>
      </c>
      <c r="GI44" s="39"/>
      <c r="GJ44" s="40" t="str">
        <f aca="false">IF(OR(INDEX(Undirviðmið!$G$6:$G$105,(COLUMN()-7-1)/2+1)&lt;&gt;"Starfsbundið",GI44="",GI$8="",GI$7=""),"",ROUND(GI44/GI$8*GI$7*KVARDI,2))</f>
        <v/>
      </c>
      <c r="GK44" s="39"/>
      <c r="GL44" s="40" t="str">
        <f aca="false">IF(OR(INDEX(Undirviðmið!$G$6:$G$105,(COLUMN()-7-1)/2+1)&lt;&gt;"Starfsbundið",GK44="",GK$8="",GK$7=""),"",ROUND(GK44/GK$8*GK$7*KVARDI,2))</f>
        <v/>
      </c>
      <c r="GM44" s="39"/>
      <c r="GN44" s="40" t="str">
        <f aca="false">IF(OR(INDEX(Undirviðmið!$G$6:$G$105,(COLUMN()-7-1)/2+1)&lt;&gt;"Starfsbundið",GM44="",GM$8="",GM$7=""),"",ROUND(GM44/GM$8*GM$7*KVARDI,2))</f>
        <v/>
      </c>
      <c r="GO44" s="39"/>
      <c r="GP44" s="40" t="str">
        <f aca="false">IF(OR(INDEX(Undirviðmið!$G$6:$G$105,(COLUMN()-7-1)/2+1)&lt;&gt;"Starfsbundið",GO44="",GO$8="",GO$7=""),"",ROUND(GO44/GO$8*GO$7*KVARDI,2))</f>
        <v/>
      </c>
      <c r="GQ44" s="39"/>
      <c r="GR44" s="40" t="str">
        <f aca="false">IF(OR(INDEX(Undirviðmið!$G$6:$G$105,(COLUMN()-7-1)/2+1)&lt;&gt;"Starfsbundið",GQ44="",GQ$8="",GQ$7=""),"",ROUND(GQ44/GQ$8*GQ$7*KVARDI,2))</f>
        <v/>
      </c>
      <c r="GS44" s="39"/>
      <c r="GT44" s="40" t="str">
        <f aca="false">IF(OR(INDEX(Undirviðmið!$G$6:$G$105,(COLUMN()-7-1)/2+1)&lt;&gt;"Starfsbundið",GS44="",GS$8="",GS$7=""),"",ROUND(GS44/GS$8*GS$7*KVARDI,2))</f>
        <v/>
      </c>
      <c r="GU44" s="39"/>
      <c r="GV44" s="40" t="str">
        <f aca="false">IF(OR(INDEX(Undirviðmið!$G$6:$G$105,(COLUMN()-7-1)/2+1)&lt;&gt;"Starfsbundið",GU44="",GU$8="",GU$7=""),"",ROUND(GU44/GU$8*GU$7*KVARDI,2))</f>
        <v/>
      </c>
      <c r="GW44" s="39"/>
      <c r="GX44" s="40" t="str">
        <f aca="false">IF(OR(INDEX(Undirviðmið!$G$6:$G$105,(COLUMN()-7-1)/2+1)&lt;&gt;"Starfsbundið",GW44="",GW$8="",GW$7=""),"",ROUND(GW44/GW$8*GW$7*KVARDI,2))</f>
        <v/>
      </c>
      <c r="GZ44" s="20"/>
    </row>
    <row r="45" customFormat="false" ht="15" hidden="true" customHeight="true" outlineLevel="1" collapsed="false">
      <c r="B45" s="37" t="str">
        <f aca="false" t="array" ref="B45:B45">IFERROR(INDEX(Starfsmenn!$C$6:$C$10005,MATCH(0,COUNTIF($B$11:B44,Starfsmenn!$C$6:$C$10005)+(Starfsmenn!$C$6:$C$10005=""),0)),"")</f>
        <v/>
      </c>
      <c r="C45" s="38" t="n">
        <f aca="false">IFERROR(SUMIF($G$10:$GX$10,"Stig",$G45:$GX45),0)</f>
        <v>0</v>
      </c>
      <c r="G45" s="39"/>
      <c r="H45" s="40" t="str">
        <f aca="false">IF(OR(INDEX(Undirviðmið!$G$6:$G$105,(COLUMN()-7-1)/2+1)&lt;&gt;"Starfsbundið",G45="",G$8="",G$7=""),"",ROUND(G45/G$8*G$7*KVARDI,2))</f>
        <v/>
      </c>
      <c r="I45" s="39"/>
      <c r="J45" s="40" t="str">
        <f aca="false">IF(OR(INDEX(Undirviðmið!$G$6:$G$105,(COLUMN()-7-1)/2+1)&lt;&gt;"Starfsbundið",I45="",I$8="",I$7=""),"",ROUND(I45/I$8*I$7*KVARDI,2))</f>
        <v/>
      </c>
      <c r="K45" s="39"/>
      <c r="L45" s="40" t="str">
        <f aca="false">IF(OR(INDEX(Undirviðmið!$G$6:$G$105,(COLUMN()-7-1)/2+1)&lt;&gt;"Starfsbundið",K45="",K$8="",K$7=""),"",ROUND(K45/K$8*K$7*KVARDI,2))</f>
        <v/>
      </c>
      <c r="M45" s="39"/>
      <c r="N45" s="40" t="str">
        <f aca="false">IF(OR(INDEX(Undirviðmið!$G$6:$G$105,(COLUMN()-7-1)/2+1)&lt;&gt;"Starfsbundið",M45="",M$8="",M$7=""),"",ROUND(M45/M$8*M$7*KVARDI,2))</f>
        <v/>
      </c>
      <c r="O45" s="39"/>
      <c r="P45" s="40" t="str">
        <f aca="false">IF(OR(INDEX(Undirviðmið!$G$6:$G$105,(COLUMN()-7-1)/2+1)&lt;&gt;"Starfsbundið",O45="",O$8="",O$7=""),"",ROUND(O45/O$8*O$7*KVARDI,2))</f>
        <v/>
      </c>
      <c r="Q45" s="39"/>
      <c r="R45" s="40" t="str">
        <f aca="false">IF(OR(INDEX(Undirviðmið!$G$6:$G$105,(COLUMN()-7-1)/2+1)&lt;&gt;"Starfsbundið",Q45="",Q$8="",Q$7=""),"",ROUND(Q45/Q$8*Q$7*KVARDI,2))</f>
        <v/>
      </c>
      <c r="S45" s="39"/>
      <c r="T45" s="40" t="str">
        <f aca="false">IF(OR(INDEX(Undirviðmið!$G$6:$G$105,(COLUMN()-7-1)/2+1)&lt;&gt;"Starfsbundið",S45="",S$8="",S$7=""),"",ROUND(S45/S$8*S$7*KVARDI,2))</f>
        <v/>
      </c>
      <c r="U45" s="39"/>
      <c r="V45" s="40" t="str">
        <f aca="false">IF(OR(INDEX(Undirviðmið!$G$6:$G$105,(COLUMN()-7-1)/2+1)&lt;&gt;"Starfsbundið",U45="",U$8="",U$7=""),"",ROUND(U45/U$8*U$7*KVARDI,2))</f>
        <v/>
      </c>
      <c r="W45" s="39"/>
      <c r="X45" s="40" t="str">
        <f aca="false">IF(OR(INDEX(Undirviðmið!$G$6:$G$105,(COLUMN()-7-1)/2+1)&lt;&gt;"Starfsbundið",W45="",W$8="",W$7=""),"",ROUND(W45/W$8*W$7*KVARDI,2))</f>
        <v/>
      </c>
      <c r="Y45" s="39"/>
      <c r="Z45" s="40" t="str">
        <f aca="false">IF(OR(INDEX(Undirviðmið!$G$6:$G$105,(COLUMN()-7-1)/2+1)&lt;&gt;"Starfsbundið",Y45="",Y$8="",Y$7=""),"",ROUND(Y45/Y$8*Y$7*KVARDI,2))</f>
        <v/>
      </c>
      <c r="AA45" s="39"/>
      <c r="AB45" s="40" t="str">
        <f aca="false">IF(OR(INDEX(Undirviðmið!$G$6:$G$105,(COLUMN()-7-1)/2+1)&lt;&gt;"Starfsbundið",AA45="",AA$8="",AA$7=""),"",ROUND(AA45/AA$8*AA$7*KVARDI,2))</f>
        <v/>
      </c>
      <c r="AC45" s="39"/>
      <c r="AD45" s="40" t="str">
        <f aca="false">IF(OR(INDEX(Undirviðmið!$G$6:$G$105,(COLUMN()-7-1)/2+1)&lt;&gt;"Starfsbundið",AC45="",AC$8="",AC$7=""),"",ROUND(AC45/AC$8*AC$7*KVARDI,2))</f>
        <v/>
      </c>
      <c r="AE45" s="39"/>
      <c r="AF45" s="40" t="str">
        <f aca="false">IF(OR(INDEX(Undirviðmið!$G$6:$G$105,(COLUMN()-7-1)/2+1)&lt;&gt;"Starfsbundið",AE45="",AE$8="",AE$7=""),"",ROUND(AE45/AE$8*AE$7*KVARDI,2))</f>
        <v/>
      </c>
      <c r="AG45" s="39"/>
      <c r="AH45" s="40" t="str">
        <f aca="false">IF(OR(INDEX(Undirviðmið!$G$6:$G$105,(COLUMN()-7-1)/2+1)&lt;&gt;"Starfsbundið",AG45="",AG$8="",AG$7=""),"",ROUND(AG45/AG$8*AG$7*KVARDI,2))</f>
        <v/>
      </c>
      <c r="AI45" s="39"/>
      <c r="AJ45" s="40" t="str">
        <f aca="false">IF(OR(INDEX(Undirviðmið!$G$6:$G$105,(COLUMN()-7-1)/2+1)&lt;&gt;"Starfsbundið",AI45="",AI$8="",AI$7=""),"",ROUND(AI45/AI$8*AI$7*KVARDI,2))</f>
        <v/>
      </c>
      <c r="AK45" s="39"/>
      <c r="AL45" s="40" t="str">
        <f aca="false">IF(OR(INDEX(Undirviðmið!$G$6:$G$105,(COLUMN()-7-1)/2+1)&lt;&gt;"Starfsbundið",AK45="",AK$8="",AK$7=""),"",ROUND(AK45/AK$8*AK$7*KVARDI,2))</f>
        <v/>
      </c>
      <c r="AM45" s="39"/>
      <c r="AN45" s="40" t="str">
        <f aca="false">IF(OR(INDEX(Undirviðmið!$G$6:$G$105,(COLUMN()-7-1)/2+1)&lt;&gt;"Starfsbundið",AM45="",AM$8="",AM$7=""),"",ROUND(AM45/AM$8*AM$7*KVARDI,2))</f>
        <v/>
      </c>
      <c r="AO45" s="39"/>
      <c r="AP45" s="40" t="str">
        <f aca="false">IF(OR(INDEX(Undirviðmið!$G$6:$G$105,(COLUMN()-7-1)/2+1)&lt;&gt;"Starfsbundið",AO45="",AO$8="",AO$7=""),"",ROUND(AO45/AO$8*AO$7*KVARDI,2))</f>
        <v/>
      </c>
      <c r="AQ45" s="39"/>
      <c r="AR45" s="40" t="str">
        <f aca="false">IF(OR(INDEX(Undirviðmið!$G$6:$G$105,(COLUMN()-7-1)/2+1)&lt;&gt;"Starfsbundið",AQ45="",AQ$8="",AQ$7=""),"",ROUND(AQ45/AQ$8*AQ$7*KVARDI,2))</f>
        <v/>
      </c>
      <c r="AS45" s="39"/>
      <c r="AT45" s="40" t="str">
        <f aca="false">IF(OR(INDEX(Undirviðmið!$G$6:$G$105,(COLUMN()-7-1)/2+1)&lt;&gt;"Starfsbundið",AS45="",AS$8="",AS$7=""),"",ROUND(AS45/AS$8*AS$7*KVARDI,2))</f>
        <v/>
      </c>
      <c r="AU45" s="39"/>
      <c r="AV45" s="40" t="str">
        <f aca="false">IF(OR(INDEX(Undirviðmið!$G$6:$G$105,(COLUMN()-7-1)/2+1)&lt;&gt;"Starfsbundið",AU45="",AU$8="",AU$7=""),"",ROUND(AU45/AU$8*AU$7*KVARDI,2))</f>
        <v/>
      </c>
      <c r="AW45" s="39"/>
      <c r="AX45" s="40" t="str">
        <f aca="false">IF(OR(INDEX(Undirviðmið!$G$6:$G$105,(COLUMN()-7-1)/2+1)&lt;&gt;"Starfsbundið",AW45="",AW$8="",AW$7=""),"",ROUND(AW45/AW$8*AW$7*KVARDI,2))</f>
        <v/>
      </c>
      <c r="AY45" s="39"/>
      <c r="AZ45" s="40" t="str">
        <f aca="false">IF(OR(INDEX(Undirviðmið!$G$6:$G$105,(COLUMN()-7-1)/2+1)&lt;&gt;"Starfsbundið",AY45="",AY$8="",AY$7=""),"",ROUND(AY45/AY$8*AY$7*KVARDI,2))</f>
        <v/>
      </c>
      <c r="BA45" s="39"/>
      <c r="BB45" s="40" t="str">
        <f aca="false">IF(OR(INDEX(Undirviðmið!$G$6:$G$105,(COLUMN()-7-1)/2+1)&lt;&gt;"Starfsbundið",BA45="",BA$8="",BA$7=""),"",ROUND(BA45/BA$8*BA$7*KVARDI,2))</f>
        <v/>
      </c>
      <c r="BC45" s="39"/>
      <c r="BD45" s="40" t="str">
        <f aca="false">IF(OR(INDEX(Undirviðmið!$G$6:$G$105,(COLUMN()-7-1)/2+1)&lt;&gt;"Starfsbundið",BC45="",BC$8="",BC$7=""),"",ROUND(BC45/BC$8*BC$7*KVARDI,2))</f>
        <v/>
      </c>
      <c r="BE45" s="39"/>
      <c r="BF45" s="40" t="str">
        <f aca="false">IF(OR(INDEX(Undirviðmið!$G$6:$G$105,(COLUMN()-7-1)/2+1)&lt;&gt;"Starfsbundið",BE45="",BE$8="",BE$7=""),"",ROUND(BE45/BE$8*BE$7*KVARDI,2))</f>
        <v/>
      </c>
      <c r="BG45" s="39"/>
      <c r="BH45" s="40" t="str">
        <f aca="false">IF(OR(INDEX(Undirviðmið!$G$6:$G$105,(COLUMN()-7-1)/2+1)&lt;&gt;"Starfsbundið",BG45="",BG$8="",BG$7=""),"",ROUND(BG45/BG$8*BG$7*KVARDI,2))</f>
        <v/>
      </c>
      <c r="BI45" s="39"/>
      <c r="BJ45" s="40" t="str">
        <f aca="false">IF(OR(INDEX(Undirviðmið!$G$6:$G$105,(COLUMN()-7-1)/2+1)&lt;&gt;"Starfsbundið",BI45="",BI$8="",BI$7=""),"",ROUND(BI45/BI$8*BI$7*KVARDI,2))</f>
        <v/>
      </c>
      <c r="BK45" s="39"/>
      <c r="BL45" s="40" t="str">
        <f aca="false">IF(OR(INDEX(Undirviðmið!$G$6:$G$105,(COLUMN()-7-1)/2+1)&lt;&gt;"Starfsbundið",BK45="",BK$8="",BK$7=""),"",ROUND(BK45/BK$8*BK$7*KVARDI,2))</f>
        <v/>
      </c>
      <c r="BM45" s="39"/>
      <c r="BN45" s="40" t="str">
        <f aca="false">IF(OR(INDEX(Undirviðmið!$G$6:$G$105,(COLUMN()-7-1)/2+1)&lt;&gt;"Starfsbundið",BM45="",BM$8="",BM$7=""),"",ROUND(BM45/BM$8*BM$7*KVARDI,2))</f>
        <v/>
      </c>
      <c r="BO45" s="39"/>
      <c r="BP45" s="40" t="str">
        <f aca="false">IF(OR(INDEX(Undirviðmið!$G$6:$G$105,(COLUMN()-7-1)/2+1)&lt;&gt;"Starfsbundið",BO45="",BO$8="",BO$7=""),"",ROUND(BO45/BO$8*BO$7*KVARDI,2))</f>
        <v/>
      </c>
      <c r="BQ45" s="39"/>
      <c r="BR45" s="40" t="str">
        <f aca="false">IF(OR(INDEX(Undirviðmið!$G$6:$G$105,(COLUMN()-7-1)/2+1)&lt;&gt;"Starfsbundið",BQ45="",BQ$8="",BQ$7=""),"",ROUND(BQ45/BQ$8*BQ$7*KVARDI,2))</f>
        <v/>
      </c>
      <c r="BS45" s="39"/>
      <c r="BT45" s="40" t="str">
        <f aca="false">IF(OR(INDEX(Undirviðmið!$G$6:$G$105,(COLUMN()-7-1)/2+1)&lt;&gt;"Starfsbundið",BS45="",BS$8="",BS$7=""),"",ROUND(BS45/BS$8*BS$7*KVARDI,2))</f>
        <v/>
      </c>
      <c r="BU45" s="39"/>
      <c r="BV45" s="40" t="str">
        <f aca="false">IF(OR(INDEX(Undirviðmið!$G$6:$G$105,(COLUMN()-7-1)/2+1)&lt;&gt;"Starfsbundið",BU45="",BU$8="",BU$7=""),"",ROUND(BU45/BU$8*BU$7*KVARDI,2))</f>
        <v/>
      </c>
      <c r="BW45" s="39"/>
      <c r="BX45" s="40" t="str">
        <f aca="false">IF(OR(INDEX(Undirviðmið!$G$6:$G$105,(COLUMN()-7-1)/2+1)&lt;&gt;"Starfsbundið",BW45="",BW$8="",BW$7=""),"",ROUND(BW45/BW$8*BW$7*KVARDI,2))</f>
        <v/>
      </c>
      <c r="BY45" s="39"/>
      <c r="BZ45" s="40" t="str">
        <f aca="false">IF(OR(INDEX(Undirviðmið!$G$6:$G$105,(COLUMN()-7-1)/2+1)&lt;&gt;"Starfsbundið",BY45="",BY$8="",BY$7=""),"",ROUND(BY45/BY$8*BY$7*KVARDI,2))</f>
        <v/>
      </c>
      <c r="CA45" s="39"/>
      <c r="CB45" s="40" t="str">
        <f aca="false">IF(OR(INDEX(Undirviðmið!$G$6:$G$105,(COLUMN()-7-1)/2+1)&lt;&gt;"Starfsbundið",CA45="",CA$8="",CA$7=""),"",ROUND(CA45/CA$8*CA$7*KVARDI,2))</f>
        <v/>
      </c>
      <c r="CC45" s="39"/>
      <c r="CD45" s="40" t="str">
        <f aca="false">IF(OR(INDEX(Undirviðmið!$G$6:$G$105,(COLUMN()-7-1)/2+1)&lt;&gt;"Starfsbundið",CC45="",CC$8="",CC$7=""),"",ROUND(CC45/CC$8*CC$7*KVARDI,2))</f>
        <v/>
      </c>
      <c r="CE45" s="39"/>
      <c r="CF45" s="40" t="str">
        <f aca="false">IF(OR(INDEX(Undirviðmið!$G$6:$G$105,(COLUMN()-7-1)/2+1)&lt;&gt;"Starfsbundið",CE45="",CE$8="",CE$7=""),"",ROUND(CE45/CE$8*CE$7*KVARDI,2))</f>
        <v/>
      </c>
      <c r="CG45" s="39"/>
      <c r="CH45" s="40" t="str">
        <f aca="false">IF(OR(INDEX(Undirviðmið!$G$6:$G$105,(COLUMN()-7-1)/2+1)&lt;&gt;"Starfsbundið",CG45="",CG$8="",CG$7=""),"",ROUND(CG45/CG$8*CG$7*KVARDI,2))</f>
        <v/>
      </c>
      <c r="CI45" s="39"/>
      <c r="CJ45" s="40" t="str">
        <f aca="false">IF(OR(INDEX(Undirviðmið!$G$6:$G$105,(COLUMN()-7-1)/2+1)&lt;&gt;"Starfsbundið",CI45="",CI$8="",CI$7=""),"",ROUND(CI45/CI$8*CI$7*KVARDI,2))</f>
        <v/>
      </c>
      <c r="CK45" s="39"/>
      <c r="CL45" s="40" t="str">
        <f aca="false">IF(OR(INDEX(Undirviðmið!$G$6:$G$105,(COLUMN()-7-1)/2+1)&lt;&gt;"Starfsbundið",CK45="",CK$8="",CK$7=""),"",ROUND(CK45/CK$8*CK$7*KVARDI,2))</f>
        <v/>
      </c>
      <c r="CM45" s="39"/>
      <c r="CN45" s="40" t="str">
        <f aca="false">IF(OR(INDEX(Undirviðmið!$G$6:$G$105,(COLUMN()-7-1)/2+1)&lt;&gt;"Starfsbundið",CM45="",CM$8="",CM$7=""),"",ROUND(CM45/CM$8*CM$7*KVARDI,2))</f>
        <v/>
      </c>
      <c r="CO45" s="39"/>
      <c r="CP45" s="40" t="str">
        <f aca="false">IF(OR(INDEX(Undirviðmið!$G$6:$G$105,(COLUMN()-7-1)/2+1)&lt;&gt;"Starfsbundið",CO45="",CO$8="",CO$7=""),"",ROUND(CO45/CO$8*CO$7*KVARDI,2))</f>
        <v/>
      </c>
      <c r="CQ45" s="39"/>
      <c r="CR45" s="40" t="str">
        <f aca="false">IF(OR(INDEX(Undirviðmið!$G$6:$G$105,(COLUMN()-7-1)/2+1)&lt;&gt;"Starfsbundið",CQ45="",CQ$8="",CQ$7=""),"",ROUND(CQ45/CQ$8*CQ$7*KVARDI,2))</f>
        <v/>
      </c>
      <c r="CS45" s="39"/>
      <c r="CT45" s="40" t="str">
        <f aca="false">IF(OR(INDEX(Undirviðmið!$G$6:$G$105,(COLUMN()-7-1)/2+1)&lt;&gt;"Starfsbundið",CS45="",CS$8="",CS$7=""),"",ROUND(CS45/CS$8*CS$7*KVARDI,2))</f>
        <v/>
      </c>
      <c r="CU45" s="39"/>
      <c r="CV45" s="40" t="str">
        <f aca="false">IF(OR(INDEX(Undirviðmið!$G$6:$G$105,(COLUMN()-7-1)/2+1)&lt;&gt;"Starfsbundið",CU45="",CU$8="",CU$7=""),"",ROUND(CU45/CU$8*CU$7*KVARDI,2))</f>
        <v/>
      </c>
      <c r="CW45" s="39"/>
      <c r="CX45" s="40" t="str">
        <f aca="false">IF(OR(INDEX(Undirviðmið!$G$6:$G$105,(COLUMN()-7-1)/2+1)&lt;&gt;"Starfsbundið",CW45="",CW$8="",CW$7=""),"",ROUND(CW45/CW$8*CW$7*KVARDI,2))</f>
        <v/>
      </c>
      <c r="CY45" s="39"/>
      <c r="CZ45" s="40" t="str">
        <f aca="false">IF(OR(INDEX(Undirviðmið!$G$6:$G$105,(COLUMN()-7-1)/2+1)&lt;&gt;"Starfsbundið",CY45="",CY$8="",CY$7=""),"",ROUND(CY45/CY$8*CY$7*KVARDI,2))</f>
        <v/>
      </c>
      <c r="DA45" s="39"/>
      <c r="DB45" s="40" t="str">
        <f aca="false">IF(OR(INDEX(Undirviðmið!$G$6:$G$105,(COLUMN()-7-1)/2+1)&lt;&gt;"Starfsbundið",DA45="",DA$8="",DA$7=""),"",ROUND(DA45/DA$8*DA$7*KVARDI,2))</f>
        <v/>
      </c>
      <c r="DC45" s="39"/>
      <c r="DD45" s="40" t="str">
        <f aca="false">IF(OR(INDEX(Undirviðmið!$G$6:$G$105,(COLUMN()-7-1)/2+1)&lt;&gt;"Starfsbundið",DC45="",DC$8="",DC$7=""),"",ROUND(DC45/DC$8*DC$7*KVARDI,2))</f>
        <v/>
      </c>
      <c r="DE45" s="39"/>
      <c r="DF45" s="40" t="str">
        <f aca="false">IF(OR(INDEX(Undirviðmið!$G$6:$G$105,(COLUMN()-7-1)/2+1)&lt;&gt;"Starfsbundið",DE45="",DE$8="",DE$7=""),"",ROUND(DE45/DE$8*DE$7*KVARDI,2))</f>
        <v/>
      </c>
      <c r="DG45" s="39"/>
      <c r="DH45" s="40" t="str">
        <f aca="false">IF(OR(INDEX(Undirviðmið!$G$6:$G$105,(COLUMN()-7-1)/2+1)&lt;&gt;"Starfsbundið",DG45="",DG$8="",DG$7=""),"",ROUND(DG45/DG$8*DG$7*KVARDI,2))</f>
        <v/>
      </c>
      <c r="DI45" s="39"/>
      <c r="DJ45" s="40" t="str">
        <f aca="false">IF(OR(INDEX(Undirviðmið!$G$6:$G$105,(COLUMN()-7-1)/2+1)&lt;&gt;"Starfsbundið",DI45="",DI$8="",DI$7=""),"",ROUND(DI45/DI$8*DI$7*KVARDI,2))</f>
        <v/>
      </c>
      <c r="DK45" s="39"/>
      <c r="DL45" s="40" t="str">
        <f aca="false">IF(OR(INDEX(Undirviðmið!$G$6:$G$105,(COLUMN()-7-1)/2+1)&lt;&gt;"Starfsbundið",DK45="",DK$8="",DK$7=""),"",ROUND(DK45/DK$8*DK$7*KVARDI,2))</f>
        <v/>
      </c>
      <c r="DM45" s="39"/>
      <c r="DN45" s="40" t="str">
        <f aca="false">IF(OR(INDEX(Undirviðmið!$G$6:$G$105,(COLUMN()-7-1)/2+1)&lt;&gt;"Starfsbundið",DM45="",DM$8="",DM$7=""),"",ROUND(DM45/DM$8*DM$7*KVARDI,2))</f>
        <v/>
      </c>
      <c r="DO45" s="39"/>
      <c r="DP45" s="40" t="str">
        <f aca="false">IF(OR(INDEX(Undirviðmið!$G$6:$G$105,(COLUMN()-7-1)/2+1)&lt;&gt;"Starfsbundið",DO45="",DO$8="",DO$7=""),"",ROUND(DO45/DO$8*DO$7*KVARDI,2))</f>
        <v/>
      </c>
      <c r="DQ45" s="39"/>
      <c r="DR45" s="40" t="str">
        <f aca="false">IF(OR(INDEX(Undirviðmið!$G$6:$G$105,(COLUMN()-7-1)/2+1)&lt;&gt;"Starfsbundið",DQ45="",DQ$8="",DQ$7=""),"",ROUND(DQ45/DQ$8*DQ$7*KVARDI,2))</f>
        <v/>
      </c>
      <c r="DS45" s="39"/>
      <c r="DT45" s="40" t="str">
        <f aca="false">IF(OR(INDEX(Undirviðmið!$G$6:$G$105,(COLUMN()-7-1)/2+1)&lt;&gt;"Starfsbundið",DS45="",DS$8="",DS$7=""),"",ROUND(DS45/DS$8*DS$7*KVARDI,2))</f>
        <v/>
      </c>
      <c r="DU45" s="39"/>
      <c r="DV45" s="40" t="str">
        <f aca="false">IF(OR(INDEX(Undirviðmið!$G$6:$G$105,(COLUMN()-7-1)/2+1)&lt;&gt;"Starfsbundið",DU45="",DU$8="",DU$7=""),"",ROUND(DU45/DU$8*DU$7*KVARDI,2))</f>
        <v/>
      </c>
      <c r="DW45" s="39"/>
      <c r="DX45" s="40" t="str">
        <f aca="false">IF(OR(INDEX(Undirviðmið!$G$6:$G$105,(COLUMN()-7-1)/2+1)&lt;&gt;"Starfsbundið",DW45="",DW$8="",DW$7=""),"",ROUND(DW45/DW$8*DW$7*KVARDI,2))</f>
        <v/>
      </c>
      <c r="DY45" s="39"/>
      <c r="DZ45" s="40" t="str">
        <f aca="false">IF(OR(INDEX(Undirviðmið!$G$6:$G$105,(COLUMN()-7-1)/2+1)&lt;&gt;"Starfsbundið",DY45="",DY$8="",DY$7=""),"",ROUND(DY45/DY$8*DY$7*KVARDI,2))</f>
        <v/>
      </c>
      <c r="EA45" s="39"/>
      <c r="EB45" s="40" t="str">
        <f aca="false">IF(OR(INDEX(Undirviðmið!$G$6:$G$105,(COLUMN()-7-1)/2+1)&lt;&gt;"Starfsbundið",EA45="",EA$8="",EA$7=""),"",ROUND(EA45/EA$8*EA$7*KVARDI,2))</f>
        <v/>
      </c>
      <c r="EC45" s="39"/>
      <c r="ED45" s="40" t="str">
        <f aca="false">IF(OR(INDEX(Undirviðmið!$G$6:$G$105,(COLUMN()-7-1)/2+1)&lt;&gt;"Starfsbundið",EC45="",EC$8="",EC$7=""),"",ROUND(EC45/EC$8*EC$7*KVARDI,2))</f>
        <v/>
      </c>
      <c r="EE45" s="39"/>
      <c r="EF45" s="40" t="str">
        <f aca="false">IF(OR(INDEX(Undirviðmið!$G$6:$G$105,(COLUMN()-7-1)/2+1)&lt;&gt;"Starfsbundið",EE45="",EE$8="",EE$7=""),"",ROUND(EE45/EE$8*EE$7*KVARDI,2))</f>
        <v/>
      </c>
      <c r="EG45" s="39"/>
      <c r="EH45" s="40" t="str">
        <f aca="false">IF(OR(INDEX(Undirviðmið!$G$6:$G$105,(COLUMN()-7-1)/2+1)&lt;&gt;"Starfsbundið",EG45="",EG$8="",EG$7=""),"",ROUND(EG45/EG$8*EG$7*KVARDI,2))</f>
        <v/>
      </c>
      <c r="EI45" s="39"/>
      <c r="EJ45" s="40" t="str">
        <f aca="false">IF(OR(INDEX(Undirviðmið!$G$6:$G$105,(COLUMN()-7-1)/2+1)&lt;&gt;"Starfsbundið",EI45="",EI$8="",EI$7=""),"",ROUND(EI45/EI$8*EI$7*KVARDI,2))</f>
        <v/>
      </c>
      <c r="EK45" s="39"/>
      <c r="EL45" s="40" t="str">
        <f aca="false">IF(OR(INDEX(Undirviðmið!$G$6:$G$105,(COLUMN()-7-1)/2+1)&lt;&gt;"Starfsbundið",EK45="",EK$8="",EK$7=""),"",ROUND(EK45/EK$8*EK$7*KVARDI,2))</f>
        <v/>
      </c>
      <c r="EM45" s="39"/>
      <c r="EN45" s="40" t="str">
        <f aca="false">IF(OR(INDEX(Undirviðmið!$G$6:$G$105,(COLUMN()-7-1)/2+1)&lt;&gt;"Starfsbundið",EM45="",EM$8="",EM$7=""),"",ROUND(EM45/EM$8*EM$7*KVARDI,2))</f>
        <v/>
      </c>
      <c r="EO45" s="39"/>
      <c r="EP45" s="40" t="str">
        <f aca="false">IF(OR(INDEX(Undirviðmið!$G$6:$G$105,(COLUMN()-7-1)/2+1)&lt;&gt;"Starfsbundið",EO45="",EO$8="",EO$7=""),"",ROUND(EO45/EO$8*EO$7*KVARDI,2))</f>
        <v/>
      </c>
      <c r="EQ45" s="39"/>
      <c r="ER45" s="40" t="str">
        <f aca="false">IF(OR(INDEX(Undirviðmið!$G$6:$G$105,(COLUMN()-7-1)/2+1)&lt;&gt;"Starfsbundið",EQ45="",EQ$8="",EQ$7=""),"",ROUND(EQ45/EQ$8*EQ$7*KVARDI,2))</f>
        <v/>
      </c>
      <c r="ES45" s="39"/>
      <c r="ET45" s="40" t="str">
        <f aca="false">IF(OR(INDEX(Undirviðmið!$G$6:$G$105,(COLUMN()-7-1)/2+1)&lt;&gt;"Starfsbundið",ES45="",ES$8="",ES$7=""),"",ROUND(ES45/ES$8*ES$7*KVARDI,2))</f>
        <v/>
      </c>
      <c r="EU45" s="39"/>
      <c r="EV45" s="40" t="str">
        <f aca="false">IF(OR(INDEX(Undirviðmið!$G$6:$G$105,(COLUMN()-7-1)/2+1)&lt;&gt;"Starfsbundið",EU45="",EU$8="",EU$7=""),"",ROUND(EU45/EU$8*EU$7*KVARDI,2))</f>
        <v/>
      </c>
      <c r="EW45" s="39"/>
      <c r="EX45" s="40" t="str">
        <f aca="false">IF(OR(INDEX(Undirviðmið!$G$6:$G$105,(COLUMN()-7-1)/2+1)&lt;&gt;"Starfsbundið",EW45="",EW$8="",EW$7=""),"",ROUND(EW45/EW$8*EW$7*KVARDI,2))</f>
        <v/>
      </c>
      <c r="EY45" s="39"/>
      <c r="EZ45" s="40" t="str">
        <f aca="false">IF(OR(INDEX(Undirviðmið!$G$6:$G$105,(COLUMN()-7-1)/2+1)&lt;&gt;"Starfsbundið",EY45="",EY$8="",EY$7=""),"",ROUND(EY45/EY$8*EY$7*KVARDI,2))</f>
        <v/>
      </c>
      <c r="FA45" s="39"/>
      <c r="FB45" s="40" t="str">
        <f aca="false">IF(OR(INDEX(Undirviðmið!$G$6:$G$105,(COLUMN()-7-1)/2+1)&lt;&gt;"Starfsbundið",FA45="",FA$8="",FA$7=""),"",ROUND(FA45/FA$8*FA$7*KVARDI,2))</f>
        <v/>
      </c>
      <c r="FC45" s="39"/>
      <c r="FD45" s="40" t="str">
        <f aca="false">IF(OR(INDEX(Undirviðmið!$G$6:$G$105,(COLUMN()-7-1)/2+1)&lt;&gt;"Starfsbundið",FC45="",FC$8="",FC$7=""),"",ROUND(FC45/FC$8*FC$7*KVARDI,2))</f>
        <v/>
      </c>
      <c r="FE45" s="39"/>
      <c r="FF45" s="40" t="str">
        <f aca="false">IF(OR(INDEX(Undirviðmið!$G$6:$G$105,(COLUMN()-7-1)/2+1)&lt;&gt;"Starfsbundið",FE45="",FE$8="",FE$7=""),"",ROUND(FE45/FE$8*FE$7*KVARDI,2))</f>
        <v/>
      </c>
      <c r="FG45" s="39"/>
      <c r="FH45" s="40" t="str">
        <f aca="false">IF(OR(INDEX(Undirviðmið!$G$6:$G$105,(COLUMN()-7-1)/2+1)&lt;&gt;"Starfsbundið",FG45="",FG$8="",FG$7=""),"",ROUND(FG45/FG$8*FG$7*KVARDI,2))</f>
        <v/>
      </c>
      <c r="FI45" s="39"/>
      <c r="FJ45" s="40" t="str">
        <f aca="false">IF(OR(INDEX(Undirviðmið!$G$6:$G$105,(COLUMN()-7-1)/2+1)&lt;&gt;"Starfsbundið",FI45="",FI$8="",FI$7=""),"",ROUND(FI45/FI$8*FI$7*KVARDI,2))</f>
        <v/>
      </c>
      <c r="FK45" s="39"/>
      <c r="FL45" s="40" t="str">
        <f aca="false">IF(OR(INDEX(Undirviðmið!$G$6:$G$105,(COLUMN()-7-1)/2+1)&lt;&gt;"Starfsbundið",FK45="",FK$8="",FK$7=""),"",ROUND(FK45/FK$8*FK$7*KVARDI,2))</f>
        <v/>
      </c>
      <c r="FM45" s="39"/>
      <c r="FN45" s="40" t="str">
        <f aca="false">IF(OR(INDEX(Undirviðmið!$G$6:$G$105,(COLUMN()-7-1)/2+1)&lt;&gt;"Starfsbundið",FM45="",FM$8="",FM$7=""),"",ROUND(FM45/FM$8*FM$7*KVARDI,2))</f>
        <v/>
      </c>
      <c r="FO45" s="39"/>
      <c r="FP45" s="40" t="str">
        <f aca="false">IF(OR(INDEX(Undirviðmið!$G$6:$G$105,(COLUMN()-7-1)/2+1)&lt;&gt;"Starfsbundið",FO45="",FO$8="",FO$7=""),"",ROUND(FO45/FO$8*FO$7*KVARDI,2))</f>
        <v/>
      </c>
      <c r="FQ45" s="39"/>
      <c r="FR45" s="40" t="str">
        <f aca="false">IF(OR(INDEX(Undirviðmið!$G$6:$G$105,(COLUMN()-7-1)/2+1)&lt;&gt;"Starfsbundið",FQ45="",FQ$8="",FQ$7=""),"",ROUND(FQ45/FQ$8*FQ$7*KVARDI,2))</f>
        <v/>
      </c>
      <c r="FS45" s="39"/>
      <c r="FT45" s="40" t="str">
        <f aca="false">IF(OR(INDEX(Undirviðmið!$G$6:$G$105,(COLUMN()-7-1)/2+1)&lt;&gt;"Starfsbundið",FS45="",FS$8="",FS$7=""),"",ROUND(FS45/FS$8*FS$7*KVARDI,2))</f>
        <v/>
      </c>
      <c r="FU45" s="39"/>
      <c r="FV45" s="40" t="str">
        <f aca="false">IF(OR(INDEX(Undirviðmið!$G$6:$G$105,(COLUMN()-7-1)/2+1)&lt;&gt;"Starfsbundið",FU45="",FU$8="",FU$7=""),"",ROUND(FU45/FU$8*FU$7*KVARDI,2))</f>
        <v/>
      </c>
      <c r="FW45" s="39"/>
      <c r="FX45" s="40" t="str">
        <f aca="false">IF(OR(INDEX(Undirviðmið!$G$6:$G$105,(COLUMN()-7-1)/2+1)&lt;&gt;"Starfsbundið",FW45="",FW$8="",FW$7=""),"",ROUND(FW45/FW$8*FW$7*KVARDI,2))</f>
        <v/>
      </c>
      <c r="FY45" s="39"/>
      <c r="FZ45" s="40" t="str">
        <f aca="false">IF(OR(INDEX(Undirviðmið!$G$6:$G$105,(COLUMN()-7-1)/2+1)&lt;&gt;"Starfsbundið",FY45="",FY$8="",FY$7=""),"",ROUND(FY45/FY$8*FY$7*KVARDI,2))</f>
        <v/>
      </c>
      <c r="GA45" s="39"/>
      <c r="GB45" s="40" t="str">
        <f aca="false">IF(OR(INDEX(Undirviðmið!$G$6:$G$105,(COLUMN()-7-1)/2+1)&lt;&gt;"Starfsbundið",GA45="",GA$8="",GA$7=""),"",ROUND(GA45/GA$8*GA$7*KVARDI,2))</f>
        <v/>
      </c>
      <c r="GC45" s="39"/>
      <c r="GD45" s="40" t="str">
        <f aca="false">IF(OR(INDEX(Undirviðmið!$G$6:$G$105,(COLUMN()-7-1)/2+1)&lt;&gt;"Starfsbundið",GC45="",GC$8="",GC$7=""),"",ROUND(GC45/GC$8*GC$7*KVARDI,2))</f>
        <v/>
      </c>
      <c r="GE45" s="39"/>
      <c r="GF45" s="40" t="str">
        <f aca="false">IF(OR(INDEX(Undirviðmið!$G$6:$G$105,(COLUMN()-7-1)/2+1)&lt;&gt;"Starfsbundið",GE45="",GE$8="",GE$7=""),"",ROUND(GE45/GE$8*GE$7*KVARDI,2))</f>
        <v/>
      </c>
      <c r="GG45" s="39"/>
      <c r="GH45" s="40" t="str">
        <f aca="false">IF(OR(INDEX(Undirviðmið!$G$6:$G$105,(COLUMN()-7-1)/2+1)&lt;&gt;"Starfsbundið",GG45="",GG$8="",GG$7=""),"",ROUND(GG45/GG$8*GG$7*KVARDI,2))</f>
        <v/>
      </c>
      <c r="GI45" s="39"/>
      <c r="GJ45" s="40" t="str">
        <f aca="false">IF(OR(INDEX(Undirviðmið!$G$6:$G$105,(COLUMN()-7-1)/2+1)&lt;&gt;"Starfsbundið",GI45="",GI$8="",GI$7=""),"",ROUND(GI45/GI$8*GI$7*KVARDI,2))</f>
        <v/>
      </c>
      <c r="GK45" s="39"/>
      <c r="GL45" s="40" t="str">
        <f aca="false">IF(OR(INDEX(Undirviðmið!$G$6:$G$105,(COLUMN()-7-1)/2+1)&lt;&gt;"Starfsbundið",GK45="",GK$8="",GK$7=""),"",ROUND(GK45/GK$8*GK$7*KVARDI,2))</f>
        <v/>
      </c>
      <c r="GM45" s="39"/>
      <c r="GN45" s="40" t="str">
        <f aca="false">IF(OR(INDEX(Undirviðmið!$G$6:$G$105,(COLUMN()-7-1)/2+1)&lt;&gt;"Starfsbundið",GM45="",GM$8="",GM$7=""),"",ROUND(GM45/GM$8*GM$7*KVARDI,2))</f>
        <v/>
      </c>
      <c r="GO45" s="39"/>
      <c r="GP45" s="40" t="str">
        <f aca="false">IF(OR(INDEX(Undirviðmið!$G$6:$G$105,(COLUMN()-7-1)/2+1)&lt;&gt;"Starfsbundið",GO45="",GO$8="",GO$7=""),"",ROUND(GO45/GO$8*GO$7*KVARDI,2))</f>
        <v/>
      </c>
      <c r="GQ45" s="39"/>
      <c r="GR45" s="40" t="str">
        <f aca="false">IF(OR(INDEX(Undirviðmið!$G$6:$G$105,(COLUMN()-7-1)/2+1)&lt;&gt;"Starfsbundið",GQ45="",GQ$8="",GQ$7=""),"",ROUND(GQ45/GQ$8*GQ$7*KVARDI,2))</f>
        <v/>
      </c>
      <c r="GS45" s="39"/>
      <c r="GT45" s="40" t="str">
        <f aca="false">IF(OR(INDEX(Undirviðmið!$G$6:$G$105,(COLUMN()-7-1)/2+1)&lt;&gt;"Starfsbundið",GS45="",GS$8="",GS$7=""),"",ROUND(GS45/GS$8*GS$7*KVARDI,2))</f>
        <v/>
      </c>
      <c r="GU45" s="39"/>
      <c r="GV45" s="40" t="str">
        <f aca="false">IF(OR(INDEX(Undirviðmið!$G$6:$G$105,(COLUMN()-7-1)/2+1)&lt;&gt;"Starfsbundið",GU45="",GU$8="",GU$7=""),"",ROUND(GU45/GU$8*GU$7*KVARDI,2))</f>
        <v/>
      </c>
      <c r="GW45" s="39"/>
      <c r="GX45" s="40" t="str">
        <f aca="false">IF(OR(INDEX(Undirviðmið!$G$6:$G$105,(COLUMN()-7-1)/2+1)&lt;&gt;"Starfsbundið",GW45="",GW$8="",GW$7=""),"",ROUND(GW45/GW$8*GW$7*KVARDI,2))</f>
        <v/>
      </c>
      <c r="GZ45" s="20"/>
    </row>
    <row r="46" customFormat="false" ht="15" hidden="true" customHeight="true" outlineLevel="1" collapsed="false">
      <c r="B46" s="37" t="str">
        <f aca="false" t="array" ref="B46:B46">IFERROR(INDEX(Starfsmenn!$C$6:$C$10005,MATCH(0,COUNTIF($B$11:B45,Starfsmenn!$C$6:$C$10005)+(Starfsmenn!$C$6:$C$10005=""),0)),"")</f>
        <v/>
      </c>
      <c r="C46" s="38" t="n">
        <f aca="false">IFERROR(SUMIF($G$10:$GX$10,"Stig",$G46:$GX46),0)</f>
        <v>0</v>
      </c>
      <c r="G46" s="39"/>
      <c r="H46" s="40" t="str">
        <f aca="false">IF(OR(INDEX(Undirviðmið!$G$6:$G$105,(COLUMN()-7-1)/2+1)&lt;&gt;"Starfsbundið",G46="",G$8="",G$7=""),"",ROUND(G46/G$8*G$7*KVARDI,2))</f>
        <v/>
      </c>
      <c r="I46" s="39"/>
      <c r="J46" s="40" t="str">
        <f aca="false">IF(OR(INDEX(Undirviðmið!$G$6:$G$105,(COLUMN()-7-1)/2+1)&lt;&gt;"Starfsbundið",I46="",I$8="",I$7=""),"",ROUND(I46/I$8*I$7*KVARDI,2))</f>
        <v/>
      </c>
      <c r="K46" s="39"/>
      <c r="L46" s="40" t="str">
        <f aca="false">IF(OR(INDEX(Undirviðmið!$G$6:$G$105,(COLUMN()-7-1)/2+1)&lt;&gt;"Starfsbundið",K46="",K$8="",K$7=""),"",ROUND(K46/K$8*K$7*KVARDI,2))</f>
        <v/>
      </c>
      <c r="M46" s="39"/>
      <c r="N46" s="40" t="str">
        <f aca="false">IF(OR(INDEX(Undirviðmið!$G$6:$G$105,(COLUMN()-7-1)/2+1)&lt;&gt;"Starfsbundið",M46="",M$8="",M$7=""),"",ROUND(M46/M$8*M$7*KVARDI,2))</f>
        <v/>
      </c>
      <c r="O46" s="39"/>
      <c r="P46" s="40" t="str">
        <f aca="false">IF(OR(INDEX(Undirviðmið!$G$6:$G$105,(COLUMN()-7-1)/2+1)&lt;&gt;"Starfsbundið",O46="",O$8="",O$7=""),"",ROUND(O46/O$8*O$7*KVARDI,2))</f>
        <v/>
      </c>
      <c r="Q46" s="39"/>
      <c r="R46" s="40" t="str">
        <f aca="false">IF(OR(INDEX(Undirviðmið!$G$6:$G$105,(COLUMN()-7-1)/2+1)&lt;&gt;"Starfsbundið",Q46="",Q$8="",Q$7=""),"",ROUND(Q46/Q$8*Q$7*KVARDI,2))</f>
        <v/>
      </c>
      <c r="S46" s="39"/>
      <c r="T46" s="40" t="str">
        <f aca="false">IF(OR(INDEX(Undirviðmið!$G$6:$G$105,(COLUMN()-7-1)/2+1)&lt;&gt;"Starfsbundið",S46="",S$8="",S$7=""),"",ROUND(S46/S$8*S$7*KVARDI,2))</f>
        <v/>
      </c>
      <c r="U46" s="39"/>
      <c r="V46" s="40" t="str">
        <f aca="false">IF(OR(INDEX(Undirviðmið!$G$6:$G$105,(COLUMN()-7-1)/2+1)&lt;&gt;"Starfsbundið",U46="",U$8="",U$7=""),"",ROUND(U46/U$8*U$7*KVARDI,2))</f>
        <v/>
      </c>
      <c r="W46" s="39"/>
      <c r="X46" s="40" t="str">
        <f aca="false">IF(OR(INDEX(Undirviðmið!$G$6:$G$105,(COLUMN()-7-1)/2+1)&lt;&gt;"Starfsbundið",W46="",W$8="",W$7=""),"",ROUND(W46/W$8*W$7*KVARDI,2))</f>
        <v/>
      </c>
      <c r="Y46" s="39"/>
      <c r="Z46" s="40" t="str">
        <f aca="false">IF(OR(INDEX(Undirviðmið!$G$6:$G$105,(COLUMN()-7-1)/2+1)&lt;&gt;"Starfsbundið",Y46="",Y$8="",Y$7=""),"",ROUND(Y46/Y$8*Y$7*KVARDI,2))</f>
        <v/>
      </c>
      <c r="AA46" s="39"/>
      <c r="AB46" s="40" t="str">
        <f aca="false">IF(OR(INDEX(Undirviðmið!$G$6:$G$105,(COLUMN()-7-1)/2+1)&lt;&gt;"Starfsbundið",AA46="",AA$8="",AA$7=""),"",ROUND(AA46/AA$8*AA$7*KVARDI,2))</f>
        <v/>
      </c>
      <c r="AC46" s="39"/>
      <c r="AD46" s="40" t="str">
        <f aca="false">IF(OR(INDEX(Undirviðmið!$G$6:$G$105,(COLUMN()-7-1)/2+1)&lt;&gt;"Starfsbundið",AC46="",AC$8="",AC$7=""),"",ROUND(AC46/AC$8*AC$7*KVARDI,2))</f>
        <v/>
      </c>
      <c r="AE46" s="39"/>
      <c r="AF46" s="40" t="str">
        <f aca="false">IF(OR(INDEX(Undirviðmið!$G$6:$G$105,(COLUMN()-7-1)/2+1)&lt;&gt;"Starfsbundið",AE46="",AE$8="",AE$7=""),"",ROUND(AE46/AE$8*AE$7*KVARDI,2))</f>
        <v/>
      </c>
      <c r="AG46" s="39"/>
      <c r="AH46" s="40" t="str">
        <f aca="false">IF(OR(INDEX(Undirviðmið!$G$6:$G$105,(COLUMN()-7-1)/2+1)&lt;&gt;"Starfsbundið",AG46="",AG$8="",AG$7=""),"",ROUND(AG46/AG$8*AG$7*KVARDI,2))</f>
        <v/>
      </c>
      <c r="AI46" s="39"/>
      <c r="AJ46" s="40" t="str">
        <f aca="false">IF(OR(INDEX(Undirviðmið!$G$6:$G$105,(COLUMN()-7-1)/2+1)&lt;&gt;"Starfsbundið",AI46="",AI$8="",AI$7=""),"",ROUND(AI46/AI$8*AI$7*KVARDI,2))</f>
        <v/>
      </c>
      <c r="AK46" s="39"/>
      <c r="AL46" s="40" t="str">
        <f aca="false">IF(OR(INDEX(Undirviðmið!$G$6:$G$105,(COLUMN()-7-1)/2+1)&lt;&gt;"Starfsbundið",AK46="",AK$8="",AK$7=""),"",ROUND(AK46/AK$8*AK$7*KVARDI,2))</f>
        <v/>
      </c>
      <c r="AM46" s="39"/>
      <c r="AN46" s="40" t="str">
        <f aca="false">IF(OR(INDEX(Undirviðmið!$G$6:$G$105,(COLUMN()-7-1)/2+1)&lt;&gt;"Starfsbundið",AM46="",AM$8="",AM$7=""),"",ROUND(AM46/AM$8*AM$7*KVARDI,2))</f>
        <v/>
      </c>
      <c r="AO46" s="39"/>
      <c r="AP46" s="40" t="str">
        <f aca="false">IF(OR(INDEX(Undirviðmið!$G$6:$G$105,(COLUMN()-7-1)/2+1)&lt;&gt;"Starfsbundið",AO46="",AO$8="",AO$7=""),"",ROUND(AO46/AO$8*AO$7*KVARDI,2))</f>
        <v/>
      </c>
      <c r="AQ46" s="39"/>
      <c r="AR46" s="40" t="str">
        <f aca="false">IF(OR(INDEX(Undirviðmið!$G$6:$G$105,(COLUMN()-7-1)/2+1)&lt;&gt;"Starfsbundið",AQ46="",AQ$8="",AQ$7=""),"",ROUND(AQ46/AQ$8*AQ$7*KVARDI,2))</f>
        <v/>
      </c>
      <c r="AS46" s="39"/>
      <c r="AT46" s="40" t="str">
        <f aca="false">IF(OR(INDEX(Undirviðmið!$G$6:$G$105,(COLUMN()-7-1)/2+1)&lt;&gt;"Starfsbundið",AS46="",AS$8="",AS$7=""),"",ROUND(AS46/AS$8*AS$7*KVARDI,2))</f>
        <v/>
      </c>
      <c r="AU46" s="39"/>
      <c r="AV46" s="40" t="str">
        <f aca="false">IF(OR(INDEX(Undirviðmið!$G$6:$G$105,(COLUMN()-7-1)/2+1)&lt;&gt;"Starfsbundið",AU46="",AU$8="",AU$7=""),"",ROUND(AU46/AU$8*AU$7*KVARDI,2))</f>
        <v/>
      </c>
      <c r="AW46" s="39"/>
      <c r="AX46" s="40" t="str">
        <f aca="false">IF(OR(INDEX(Undirviðmið!$G$6:$G$105,(COLUMN()-7-1)/2+1)&lt;&gt;"Starfsbundið",AW46="",AW$8="",AW$7=""),"",ROUND(AW46/AW$8*AW$7*KVARDI,2))</f>
        <v/>
      </c>
      <c r="AY46" s="39"/>
      <c r="AZ46" s="40" t="str">
        <f aca="false">IF(OR(INDEX(Undirviðmið!$G$6:$G$105,(COLUMN()-7-1)/2+1)&lt;&gt;"Starfsbundið",AY46="",AY$8="",AY$7=""),"",ROUND(AY46/AY$8*AY$7*KVARDI,2))</f>
        <v/>
      </c>
      <c r="BA46" s="39"/>
      <c r="BB46" s="40" t="str">
        <f aca="false">IF(OR(INDEX(Undirviðmið!$G$6:$G$105,(COLUMN()-7-1)/2+1)&lt;&gt;"Starfsbundið",BA46="",BA$8="",BA$7=""),"",ROUND(BA46/BA$8*BA$7*KVARDI,2))</f>
        <v/>
      </c>
      <c r="BC46" s="39"/>
      <c r="BD46" s="40" t="str">
        <f aca="false">IF(OR(INDEX(Undirviðmið!$G$6:$G$105,(COLUMN()-7-1)/2+1)&lt;&gt;"Starfsbundið",BC46="",BC$8="",BC$7=""),"",ROUND(BC46/BC$8*BC$7*KVARDI,2))</f>
        <v/>
      </c>
      <c r="BE46" s="39"/>
      <c r="BF46" s="40" t="str">
        <f aca="false">IF(OR(INDEX(Undirviðmið!$G$6:$G$105,(COLUMN()-7-1)/2+1)&lt;&gt;"Starfsbundið",BE46="",BE$8="",BE$7=""),"",ROUND(BE46/BE$8*BE$7*KVARDI,2))</f>
        <v/>
      </c>
      <c r="BG46" s="39"/>
      <c r="BH46" s="40" t="str">
        <f aca="false">IF(OR(INDEX(Undirviðmið!$G$6:$G$105,(COLUMN()-7-1)/2+1)&lt;&gt;"Starfsbundið",BG46="",BG$8="",BG$7=""),"",ROUND(BG46/BG$8*BG$7*KVARDI,2))</f>
        <v/>
      </c>
      <c r="BI46" s="39"/>
      <c r="BJ46" s="40" t="str">
        <f aca="false">IF(OR(INDEX(Undirviðmið!$G$6:$G$105,(COLUMN()-7-1)/2+1)&lt;&gt;"Starfsbundið",BI46="",BI$8="",BI$7=""),"",ROUND(BI46/BI$8*BI$7*KVARDI,2))</f>
        <v/>
      </c>
      <c r="BK46" s="39"/>
      <c r="BL46" s="40" t="str">
        <f aca="false">IF(OR(INDEX(Undirviðmið!$G$6:$G$105,(COLUMN()-7-1)/2+1)&lt;&gt;"Starfsbundið",BK46="",BK$8="",BK$7=""),"",ROUND(BK46/BK$8*BK$7*KVARDI,2))</f>
        <v/>
      </c>
      <c r="BM46" s="39"/>
      <c r="BN46" s="40" t="str">
        <f aca="false">IF(OR(INDEX(Undirviðmið!$G$6:$G$105,(COLUMN()-7-1)/2+1)&lt;&gt;"Starfsbundið",BM46="",BM$8="",BM$7=""),"",ROUND(BM46/BM$8*BM$7*KVARDI,2))</f>
        <v/>
      </c>
      <c r="BO46" s="39"/>
      <c r="BP46" s="40" t="str">
        <f aca="false">IF(OR(INDEX(Undirviðmið!$G$6:$G$105,(COLUMN()-7-1)/2+1)&lt;&gt;"Starfsbundið",BO46="",BO$8="",BO$7=""),"",ROUND(BO46/BO$8*BO$7*KVARDI,2))</f>
        <v/>
      </c>
      <c r="BQ46" s="39"/>
      <c r="BR46" s="40" t="str">
        <f aca="false">IF(OR(INDEX(Undirviðmið!$G$6:$G$105,(COLUMN()-7-1)/2+1)&lt;&gt;"Starfsbundið",BQ46="",BQ$8="",BQ$7=""),"",ROUND(BQ46/BQ$8*BQ$7*KVARDI,2))</f>
        <v/>
      </c>
      <c r="BS46" s="39"/>
      <c r="BT46" s="40" t="str">
        <f aca="false">IF(OR(INDEX(Undirviðmið!$G$6:$G$105,(COLUMN()-7-1)/2+1)&lt;&gt;"Starfsbundið",BS46="",BS$8="",BS$7=""),"",ROUND(BS46/BS$8*BS$7*KVARDI,2))</f>
        <v/>
      </c>
      <c r="BU46" s="39"/>
      <c r="BV46" s="40" t="str">
        <f aca="false">IF(OR(INDEX(Undirviðmið!$G$6:$G$105,(COLUMN()-7-1)/2+1)&lt;&gt;"Starfsbundið",BU46="",BU$8="",BU$7=""),"",ROUND(BU46/BU$8*BU$7*KVARDI,2))</f>
        <v/>
      </c>
      <c r="BW46" s="39"/>
      <c r="BX46" s="40" t="str">
        <f aca="false">IF(OR(INDEX(Undirviðmið!$G$6:$G$105,(COLUMN()-7-1)/2+1)&lt;&gt;"Starfsbundið",BW46="",BW$8="",BW$7=""),"",ROUND(BW46/BW$8*BW$7*KVARDI,2))</f>
        <v/>
      </c>
      <c r="BY46" s="39"/>
      <c r="BZ46" s="40" t="str">
        <f aca="false">IF(OR(INDEX(Undirviðmið!$G$6:$G$105,(COLUMN()-7-1)/2+1)&lt;&gt;"Starfsbundið",BY46="",BY$8="",BY$7=""),"",ROUND(BY46/BY$8*BY$7*KVARDI,2))</f>
        <v/>
      </c>
      <c r="CA46" s="39"/>
      <c r="CB46" s="40" t="str">
        <f aca="false">IF(OR(INDEX(Undirviðmið!$G$6:$G$105,(COLUMN()-7-1)/2+1)&lt;&gt;"Starfsbundið",CA46="",CA$8="",CA$7=""),"",ROUND(CA46/CA$8*CA$7*KVARDI,2))</f>
        <v/>
      </c>
      <c r="CC46" s="39"/>
      <c r="CD46" s="40" t="str">
        <f aca="false">IF(OR(INDEX(Undirviðmið!$G$6:$G$105,(COLUMN()-7-1)/2+1)&lt;&gt;"Starfsbundið",CC46="",CC$8="",CC$7=""),"",ROUND(CC46/CC$8*CC$7*KVARDI,2))</f>
        <v/>
      </c>
      <c r="CE46" s="39"/>
      <c r="CF46" s="40" t="str">
        <f aca="false">IF(OR(INDEX(Undirviðmið!$G$6:$G$105,(COLUMN()-7-1)/2+1)&lt;&gt;"Starfsbundið",CE46="",CE$8="",CE$7=""),"",ROUND(CE46/CE$8*CE$7*KVARDI,2))</f>
        <v/>
      </c>
      <c r="CG46" s="39"/>
      <c r="CH46" s="40" t="str">
        <f aca="false">IF(OR(INDEX(Undirviðmið!$G$6:$G$105,(COLUMN()-7-1)/2+1)&lt;&gt;"Starfsbundið",CG46="",CG$8="",CG$7=""),"",ROUND(CG46/CG$8*CG$7*KVARDI,2))</f>
        <v/>
      </c>
      <c r="CI46" s="39"/>
      <c r="CJ46" s="40" t="str">
        <f aca="false">IF(OR(INDEX(Undirviðmið!$G$6:$G$105,(COLUMN()-7-1)/2+1)&lt;&gt;"Starfsbundið",CI46="",CI$8="",CI$7=""),"",ROUND(CI46/CI$8*CI$7*KVARDI,2))</f>
        <v/>
      </c>
      <c r="CK46" s="39"/>
      <c r="CL46" s="40" t="str">
        <f aca="false">IF(OR(INDEX(Undirviðmið!$G$6:$G$105,(COLUMN()-7-1)/2+1)&lt;&gt;"Starfsbundið",CK46="",CK$8="",CK$7=""),"",ROUND(CK46/CK$8*CK$7*KVARDI,2))</f>
        <v/>
      </c>
      <c r="CM46" s="39"/>
      <c r="CN46" s="40" t="str">
        <f aca="false">IF(OR(INDEX(Undirviðmið!$G$6:$G$105,(COLUMN()-7-1)/2+1)&lt;&gt;"Starfsbundið",CM46="",CM$8="",CM$7=""),"",ROUND(CM46/CM$8*CM$7*KVARDI,2))</f>
        <v/>
      </c>
      <c r="CO46" s="39"/>
      <c r="CP46" s="40" t="str">
        <f aca="false">IF(OR(INDEX(Undirviðmið!$G$6:$G$105,(COLUMN()-7-1)/2+1)&lt;&gt;"Starfsbundið",CO46="",CO$8="",CO$7=""),"",ROUND(CO46/CO$8*CO$7*KVARDI,2))</f>
        <v/>
      </c>
      <c r="CQ46" s="39"/>
      <c r="CR46" s="40" t="str">
        <f aca="false">IF(OR(INDEX(Undirviðmið!$G$6:$G$105,(COLUMN()-7-1)/2+1)&lt;&gt;"Starfsbundið",CQ46="",CQ$8="",CQ$7=""),"",ROUND(CQ46/CQ$8*CQ$7*KVARDI,2))</f>
        <v/>
      </c>
      <c r="CS46" s="39"/>
      <c r="CT46" s="40" t="str">
        <f aca="false">IF(OR(INDEX(Undirviðmið!$G$6:$G$105,(COLUMN()-7-1)/2+1)&lt;&gt;"Starfsbundið",CS46="",CS$8="",CS$7=""),"",ROUND(CS46/CS$8*CS$7*KVARDI,2))</f>
        <v/>
      </c>
      <c r="CU46" s="39"/>
      <c r="CV46" s="40" t="str">
        <f aca="false">IF(OR(INDEX(Undirviðmið!$G$6:$G$105,(COLUMN()-7-1)/2+1)&lt;&gt;"Starfsbundið",CU46="",CU$8="",CU$7=""),"",ROUND(CU46/CU$8*CU$7*KVARDI,2))</f>
        <v/>
      </c>
      <c r="CW46" s="39"/>
      <c r="CX46" s="40" t="str">
        <f aca="false">IF(OR(INDEX(Undirviðmið!$G$6:$G$105,(COLUMN()-7-1)/2+1)&lt;&gt;"Starfsbundið",CW46="",CW$8="",CW$7=""),"",ROUND(CW46/CW$8*CW$7*KVARDI,2))</f>
        <v/>
      </c>
      <c r="CY46" s="39"/>
      <c r="CZ46" s="40" t="str">
        <f aca="false">IF(OR(INDEX(Undirviðmið!$G$6:$G$105,(COLUMN()-7-1)/2+1)&lt;&gt;"Starfsbundið",CY46="",CY$8="",CY$7=""),"",ROUND(CY46/CY$8*CY$7*KVARDI,2))</f>
        <v/>
      </c>
      <c r="DA46" s="39"/>
      <c r="DB46" s="40" t="str">
        <f aca="false">IF(OR(INDEX(Undirviðmið!$G$6:$G$105,(COLUMN()-7-1)/2+1)&lt;&gt;"Starfsbundið",DA46="",DA$8="",DA$7=""),"",ROUND(DA46/DA$8*DA$7*KVARDI,2))</f>
        <v/>
      </c>
      <c r="DC46" s="39"/>
      <c r="DD46" s="40" t="str">
        <f aca="false">IF(OR(INDEX(Undirviðmið!$G$6:$G$105,(COLUMN()-7-1)/2+1)&lt;&gt;"Starfsbundið",DC46="",DC$8="",DC$7=""),"",ROUND(DC46/DC$8*DC$7*KVARDI,2))</f>
        <v/>
      </c>
      <c r="DE46" s="39"/>
      <c r="DF46" s="40" t="str">
        <f aca="false">IF(OR(INDEX(Undirviðmið!$G$6:$G$105,(COLUMN()-7-1)/2+1)&lt;&gt;"Starfsbundið",DE46="",DE$8="",DE$7=""),"",ROUND(DE46/DE$8*DE$7*KVARDI,2))</f>
        <v/>
      </c>
      <c r="DG46" s="39"/>
      <c r="DH46" s="40" t="str">
        <f aca="false">IF(OR(INDEX(Undirviðmið!$G$6:$G$105,(COLUMN()-7-1)/2+1)&lt;&gt;"Starfsbundið",DG46="",DG$8="",DG$7=""),"",ROUND(DG46/DG$8*DG$7*KVARDI,2))</f>
        <v/>
      </c>
      <c r="DI46" s="39"/>
      <c r="DJ46" s="40" t="str">
        <f aca="false">IF(OR(INDEX(Undirviðmið!$G$6:$G$105,(COLUMN()-7-1)/2+1)&lt;&gt;"Starfsbundið",DI46="",DI$8="",DI$7=""),"",ROUND(DI46/DI$8*DI$7*KVARDI,2))</f>
        <v/>
      </c>
      <c r="DK46" s="39"/>
      <c r="DL46" s="40" t="str">
        <f aca="false">IF(OR(INDEX(Undirviðmið!$G$6:$G$105,(COLUMN()-7-1)/2+1)&lt;&gt;"Starfsbundið",DK46="",DK$8="",DK$7=""),"",ROUND(DK46/DK$8*DK$7*KVARDI,2))</f>
        <v/>
      </c>
      <c r="DM46" s="39"/>
      <c r="DN46" s="40" t="str">
        <f aca="false">IF(OR(INDEX(Undirviðmið!$G$6:$G$105,(COLUMN()-7-1)/2+1)&lt;&gt;"Starfsbundið",DM46="",DM$8="",DM$7=""),"",ROUND(DM46/DM$8*DM$7*KVARDI,2))</f>
        <v/>
      </c>
      <c r="DO46" s="39"/>
      <c r="DP46" s="40" t="str">
        <f aca="false">IF(OR(INDEX(Undirviðmið!$G$6:$G$105,(COLUMN()-7-1)/2+1)&lt;&gt;"Starfsbundið",DO46="",DO$8="",DO$7=""),"",ROUND(DO46/DO$8*DO$7*KVARDI,2))</f>
        <v/>
      </c>
      <c r="DQ46" s="39"/>
      <c r="DR46" s="40" t="str">
        <f aca="false">IF(OR(INDEX(Undirviðmið!$G$6:$G$105,(COLUMN()-7-1)/2+1)&lt;&gt;"Starfsbundið",DQ46="",DQ$8="",DQ$7=""),"",ROUND(DQ46/DQ$8*DQ$7*KVARDI,2))</f>
        <v/>
      </c>
      <c r="DS46" s="39"/>
      <c r="DT46" s="40" t="str">
        <f aca="false">IF(OR(INDEX(Undirviðmið!$G$6:$G$105,(COLUMN()-7-1)/2+1)&lt;&gt;"Starfsbundið",DS46="",DS$8="",DS$7=""),"",ROUND(DS46/DS$8*DS$7*KVARDI,2))</f>
        <v/>
      </c>
      <c r="DU46" s="39"/>
      <c r="DV46" s="40" t="str">
        <f aca="false">IF(OR(INDEX(Undirviðmið!$G$6:$G$105,(COLUMN()-7-1)/2+1)&lt;&gt;"Starfsbundið",DU46="",DU$8="",DU$7=""),"",ROUND(DU46/DU$8*DU$7*KVARDI,2))</f>
        <v/>
      </c>
      <c r="DW46" s="39"/>
      <c r="DX46" s="40" t="str">
        <f aca="false">IF(OR(INDEX(Undirviðmið!$G$6:$G$105,(COLUMN()-7-1)/2+1)&lt;&gt;"Starfsbundið",DW46="",DW$8="",DW$7=""),"",ROUND(DW46/DW$8*DW$7*KVARDI,2))</f>
        <v/>
      </c>
      <c r="DY46" s="39"/>
      <c r="DZ46" s="40" t="str">
        <f aca="false">IF(OR(INDEX(Undirviðmið!$G$6:$G$105,(COLUMN()-7-1)/2+1)&lt;&gt;"Starfsbundið",DY46="",DY$8="",DY$7=""),"",ROUND(DY46/DY$8*DY$7*KVARDI,2))</f>
        <v/>
      </c>
      <c r="EA46" s="39"/>
      <c r="EB46" s="40" t="str">
        <f aca="false">IF(OR(INDEX(Undirviðmið!$G$6:$G$105,(COLUMN()-7-1)/2+1)&lt;&gt;"Starfsbundið",EA46="",EA$8="",EA$7=""),"",ROUND(EA46/EA$8*EA$7*KVARDI,2))</f>
        <v/>
      </c>
      <c r="EC46" s="39"/>
      <c r="ED46" s="40" t="str">
        <f aca="false">IF(OR(INDEX(Undirviðmið!$G$6:$G$105,(COLUMN()-7-1)/2+1)&lt;&gt;"Starfsbundið",EC46="",EC$8="",EC$7=""),"",ROUND(EC46/EC$8*EC$7*KVARDI,2))</f>
        <v/>
      </c>
      <c r="EE46" s="39"/>
      <c r="EF46" s="40" t="str">
        <f aca="false">IF(OR(INDEX(Undirviðmið!$G$6:$G$105,(COLUMN()-7-1)/2+1)&lt;&gt;"Starfsbundið",EE46="",EE$8="",EE$7=""),"",ROUND(EE46/EE$8*EE$7*KVARDI,2))</f>
        <v/>
      </c>
      <c r="EG46" s="39"/>
      <c r="EH46" s="40" t="str">
        <f aca="false">IF(OR(INDEX(Undirviðmið!$G$6:$G$105,(COLUMN()-7-1)/2+1)&lt;&gt;"Starfsbundið",EG46="",EG$8="",EG$7=""),"",ROUND(EG46/EG$8*EG$7*KVARDI,2))</f>
        <v/>
      </c>
      <c r="EI46" s="39"/>
      <c r="EJ46" s="40" t="str">
        <f aca="false">IF(OR(INDEX(Undirviðmið!$G$6:$G$105,(COLUMN()-7-1)/2+1)&lt;&gt;"Starfsbundið",EI46="",EI$8="",EI$7=""),"",ROUND(EI46/EI$8*EI$7*KVARDI,2))</f>
        <v/>
      </c>
      <c r="EK46" s="39"/>
      <c r="EL46" s="40" t="str">
        <f aca="false">IF(OR(INDEX(Undirviðmið!$G$6:$G$105,(COLUMN()-7-1)/2+1)&lt;&gt;"Starfsbundið",EK46="",EK$8="",EK$7=""),"",ROUND(EK46/EK$8*EK$7*KVARDI,2))</f>
        <v/>
      </c>
      <c r="EM46" s="39"/>
      <c r="EN46" s="40" t="str">
        <f aca="false">IF(OR(INDEX(Undirviðmið!$G$6:$G$105,(COLUMN()-7-1)/2+1)&lt;&gt;"Starfsbundið",EM46="",EM$8="",EM$7=""),"",ROUND(EM46/EM$8*EM$7*KVARDI,2))</f>
        <v/>
      </c>
      <c r="EO46" s="39"/>
      <c r="EP46" s="40" t="str">
        <f aca="false">IF(OR(INDEX(Undirviðmið!$G$6:$G$105,(COLUMN()-7-1)/2+1)&lt;&gt;"Starfsbundið",EO46="",EO$8="",EO$7=""),"",ROUND(EO46/EO$8*EO$7*KVARDI,2))</f>
        <v/>
      </c>
      <c r="EQ46" s="39"/>
      <c r="ER46" s="40" t="str">
        <f aca="false">IF(OR(INDEX(Undirviðmið!$G$6:$G$105,(COLUMN()-7-1)/2+1)&lt;&gt;"Starfsbundið",EQ46="",EQ$8="",EQ$7=""),"",ROUND(EQ46/EQ$8*EQ$7*KVARDI,2))</f>
        <v/>
      </c>
      <c r="ES46" s="39"/>
      <c r="ET46" s="40" t="str">
        <f aca="false">IF(OR(INDEX(Undirviðmið!$G$6:$G$105,(COLUMN()-7-1)/2+1)&lt;&gt;"Starfsbundið",ES46="",ES$8="",ES$7=""),"",ROUND(ES46/ES$8*ES$7*KVARDI,2))</f>
        <v/>
      </c>
      <c r="EU46" s="39"/>
      <c r="EV46" s="40" t="str">
        <f aca="false">IF(OR(INDEX(Undirviðmið!$G$6:$G$105,(COLUMN()-7-1)/2+1)&lt;&gt;"Starfsbundið",EU46="",EU$8="",EU$7=""),"",ROUND(EU46/EU$8*EU$7*KVARDI,2))</f>
        <v/>
      </c>
      <c r="EW46" s="39"/>
      <c r="EX46" s="40" t="str">
        <f aca="false">IF(OR(INDEX(Undirviðmið!$G$6:$G$105,(COLUMN()-7-1)/2+1)&lt;&gt;"Starfsbundið",EW46="",EW$8="",EW$7=""),"",ROUND(EW46/EW$8*EW$7*KVARDI,2))</f>
        <v/>
      </c>
      <c r="EY46" s="39"/>
      <c r="EZ46" s="40" t="str">
        <f aca="false">IF(OR(INDEX(Undirviðmið!$G$6:$G$105,(COLUMN()-7-1)/2+1)&lt;&gt;"Starfsbundið",EY46="",EY$8="",EY$7=""),"",ROUND(EY46/EY$8*EY$7*KVARDI,2))</f>
        <v/>
      </c>
      <c r="FA46" s="39"/>
      <c r="FB46" s="40" t="str">
        <f aca="false">IF(OR(INDEX(Undirviðmið!$G$6:$G$105,(COLUMN()-7-1)/2+1)&lt;&gt;"Starfsbundið",FA46="",FA$8="",FA$7=""),"",ROUND(FA46/FA$8*FA$7*KVARDI,2))</f>
        <v/>
      </c>
      <c r="FC46" s="39"/>
      <c r="FD46" s="40" t="str">
        <f aca="false">IF(OR(INDEX(Undirviðmið!$G$6:$G$105,(COLUMN()-7-1)/2+1)&lt;&gt;"Starfsbundið",FC46="",FC$8="",FC$7=""),"",ROUND(FC46/FC$8*FC$7*KVARDI,2))</f>
        <v/>
      </c>
      <c r="FE46" s="39"/>
      <c r="FF46" s="40" t="str">
        <f aca="false">IF(OR(INDEX(Undirviðmið!$G$6:$G$105,(COLUMN()-7-1)/2+1)&lt;&gt;"Starfsbundið",FE46="",FE$8="",FE$7=""),"",ROUND(FE46/FE$8*FE$7*KVARDI,2))</f>
        <v/>
      </c>
      <c r="FG46" s="39"/>
      <c r="FH46" s="40" t="str">
        <f aca="false">IF(OR(INDEX(Undirviðmið!$G$6:$G$105,(COLUMN()-7-1)/2+1)&lt;&gt;"Starfsbundið",FG46="",FG$8="",FG$7=""),"",ROUND(FG46/FG$8*FG$7*KVARDI,2))</f>
        <v/>
      </c>
      <c r="FI46" s="39"/>
      <c r="FJ46" s="40" t="str">
        <f aca="false">IF(OR(INDEX(Undirviðmið!$G$6:$G$105,(COLUMN()-7-1)/2+1)&lt;&gt;"Starfsbundið",FI46="",FI$8="",FI$7=""),"",ROUND(FI46/FI$8*FI$7*KVARDI,2))</f>
        <v/>
      </c>
      <c r="FK46" s="39"/>
      <c r="FL46" s="40" t="str">
        <f aca="false">IF(OR(INDEX(Undirviðmið!$G$6:$G$105,(COLUMN()-7-1)/2+1)&lt;&gt;"Starfsbundið",FK46="",FK$8="",FK$7=""),"",ROUND(FK46/FK$8*FK$7*KVARDI,2))</f>
        <v/>
      </c>
      <c r="FM46" s="39"/>
      <c r="FN46" s="40" t="str">
        <f aca="false">IF(OR(INDEX(Undirviðmið!$G$6:$G$105,(COLUMN()-7-1)/2+1)&lt;&gt;"Starfsbundið",FM46="",FM$8="",FM$7=""),"",ROUND(FM46/FM$8*FM$7*KVARDI,2))</f>
        <v/>
      </c>
      <c r="FO46" s="39"/>
      <c r="FP46" s="40" t="str">
        <f aca="false">IF(OR(INDEX(Undirviðmið!$G$6:$G$105,(COLUMN()-7-1)/2+1)&lt;&gt;"Starfsbundið",FO46="",FO$8="",FO$7=""),"",ROUND(FO46/FO$8*FO$7*KVARDI,2))</f>
        <v/>
      </c>
      <c r="FQ46" s="39"/>
      <c r="FR46" s="40" t="str">
        <f aca="false">IF(OR(INDEX(Undirviðmið!$G$6:$G$105,(COLUMN()-7-1)/2+1)&lt;&gt;"Starfsbundið",FQ46="",FQ$8="",FQ$7=""),"",ROUND(FQ46/FQ$8*FQ$7*KVARDI,2))</f>
        <v/>
      </c>
      <c r="FS46" s="39"/>
      <c r="FT46" s="40" t="str">
        <f aca="false">IF(OR(INDEX(Undirviðmið!$G$6:$G$105,(COLUMN()-7-1)/2+1)&lt;&gt;"Starfsbundið",FS46="",FS$8="",FS$7=""),"",ROUND(FS46/FS$8*FS$7*KVARDI,2))</f>
        <v/>
      </c>
      <c r="FU46" s="39"/>
      <c r="FV46" s="40" t="str">
        <f aca="false">IF(OR(INDEX(Undirviðmið!$G$6:$G$105,(COLUMN()-7-1)/2+1)&lt;&gt;"Starfsbundið",FU46="",FU$8="",FU$7=""),"",ROUND(FU46/FU$8*FU$7*KVARDI,2))</f>
        <v/>
      </c>
      <c r="FW46" s="39"/>
      <c r="FX46" s="40" t="str">
        <f aca="false">IF(OR(INDEX(Undirviðmið!$G$6:$G$105,(COLUMN()-7-1)/2+1)&lt;&gt;"Starfsbundið",FW46="",FW$8="",FW$7=""),"",ROUND(FW46/FW$8*FW$7*KVARDI,2))</f>
        <v/>
      </c>
      <c r="FY46" s="39"/>
      <c r="FZ46" s="40" t="str">
        <f aca="false">IF(OR(INDEX(Undirviðmið!$G$6:$G$105,(COLUMN()-7-1)/2+1)&lt;&gt;"Starfsbundið",FY46="",FY$8="",FY$7=""),"",ROUND(FY46/FY$8*FY$7*KVARDI,2))</f>
        <v/>
      </c>
      <c r="GA46" s="39"/>
      <c r="GB46" s="40" t="str">
        <f aca="false">IF(OR(INDEX(Undirviðmið!$G$6:$G$105,(COLUMN()-7-1)/2+1)&lt;&gt;"Starfsbundið",GA46="",GA$8="",GA$7=""),"",ROUND(GA46/GA$8*GA$7*KVARDI,2))</f>
        <v/>
      </c>
      <c r="GC46" s="39"/>
      <c r="GD46" s="40" t="str">
        <f aca="false">IF(OR(INDEX(Undirviðmið!$G$6:$G$105,(COLUMN()-7-1)/2+1)&lt;&gt;"Starfsbundið",GC46="",GC$8="",GC$7=""),"",ROUND(GC46/GC$8*GC$7*KVARDI,2))</f>
        <v/>
      </c>
      <c r="GE46" s="39"/>
      <c r="GF46" s="40" t="str">
        <f aca="false">IF(OR(INDEX(Undirviðmið!$G$6:$G$105,(COLUMN()-7-1)/2+1)&lt;&gt;"Starfsbundið",GE46="",GE$8="",GE$7=""),"",ROUND(GE46/GE$8*GE$7*KVARDI,2))</f>
        <v/>
      </c>
      <c r="GG46" s="39"/>
      <c r="GH46" s="40" t="str">
        <f aca="false">IF(OR(INDEX(Undirviðmið!$G$6:$G$105,(COLUMN()-7-1)/2+1)&lt;&gt;"Starfsbundið",GG46="",GG$8="",GG$7=""),"",ROUND(GG46/GG$8*GG$7*KVARDI,2))</f>
        <v/>
      </c>
      <c r="GI46" s="39"/>
      <c r="GJ46" s="40" t="str">
        <f aca="false">IF(OR(INDEX(Undirviðmið!$G$6:$G$105,(COLUMN()-7-1)/2+1)&lt;&gt;"Starfsbundið",GI46="",GI$8="",GI$7=""),"",ROUND(GI46/GI$8*GI$7*KVARDI,2))</f>
        <v/>
      </c>
      <c r="GK46" s="39"/>
      <c r="GL46" s="40" t="str">
        <f aca="false">IF(OR(INDEX(Undirviðmið!$G$6:$G$105,(COLUMN()-7-1)/2+1)&lt;&gt;"Starfsbundið",GK46="",GK$8="",GK$7=""),"",ROUND(GK46/GK$8*GK$7*KVARDI,2))</f>
        <v/>
      </c>
      <c r="GM46" s="39"/>
      <c r="GN46" s="40" t="str">
        <f aca="false">IF(OR(INDEX(Undirviðmið!$G$6:$G$105,(COLUMN()-7-1)/2+1)&lt;&gt;"Starfsbundið",GM46="",GM$8="",GM$7=""),"",ROUND(GM46/GM$8*GM$7*KVARDI,2))</f>
        <v/>
      </c>
      <c r="GO46" s="39"/>
      <c r="GP46" s="40" t="str">
        <f aca="false">IF(OR(INDEX(Undirviðmið!$G$6:$G$105,(COLUMN()-7-1)/2+1)&lt;&gt;"Starfsbundið",GO46="",GO$8="",GO$7=""),"",ROUND(GO46/GO$8*GO$7*KVARDI,2))</f>
        <v/>
      </c>
      <c r="GQ46" s="39"/>
      <c r="GR46" s="40" t="str">
        <f aca="false">IF(OR(INDEX(Undirviðmið!$G$6:$G$105,(COLUMN()-7-1)/2+1)&lt;&gt;"Starfsbundið",GQ46="",GQ$8="",GQ$7=""),"",ROUND(GQ46/GQ$8*GQ$7*KVARDI,2))</f>
        <v/>
      </c>
      <c r="GS46" s="39"/>
      <c r="GT46" s="40" t="str">
        <f aca="false">IF(OR(INDEX(Undirviðmið!$G$6:$G$105,(COLUMN()-7-1)/2+1)&lt;&gt;"Starfsbundið",GS46="",GS$8="",GS$7=""),"",ROUND(GS46/GS$8*GS$7*KVARDI,2))</f>
        <v/>
      </c>
      <c r="GU46" s="39"/>
      <c r="GV46" s="40" t="str">
        <f aca="false">IF(OR(INDEX(Undirviðmið!$G$6:$G$105,(COLUMN()-7-1)/2+1)&lt;&gt;"Starfsbundið",GU46="",GU$8="",GU$7=""),"",ROUND(GU46/GU$8*GU$7*KVARDI,2))</f>
        <v/>
      </c>
      <c r="GW46" s="39"/>
      <c r="GX46" s="40" t="str">
        <f aca="false">IF(OR(INDEX(Undirviðmið!$G$6:$G$105,(COLUMN()-7-1)/2+1)&lt;&gt;"Starfsbundið",GW46="",GW$8="",GW$7=""),"",ROUND(GW46/GW$8*GW$7*KVARDI,2))</f>
        <v/>
      </c>
      <c r="GZ46" s="20"/>
    </row>
    <row r="47" customFormat="false" ht="15" hidden="true" customHeight="true" outlineLevel="1" collapsed="false">
      <c r="B47" s="37" t="str">
        <f aca="false" t="array" ref="B47:B47">IFERROR(INDEX(Starfsmenn!$C$6:$C$10005,MATCH(0,COUNTIF($B$11:B46,Starfsmenn!$C$6:$C$10005)+(Starfsmenn!$C$6:$C$10005=""),0)),"")</f>
        <v/>
      </c>
      <c r="C47" s="38" t="n">
        <f aca="false">IFERROR(SUMIF($G$10:$GX$10,"Stig",$G47:$GX47),0)</f>
        <v>0</v>
      </c>
      <c r="G47" s="39"/>
      <c r="H47" s="40" t="str">
        <f aca="false">IF(OR(INDEX(Undirviðmið!$G$6:$G$105,(COLUMN()-7-1)/2+1)&lt;&gt;"Starfsbundið",G47="",G$8="",G$7=""),"",ROUND(G47/G$8*G$7*KVARDI,2))</f>
        <v/>
      </c>
      <c r="I47" s="39"/>
      <c r="J47" s="40" t="str">
        <f aca="false">IF(OR(INDEX(Undirviðmið!$G$6:$G$105,(COLUMN()-7-1)/2+1)&lt;&gt;"Starfsbundið",I47="",I$8="",I$7=""),"",ROUND(I47/I$8*I$7*KVARDI,2))</f>
        <v/>
      </c>
      <c r="K47" s="39"/>
      <c r="L47" s="40" t="str">
        <f aca="false">IF(OR(INDEX(Undirviðmið!$G$6:$G$105,(COLUMN()-7-1)/2+1)&lt;&gt;"Starfsbundið",K47="",K$8="",K$7=""),"",ROUND(K47/K$8*K$7*KVARDI,2))</f>
        <v/>
      </c>
      <c r="M47" s="39"/>
      <c r="N47" s="40" t="str">
        <f aca="false">IF(OR(INDEX(Undirviðmið!$G$6:$G$105,(COLUMN()-7-1)/2+1)&lt;&gt;"Starfsbundið",M47="",M$8="",M$7=""),"",ROUND(M47/M$8*M$7*KVARDI,2))</f>
        <v/>
      </c>
      <c r="O47" s="39"/>
      <c r="P47" s="40" t="str">
        <f aca="false">IF(OR(INDEX(Undirviðmið!$G$6:$G$105,(COLUMN()-7-1)/2+1)&lt;&gt;"Starfsbundið",O47="",O$8="",O$7=""),"",ROUND(O47/O$8*O$7*KVARDI,2))</f>
        <v/>
      </c>
      <c r="Q47" s="39"/>
      <c r="R47" s="40" t="str">
        <f aca="false">IF(OR(INDEX(Undirviðmið!$G$6:$G$105,(COLUMN()-7-1)/2+1)&lt;&gt;"Starfsbundið",Q47="",Q$8="",Q$7=""),"",ROUND(Q47/Q$8*Q$7*KVARDI,2))</f>
        <v/>
      </c>
      <c r="S47" s="39"/>
      <c r="T47" s="40" t="str">
        <f aca="false">IF(OR(INDEX(Undirviðmið!$G$6:$G$105,(COLUMN()-7-1)/2+1)&lt;&gt;"Starfsbundið",S47="",S$8="",S$7=""),"",ROUND(S47/S$8*S$7*KVARDI,2))</f>
        <v/>
      </c>
      <c r="U47" s="39"/>
      <c r="V47" s="40" t="str">
        <f aca="false">IF(OR(INDEX(Undirviðmið!$G$6:$G$105,(COLUMN()-7-1)/2+1)&lt;&gt;"Starfsbundið",U47="",U$8="",U$7=""),"",ROUND(U47/U$8*U$7*KVARDI,2))</f>
        <v/>
      </c>
      <c r="W47" s="39"/>
      <c r="X47" s="40" t="str">
        <f aca="false">IF(OR(INDEX(Undirviðmið!$G$6:$G$105,(COLUMN()-7-1)/2+1)&lt;&gt;"Starfsbundið",W47="",W$8="",W$7=""),"",ROUND(W47/W$8*W$7*KVARDI,2))</f>
        <v/>
      </c>
      <c r="Y47" s="39"/>
      <c r="Z47" s="40" t="str">
        <f aca="false">IF(OR(INDEX(Undirviðmið!$G$6:$G$105,(COLUMN()-7-1)/2+1)&lt;&gt;"Starfsbundið",Y47="",Y$8="",Y$7=""),"",ROUND(Y47/Y$8*Y$7*KVARDI,2))</f>
        <v/>
      </c>
      <c r="AA47" s="39"/>
      <c r="AB47" s="40" t="str">
        <f aca="false">IF(OR(INDEX(Undirviðmið!$G$6:$G$105,(COLUMN()-7-1)/2+1)&lt;&gt;"Starfsbundið",AA47="",AA$8="",AA$7=""),"",ROUND(AA47/AA$8*AA$7*KVARDI,2))</f>
        <v/>
      </c>
      <c r="AC47" s="39"/>
      <c r="AD47" s="40" t="str">
        <f aca="false">IF(OR(INDEX(Undirviðmið!$G$6:$G$105,(COLUMN()-7-1)/2+1)&lt;&gt;"Starfsbundið",AC47="",AC$8="",AC$7=""),"",ROUND(AC47/AC$8*AC$7*KVARDI,2))</f>
        <v/>
      </c>
      <c r="AE47" s="39"/>
      <c r="AF47" s="40" t="str">
        <f aca="false">IF(OR(INDEX(Undirviðmið!$G$6:$G$105,(COLUMN()-7-1)/2+1)&lt;&gt;"Starfsbundið",AE47="",AE$8="",AE$7=""),"",ROUND(AE47/AE$8*AE$7*KVARDI,2))</f>
        <v/>
      </c>
      <c r="AG47" s="39"/>
      <c r="AH47" s="40" t="str">
        <f aca="false">IF(OR(INDEX(Undirviðmið!$G$6:$G$105,(COLUMN()-7-1)/2+1)&lt;&gt;"Starfsbundið",AG47="",AG$8="",AG$7=""),"",ROUND(AG47/AG$8*AG$7*KVARDI,2))</f>
        <v/>
      </c>
      <c r="AI47" s="39"/>
      <c r="AJ47" s="40" t="str">
        <f aca="false">IF(OR(INDEX(Undirviðmið!$G$6:$G$105,(COLUMN()-7-1)/2+1)&lt;&gt;"Starfsbundið",AI47="",AI$8="",AI$7=""),"",ROUND(AI47/AI$8*AI$7*KVARDI,2))</f>
        <v/>
      </c>
      <c r="AK47" s="39"/>
      <c r="AL47" s="40" t="str">
        <f aca="false">IF(OR(INDEX(Undirviðmið!$G$6:$G$105,(COLUMN()-7-1)/2+1)&lt;&gt;"Starfsbundið",AK47="",AK$8="",AK$7=""),"",ROUND(AK47/AK$8*AK$7*KVARDI,2))</f>
        <v/>
      </c>
      <c r="AM47" s="39"/>
      <c r="AN47" s="40" t="str">
        <f aca="false">IF(OR(INDEX(Undirviðmið!$G$6:$G$105,(COLUMN()-7-1)/2+1)&lt;&gt;"Starfsbundið",AM47="",AM$8="",AM$7=""),"",ROUND(AM47/AM$8*AM$7*KVARDI,2))</f>
        <v/>
      </c>
      <c r="AO47" s="39"/>
      <c r="AP47" s="40" t="str">
        <f aca="false">IF(OR(INDEX(Undirviðmið!$G$6:$G$105,(COLUMN()-7-1)/2+1)&lt;&gt;"Starfsbundið",AO47="",AO$8="",AO$7=""),"",ROUND(AO47/AO$8*AO$7*KVARDI,2))</f>
        <v/>
      </c>
      <c r="AQ47" s="39"/>
      <c r="AR47" s="40" t="str">
        <f aca="false">IF(OR(INDEX(Undirviðmið!$G$6:$G$105,(COLUMN()-7-1)/2+1)&lt;&gt;"Starfsbundið",AQ47="",AQ$8="",AQ$7=""),"",ROUND(AQ47/AQ$8*AQ$7*KVARDI,2))</f>
        <v/>
      </c>
      <c r="AS47" s="39"/>
      <c r="AT47" s="40" t="str">
        <f aca="false">IF(OR(INDEX(Undirviðmið!$G$6:$G$105,(COLUMN()-7-1)/2+1)&lt;&gt;"Starfsbundið",AS47="",AS$8="",AS$7=""),"",ROUND(AS47/AS$8*AS$7*KVARDI,2))</f>
        <v/>
      </c>
      <c r="AU47" s="39"/>
      <c r="AV47" s="40" t="str">
        <f aca="false">IF(OR(INDEX(Undirviðmið!$G$6:$G$105,(COLUMN()-7-1)/2+1)&lt;&gt;"Starfsbundið",AU47="",AU$8="",AU$7=""),"",ROUND(AU47/AU$8*AU$7*KVARDI,2))</f>
        <v/>
      </c>
      <c r="AW47" s="39"/>
      <c r="AX47" s="40" t="str">
        <f aca="false">IF(OR(INDEX(Undirviðmið!$G$6:$G$105,(COLUMN()-7-1)/2+1)&lt;&gt;"Starfsbundið",AW47="",AW$8="",AW$7=""),"",ROUND(AW47/AW$8*AW$7*KVARDI,2))</f>
        <v/>
      </c>
      <c r="AY47" s="39"/>
      <c r="AZ47" s="40" t="str">
        <f aca="false">IF(OR(INDEX(Undirviðmið!$G$6:$G$105,(COLUMN()-7-1)/2+1)&lt;&gt;"Starfsbundið",AY47="",AY$8="",AY$7=""),"",ROUND(AY47/AY$8*AY$7*KVARDI,2))</f>
        <v/>
      </c>
      <c r="BA47" s="39"/>
      <c r="BB47" s="40" t="str">
        <f aca="false">IF(OR(INDEX(Undirviðmið!$G$6:$G$105,(COLUMN()-7-1)/2+1)&lt;&gt;"Starfsbundið",BA47="",BA$8="",BA$7=""),"",ROUND(BA47/BA$8*BA$7*KVARDI,2))</f>
        <v/>
      </c>
      <c r="BC47" s="39"/>
      <c r="BD47" s="40" t="str">
        <f aca="false">IF(OR(INDEX(Undirviðmið!$G$6:$G$105,(COLUMN()-7-1)/2+1)&lt;&gt;"Starfsbundið",BC47="",BC$8="",BC$7=""),"",ROUND(BC47/BC$8*BC$7*KVARDI,2))</f>
        <v/>
      </c>
      <c r="BE47" s="39"/>
      <c r="BF47" s="40" t="str">
        <f aca="false">IF(OR(INDEX(Undirviðmið!$G$6:$G$105,(COLUMN()-7-1)/2+1)&lt;&gt;"Starfsbundið",BE47="",BE$8="",BE$7=""),"",ROUND(BE47/BE$8*BE$7*KVARDI,2))</f>
        <v/>
      </c>
      <c r="BG47" s="39"/>
      <c r="BH47" s="40" t="str">
        <f aca="false">IF(OR(INDEX(Undirviðmið!$G$6:$G$105,(COLUMN()-7-1)/2+1)&lt;&gt;"Starfsbundið",BG47="",BG$8="",BG$7=""),"",ROUND(BG47/BG$8*BG$7*KVARDI,2))</f>
        <v/>
      </c>
      <c r="BI47" s="39"/>
      <c r="BJ47" s="40" t="str">
        <f aca="false">IF(OR(INDEX(Undirviðmið!$G$6:$G$105,(COLUMN()-7-1)/2+1)&lt;&gt;"Starfsbundið",BI47="",BI$8="",BI$7=""),"",ROUND(BI47/BI$8*BI$7*KVARDI,2))</f>
        <v/>
      </c>
      <c r="BK47" s="39"/>
      <c r="BL47" s="40" t="str">
        <f aca="false">IF(OR(INDEX(Undirviðmið!$G$6:$G$105,(COLUMN()-7-1)/2+1)&lt;&gt;"Starfsbundið",BK47="",BK$8="",BK$7=""),"",ROUND(BK47/BK$8*BK$7*KVARDI,2))</f>
        <v/>
      </c>
      <c r="BM47" s="39"/>
      <c r="BN47" s="40" t="str">
        <f aca="false">IF(OR(INDEX(Undirviðmið!$G$6:$G$105,(COLUMN()-7-1)/2+1)&lt;&gt;"Starfsbundið",BM47="",BM$8="",BM$7=""),"",ROUND(BM47/BM$8*BM$7*KVARDI,2))</f>
        <v/>
      </c>
      <c r="BO47" s="39"/>
      <c r="BP47" s="40" t="str">
        <f aca="false">IF(OR(INDEX(Undirviðmið!$G$6:$G$105,(COLUMN()-7-1)/2+1)&lt;&gt;"Starfsbundið",BO47="",BO$8="",BO$7=""),"",ROUND(BO47/BO$8*BO$7*KVARDI,2))</f>
        <v/>
      </c>
      <c r="BQ47" s="39"/>
      <c r="BR47" s="40" t="str">
        <f aca="false">IF(OR(INDEX(Undirviðmið!$G$6:$G$105,(COLUMN()-7-1)/2+1)&lt;&gt;"Starfsbundið",BQ47="",BQ$8="",BQ$7=""),"",ROUND(BQ47/BQ$8*BQ$7*KVARDI,2))</f>
        <v/>
      </c>
      <c r="BS47" s="39"/>
      <c r="BT47" s="40" t="str">
        <f aca="false">IF(OR(INDEX(Undirviðmið!$G$6:$G$105,(COLUMN()-7-1)/2+1)&lt;&gt;"Starfsbundið",BS47="",BS$8="",BS$7=""),"",ROUND(BS47/BS$8*BS$7*KVARDI,2))</f>
        <v/>
      </c>
      <c r="BU47" s="39"/>
      <c r="BV47" s="40" t="str">
        <f aca="false">IF(OR(INDEX(Undirviðmið!$G$6:$G$105,(COLUMN()-7-1)/2+1)&lt;&gt;"Starfsbundið",BU47="",BU$8="",BU$7=""),"",ROUND(BU47/BU$8*BU$7*KVARDI,2))</f>
        <v/>
      </c>
      <c r="BW47" s="39"/>
      <c r="BX47" s="40" t="str">
        <f aca="false">IF(OR(INDEX(Undirviðmið!$G$6:$G$105,(COLUMN()-7-1)/2+1)&lt;&gt;"Starfsbundið",BW47="",BW$8="",BW$7=""),"",ROUND(BW47/BW$8*BW$7*KVARDI,2))</f>
        <v/>
      </c>
      <c r="BY47" s="39"/>
      <c r="BZ47" s="40" t="str">
        <f aca="false">IF(OR(INDEX(Undirviðmið!$G$6:$G$105,(COLUMN()-7-1)/2+1)&lt;&gt;"Starfsbundið",BY47="",BY$8="",BY$7=""),"",ROUND(BY47/BY$8*BY$7*KVARDI,2))</f>
        <v/>
      </c>
      <c r="CA47" s="39"/>
      <c r="CB47" s="40" t="str">
        <f aca="false">IF(OR(INDEX(Undirviðmið!$G$6:$G$105,(COLUMN()-7-1)/2+1)&lt;&gt;"Starfsbundið",CA47="",CA$8="",CA$7=""),"",ROUND(CA47/CA$8*CA$7*KVARDI,2))</f>
        <v/>
      </c>
      <c r="CC47" s="39"/>
      <c r="CD47" s="40" t="str">
        <f aca="false">IF(OR(INDEX(Undirviðmið!$G$6:$G$105,(COLUMN()-7-1)/2+1)&lt;&gt;"Starfsbundið",CC47="",CC$8="",CC$7=""),"",ROUND(CC47/CC$8*CC$7*KVARDI,2))</f>
        <v/>
      </c>
      <c r="CE47" s="39"/>
      <c r="CF47" s="40" t="str">
        <f aca="false">IF(OR(INDEX(Undirviðmið!$G$6:$G$105,(COLUMN()-7-1)/2+1)&lt;&gt;"Starfsbundið",CE47="",CE$8="",CE$7=""),"",ROUND(CE47/CE$8*CE$7*KVARDI,2))</f>
        <v/>
      </c>
      <c r="CG47" s="39"/>
      <c r="CH47" s="40" t="str">
        <f aca="false">IF(OR(INDEX(Undirviðmið!$G$6:$G$105,(COLUMN()-7-1)/2+1)&lt;&gt;"Starfsbundið",CG47="",CG$8="",CG$7=""),"",ROUND(CG47/CG$8*CG$7*KVARDI,2))</f>
        <v/>
      </c>
      <c r="CI47" s="39"/>
      <c r="CJ47" s="40" t="str">
        <f aca="false">IF(OR(INDEX(Undirviðmið!$G$6:$G$105,(COLUMN()-7-1)/2+1)&lt;&gt;"Starfsbundið",CI47="",CI$8="",CI$7=""),"",ROUND(CI47/CI$8*CI$7*KVARDI,2))</f>
        <v/>
      </c>
      <c r="CK47" s="39"/>
      <c r="CL47" s="40" t="str">
        <f aca="false">IF(OR(INDEX(Undirviðmið!$G$6:$G$105,(COLUMN()-7-1)/2+1)&lt;&gt;"Starfsbundið",CK47="",CK$8="",CK$7=""),"",ROUND(CK47/CK$8*CK$7*KVARDI,2))</f>
        <v/>
      </c>
      <c r="CM47" s="39"/>
      <c r="CN47" s="40" t="str">
        <f aca="false">IF(OR(INDEX(Undirviðmið!$G$6:$G$105,(COLUMN()-7-1)/2+1)&lt;&gt;"Starfsbundið",CM47="",CM$8="",CM$7=""),"",ROUND(CM47/CM$8*CM$7*KVARDI,2))</f>
        <v/>
      </c>
      <c r="CO47" s="39"/>
      <c r="CP47" s="40" t="str">
        <f aca="false">IF(OR(INDEX(Undirviðmið!$G$6:$G$105,(COLUMN()-7-1)/2+1)&lt;&gt;"Starfsbundið",CO47="",CO$8="",CO$7=""),"",ROUND(CO47/CO$8*CO$7*KVARDI,2))</f>
        <v/>
      </c>
      <c r="CQ47" s="39"/>
      <c r="CR47" s="40" t="str">
        <f aca="false">IF(OR(INDEX(Undirviðmið!$G$6:$G$105,(COLUMN()-7-1)/2+1)&lt;&gt;"Starfsbundið",CQ47="",CQ$8="",CQ$7=""),"",ROUND(CQ47/CQ$8*CQ$7*KVARDI,2))</f>
        <v/>
      </c>
      <c r="CS47" s="39"/>
      <c r="CT47" s="40" t="str">
        <f aca="false">IF(OR(INDEX(Undirviðmið!$G$6:$G$105,(COLUMN()-7-1)/2+1)&lt;&gt;"Starfsbundið",CS47="",CS$8="",CS$7=""),"",ROUND(CS47/CS$8*CS$7*KVARDI,2))</f>
        <v/>
      </c>
      <c r="CU47" s="39"/>
      <c r="CV47" s="40" t="str">
        <f aca="false">IF(OR(INDEX(Undirviðmið!$G$6:$G$105,(COLUMN()-7-1)/2+1)&lt;&gt;"Starfsbundið",CU47="",CU$8="",CU$7=""),"",ROUND(CU47/CU$8*CU$7*KVARDI,2))</f>
        <v/>
      </c>
      <c r="CW47" s="39"/>
      <c r="CX47" s="40" t="str">
        <f aca="false">IF(OR(INDEX(Undirviðmið!$G$6:$G$105,(COLUMN()-7-1)/2+1)&lt;&gt;"Starfsbundið",CW47="",CW$8="",CW$7=""),"",ROUND(CW47/CW$8*CW$7*KVARDI,2))</f>
        <v/>
      </c>
      <c r="CY47" s="39"/>
      <c r="CZ47" s="40" t="str">
        <f aca="false">IF(OR(INDEX(Undirviðmið!$G$6:$G$105,(COLUMN()-7-1)/2+1)&lt;&gt;"Starfsbundið",CY47="",CY$8="",CY$7=""),"",ROUND(CY47/CY$8*CY$7*KVARDI,2))</f>
        <v/>
      </c>
      <c r="DA47" s="39"/>
      <c r="DB47" s="40" t="str">
        <f aca="false">IF(OR(INDEX(Undirviðmið!$G$6:$G$105,(COLUMN()-7-1)/2+1)&lt;&gt;"Starfsbundið",DA47="",DA$8="",DA$7=""),"",ROUND(DA47/DA$8*DA$7*KVARDI,2))</f>
        <v/>
      </c>
      <c r="DC47" s="39"/>
      <c r="DD47" s="40" t="str">
        <f aca="false">IF(OR(INDEX(Undirviðmið!$G$6:$G$105,(COLUMN()-7-1)/2+1)&lt;&gt;"Starfsbundið",DC47="",DC$8="",DC$7=""),"",ROUND(DC47/DC$8*DC$7*KVARDI,2))</f>
        <v/>
      </c>
      <c r="DE47" s="39"/>
      <c r="DF47" s="40" t="str">
        <f aca="false">IF(OR(INDEX(Undirviðmið!$G$6:$G$105,(COLUMN()-7-1)/2+1)&lt;&gt;"Starfsbundið",DE47="",DE$8="",DE$7=""),"",ROUND(DE47/DE$8*DE$7*KVARDI,2))</f>
        <v/>
      </c>
      <c r="DG47" s="39"/>
      <c r="DH47" s="40" t="str">
        <f aca="false">IF(OR(INDEX(Undirviðmið!$G$6:$G$105,(COLUMN()-7-1)/2+1)&lt;&gt;"Starfsbundið",DG47="",DG$8="",DG$7=""),"",ROUND(DG47/DG$8*DG$7*KVARDI,2))</f>
        <v/>
      </c>
      <c r="DI47" s="39"/>
      <c r="DJ47" s="40" t="str">
        <f aca="false">IF(OR(INDEX(Undirviðmið!$G$6:$G$105,(COLUMN()-7-1)/2+1)&lt;&gt;"Starfsbundið",DI47="",DI$8="",DI$7=""),"",ROUND(DI47/DI$8*DI$7*KVARDI,2))</f>
        <v/>
      </c>
      <c r="DK47" s="39"/>
      <c r="DL47" s="40" t="str">
        <f aca="false">IF(OR(INDEX(Undirviðmið!$G$6:$G$105,(COLUMN()-7-1)/2+1)&lt;&gt;"Starfsbundið",DK47="",DK$8="",DK$7=""),"",ROUND(DK47/DK$8*DK$7*KVARDI,2))</f>
        <v/>
      </c>
      <c r="DM47" s="39"/>
      <c r="DN47" s="40" t="str">
        <f aca="false">IF(OR(INDEX(Undirviðmið!$G$6:$G$105,(COLUMN()-7-1)/2+1)&lt;&gt;"Starfsbundið",DM47="",DM$8="",DM$7=""),"",ROUND(DM47/DM$8*DM$7*KVARDI,2))</f>
        <v/>
      </c>
      <c r="DO47" s="39"/>
      <c r="DP47" s="40" t="str">
        <f aca="false">IF(OR(INDEX(Undirviðmið!$G$6:$G$105,(COLUMN()-7-1)/2+1)&lt;&gt;"Starfsbundið",DO47="",DO$8="",DO$7=""),"",ROUND(DO47/DO$8*DO$7*KVARDI,2))</f>
        <v/>
      </c>
      <c r="DQ47" s="39"/>
      <c r="DR47" s="40" t="str">
        <f aca="false">IF(OR(INDEX(Undirviðmið!$G$6:$G$105,(COLUMN()-7-1)/2+1)&lt;&gt;"Starfsbundið",DQ47="",DQ$8="",DQ$7=""),"",ROUND(DQ47/DQ$8*DQ$7*KVARDI,2))</f>
        <v/>
      </c>
      <c r="DS47" s="39"/>
      <c r="DT47" s="40" t="str">
        <f aca="false">IF(OR(INDEX(Undirviðmið!$G$6:$G$105,(COLUMN()-7-1)/2+1)&lt;&gt;"Starfsbundið",DS47="",DS$8="",DS$7=""),"",ROUND(DS47/DS$8*DS$7*KVARDI,2))</f>
        <v/>
      </c>
      <c r="DU47" s="39"/>
      <c r="DV47" s="40" t="str">
        <f aca="false">IF(OR(INDEX(Undirviðmið!$G$6:$G$105,(COLUMN()-7-1)/2+1)&lt;&gt;"Starfsbundið",DU47="",DU$8="",DU$7=""),"",ROUND(DU47/DU$8*DU$7*KVARDI,2))</f>
        <v/>
      </c>
      <c r="DW47" s="39"/>
      <c r="DX47" s="40" t="str">
        <f aca="false">IF(OR(INDEX(Undirviðmið!$G$6:$G$105,(COLUMN()-7-1)/2+1)&lt;&gt;"Starfsbundið",DW47="",DW$8="",DW$7=""),"",ROUND(DW47/DW$8*DW$7*KVARDI,2))</f>
        <v/>
      </c>
      <c r="DY47" s="39"/>
      <c r="DZ47" s="40" t="str">
        <f aca="false">IF(OR(INDEX(Undirviðmið!$G$6:$G$105,(COLUMN()-7-1)/2+1)&lt;&gt;"Starfsbundið",DY47="",DY$8="",DY$7=""),"",ROUND(DY47/DY$8*DY$7*KVARDI,2))</f>
        <v/>
      </c>
      <c r="EA47" s="39"/>
      <c r="EB47" s="40" t="str">
        <f aca="false">IF(OR(INDEX(Undirviðmið!$G$6:$G$105,(COLUMN()-7-1)/2+1)&lt;&gt;"Starfsbundið",EA47="",EA$8="",EA$7=""),"",ROUND(EA47/EA$8*EA$7*KVARDI,2))</f>
        <v/>
      </c>
      <c r="EC47" s="39"/>
      <c r="ED47" s="40" t="str">
        <f aca="false">IF(OR(INDEX(Undirviðmið!$G$6:$G$105,(COLUMN()-7-1)/2+1)&lt;&gt;"Starfsbundið",EC47="",EC$8="",EC$7=""),"",ROUND(EC47/EC$8*EC$7*KVARDI,2))</f>
        <v/>
      </c>
      <c r="EE47" s="39"/>
      <c r="EF47" s="40" t="str">
        <f aca="false">IF(OR(INDEX(Undirviðmið!$G$6:$G$105,(COLUMN()-7-1)/2+1)&lt;&gt;"Starfsbundið",EE47="",EE$8="",EE$7=""),"",ROUND(EE47/EE$8*EE$7*KVARDI,2))</f>
        <v/>
      </c>
      <c r="EG47" s="39"/>
      <c r="EH47" s="40" t="str">
        <f aca="false">IF(OR(INDEX(Undirviðmið!$G$6:$G$105,(COLUMN()-7-1)/2+1)&lt;&gt;"Starfsbundið",EG47="",EG$8="",EG$7=""),"",ROUND(EG47/EG$8*EG$7*KVARDI,2))</f>
        <v/>
      </c>
      <c r="EI47" s="39"/>
      <c r="EJ47" s="40" t="str">
        <f aca="false">IF(OR(INDEX(Undirviðmið!$G$6:$G$105,(COLUMN()-7-1)/2+1)&lt;&gt;"Starfsbundið",EI47="",EI$8="",EI$7=""),"",ROUND(EI47/EI$8*EI$7*KVARDI,2))</f>
        <v/>
      </c>
      <c r="EK47" s="39"/>
      <c r="EL47" s="40" t="str">
        <f aca="false">IF(OR(INDEX(Undirviðmið!$G$6:$G$105,(COLUMN()-7-1)/2+1)&lt;&gt;"Starfsbundið",EK47="",EK$8="",EK$7=""),"",ROUND(EK47/EK$8*EK$7*KVARDI,2))</f>
        <v/>
      </c>
      <c r="EM47" s="39"/>
      <c r="EN47" s="40" t="str">
        <f aca="false">IF(OR(INDEX(Undirviðmið!$G$6:$G$105,(COLUMN()-7-1)/2+1)&lt;&gt;"Starfsbundið",EM47="",EM$8="",EM$7=""),"",ROUND(EM47/EM$8*EM$7*KVARDI,2))</f>
        <v/>
      </c>
      <c r="EO47" s="39"/>
      <c r="EP47" s="40" t="str">
        <f aca="false">IF(OR(INDEX(Undirviðmið!$G$6:$G$105,(COLUMN()-7-1)/2+1)&lt;&gt;"Starfsbundið",EO47="",EO$8="",EO$7=""),"",ROUND(EO47/EO$8*EO$7*KVARDI,2))</f>
        <v/>
      </c>
      <c r="EQ47" s="39"/>
      <c r="ER47" s="40" t="str">
        <f aca="false">IF(OR(INDEX(Undirviðmið!$G$6:$G$105,(COLUMN()-7-1)/2+1)&lt;&gt;"Starfsbundið",EQ47="",EQ$8="",EQ$7=""),"",ROUND(EQ47/EQ$8*EQ$7*KVARDI,2))</f>
        <v/>
      </c>
      <c r="ES47" s="39"/>
      <c r="ET47" s="40" t="str">
        <f aca="false">IF(OR(INDEX(Undirviðmið!$G$6:$G$105,(COLUMN()-7-1)/2+1)&lt;&gt;"Starfsbundið",ES47="",ES$8="",ES$7=""),"",ROUND(ES47/ES$8*ES$7*KVARDI,2))</f>
        <v/>
      </c>
      <c r="EU47" s="39"/>
      <c r="EV47" s="40" t="str">
        <f aca="false">IF(OR(INDEX(Undirviðmið!$G$6:$G$105,(COLUMN()-7-1)/2+1)&lt;&gt;"Starfsbundið",EU47="",EU$8="",EU$7=""),"",ROUND(EU47/EU$8*EU$7*KVARDI,2))</f>
        <v/>
      </c>
      <c r="EW47" s="39"/>
      <c r="EX47" s="40" t="str">
        <f aca="false">IF(OR(INDEX(Undirviðmið!$G$6:$G$105,(COLUMN()-7-1)/2+1)&lt;&gt;"Starfsbundið",EW47="",EW$8="",EW$7=""),"",ROUND(EW47/EW$8*EW$7*KVARDI,2))</f>
        <v/>
      </c>
      <c r="EY47" s="39"/>
      <c r="EZ47" s="40" t="str">
        <f aca="false">IF(OR(INDEX(Undirviðmið!$G$6:$G$105,(COLUMN()-7-1)/2+1)&lt;&gt;"Starfsbundið",EY47="",EY$8="",EY$7=""),"",ROUND(EY47/EY$8*EY$7*KVARDI,2))</f>
        <v/>
      </c>
      <c r="FA47" s="39"/>
      <c r="FB47" s="40" t="str">
        <f aca="false">IF(OR(INDEX(Undirviðmið!$G$6:$G$105,(COLUMN()-7-1)/2+1)&lt;&gt;"Starfsbundið",FA47="",FA$8="",FA$7=""),"",ROUND(FA47/FA$8*FA$7*KVARDI,2))</f>
        <v/>
      </c>
      <c r="FC47" s="39"/>
      <c r="FD47" s="40" t="str">
        <f aca="false">IF(OR(INDEX(Undirviðmið!$G$6:$G$105,(COLUMN()-7-1)/2+1)&lt;&gt;"Starfsbundið",FC47="",FC$8="",FC$7=""),"",ROUND(FC47/FC$8*FC$7*KVARDI,2))</f>
        <v/>
      </c>
      <c r="FE47" s="39"/>
      <c r="FF47" s="40" t="str">
        <f aca="false">IF(OR(INDEX(Undirviðmið!$G$6:$G$105,(COLUMN()-7-1)/2+1)&lt;&gt;"Starfsbundið",FE47="",FE$8="",FE$7=""),"",ROUND(FE47/FE$8*FE$7*KVARDI,2))</f>
        <v/>
      </c>
      <c r="FG47" s="39"/>
      <c r="FH47" s="40" t="str">
        <f aca="false">IF(OR(INDEX(Undirviðmið!$G$6:$G$105,(COLUMN()-7-1)/2+1)&lt;&gt;"Starfsbundið",FG47="",FG$8="",FG$7=""),"",ROUND(FG47/FG$8*FG$7*KVARDI,2))</f>
        <v/>
      </c>
      <c r="FI47" s="39"/>
      <c r="FJ47" s="40" t="str">
        <f aca="false">IF(OR(INDEX(Undirviðmið!$G$6:$G$105,(COLUMN()-7-1)/2+1)&lt;&gt;"Starfsbundið",FI47="",FI$8="",FI$7=""),"",ROUND(FI47/FI$8*FI$7*KVARDI,2))</f>
        <v/>
      </c>
      <c r="FK47" s="39"/>
      <c r="FL47" s="40" t="str">
        <f aca="false">IF(OR(INDEX(Undirviðmið!$G$6:$G$105,(COLUMN()-7-1)/2+1)&lt;&gt;"Starfsbundið",FK47="",FK$8="",FK$7=""),"",ROUND(FK47/FK$8*FK$7*KVARDI,2))</f>
        <v/>
      </c>
      <c r="FM47" s="39"/>
      <c r="FN47" s="40" t="str">
        <f aca="false">IF(OR(INDEX(Undirviðmið!$G$6:$G$105,(COLUMN()-7-1)/2+1)&lt;&gt;"Starfsbundið",FM47="",FM$8="",FM$7=""),"",ROUND(FM47/FM$8*FM$7*KVARDI,2))</f>
        <v/>
      </c>
      <c r="FO47" s="39"/>
      <c r="FP47" s="40" t="str">
        <f aca="false">IF(OR(INDEX(Undirviðmið!$G$6:$G$105,(COLUMN()-7-1)/2+1)&lt;&gt;"Starfsbundið",FO47="",FO$8="",FO$7=""),"",ROUND(FO47/FO$8*FO$7*KVARDI,2))</f>
        <v/>
      </c>
      <c r="FQ47" s="39"/>
      <c r="FR47" s="40" t="str">
        <f aca="false">IF(OR(INDEX(Undirviðmið!$G$6:$G$105,(COLUMN()-7-1)/2+1)&lt;&gt;"Starfsbundið",FQ47="",FQ$8="",FQ$7=""),"",ROUND(FQ47/FQ$8*FQ$7*KVARDI,2))</f>
        <v/>
      </c>
      <c r="FS47" s="39"/>
      <c r="FT47" s="40" t="str">
        <f aca="false">IF(OR(INDEX(Undirviðmið!$G$6:$G$105,(COLUMN()-7-1)/2+1)&lt;&gt;"Starfsbundið",FS47="",FS$8="",FS$7=""),"",ROUND(FS47/FS$8*FS$7*KVARDI,2))</f>
        <v/>
      </c>
      <c r="FU47" s="39"/>
      <c r="FV47" s="40" t="str">
        <f aca="false">IF(OR(INDEX(Undirviðmið!$G$6:$G$105,(COLUMN()-7-1)/2+1)&lt;&gt;"Starfsbundið",FU47="",FU$8="",FU$7=""),"",ROUND(FU47/FU$8*FU$7*KVARDI,2))</f>
        <v/>
      </c>
      <c r="FW47" s="39"/>
      <c r="FX47" s="40" t="str">
        <f aca="false">IF(OR(INDEX(Undirviðmið!$G$6:$G$105,(COLUMN()-7-1)/2+1)&lt;&gt;"Starfsbundið",FW47="",FW$8="",FW$7=""),"",ROUND(FW47/FW$8*FW$7*KVARDI,2))</f>
        <v/>
      </c>
      <c r="FY47" s="39"/>
      <c r="FZ47" s="40" t="str">
        <f aca="false">IF(OR(INDEX(Undirviðmið!$G$6:$G$105,(COLUMN()-7-1)/2+1)&lt;&gt;"Starfsbundið",FY47="",FY$8="",FY$7=""),"",ROUND(FY47/FY$8*FY$7*KVARDI,2))</f>
        <v/>
      </c>
      <c r="GA47" s="39"/>
      <c r="GB47" s="40" t="str">
        <f aca="false">IF(OR(INDEX(Undirviðmið!$G$6:$G$105,(COLUMN()-7-1)/2+1)&lt;&gt;"Starfsbundið",GA47="",GA$8="",GA$7=""),"",ROUND(GA47/GA$8*GA$7*KVARDI,2))</f>
        <v/>
      </c>
      <c r="GC47" s="39"/>
      <c r="GD47" s="40" t="str">
        <f aca="false">IF(OR(INDEX(Undirviðmið!$G$6:$G$105,(COLUMN()-7-1)/2+1)&lt;&gt;"Starfsbundið",GC47="",GC$8="",GC$7=""),"",ROUND(GC47/GC$8*GC$7*KVARDI,2))</f>
        <v/>
      </c>
      <c r="GE47" s="39"/>
      <c r="GF47" s="40" t="str">
        <f aca="false">IF(OR(INDEX(Undirviðmið!$G$6:$G$105,(COLUMN()-7-1)/2+1)&lt;&gt;"Starfsbundið",GE47="",GE$8="",GE$7=""),"",ROUND(GE47/GE$8*GE$7*KVARDI,2))</f>
        <v/>
      </c>
      <c r="GG47" s="39"/>
      <c r="GH47" s="40" t="str">
        <f aca="false">IF(OR(INDEX(Undirviðmið!$G$6:$G$105,(COLUMN()-7-1)/2+1)&lt;&gt;"Starfsbundið",GG47="",GG$8="",GG$7=""),"",ROUND(GG47/GG$8*GG$7*KVARDI,2))</f>
        <v/>
      </c>
      <c r="GI47" s="39"/>
      <c r="GJ47" s="40" t="str">
        <f aca="false">IF(OR(INDEX(Undirviðmið!$G$6:$G$105,(COLUMN()-7-1)/2+1)&lt;&gt;"Starfsbundið",GI47="",GI$8="",GI$7=""),"",ROUND(GI47/GI$8*GI$7*KVARDI,2))</f>
        <v/>
      </c>
      <c r="GK47" s="39"/>
      <c r="GL47" s="40" t="str">
        <f aca="false">IF(OR(INDEX(Undirviðmið!$G$6:$G$105,(COLUMN()-7-1)/2+1)&lt;&gt;"Starfsbundið",GK47="",GK$8="",GK$7=""),"",ROUND(GK47/GK$8*GK$7*KVARDI,2))</f>
        <v/>
      </c>
      <c r="GM47" s="39"/>
      <c r="GN47" s="40" t="str">
        <f aca="false">IF(OR(INDEX(Undirviðmið!$G$6:$G$105,(COLUMN()-7-1)/2+1)&lt;&gt;"Starfsbundið",GM47="",GM$8="",GM$7=""),"",ROUND(GM47/GM$8*GM$7*KVARDI,2))</f>
        <v/>
      </c>
      <c r="GO47" s="39"/>
      <c r="GP47" s="40" t="str">
        <f aca="false">IF(OR(INDEX(Undirviðmið!$G$6:$G$105,(COLUMN()-7-1)/2+1)&lt;&gt;"Starfsbundið",GO47="",GO$8="",GO$7=""),"",ROUND(GO47/GO$8*GO$7*KVARDI,2))</f>
        <v/>
      </c>
      <c r="GQ47" s="39"/>
      <c r="GR47" s="40" t="str">
        <f aca="false">IF(OR(INDEX(Undirviðmið!$G$6:$G$105,(COLUMN()-7-1)/2+1)&lt;&gt;"Starfsbundið",GQ47="",GQ$8="",GQ$7=""),"",ROUND(GQ47/GQ$8*GQ$7*KVARDI,2))</f>
        <v/>
      </c>
      <c r="GS47" s="39"/>
      <c r="GT47" s="40" t="str">
        <f aca="false">IF(OR(INDEX(Undirviðmið!$G$6:$G$105,(COLUMN()-7-1)/2+1)&lt;&gt;"Starfsbundið",GS47="",GS$8="",GS$7=""),"",ROUND(GS47/GS$8*GS$7*KVARDI,2))</f>
        <v/>
      </c>
      <c r="GU47" s="39"/>
      <c r="GV47" s="40" t="str">
        <f aca="false">IF(OR(INDEX(Undirviðmið!$G$6:$G$105,(COLUMN()-7-1)/2+1)&lt;&gt;"Starfsbundið",GU47="",GU$8="",GU$7=""),"",ROUND(GU47/GU$8*GU$7*KVARDI,2))</f>
        <v/>
      </c>
      <c r="GW47" s="39"/>
      <c r="GX47" s="40" t="str">
        <f aca="false">IF(OR(INDEX(Undirviðmið!$G$6:$G$105,(COLUMN()-7-1)/2+1)&lt;&gt;"Starfsbundið",GW47="",GW$8="",GW$7=""),"",ROUND(GW47/GW$8*GW$7*KVARDI,2))</f>
        <v/>
      </c>
      <c r="GZ47" s="20"/>
    </row>
    <row r="48" customFormat="false" ht="15" hidden="true" customHeight="true" outlineLevel="1" collapsed="false">
      <c r="B48" s="37" t="str">
        <f aca="false" t="array" ref="B48:B48">IFERROR(INDEX(Starfsmenn!$C$6:$C$10005,MATCH(0,COUNTIF($B$11:B47,Starfsmenn!$C$6:$C$10005)+(Starfsmenn!$C$6:$C$10005=""),0)),"")</f>
        <v/>
      </c>
      <c r="C48" s="38" t="n">
        <f aca="false">IFERROR(SUMIF($G$10:$GX$10,"Stig",$G48:$GX48),0)</f>
        <v>0</v>
      </c>
      <c r="G48" s="39"/>
      <c r="H48" s="40" t="str">
        <f aca="false">IF(OR(INDEX(Undirviðmið!$G$6:$G$105,(COLUMN()-7-1)/2+1)&lt;&gt;"Starfsbundið",G48="",G$8="",G$7=""),"",ROUND(G48/G$8*G$7*KVARDI,2))</f>
        <v/>
      </c>
      <c r="I48" s="39"/>
      <c r="J48" s="40" t="str">
        <f aca="false">IF(OR(INDEX(Undirviðmið!$G$6:$G$105,(COLUMN()-7-1)/2+1)&lt;&gt;"Starfsbundið",I48="",I$8="",I$7=""),"",ROUND(I48/I$8*I$7*KVARDI,2))</f>
        <v/>
      </c>
      <c r="K48" s="39"/>
      <c r="L48" s="40" t="str">
        <f aca="false">IF(OR(INDEX(Undirviðmið!$G$6:$G$105,(COLUMN()-7-1)/2+1)&lt;&gt;"Starfsbundið",K48="",K$8="",K$7=""),"",ROUND(K48/K$8*K$7*KVARDI,2))</f>
        <v/>
      </c>
      <c r="M48" s="39"/>
      <c r="N48" s="40" t="str">
        <f aca="false">IF(OR(INDEX(Undirviðmið!$G$6:$G$105,(COLUMN()-7-1)/2+1)&lt;&gt;"Starfsbundið",M48="",M$8="",M$7=""),"",ROUND(M48/M$8*M$7*KVARDI,2))</f>
        <v/>
      </c>
      <c r="O48" s="39"/>
      <c r="P48" s="40" t="str">
        <f aca="false">IF(OR(INDEX(Undirviðmið!$G$6:$G$105,(COLUMN()-7-1)/2+1)&lt;&gt;"Starfsbundið",O48="",O$8="",O$7=""),"",ROUND(O48/O$8*O$7*KVARDI,2))</f>
        <v/>
      </c>
      <c r="Q48" s="39"/>
      <c r="R48" s="40" t="str">
        <f aca="false">IF(OR(INDEX(Undirviðmið!$G$6:$G$105,(COLUMN()-7-1)/2+1)&lt;&gt;"Starfsbundið",Q48="",Q$8="",Q$7=""),"",ROUND(Q48/Q$8*Q$7*KVARDI,2))</f>
        <v/>
      </c>
      <c r="S48" s="39"/>
      <c r="T48" s="40" t="str">
        <f aca="false">IF(OR(INDEX(Undirviðmið!$G$6:$G$105,(COLUMN()-7-1)/2+1)&lt;&gt;"Starfsbundið",S48="",S$8="",S$7=""),"",ROUND(S48/S$8*S$7*KVARDI,2))</f>
        <v/>
      </c>
      <c r="U48" s="39"/>
      <c r="V48" s="40" t="str">
        <f aca="false">IF(OR(INDEX(Undirviðmið!$G$6:$G$105,(COLUMN()-7-1)/2+1)&lt;&gt;"Starfsbundið",U48="",U$8="",U$7=""),"",ROUND(U48/U$8*U$7*KVARDI,2))</f>
        <v/>
      </c>
      <c r="W48" s="39"/>
      <c r="X48" s="40" t="str">
        <f aca="false">IF(OR(INDEX(Undirviðmið!$G$6:$G$105,(COLUMN()-7-1)/2+1)&lt;&gt;"Starfsbundið",W48="",W$8="",W$7=""),"",ROUND(W48/W$8*W$7*KVARDI,2))</f>
        <v/>
      </c>
      <c r="Y48" s="39"/>
      <c r="Z48" s="40" t="str">
        <f aca="false">IF(OR(INDEX(Undirviðmið!$G$6:$G$105,(COLUMN()-7-1)/2+1)&lt;&gt;"Starfsbundið",Y48="",Y$8="",Y$7=""),"",ROUND(Y48/Y$8*Y$7*KVARDI,2))</f>
        <v/>
      </c>
      <c r="AA48" s="39"/>
      <c r="AB48" s="40" t="str">
        <f aca="false">IF(OR(INDEX(Undirviðmið!$G$6:$G$105,(COLUMN()-7-1)/2+1)&lt;&gt;"Starfsbundið",AA48="",AA$8="",AA$7=""),"",ROUND(AA48/AA$8*AA$7*KVARDI,2))</f>
        <v/>
      </c>
      <c r="AC48" s="39"/>
      <c r="AD48" s="40" t="str">
        <f aca="false">IF(OR(INDEX(Undirviðmið!$G$6:$G$105,(COLUMN()-7-1)/2+1)&lt;&gt;"Starfsbundið",AC48="",AC$8="",AC$7=""),"",ROUND(AC48/AC$8*AC$7*KVARDI,2))</f>
        <v/>
      </c>
      <c r="AE48" s="39"/>
      <c r="AF48" s="40" t="str">
        <f aca="false">IF(OR(INDEX(Undirviðmið!$G$6:$G$105,(COLUMN()-7-1)/2+1)&lt;&gt;"Starfsbundið",AE48="",AE$8="",AE$7=""),"",ROUND(AE48/AE$8*AE$7*KVARDI,2))</f>
        <v/>
      </c>
      <c r="AG48" s="39"/>
      <c r="AH48" s="40" t="str">
        <f aca="false">IF(OR(INDEX(Undirviðmið!$G$6:$G$105,(COLUMN()-7-1)/2+1)&lt;&gt;"Starfsbundið",AG48="",AG$8="",AG$7=""),"",ROUND(AG48/AG$8*AG$7*KVARDI,2))</f>
        <v/>
      </c>
      <c r="AI48" s="39"/>
      <c r="AJ48" s="40" t="str">
        <f aca="false">IF(OR(INDEX(Undirviðmið!$G$6:$G$105,(COLUMN()-7-1)/2+1)&lt;&gt;"Starfsbundið",AI48="",AI$8="",AI$7=""),"",ROUND(AI48/AI$8*AI$7*KVARDI,2))</f>
        <v/>
      </c>
      <c r="AK48" s="39"/>
      <c r="AL48" s="40" t="str">
        <f aca="false">IF(OR(INDEX(Undirviðmið!$G$6:$G$105,(COLUMN()-7-1)/2+1)&lt;&gt;"Starfsbundið",AK48="",AK$8="",AK$7=""),"",ROUND(AK48/AK$8*AK$7*KVARDI,2))</f>
        <v/>
      </c>
      <c r="AM48" s="39"/>
      <c r="AN48" s="40" t="str">
        <f aca="false">IF(OR(INDEX(Undirviðmið!$G$6:$G$105,(COLUMN()-7-1)/2+1)&lt;&gt;"Starfsbundið",AM48="",AM$8="",AM$7=""),"",ROUND(AM48/AM$8*AM$7*KVARDI,2))</f>
        <v/>
      </c>
      <c r="AO48" s="39"/>
      <c r="AP48" s="40" t="str">
        <f aca="false">IF(OR(INDEX(Undirviðmið!$G$6:$G$105,(COLUMN()-7-1)/2+1)&lt;&gt;"Starfsbundið",AO48="",AO$8="",AO$7=""),"",ROUND(AO48/AO$8*AO$7*KVARDI,2))</f>
        <v/>
      </c>
      <c r="AQ48" s="39"/>
      <c r="AR48" s="40" t="str">
        <f aca="false">IF(OR(INDEX(Undirviðmið!$G$6:$G$105,(COLUMN()-7-1)/2+1)&lt;&gt;"Starfsbundið",AQ48="",AQ$8="",AQ$7=""),"",ROUND(AQ48/AQ$8*AQ$7*KVARDI,2))</f>
        <v/>
      </c>
      <c r="AS48" s="39"/>
      <c r="AT48" s="40" t="str">
        <f aca="false">IF(OR(INDEX(Undirviðmið!$G$6:$G$105,(COLUMN()-7-1)/2+1)&lt;&gt;"Starfsbundið",AS48="",AS$8="",AS$7=""),"",ROUND(AS48/AS$8*AS$7*KVARDI,2))</f>
        <v/>
      </c>
      <c r="AU48" s="39"/>
      <c r="AV48" s="40" t="str">
        <f aca="false">IF(OR(INDEX(Undirviðmið!$G$6:$G$105,(COLUMN()-7-1)/2+1)&lt;&gt;"Starfsbundið",AU48="",AU$8="",AU$7=""),"",ROUND(AU48/AU$8*AU$7*KVARDI,2))</f>
        <v/>
      </c>
      <c r="AW48" s="39"/>
      <c r="AX48" s="40" t="str">
        <f aca="false">IF(OR(INDEX(Undirviðmið!$G$6:$G$105,(COLUMN()-7-1)/2+1)&lt;&gt;"Starfsbundið",AW48="",AW$8="",AW$7=""),"",ROUND(AW48/AW$8*AW$7*KVARDI,2))</f>
        <v/>
      </c>
      <c r="AY48" s="39"/>
      <c r="AZ48" s="40" t="str">
        <f aca="false">IF(OR(INDEX(Undirviðmið!$G$6:$G$105,(COLUMN()-7-1)/2+1)&lt;&gt;"Starfsbundið",AY48="",AY$8="",AY$7=""),"",ROUND(AY48/AY$8*AY$7*KVARDI,2))</f>
        <v/>
      </c>
      <c r="BA48" s="39"/>
      <c r="BB48" s="40" t="str">
        <f aca="false">IF(OR(INDEX(Undirviðmið!$G$6:$G$105,(COLUMN()-7-1)/2+1)&lt;&gt;"Starfsbundið",BA48="",BA$8="",BA$7=""),"",ROUND(BA48/BA$8*BA$7*KVARDI,2))</f>
        <v/>
      </c>
      <c r="BC48" s="39"/>
      <c r="BD48" s="40" t="str">
        <f aca="false">IF(OR(INDEX(Undirviðmið!$G$6:$G$105,(COLUMN()-7-1)/2+1)&lt;&gt;"Starfsbundið",BC48="",BC$8="",BC$7=""),"",ROUND(BC48/BC$8*BC$7*KVARDI,2))</f>
        <v/>
      </c>
      <c r="BE48" s="39"/>
      <c r="BF48" s="40" t="str">
        <f aca="false">IF(OR(INDEX(Undirviðmið!$G$6:$G$105,(COLUMN()-7-1)/2+1)&lt;&gt;"Starfsbundið",BE48="",BE$8="",BE$7=""),"",ROUND(BE48/BE$8*BE$7*KVARDI,2))</f>
        <v/>
      </c>
      <c r="BG48" s="39"/>
      <c r="BH48" s="40" t="str">
        <f aca="false">IF(OR(INDEX(Undirviðmið!$G$6:$G$105,(COLUMN()-7-1)/2+1)&lt;&gt;"Starfsbundið",BG48="",BG$8="",BG$7=""),"",ROUND(BG48/BG$8*BG$7*KVARDI,2))</f>
        <v/>
      </c>
      <c r="BI48" s="39"/>
      <c r="BJ48" s="40" t="str">
        <f aca="false">IF(OR(INDEX(Undirviðmið!$G$6:$G$105,(COLUMN()-7-1)/2+1)&lt;&gt;"Starfsbundið",BI48="",BI$8="",BI$7=""),"",ROUND(BI48/BI$8*BI$7*KVARDI,2))</f>
        <v/>
      </c>
      <c r="BK48" s="39"/>
      <c r="BL48" s="40" t="str">
        <f aca="false">IF(OR(INDEX(Undirviðmið!$G$6:$G$105,(COLUMN()-7-1)/2+1)&lt;&gt;"Starfsbundið",BK48="",BK$8="",BK$7=""),"",ROUND(BK48/BK$8*BK$7*KVARDI,2))</f>
        <v/>
      </c>
      <c r="BM48" s="39"/>
      <c r="BN48" s="40" t="str">
        <f aca="false">IF(OR(INDEX(Undirviðmið!$G$6:$G$105,(COLUMN()-7-1)/2+1)&lt;&gt;"Starfsbundið",BM48="",BM$8="",BM$7=""),"",ROUND(BM48/BM$8*BM$7*KVARDI,2))</f>
        <v/>
      </c>
      <c r="BO48" s="39"/>
      <c r="BP48" s="40" t="str">
        <f aca="false">IF(OR(INDEX(Undirviðmið!$G$6:$G$105,(COLUMN()-7-1)/2+1)&lt;&gt;"Starfsbundið",BO48="",BO$8="",BO$7=""),"",ROUND(BO48/BO$8*BO$7*KVARDI,2))</f>
        <v/>
      </c>
      <c r="BQ48" s="39"/>
      <c r="BR48" s="40" t="str">
        <f aca="false">IF(OR(INDEX(Undirviðmið!$G$6:$G$105,(COLUMN()-7-1)/2+1)&lt;&gt;"Starfsbundið",BQ48="",BQ$8="",BQ$7=""),"",ROUND(BQ48/BQ$8*BQ$7*KVARDI,2))</f>
        <v/>
      </c>
      <c r="BS48" s="39"/>
      <c r="BT48" s="40" t="str">
        <f aca="false">IF(OR(INDEX(Undirviðmið!$G$6:$G$105,(COLUMN()-7-1)/2+1)&lt;&gt;"Starfsbundið",BS48="",BS$8="",BS$7=""),"",ROUND(BS48/BS$8*BS$7*KVARDI,2))</f>
        <v/>
      </c>
      <c r="BU48" s="39"/>
      <c r="BV48" s="40" t="str">
        <f aca="false">IF(OR(INDEX(Undirviðmið!$G$6:$G$105,(COLUMN()-7-1)/2+1)&lt;&gt;"Starfsbundið",BU48="",BU$8="",BU$7=""),"",ROUND(BU48/BU$8*BU$7*KVARDI,2))</f>
        <v/>
      </c>
      <c r="BW48" s="39"/>
      <c r="BX48" s="40" t="str">
        <f aca="false">IF(OR(INDEX(Undirviðmið!$G$6:$G$105,(COLUMN()-7-1)/2+1)&lt;&gt;"Starfsbundið",BW48="",BW$8="",BW$7=""),"",ROUND(BW48/BW$8*BW$7*KVARDI,2))</f>
        <v/>
      </c>
      <c r="BY48" s="39"/>
      <c r="BZ48" s="40" t="str">
        <f aca="false">IF(OR(INDEX(Undirviðmið!$G$6:$G$105,(COLUMN()-7-1)/2+1)&lt;&gt;"Starfsbundið",BY48="",BY$8="",BY$7=""),"",ROUND(BY48/BY$8*BY$7*KVARDI,2))</f>
        <v/>
      </c>
      <c r="CA48" s="39"/>
      <c r="CB48" s="40" t="str">
        <f aca="false">IF(OR(INDEX(Undirviðmið!$G$6:$G$105,(COLUMN()-7-1)/2+1)&lt;&gt;"Starfsbundið",CA48="",CA$8="",CA$7=""),"",ROUND(CA48/CA$8*CA$7*KVARDI,2))</f>
        <v/>
      </c>
      <c r="CC48" s="39"/>
      <c r="CD48" s="40" t="str">
        <f aca="false">IF(OR(INDEX(Undirviðmið!$G$6:$G$105,(COLUMN()-7-1)/2+1)&lt;&gt;"Starfsbundið",CC48="",CC$8="",CC$7=""),"",ROUND(CC48/CC$8*CC$7*KVARDI,2))</f>
        <v/>
      </c>
      <c r="CE48" s="39"/>
      <c r="CF48" s="40" t="str">
        <f aca="false">IF(OR(INDEX(Undirviðmið!$G$6:$G$105,(COLUMN()-7-1)/2+1)&lt;&gt;"Starfsbundið",CE48="",CE$8="",CE$7=""),"",ROUND(CE48/CE$8*CE$7*KVARDI,2))</f>
        <v/>
      </c>
      <c r="CG48" s="39"/>
      <c r="CH48" s="40" t="str">
        <f aca="false">IF(OR(INDEX(Undirviðmið!$G$6:$G$105,(COLUMN()-7-1)/2+1)&lt;&gt;"Starfsbundið",CG48="",CG$8="",CG$7=""),"",ROUND(CG48/CG$8*CG$7*KVARDI,2))</f>
        <v/>
      </c>
      <c r="CI48" s="39"/>
      <c r="CJ48" s="40" t="str">
        <f aca="false">IF(OR(INDEX(Undirviðmið!$G$6:$G$105,(COLUMN()-7-1)/2+1)&lt;&gt;"Starfsbundið",CI48="",CI$8="",CI$7=""),"",ROUND(CI48/CI$8*CI$7*KVARDI,2))</f>
        <v/>
      </c>
      <c r="CK48" s="39"/>
      <c r="CL48" s="40" t="str">
        <f aca="false">IF(OR(INDEX(Undirviðmið!$G$6:$G$105,(COLUMN()-7-1)/2+1)&lt;&gt;"Starfsbundið",CK48="",CK$8="",CK$7=""),"",ROUND(CK48/CK$8*CK$7*KVARDI,2))</f>
        <v/>
      </c>
      <c r="CM48" s="39"/>
      <c r="CN48" s="40" t="str">
        <f aca="false">IF(OR(INDEX(Undirviðmið!$G$6:$G$105,(COLUMN()-7-1)/2+1)&lt;&gt;"Starfsbundið",CM48="",CM$8="",CM$7=""),"",ROUND(CM48/CM$8*CM$7*KVARDI,2))</f>
        <v/>
      </c>
      <c r="CO48" s="39"/>
      <c r="CP48" s="40" t="str">
        <f aca="false">IF(OR(INDEX(Undirviðmið!$G$6:$G$105,(COLUMN()-7-1)/2+1)&lt;&gt;"Starfsbundið",CO48="",CO$8="",CO$7=""),"",ROUND(CO48/CO$8*CO$7*KVARDI,2))</f>
        <v/>
      </c>
      <c r="CQ48" s="39"/>
      <c r="CR48" s="40" t="str">
        <f aca="false">IF(OR(INDEX(Undirviðmið!$G$6:$G$105,(COLUMN()-7-1)/2+1)&lt;&gt;"Starfsbundið",CQ48="",CQ$8="",CQ$7=""),"",ROUND(CQ48/CQ$8*CQ$7*KVARDI,2))</f>
        <v/>
      </c>
      <c r="CS48" s="39"/>
      <c r="CT48" s="40" t="str">
        <f aca="false">IF(OR(INDEX(Undirviðmið!$G$6:$G$105,(COLUMN()-7-1)/2+1)&lt;&gt;"Starfsbundið",CS48="",CS$8="",CS$7=""),"",ROUND(CS48/CS$8*CS$7*KVARDI,2))</f>
        <v/>
      </c>
      <c r="CU48" s="39"/>
      <c r="CV48" s="40" t="str">
        <f aca="false">IF(OR(INDEX(Undirviðmið!$G$6:$G$105,(COLUMN()-7-1)/2+1)&lt;&gt;"Starfsbundið",CU48="",CU$8="",CU$7=""),"",ROUND(CU48/CU$8*CU$7*KVARDI,2))</f>
        <v/>
      </c>
      <c r="CW48" s="39"/>
      <c r="CX48" s="40" t="str">
        <f aca="false">IF(OR(INDEX(Undirviðmið!$G$6:$G$105,(COLUMN()-7-1)/2+1)&lt;&gt;"Starfsbundið",CW48="",CW$8="",CW$7=""),"",ROUND(CW48/CW$8*CW$7*KVARDI,2))</f>
        <v/>
      </c>
      <c r="CY48" s="39"/>
      <c r="CZ48" s="40" t="str">
        <f aca="false">IF(OR(INDEX(Undirviðmið!$G$6:$G$105,(COLUMN()-7-1)/2+1)&lt;&gt;"Starfsbundið",CY48="",CY$8="",CY$7=""),"",ROUND(CY48/CY$8*CY$7*KVARDI,2))</f>
        <v/>
      </c>
      <c r="DA48" s="39"/>
      <c r="DB48" s="40" t="str">
        <f aca="false">IF(OR(INDEX(Undirviðmið!$G$6:$G$105,(COLUMN()-7-1)/2+1)&lt;&gt;"Starfsbundið",DA48="",DA$8="",DA$7=""),"",ROUND(DA48/DA$8*DA$7*KVARDI,2))</f>
        <v/>
      </c>
      <c r="DC48" s="39"/>
      <c r="DD48" s="40" t="str">
        <f aca="false">IF(OR(INDEX(Undirviðmið!$G$6:$G$105,(COLUMN()-7-1)/2+1)&lt;&gt;"Starfsbundið",DC48="",DC$8="",DC$7=""),"",ROUND(DC48/DC$8*DC$7*KVARDI,2))</f>
        <v/>
      </c>
      <c r="DE48" s="39"/>
      <c r="DF48" s="40" t="str">
        <f aca="false">IF(OR(INDEX(Undirviðmið!$G$6:$G$105,(COLUMN()-7-1)/2+1)&lt;&gt;"Starfsbundið",DE48="",DE$8="",DE$7=""),"",ROUND(DE48/DE$8*DE$7*KVARDI,2))</f>
        <v/>
      </c>
      <c r="DG48" s="39"/>
      <c r="DH48" s="40" t="str">
        <f aca="false">IF(OR(INDEX(Undirviðmið!$G$6:$G$105,(COLUMN()-7-1)/2+1)&lt;&gt;"Starfsbundið",DG48="",DG$8="",DG$7=""),"",ROUND(DG48/DG$8*DG$7*KVARDI,2))</f>
        <v/>
      </c>
      <c r="DI48" s="39"/>
      <c r="DJ48" s="40" t="str">
        <f aca="false">IF(OR(INDEX(Undirviðmið!$G$6:$G$105,(COLUMN()-7-1)/2+1)&lt;&gt;"Starfsbundið",DI48="",DI$8="",DI$7=""),"",ROUND(DI48/DI$8*DI$7*KVARDI,2))</f>
        <v/>
      </c>
      <c r="DK48" s="39"/>
      <c r="DL48" s="40" t="str">
        <f aca="false">IF(OR(INDEX(Undirviðmið!$G$6:$G$105,(COLUMN()-7-1)/2+1)&lt;&gt;"Starfsbundið",DK48="",DK$8="",DK$7=""),"",ROUND(DK48/DK$8*DK$7*KVARDI,2))</f>
        <v/>
      </c>
      <c r="DM48" s="39"/>
      <c r="DN48" s="40" t="str">
        <f aca="false">IF(OR(INDEX(Undirviðmið!$G$6:$G$105,(COLUMN()-7-1)/2+1)&lt;&gt;"Starfsbundið",DM48="",DM$8="",DM$7=""),"",ROUND(DM48/DM$8*DM$7*KVARDI,2))</f>
        <v/>
      </c>
      <c r="DO48" s="39"/>
      <c r="DP48" s="40" t="str">
        <f aca="false">IF(OR(INDEX(Undirviðmið!$G$6:$G$105,(COLUMN()-7-1)/2+1)&lt;&gt;"Starfsbundið",DO48="",DO$8="",DO$7=""),"",ROUND(DO48/DO$8*DO$7*KVARDI,2))</f>
        <v/>
      </c>
      <c r="DQ48" s="39"/>
      <c r="DR48" s="40" t="str">
        <f aca="false">IF(OR(INDEX(Undirviðmið!$G$6:$G$105,(COLUMN()-7-1)/2+1)&lt;&gt;"Starfsbundið",DQ48="",DQ$8="",DQ$7=""),"",ROUND(DQ48/DQ$8*DQ$7*KVARDI,2))</f>
        <v/>
      </c>
      <c r="DS48" s="39"/>
      <c r="DT48" s="40" t="str">
        <f aca="false">IF(OR(INDEX(Undirviðmið!$G$6:$G$105,(COLUMN()-7-1)/2+1)&lt;&gt;"Starfsbundið",DS48="",DS$8="",DS$7=""),"",ROUND(DS48/DS$8*DS$7*KVARDI,2))</f>
        <v/>
      </c>
      <c r="DU48" s="39"/>
      <c r="DV48" s="40" t="str">
        <f aca="false">IF(OR(INDEX(Undirviðmið!$G$6:$G$105,(COLUMN()-7-1)/2+1)&lt;&gt;"Starfsbundið",DU48="",DU$8="",DU$7=""),"",ROUND(DU48/DU$8*DU$7*KVARDI,2))</f>
        <v/>
      </c>
      <c r="DW48" s="39"/>
      <c r="DX48" s="40" t="str">
        <f aca="false">IF(OR(INDEX(Undirviðmið!$G$6:$G$105,(COLUMN()-7-1)/2+1)&lt;&gt;"Starfsbundið",DW48="",DW$8="",DW$7=""),"",ROUND(DW48/DW$8*DW$7*KVARDI,2))</f>
        <v/>
      </c>
      <c r="DY48" s="39"/>
      <c r="DZ48" s="40" t="str">
        <f aca="false">IF(OR(INDEX(Undirviðmið!$G$6:$G$105,(COLUMN()-7-1)/2+1)&lt;&gt;"Starfsbundið",DY48="",DY$8="",DY$7=""),"",ROUND(DY48/DY$8*DY$7*KVARDI,2))</f>
        <v/>
      </c>
      <c r="EA48" s="39"/>
      <c r="EB48" s="40" t="str">
        <f aca="false">IF(OR(INDEX(Undirviðmið!$G$6:$G$105,(COLUMN()-7-1)/2+1)&lt;&gt;"Starfsbundið",EA48="",EA$8="",EA$7=""),"",ROUND(EA48/EA$8*EA$7*KVARDI,2))</f>
        <v/>
      </c>
      <c r="EC48" s="39"/>
      <c r="ED48" s="40" t="str">
        <f aca="false">IF(OR(INDEX(Undirviðmið!$G$6:$G$105,(COLUMN()-7-1)/2+1)&lt;&gt;"Starfsbundið",EC48="",EC$8="",EC$7=""),"",ROUND(EC48/EC$8*EC$7*KVARDI,2))</f>
        <v/>
      </c>
      <c r="EE48" s="39"/>
      <c r="EF48" s="40" t="str">
        <f aca="false">IF(OR(INDEX(Undirviðmið!$G$6:$G$105,(COLUMN()-7-1)/2+1)&lt;&gt;"Starfsbundið",EE48="",EE$8="",EE$7=""),"",ROUND(EE48/EE$8*EE$7*KVARDI,2))</f>
        <v/>
      </c>
      <c r="EG48" s="39"/>
      <c r="EH48" s="40" t="str">
        <f aca="false">IF(OR(INDEX(Undirviðmið!$G$6:$G$105,(COLUMN()-7-1)/2+1)&lt;&gt;"Starfsbundið",EG48="",EG$8="",EG$7=""),"",ROUND(EG48/EG$8*EG$7*KVARDI,2))</f>
        <v/>
      </c>
      <c r="EI48" s="39"/>
      <c r="EJ48" s="40" t="str">
        <f aca="false">IF(OR(INDEX(Undirviðmið!$G$6:$G$105,(COLUMN()-7-1)/2+1)&lt;&gt;"Starfsbundið",EI48="",EI$8="",EI$7=""),"",ROUND(EI48/EI$8*EI$7*KVARDI,2))</f>
        <v/>
      </c>
      <c r="EK48" s="39"/>
      <c r="EL48" s="40" t="str">
        <f aca="false">IF(OR(INDEX(Undirviðmið!$G$6:$G$105,(COLUMN()-7-1)/2+1)&lt;&gt;"Starfsbundið",EK48="",EK$8="",EK$7=""),"",ROUND(EK48/EK$8*EK$7*KVARDI,2))</f>
        <v/>
      </c>
      <c r="EM48" s="39"/>
      <c r="EN48" s="40" t="str">
        <f aca="false">IF(OR(INDEX(Undirviðmið!$G$6:$G$105,(COLUMN()-7-1)/2+1)&lt;&gt;"Starfsbundið",EM48="",EM$8="",EM$7=""),"",ROUND(EM48/EM$8*EM$7*KVARDI,2))</f>
        <v/>
      </c>
      <c r="EO48" s="39"/>
      <c r="EP48" s="40" t="str">
        <f aca="false">IF(OR(INDEX(Undirviðmið!$G$6:$G$105,(COLUMN()-7-1)/2+1)&lt;&gt;"Starfsbundið",EO48="",EO$8="",EO$7=""),"",ROUND(EO48/EO$8*EO$7*KVARDI,2))</f>
        <v/>
      </c>
      <c r="EQ48" s="39"/>
      <c r="ER48" s="40" t="str">
        <f aca="false">IF(OR(INDEX(Undirviðmið!$G$6:$G$105,(COLUMN()-7-1)/2+1)&lt;&gt;"Starfsbundið",EQ48="",EQ$8="",EQ$7=""),"",ROUND(EQ48/EQ$8*EQ$7*KVARDI,2))</f>
        <v/>
      </c>
      <c r="ES48" s="39"/>
      <c r="ET48" s="40" t="str">
        <f aca="false">IF(OR(INDEX(Undirviðmið!$G$6:$G$105,(COLUMN()-7-1)/2+1)&lt;&gt;"Starfsbundið",ES48="",ES$8="",ES$7=""),"",ROUND(ES48/ES$8*ES$7*KVARDI,2))</f>
        <v/>
      </c>
      <c r="EU48" s="39"/>
      <c r="EV48" s="40" t="str">
        <f aca="false">IF(OR(INDEX(Undirviðmið!$G$6:$G$105,(COLUMN()-7-1)/2+1)&lt;&gt;"Starfsbundið",EU48="",EU$8="",EU$7=""),"",ROUND(EU48/EU$8*EU$7*KVARDI,2))</f>
        <v/>
      </c>
      <c r="EW48" s="39"/>
      <c r="EX48" s="40" t="str">
        <f aca="false">IF(OR(INDEX(Undirviðmið!$G$6:$G$105,(COLUMN()-7-1)/2+1)&lt;&gt;"Starfsbundið",EW48="",EW$8="",EW$7=""),"",ROUND(EW48/EW$8*EW$7*KVARDI,2))</f>
        <v/>
      </c>
      <c r="EY48" s="39"/>
      <c r="EZ48" s="40" t="str">
        <f aca="false">IF(OR(INDEX(Undirviðmið!$G$6:$G$105,(COLUMN()-7-1)/2+1)&lt;&gt;"Starfsbundið",EY48="",EY$8="",EY$7=""),"",ROUND(EY48/EY$8*EY$7*KVARDI,2))</f>
        <v/>
      </c>
      <c r="FA48" s="39"/>
      <c r="FB48" s="40" t="str">
        <f aca="false">IF(OR(INDEX(Undirviðmið!$G$6:$G$105,(COLUMN()-7-1)/2+1)&lt;&gt;"Starfsbundið",FA48="",FA$8="",FA$7=""),"",ROUND(FA48/FA$8*FA$7*KVARDI,2))</f>
        <v/>
      </c>
      <c r="FC48" s="39"/>
      <c r="FD48" s="40" t="str">
        <f aca="false">IF(OR(INDEX(Undirviðmið!$G$6:$G$105,(COLUMN()-7-1)/2+1)&lt;&gt;"Starfsbundið",FC48="",FC$8="",FC$7=""),"",ROUND(FC48/FC$8*FC$7*KVARDI,2))</f>
        <v/>
      </c>
      <c r="FE48" s="39"/>
      <c r="FF48" s="40" t="str">
        <f aca="false">IF(OR(INDEX(Undirviðmið!$G$6:$G$105,(COLUMN()-7-1)/2+1)&lt;&gt;"Starfsbundið",FE48="",FE$8="",FE$7=""),"",ROUND(FE48/FE$8*FE$7*KVARDI,2))</f>
        <v/>
      </c>
      <c r="FG48" s="39"/>
      <c r="FH48" s="40" t="str">
        <f aca="false">IF(OR(INDEX(Undirviðmið!$G$6:$G$105,(COLUMN()-7-1)/2+1)&lt;&gt;"Starfsbundið",FG48="",FG$8="",FG$7=""),"",ROUND(FG48/FG$8*FG$7*KVARDI,2))</f>
        <v/>
      </c>
      <c r="FI48" s="39"/>
      <c r="FJ48" s="40" t="str">
        <f aca="false">IF(OR(INDEX(Undirviðmið!$G$6:$G$105,(COLUMN()-7-1)/2+1)&lt;&gt;"Starfsbundið",FI48="",FI$8="",FI$7=""),"",ROUND(FI48/FI$8*FI$7*KVARDI,2))</f>
        <v/>
      </c>
      <c r="FK48" s="39"/>
      <c r="FL48" s="40" t="str">
        <f aca="false">IF(OR(INDEX(Undirviðmið!$G$6:$G$105,(COLUMN()-7-1)/2+1)&lt;&gt;"Starfsbundið",FK48="",FK$8="",FK$7=""),"",ROUND(FK48/FK$8*FK$7*KVARDI,2))</f>
        <v/>
      </c>
      <c r="FM48" s="39"/>
      <c r="FN48" s="40" t="str">
        <f aca="false">IF(OR(INDEX(Undirviðmið!$G$6:$G$105,(COLUMN()-7-1)/2+1)&lt;&gt;"Starfsbundið",FM48="",FM$8="",FM$7=""),"",ROUND(FM48/FM$8*FM$7*KVARDI,2))</f>
        <v/>
      </c>
      <c r="FO48" s="39"/>
      <c r="FP48" s="40" t="str">
        <f aca="false">IF(OR(INDEX(Undirviðmið!$G$6:$G$105,(COLUMN()-7-1)/2+1)&lt;&gt;"Starfsbundið",FO48="",FO$8="",FO$7=""),"",ROUND(FO48/FO$8*FO$7*KVARDI,2))</f>
        <v/>
      </c>
      <c r="FQ48" s="39"/>
      <c r="FR48" s="40" t="str">
        <f aca="false">IF(OR(INDEX(Undirviðmið!$G$6:$G$105,(COLUMN()-7-1)/2+1)&lt;&gt;"Starfsbundið",FQ48="",FQ$8="",FQ$7=""),"",ROUND(FQ48/FQ$8*FQ$7*KVARDI,2))</f>
        <v/>
      </c>
      <c r="FS48" s="39"/>
      <c r="FT48" s="40" t="str">
        <f aca="false">IF(OR(INDEX(Undirviðmið!$G$6:$G$105,(COLUMN()-7-1)/2+1)&lt;&gt;"Starfsbundið",FS48="",FS$8="",FS$7=""),"",ROUND(FS48/FS$8*FS$7*KVARDI,2))</f>
        <v/>
      </c>
      <c r="FU48" s="39"/>
      <c r="FV48" s="40" t="str">
        <f aca="false">IF(OR(INDEX(Undirviðmið!$G$6:$G$105,(COLUMN()-7-1)/2+1)&lt;&gt;"Starfsbundið",FU48="",FU$8="",FU$7=""),"",ROUND(FU48/FU$8*FU$7*KVARDI,2))</f>
        <v/>
      </c>
      <c r="FW48" s="39"/>
      <c r="FX48" s="40" t="str">
        <f aca="false">IF(OR(INDEX(Undirviðmið!$G$6:$G$105,(COLUMN()-7-1)/2+1)&lt;&gt;"Starfsbundið",FW48="",FW$8="",FW$7=""),"",ROUND(FW48/FW$8*FW$7*KVARDI,2))</f>
        <v/>
      </c>
      <c r="FY48" s="39"/>
      <c r="FZ48" s="40" t="str">
        <f aca="false">IF(OR(INDEX(Undirviðmið!$G$6:$G$105,(COLUMN()-7-1)/2+1)&lt;&gt;"Starfsbundið",FY48="",FY$8="",FY$7=""),"",ROUND(FY48/FY$8*FY$7*KVARDI,2))</f>
        <v/>
      </c>
      <c r="GA48" s="39"/>
      <c r="GB48" s="40" t="str">
        <f aca="false">IF(OR(INDEX(Undirviðmið!$G$6:$G$105,(COLUMN()-7-1)/2+1)&lt;&gt;"Starfsbundið",GA48="",GA$8="",GA$7=""),"",ROUND(GA48/GA$8*GA$7*KVARDI,2))</f>
        <v/>
      </c>
      <c r="GC48" s="39"/>
      <c r="GD48" s="40" t="str">
        <f aca="false">IF(OR(INDEX(Undirviðmið!$G$6:$G$105,(COLUMN()-7-1)/2+1)&lt;&gt;"Starfsbundið",GC48="",GC$8="",GC$7=""),"",ROUND(GC48/GC$8*GC$7*KVARDI,2))</f>
        <v/>
      </c>
      <c r="GE48" s="39"/>
      <c r="GF48" s="40" t="str">
        <f aca="false">IF(OR(INDEX(Undirviðmið!$G$6:$G$105,(COLUMN()-7-1)/2+1)&lt;&gt;"Starfsbundið",GE48="",GE$8="",GE$7=""),"",ROUND(GE48/GE$8*GE$7*KVARDI,2))</f>
        <v/>
      </c>
      <c r="GG48" s="39"/>
      <c r="GH48" s="40" t="str">
        <f aca="false">IF(OR(INDEX(Undirviðmið!$G$6:$G$105,(COLUMN()-7-1)/2+1)&lt;&gt;"Starfsbundið",GG48="",GG$8="",GG$7=""),"",ROUND(GG48/GG$8*GG$7*KVARDI,2))</f>
        <v/>
      </c>
      <c r="GI48" s="39"/>
      <c r="GJ48" s="40" t="str">
        <f aca="false">IF(OR(INDEX(Undirviðmið!$G$6:$G$105,(COLUMN()-7-1)/2+1)&lt;&gt;"Starfsbundið",GI48="",GI$8="",GI$7=""),"",ROUND(GI48/GI$8*GI$7*KVARDI,2))</f>
        <v/>
      </c>
      <c r="GK48" s="39"/>
      <c r="GL48" s="40" t="str">
        <f aca="false">IF(OR(INDEX(Undirviðmið!$G$6:$G$105,(COLUMN()-7-1)/2+1)&lt;&gt;"Starfsbundið",GK48="",GK$8="",GK$7=""),"",ROUND(GK48/GK$8*GK$7*KVARDI,2))</f>
        <v/>
      </c>
      <c r="GM48" s="39"/>
      <c r="GN48" s="40" t="str">
        <f aca="false">IF(OR(INDEX(Undirviðmið!$G$6:$G$105,(COLUMN()-7-1)/2+1)&lt;&gt;"Starfsbundið",GM48="",GM$8="",GM$7=""),"",ROUND(GM48/GM$8*GM$7*KVARDI,2))</f>
        <v/>
      </c>
      <c r="GO48" s="39"/>
      <c r="GP48" s="40" t="str">
        <f aca="false">IF(OR(INDEX(Undirviðmið!$G$6:$G$105,(COLUMN()-7-1)/2+1)&lt;&gt;"Starfsbundið",GO48="",GO$8="",GO$7=""),"",ROUND(GO48/GO$8*GO$7*KVARDI,2))</f>
        <v/>
      </c>
      <c r="GQ48" s="39"/>
      <c r="GR48" s="40" t="str">
        <f aca="false">IF(OR(INDEX(Undirviðmið!$G$6:$G$105,(COLUMN()-7-1)/2+1)&lt;&gt;"Starfsbundið",GQ48="",GQ$8="",GQ$7=""),"",ROUND(GQ48/GQ$8*GQ$7*KVARDI,2))</f>
        <v/>
      </c>
      <c r="GS48" s="39"/>
      <c r="GT48" s="40" t="str">
        <f aca="false">IF(OR(INDEX(Undirviðmið!$G$6:$G$105,(COLUMN()-7-1)/2+1)&lt;&gt;"Starfsbundið",GS48="",GS$8="",GS$7=""),"",ROUND(GS48/GS$8*GS$7*KVARDI,2))</f>
        <v/>
      </c>
      <c r="GU48" s="39"/>
      <c r="GV48" s="40" t="str">
        <f aca="false">IF(OR(INDEX(Undirviðmið!$G$6:$G$105,(COLUMN()-7-1)/2+1)&lt;&gt;"Starfsbundið",GU48="",GU$8="",GU$7=""),"",ROUND(GU48/GU$8*GU$7*KVARDI,2))</f>
        <v/>
      </c>
      <c r="GW48" s="39"/>
      <c r="GX48" s="40" t="str">
        <f aca="false">IF(OR(INDEX(Undirviðmið!$G$6:$G$105,(COLUMN()-7-1)/2+1)&lt;&gt;"Starfsbundið",GW48="",GW$8="",GW$7=""),"",ROUND(GW48/GW$8*GW$7*KVARDI,2))</f>
        <v/>
      </c>
      <c r="GZ48" s="20"/>
    </row>
    <row r="49" customFormat="false" ht="15" hidden="true" customHeight="true" outlineLevel="1" collapsed="false">
      <c r="B49" s="37" t="str">
        <f aca="false" t="array" ref="B49:B49">IFERROR(INDEX(Starfsmenn!$C$6:$C$10005,MATCH(0,COUNTIF($B$11:B48,Starfsmenn!$C$6:$C$10005)+(Starfsmenn!$C$6:$C$10005=""),0)),"")</f>
        <v/>
      </c>
      <c r="C49" s="38" t="n">
        <f aca="false">IFERROR(SUMIF($G$10:$GX$10,"Stig",$G49:$GX49),0)</f>
        <v>0</v>
      </c>
      <c r="G49" s="39"/>
      <c r="H49" s="40" t="str">
        <f aca="false">IF(OR(INDEX(Undirviðmið!$G$6:$G$105,(COLUMN()-7-1)/2+1)&lt;&gt;"Starfsbundið",G49="",G$8="",G$7=""),"",ROUND(G49/G$8*G$7*KVARDI,2))</f>
        <v/>
      </c>
      <c r="I49" s="39"/>
      <c r="J49" s="40" t="str">
        <f aca="false">IF(OR(INDEX(Undirviðmið!$G$6:$G$105,(COLUMN()-7-1)/2+1)&lt;&gt;"Starfsbundið",I49="",I$8="",I$7=""),"",ROUND(I49/I$8*I$7*KVARDI,2))</f>
        <v/>
      </c>
      <c r="K49" s="39"/>
      <c r="L49" s="40" t="str">
        <f aca="false">IF(OR(INDEX(Undirviðmið!$G$6:$G$105,(COLUMN()-7-1)/2+1)&lt;&gt;"Starfsbundið",K49="",K$8="",K$7=""),"",ROUND(K49/K$8*K$7*KVARDI,2))</f>
        <v/>
      </c>
      <c r="M49" s="39"/>
      <c r="N49" s="40" t="str">
        <f aca="false">IF(OR(INDEX(Undirviðmið!$G$6:$G$105,(COLUMN()-7-1)/2+1)&lt;&gt;"Starfsbundið",M49="",M$8="",M$7=""),"",ROUND(M49/M$8*M$7*KVARDI,2))</f>
        <v/>
      </c>
      <c r="O49" s="39"/>
      <c r="P49" s="40" t="str">
        <f aca="false">IF(OR(INDEX(Undirviðmið!$G$6:$G$105,(COLUMN()-7-1)/2+1)&lt;&gt;"Starfsbundið",O49="",O$8="",O$7=""),"",ROUND(O49/O$8*O$7*KVARDI,2))</f>
        <v/>
      </c>
      <c r="Q49" s="39"/>
      <c r="R49" s="40" t="str">
        <f aca="false">IF(OR(INDEX(Undirviðmið!$G$6:$G$105,(COLUMN()-7-1)/2+1)&lt;&gt;"Starfsbundið",Q49="",Q$8="",Q$7=""),"",ROUND(Q49/Q$8*Q$7*KVARDI,2))</f>
        <v/>
      </c>
      <c r="S49" s="39"/>
      <c r="T49" s="40" t="str">
        <f aca="false">IF(OR(INDEX(Undirviðmið!$G$6:$G$105,(COLUMN()-7-1)/2+1)&lt;&gt;"Starfsbundið",S49="",S$8="",S$7=""),"",ROUND(S49/S$8*S$7*KVARDI,2))</f>
        <v/>
      </c>
      <c r="U49" s="39"/>
      <c r="V49" s="40" t="str">
        <f aca="false">IF(OR(INDEX(Undirviðmið!$G$6:$G$105,(COLUMN()-7-1)/2+1)&lt;&gt;"Starfsbundið",U49="",U$8="",U$7=""),"",ROUND(U49/U$8*U$7*KVARDI,2))</f>
        <v/>
      </c>
      <c r="W49" s="39"/>
      <c r="X49" s="40" t="str">
        <f aca="false">IF(OR(INDEX(Undirviðmið!$G$6:$G$105,(COLUMN()-7-1)/2+1)&lt;&gt;"Starfsbundið",W49="",W$8="",W$7=""),"",ROUND(W49/W$8*W$7*KVARDI,2))</f>
        <v/>
      </c>
      <c r="Y49" s="39"/>
      <c r="Z49" s="40" t="str">
        <f aca="false">IF(OR(INDEX(Undirviðmið!$G$6:$G$105,(COLUMN()-7-1)/2+1)&lt;&gt;"Starfsbundið",Y49="",Y$8="",Y$7=""),"",ROUND(Y49/Y$8*Y$7*KVARDI,2))</f>
        <v/>
      </c>
      <c r="AA49" s="39"/>
      <c r="AB49" s="40" t="str">
        <f aca="false">IF(OR(INDEX(Undirviðmið!$G$6:$G$105,(COLUMN()-7-1)/2+1)&lt;&gt;"Starfsbundið",AA49="",AA$8="",AA$7=""),"",ROUND(AA49/AA$8*AA$7*KVARDI,2))</f>
        <v/>
      </c>
      <c r="AC49" s="39"/>
      <c r="AD49" s="40" t="str">
        <f aca="false">IF(OR(INDEX(Undirviðmið!$G$6:$G$105,(COLUMN()-7-1)/2+1)&lt;&gt;"Starfsbundið",AC49="",AC$8="",AC$7=""),"",ROUND(AC49/AC$8*AC$7*KVARDI,2))</f>
        <v/>
      </c>
      <c r="AE49" s="39"/>
      <c r="AF49" s="40" t="str">
        <f aca="false">IF(OR(INDEX(Undirviðmið!$G$6:$G$105,(COLUMN()-7-1)/2+1)&lt;&gt;"Starfsbundið",AE49="",AE$8="",AE$7=""),"",ROUND(AE49/AE$8*AE$7*KVARDI,2))</f>
        <v/>
      </c>
      <c r="AG49" s="39"/>
      <c r="AH49" s="40" t="str">
        <f aca="false">IF(OR(INDEX(Undirviðmið!$G$6:$G$105,(COLUMN()-7-1)/2+1)&lt;&gt;"Starfsbundið",AG49="",AG$8="",AG$7=""),"",ROUND(AG49/AG$8*AG$7*KVARDI,2))</f>
        <v/>
      </c>
      <c r="AI49" s="39"/>
      <c r="AJ49" s="40" t="str">
        <f aca="false">IF(OR(INDEX(Undirviðmið!$G$6:$G$105,(COLUMN()-7-1)/2+1)&lt;&gt;"Starfsbundið",AI49="",AI$8="",AI$7=""),"",ROUND(AI49/AI$8*AI$7*KVARDI,2))</f>
        <v/>
      </c>
      <c r="AK49" s="39"/>
      <c r="AL49" s="40" t="str">
        <f aca="false">IF(OR(INDEX(Undirviðmið!$G$6:$G$105,(COLUMN()-7-1)/2+1)&lt;&gt;"Starfsbundið",AK49="",AK$8="",AK$7=""),"",ROUND(AK49/AK$8*AK$7*KVARDI,2))</f>
        <v/>
      </c>
      <c r="AM49" s="39"/>
      <c r="AN49" s="40" t="str">
        <f aca="false">IF(OR(INDEX(Undirviðmið!$G$6:$G$105,(COLUMN()-7-1)/2+1)&lt;&gt;"Starfsbundið",AM49="",AM$8="",AM$7=""),"",ROUND(AM49/AM$8*AM$7*KVARDI,2))</f>
        <v/>
      </c>
      <c r="AO49" s="39"/>
      <c r="AP49" s="40" t="str">
        <f aca="false">IF(OR(INDEX(Undirviðmið!$G$6:$G$105,(COLUMN()-7-1)/2+1)&lt;&gt;"Starfsbundið",AO49="",AO$8="",AO$7=""),"",ROUND(AO49/AO$8*AO$7*KVARDI,2))</f>
        <v/>
      </c>
      <c r="AQ49" s="39"/>
      <c r="AR49" s="40" t="str">
        <f aca="false">IF(OR(INDEX(Undirviðmið!$G$6:$G$105,(COLUMN()-7-1)/2+1)&lt;&gt;"Starfsbundið",AQ49="",AQ$8="",AQ$7=""),"",ROUND(AQ49/AQ$8*AQ$7*KVARDI,2))</f>
        <v/>
      </c>
      <c r="AS49" s="39"/>
      <c r="AT49" s="40" t="str">
        <f aca="false">IF(OR(INDEX(Undirviðmið!$G$6:$G$105,(COLUMN()-7-1)/2+1)&lt;&gt;"Starfsbundið",AS49="",AS$8="",AS$7=""),"",ROUND(AS49/AS$8*AS$7*KVARDI,2))</f>
        <v/>
      </c>
      <c r="AU49" s="39"/>
      <c r="AV49" s="40" t="str">
        <f aca="false">IF(OR(INDEX(Undirviðmið!$G$6:$G$105,(COLUMN()-7-1)/2+1)&lt;&gt;"Starfsbundið",AU49="",AU$8="",AU$7=""),"",ROUND(AU49/AU$8*AU$7*KVARDI,2))</f>
        <v/>
      </c>
      <c r="AW49" s="39"/>
      <c r="AX49" s="40" t="str">
        <f aca="false">IF(OR(INDEX(Undirviðmið!$G$6:$G$105,(COLUMN()-7-1)/2+1)&lt;&gt;"Starfsbundið",AW49="",AW$8="",AW$7=""),"",ROUND(AW49/AW$8*AW$7*KVARDI,2))</f>
        <v/>
      </c>
      <c r="AY49" s="39"/>
      <c r="AZ49" s="40" t="str">
        <f aca="false">IF(OR(INDEX(Undirviðmið!$G$6:$G$105,(COLUMN()-7-1)/2+1)&lt;&gt;"Starfsbundið",AY49="",AY$8="",AY$7=""),"",ROUND(AY49/AY$8*AY$7*KVARDI,2))</f>
        <v/>
      </c>
      <c r="BA49" s="39"/>
      <c r="BB49" s="40" t="str">
        <f aca="false">IF(OR(INDEX(Undirviðmið!$G$6:$G$105,(COLUMN()-7-1)/2+1)&lt;&gt;"Starfsbundið",BA49="",BA$8="",BA$7=""),"",ROUND(BA49/BA$8*BA$7*KVARDI,2))</f>
        <v/>
      </c>
      <c r="BC49" s="39"/>
      <c r="BD49" s="40" t="str">
        <f aca="false">IF(OR(INDEX(Undirviðmið!$G$6:$G$105,(COLUMN()-7-1)/2+1)&lt;&gt;"Starfsbundið",BC49="",BC$8="",BC$7=""),"",ROUND(BC49/BC$8*BC$7*KVARDI,2))</f>
        <v/>
      </c>
      <c r="BE49" s="39"/>
      <c r="BF49" s="40" t="str">
        <f aca="false">IF(OR(INDEX(Undirviðmið!$G$6:$G$105,(COLUMN()-7-1)/2+1)&lt;&gt;"Starfsbundið",BE49="",BE$8="",BE$7=""),"",ROUND(BE49/BE$8*BE$7*KVARDI,2))</f>
        <v/>
      </c>
      <c r="BG49" s="39"/>
      <c r="BH49" s="40" t="str">
        <f aca="false">IF(OR(INDEX(Undirviðmið!$G$6:$G$105,(COLUMN()-7-1)/2+1)&lt;&gt;"Starfsbundið",BG49="",BG$8="",BG$7=""),"",ROUND(BG49/BG$8*BG$7*KVARDI,2))</f>
        <v/>
      </c>
      <c r="BI49" s="39"/>
      <c r="BJ49" s="40" t="str">
        <f aca="false">IF(OR(INDEX(Undirviðmið!$G$6:$G$105,(COLUMN()-7-1)/2+1)&lt;&gt;"Starfsbundið",BI49="",BI$8="",BI$7=""),"",ROUND(BI49/BI$8*BI$7*KVARDI,2))</f>
        <v/>
      </c>
      <c r="BK49" s="39"/>
      <c r="BL49" s="40" t="str">
        <f aca="false">IF(OR(INDEX(Undirviðmið!$G$6:$G$105,(COLUMN()-7-1)/2+1)&lt;&gt;"Starfsbundið",BK49="",BK$8="",BK$7=""),"",ROUND(BK49/BK$8*BK$7*KVARDI,2))</f>
        <v/>
      </c>
      <c r="BM49" s="39"/>
      <c r="BN49" s="40" t="str">
        <f aca="false">IF(OR(INDEX(Undirviðmið!$G$6:$G$105,(COLUMN()-7-1)/2+1)&lt;&gt;"Starfsbundið",BM49="",BM$8="",BM$7=""),"",ROUND(BM49/BM$8*BM$7*KVARDI,2))</f>
        <v/>
      </c>
      <c r="BO49" s="39"/>
      <c r="BP49" s="40" t="str">
        <f aca="false">IF(OR(INDEX(Undirviðmið!$G$6:$G$105,(COLUMN()-7-1)/2+1)&lt;&gt;"Starfsbundið",BO49="",BO$8="",BO$7=""),"",ROUND(BO49/BO$8*BO$7*KVARDI,2))</f>
        <v/>
      </c>
      <c r="BQ49" s="39"/>
      <c r="BR49" s="40" t="str">
        <f aca="false">IF(OR(INDEX(Undirviðmið!$G$6:$G$105,(COLUMN()-7-1)/2+1)&lt;&gt;"Starfsbundið",BQ49="",BQ$8="",BQ$7=""),"",ROUND(BQ49/BQ$8*BQ$7*KVARDI,2))</f>
        <v/>
      </c>
      <c r="BS49" s="39"/>
      <c r="BT49" s="40" t="str">
        <f aca="false">IF(OR(INDEX(Undirviðmið!$G$6:$G$105,(COLUMN()-7-1)/2+1)&lt;&gt;"Starfsbundið",BS49="",BS$8="",BS$7=""),"",ROUND(BS49/BS$8*BS$7*KVARDI,2))</f>
        <v/>
      </c>
      <c r="BU49" s="39"/>
      <c r="BV49" s="40" t="str">
        <f aca="false">IF(OR(INDEX(Undirviðmið!$G$6:$G$105,(COLUMN()-7-1)/2+1)&lt;&gt;"Starfsbundið",BU49="",BU$8="",BU$7=""),"",ROUND(BU49/BU$8*BU$7*KVARDI,2))</f>
        <v/>
      </c>
      <c r="BW49" s="39"/>
      <c r="BX49" s="40" t="str">
        <f aca="false">IF(OR(INDEX(Undirviðmið!$G$6:$G$105,(COLUMN()-7-1)/2+1)&lt;&gt;"Starfsbundið",BW49="",BW$8="",BW$7=""),"",ROUND(BW49/BW$8*BW$7*KVARDI,2))</f>
        <v/>
      </c>
      <c r="BY49" s="39"/>
      <c r="BZ49" s="40" t="str">
        <f aca="false">IF(OR(INDEX(Undirviðmið!$G$6:$G$105,(COLUMN()-7-1)/2+1)&lt;&gt;"Starfsbundið",BY49="",BY$8="",BY$7=""),"",ROUND(BY49/BY$8*BY$7*KVARDI,2))</f>
        <v/>
      </c>
      <c r="CA49" s="39"/>
      <c r="CB49" s="40" t="str">
        <f aca="false">IF(OR(INDEX(Undirviðmið!$G$6:$G$105,(COLUMN()-7-1)/2+1)&lt;&gt;"Starfsbundið",CA49="",CA$8="",CA$7=""),"",ROUND(CA49/CA$8*CA$7*KVARDI,2))</f>
        <v/>
      </c>
      <c r="CC49" s="39"/>
      <c r="CD49" s="40" t="str">
        <f aca="false">IF(OR(INDEX(Undirviðmið!$G$6:$G$105,(COLUMN()-7-1)/2+1)&lt;&gt;"Starfsbundið",CC49="",CC$8="",CC$7=""),"",ROUND(CC49/CC$8*CC$7*KVARDI,2))</f>
        <v/>
      </c>
      <c r="CE49" s="39"/>
      <c r="CF49" s="40" t="str">
        <f aca="false">IF(OR(INDEX(Undirviðmið!$G$6:$G$105,(COLUMN()-7-1)/2+1)&lt;&gt;"Starfsbundið",CE49="",CE$8="",CE$7=""),"",ROUND(CE49/CE$8*CE$7*KVARDI,2))</f>
        <v/>
      </c>
      <c r="CG49" s="39"/>
      <c r="CH49" s="40" t="str">
        <f aca="false">IF(OR(INDEX(Undirviðmið!$G$6:$G$105,(COLUMN()-7-1)/2+1)&lt;&gt;"Starfsbundið",CG49="",CG$8="",CG$7=""),"",ROUND(CG49/CG$8*CG$7*KVARDI,2))</f>
        <v/>
      </c>
      <c r="CI49" s="39"/>
      <c r="CJ49" s="40" t="str">
        <f aca="false">IF(OR(INDEX(Undirviðmið!$G$6:$G$105,(COLUMN()-7-1)/2+1)&lt;&gt;"Starfsbundið",CI49="",CI$8="",CI$7=""),"",ROUND(CI49/CI$8*CI$7*KVARDI,2))</f>
        <v/>
      </c>
      <c r="CK49" s="39"/>
      <c r="CL49" s="40" t="str">
        <f aca="false">IF(OR(INDEX(Undirviðmið!$G$6:$G$105,(COLUMN()-7-1)/2+1)&lt;&gt;"Starfsbundið",CK49="",CK$8="",CK$7=""),"",ROUND(CK49/CK$8*CK$7*KVARDI,2))</f>
        <v/>
      </c>
      <c r="CM49" s="39"/>
      <c r="CN49" s="40" t="str">
        <f aca="false">IF(OR(INDEX(Undirviðmið!$G$6:$G$105,(COLUMN()-7-1)/2+1)&lt;&gt;"Starfsbundið",CM49="",CM$8="",CM$7=""),"",ROUND(CM49/CM$8*CM$7*KVARDI,2))</f>
        <v/>
      </c>
      <c r="CO49" s="39"/>
      <c r="CP49" s="40" t="str">
        <f aca="false">IF(OR(INDEX(Undirviðmið!$G$6:$G$105,(COLUMN()-7-1)/2+1)&lt;&gt;"Starfsbundið",CO49="",CO$8="",CO$7=""),"",ROUND(CO49/CO$8*CO$7*KVARDI,2))</f>
        <v/>
      </c>
      <c r="CQ49" s="39"/>
      <c r="CR49" s="40" t="str">
        <f aca="false">IF(OR(INDEX(Undirviðmið!$G$6:$G$105,(COLUMN()-7-1)/2+1)&lt;&gt;"Starfsbundið",CQ49="",CQ$8="",CQ$7=""),"",ROUND(CQ49/CQ$8*CQ$7*KVARDI,2))</f>
        <v/>
      </c>
      <c r="CS49" s="39"/>
      <c r="CT49" s="40" t="str">
        <f aca="false">IF(OR(INDEX(Undirviðmið!$G$6:$G$105,(COLUMN()-7-1)/2+1)&lt;&gt;"Starfsbundið",CS49="",CS$8="",CS$7=""),"",ROUND(CS49/CS$8*CS$7*KVARDI,2))</f>
        <v/>
      </c>
      <c r="CU49" s="39"/>
      <c r="CV49" s="40" t="str">
        <f aca="false">IF(OR(INDEX(Undirviðmið!$G$6:$G$105,(COLUMN()-7-1)/2+1)&lt;&gt;"Starfsbundið",CU49="",CU$8="",CU$7=""),"",ROUND(CU49/CU$8*CU$7*KVARDI,2))</f>
        <v/>
      </c>
      <c r="CW49" s="39"/>
      <c r="CX49" s="40" t="str">
        <f aca="false">IF(OR(INDEX(Undirviðmið!$G$6:$G$105,(COLUMN()-7-1)/2+1)&lt;&gt;"Starfsbundið",CW49="",CW$8="",CW$7=""),"",ROUND(CW49/CW$8*CW$7*KVARDI,2))</f>
        <v/>
      </c>
      <c r="CY49" s="39"/>
      <c r="CZ49" s="40" t="str">
        <f aca="false">IF(OR(INDEX(Undirviðmið!$G$6:$G$105,(COLUMN()-7-1)/2+1)&lt;&gt;"Starfsbundið",CY49="",CY$8="",CY$7=""),"",ROUND(CY49/CY$8*CY$7*KVARDI,2))</f>
        <v/>
      </c>
      <c r="DA49" s="39"/>
      <c r="DB49" s="40" t="str">
        <f aca="false">IF(OR(INDEX(Undirviðmið!$G$6:$G$105,(COLUMN()-7-1)/2+1)&lt;&gt;"Starfsbundið",DA49="",DA$8="",DA$7=""),"",ROUND(DA49/DA$8*DA$7*KVARDI,2))</f>
        <v/>
      </c>
      <c r="DC49" s="39"/>
      <c r="DD49" s="40" t="str">
        <f aca="false">IF(OR(INDEX(Undirviðmið!$G$6:$G$105,(COLUMN()-7-1)/2+1)&lt;&gt;"Starfsbundið",DC49="",DC$8="",DC$7=""),"",ROUND(DC49/DC$8*DC$7*KVARDI,2))</f>
        <v/>
      </c>
      <c r="DE49" s="39"/>
      <c r="DF49" s="40" t="str">
        <f aca="false">IF(OR(INDEX(Undirviðmið!$G$6:$G$105,(COLUMN()-7-1)/2+1)&lt;&gt;"Starfsbundið",DE49="",DE$8="",DE$7=""),"",ROUND(DE49/DE$8*DE$7*KVARDI,2))</f>
        <v/>
      </c>
      <c r="DG49" s="39"/>
      <c r="DH49" s="40" t="str">
        <f aca="false">IF(OR(INDEX(Undirviðmið!$G$6:$G$105,(COLUMN()-7-1)/2+1)&lt;&gt;"Starfsbundið",DG49="",DG$8="",DG$7=""),"",ROUND(DG49/DG$8*DG$7*KVARDI,2))</f>
        <v/>
      </c>
      <c r="DI49" s="39"/>
      <c r="DJ49" s="40" t="str">
        <f aca="false">IF(OR(INDEX(Undirviðmið!$G$6:$G$105,(COLUMN()-7-1)/2+1)&lt;&gt;"Starfsbundið",DI49="",DI$8="",DI$7=""),"",ROUND(DI49/DI$8*DI$7*KVARDI,2))</f>
        <v/>
      </c>
      <c r="DK49" s="39"/>
      <c r="DL49" s="40" t="str">
        <f aca="false">IF(OR(INDEX(Undirviðmið!$G$6:$G$105,(COLUMN()-7-1)/2+1)&lt;&gt;"Starfsbundið",DK49="",DK$8="",DK$7=""),"",ROUND(DK49/DK$8*DK$7*KVARDI,2))</f>
        <v/>
      </c>
      <c r="DM49" s="39"/>
      <c r="DN49" s="40" t="str">
        <f aca="false">IF(OR(INDEX(Undirviðmið!$G$6:$G$105,(COLUMN()-7-1)/2+1)&lt;&gt;"Starfsbundið",DM49="",DM$8="",DM$7=""),"",ROUND(DM49/DM$8*DM$7*KVARDI,2))</f>
        <v/>
      </c>
      <c r="DO49" s="39"/>
      <c r="DP49" s="40" t="str">
        <f aca="false">IF(OR(INDEX(Undirviðmið!$G$6:$G$105,(COLUMN()-7-1)/2+1)&lt;&gt;"Starfsbundið",DO49="",DO$8="",DO$7=""),"",ROUND(DO49/DO$8*DO$7*KVARDI,2))</f>
        <v/>
      </c>
      <c r="DQ49" s="39"/>
      <c r="DR49" s="40" t="str">
        <f aca="false">IF(OR(INDEX(Undirviðmið!$G$6:$G$105,(COLUMN()-7-1)/2+1)&lt;&gt;"Starfsbundið",DQ49="",DQ$8="",DQ$7=""),"",ROUND(DQ49/DQ$8*DQ$7*KVARDI,2))</f>
        <v/>
      </c>
      <c r="DS49" s="39"/>
      <c r="DT49" s="40" t="str">
        <f aca="false">IF(OR(INDEX(Undirviðmið!$G$6:$G$105,(COLUMN()-7-1)/2+1)&lt;&gt;"Starfsbundið",DS49="",DS$8="",DS$7=""),"",ROUND(DS49/DS$8*DS$7*KVARDI,2))</f>
        <v/>
      </c>
      <c r="DU49" s="39"/>
      <c r="DV49" s="40" t="str">
        <f aca="false">IF(OR(INDEX(Undirviðmið!$G$6:$G$105,(COLUMN()-7-1)/2+1)&lt;&gt;"Starfsbundið",DU49="",DU$8="",DU$7=""),"",ROUND(DU49/DU$8*DU$7*KVARDI,2))</f>
        <v/>
      </c>
      <c r="DW49" s="39"/>
      <c r="DX49" s="40" t="str">
        <f aca="false">IF(OR(INDEX(Undirviðmið!$G$6:$G$105,(COLUMN()-7-1)/2+1)&lt;&gt;"Starfsbundið",DW49="",DW$8="",DW$7=""),"",ROUND(DW49/DW$8*DW$7*KVARDI,2))</f>
        <v/>
      </c>
      <c r="DY49" s="39"/>
      <c r="DZ49" s="40" t="str">
        <f aca="false">IF(OR(INDEX(Undirviðmið!$G$6:$G$105,(COLUMN()-7-1)/2+1)&lt;&gt;"Starfsbundið",DY49="",DY$8="",DY$7=""),"",ROUND(DY49/DY$8*DY$7*KVARDI,2))</f>
        <v/>
      </c>
      <c r="EA49" s="39"/>
      <c r="EB49" s="40" t="str">
        <f aca="false">IF(OR(INDEX(Undirviðmið!$G$6:$G$105,(COLUMN()-7-1)/2+1)&lt;&gt;"Starfsbundið",EA49="",EA$8="",EA$7=""),"",ROUND(EA49/EA$8*EA$7*KVARDI,2))</f>
        <v/>
      </c>
      <c r="EC49" s="39"/>
      <c r="ED49" s="40" t="str">
        <f aca="false">IF(OR(INDEX(Undirviðmið!$G$6:$G$105,(COLUMN()-7-1)/2+1)&lt;&gt;"Starfsbundið",EC49="",EC$8="",EC$7=""),"",ROUND(EC49/EC$8*EC$7*KVARDI,2))</f>
        <v/>
      </c>
      <c r="EE49" s="39"/>
      <c r="EF49" s="40" t="str">
        <f aca="false">IF(OR(INDEX(Undirviðmið!$G$6:$G$105,(COLUMN()-7-1)/2+1)&lt;&gt;"Starfsbundið",EE49="",EE$8="",EE$7=""),"",ROUND(EE49/EE$8*EE$7*KVARDI,2))</f>
        <v/>
      </c>
      <c r="EG49" s="39"/>
      <c r="EH49" s="40" t="str">
        <f aca="false">IF(OR(INDEX(Undirviðmið!$G$6:$G$105,(COLUMN()-7-1)/2+1)&lt;&gt;"Starfsbundið",EG49="",EG$8="",EG$7=""),"",ROUND(EG49/EG$8*EG$7*KVARDI,2))</f>
        <v/>
      </c>
      <c r="EI49" s="39"/>
      <c r="EJ49" s="40" t="str">
        <f aca="false">IF(OR(INDEX(Undirviðmið!$G$6:$G$105,(COLUMN()-7-1)/2+1)&lt;&gt;"Starfsbundið",EI49="",EI$8="",EI$7=""),"",ROUND(EI49/EI$8*EI$7*KVARDI,2))</f>
        <v/>
      </c>
      <c r="EK49" s="39"/>
      <c r="EL49" s="40" t="str">
        <f aca="false">IF(OR(INDEX(Undirviðmið!$G$6:$G$105,(COLUMN()-7-1)/2+1)&lt;&gt;"Starfsbundið",EK49="",EK$8="",EK$7=""),"",ROUND(EK49/EK$8*EK$7*KVARDI,2))</f>
        <v/>
      </c>
      <c r="EM49" s="39"/>
      <c r="EN49" s="40" t="str">
        <f aca="false">IF(OR(INDEX(Undirviðmið!$G$6:$G$105,(COLUMN()-7-1)/2+1)&lt;&gt;"Starfsbundið",EM49="",EM$8="",EM$7=""),"",ROUND(EM49/EM$8*EM$7*KVARDI,2))</f>
        <v/>
      </c>
      <c r="EO49" s="39"/>
      <c r="EP49" s="40" t="str">
        <f aca="false">IF(OR(INDEX(Undirviðmið!$G$6:$G$105,(COLUMN()-7-1)/2+1)&lt;&gt;"Starfsbundið",EO49="",EO$8="",EO$7=""),"",ROUND(EO49/EO$8*EO$7*KVARDI,2))</f>
        <v/>
      </c>
      <c r="EQ49" s="39"/>
      <c r="ER49" s="40" t="str">
        <f aca="false">IF(OR(INDEX(Undirviðmið!$G$6:$G$105,(COLUMN()-7-1)/2+1)&lt;&gt;"Starfsbundið",EQ49="",EQ$8="",EQ$7=""),"",ROUND(EQ49/EQ$8*EQ$7*KVARDI,2))</f>
        <v/>
      </c>
      <c r="ES49" s="39"/>
      <c r="ET49" s="40" t="str">
        <f aca="false">IF(OR(INDEX(Undirviðmið!$G$6:$G$105,(COLUMN()-7-1)/2+1)&lt;&gt;"Starfsbundið",ES49="",ES$8="",ES$7=""),"",ROUND(ES49/ES$8*ES$7*KVARDI,2))</f>
        <v/>
      </c>
      <c r="EU49" s="39"/>
      <c r="EV49" s="40" t="str">
        <f aca="false">IF(OR(INDEX(Undirviðmið!$G$6:$G$105,(COLUMN()-7-1)/2+1)&lt;&gt;"Starfsbundið",EU49="",EU$8="",EU$7=""),"",ROUND(EU49/EU$8*EU$7*KVARDI,2))</f>
        <v/>
      </c>
      <c r="EW49" s="39"/>
      <c r="EX49" s="40" t="str">
        <f aca="false">IF(OR(INDEX(Undirviðmið!$G$6:$G$105,(COLUMN()-7-1)/2+1)&lt;&gt;"Starfsbundið",EW49="",EW$8="",EW$7=""),"",ROUND(EW49/EW$8*EW$7*KVARDI,2))</f>
        <v/>
      </c>
      <c r="EY49" s="39"/>
      <c r="EZ49" s="40" t="str">
        <f aca="false">IF(OR(INDEX(Undirviðmið!$G$6:$G$105,(COLUMN()-7-1)/2+1)&lt;&gt;"Starfsbundið",EY49="",EY$8="",EY$7=""),"",ROUND(EY49/EY$8*EY$7*KVARDI,2))</f>
        <v/>
      </c>
      <c r="FA49" s="39"/>
      <c r="FB49" s="40" t="str">
        <f aca="false">IF(OR(INDEX(Undirviðmið!$G$6:$G$105,(COLUMN()-7-1)/2+1)&lt;&gt;"Starfsbundið",FA49="",FA$8="",FA$7=""),"",ROUND(FA49/FA$8*FA$7*KVARDI,2))</f>
        <v/>
      </c>
      <c r="FC49" s="39"/>
      <c r="FD49" s="40" t="str">
        <f aca="false">IF(OR(INDEX(Undirviðmið!$G$6:$G$105,(COLUMN()-7-1)/2+1)&lt;&gt;"Starfsbundið",FC49="",FC$8="",FC$7=""),"",ROUND(FC49/FC$8*FC$7*KVARDI,2))</f>
        <v/>
      </c>
      <c r="FE49" s="39"/>
      <c r="FF49" s="40" t="str">
        <f aca="false">IF(OR(INDEX(Undirviðmið!$G$6:$G$105,(COLUMN()-7-1)/2+1)&lt;&gt;"Starfsbundið",FE49="",FE$8="",FE$7=""),"",ROUND(FE49/FE$8*FE$7*KVARDI,2))</f>
        <v/>
      </c>
      <c r="FG49" s="39"/>
      <c r="FH49" s="40" t="str">
        <f aca="false">IF(OR(INDEX(Undirviðmið!$G$6:$G$105,(COLUMN()-7-1)/2+1)&lt;&gt;"Starfsbundið",FG49="",FG$8="",FG$7=""),"",ROUND(FG49/FG$8*FG$7*KVARDI,2))</f>
        <v/>
      </c>
      <c r="FI49" s="39"/>
      <c r="FJ49" s="40" t="str">
        <f aca="false">IF(OR(INDEX(Undirviðmið!$G$6:$G$105,(COLUMN()-7-1)/2+1)&lt;&gt;"Starfsbundið",FI49="",FI$8="",FI$7=""),"",ROUND(FI49/FI$8*FI$7*KVARDI,2))</f>
        <v/>
      </c>
      <c r="FK49" s="39"/>
      <c r="FL49" s="40" t="str">
        <f aca="false">IF(OR(INDEX(Undirviðmið!$G$6:$G$105,(COLUMN()-7-1)/2+1)&lt;&gt;"Starfsbundið",FK49="",FK$8="",FK$7=""),"",ROUND(FK49/FK$8*FK$7*KVARDI,2))</f>
        <v/>
      </c>
      <c r="FM49" s="39"/>
      <c r="FN49" s="40" t="str">
        <f aca="false">IF(OR(INDEX(Undirviðmið!$G$6:$G$105,(COLUMN()-7-1)/2+1)&lt;&gt;"Starfsbundið",FM49="",FM$8="",FM$7=""),"",ROUND(FM49/FM$8*FM$7*KVARDI,2))</f>
        <v/>
      </c>
      <c r="FO49" s="39"/>
      <c r="FP49" s="40" t="str">
        <f aca="false">IF(OR(INDEX(Undirviðmið!$G$6:$G$105,(COLUMN()-7-1)/2+1)&lt;&gt;"Starfsbundið",FO49="",FO$8="",FO$7=""),"",ROUND(FO49/FO$8*FO$7*KVARDI,2))</f>
        <v/>
      </c>
      <c r="FQ49" s="39"/>
      <c r="FR49" s="40" t="str">
        <f aca="false">IF(OR(INDEX(Undirviðmið!$G$6:$G$105,(COLUMN()-7-1)/2+1)&lt;&gt;"Starfsbundið",FQ49="",FQ$8="",FQ$7=""),"",ROUND(FQ49/FQ$8*FQ$7*KVARDI,2))</f>
        <v/>
      </c>
      <c r="FS49" s="39"/>
      <c r="FT49" s="40" t="str">
        <f aca="false">IF(OR(INDEX(Undirviðmið!$G$6:$G$105,(COLUMN()-7-1)/2+1)&lt;&gt;"Starfsbundið",FS49="",FS$8="",FS$7=""),"",ROUND(FS49/FS$8*FS$7*KVARDI,2))</f>
        <v/>
      </c>
      <c r="FU49" s="39"/>
      <c r="FV49" s="40" t="str">
        <f aca="false">IF(OR(INDEX(Undirviðmið!$G$6:$G$105,(COLUMN()-7-1)/2+1)&lt;&gt;"Starfsbundið",FU49="",FU$8="",FU$7=""),"",ROUND(FU49/FU$8*FU$7*KVARDI,2))</f>
        <v/>
      </c>
      <c r="FW49" s="39"/>
      <c r="FX49" s="40" t="str">
        <f aca="false">IF(OR(INDEX(Undirviðmið!$G$6:$G$105,(COLUMN()-7-1)/2+1)&lt;&gt;"Starfsbundið",FW49="",FW$8="",FW$7=""),"",ROUND(FW49/FW$8*FW$7*KVARDI,2))</f>
        <v/>
      </c>
      <c r="FY49" s="39"/>
      <c r="FZ49" s="40" t="str">
        <f aca="false">IF(OR(INDEX(Undirviðmið!$G$6:$G$105,(COLUMN()-7-1)/2+1)&lt;&gt;"Starfsbundið",FY49="",FY$8="",FY$7=""),"",ROUND(FY49/FY$8*FY$7*KVARDI,2))</f>
        <v/>
      </c>
      <c r="GA49" s="39"/>
      <c r="GB49" s="40" t="str">
        <f aca="false">IF(OR(INDEX(Undirviðmið!$G$6:$G$105,(COLUMN()-7-1)/2+1)&lt;&gt;"Starfsbundið",GA49="",GA$8="",GA$7=""),"",ROUND(GA49/GA$8*GA$7*KVARDI,2))</f>
        <v/>
      </c>
      <c r="GC49" s="39"/>
      <c r="GD49" s="40" t="str">
        <f aca="false">IF(OR(INDEX(Undirviðmið!$G$6:$G$105,(COLUMN()-7-1)/2+1)&lt;&gt;"Starfsbundið",GC49="",GC$8="",GC$7=""),"",ROUND(GC49/GC$8*GC$7*KVARDI,2))</f>
        <v/>
      </c>
      <c r="GE49" s="39"/>
      <c r="GF49" s="40" t="str">
        <f aca="false">IF(OR(INDEX(Undirviðmið!$G$6:$G$105,(COLUMN()-7-1)/2+1)&lt;&gt;"Starfsbundið",GE49="",GE$8="",GE$7=""),"",ROUND(GE49/GE$8*GE$7*KVARDI,2))</f>
        <v/>
      </c>
      <c r="GG49" s="39"/>
      <c r="GH49" s="40" t="str">
        <f aca="false">IF(OR(INDEX(Undirviðmið!$G$6:$G$105,(COLUMN()-7-1)/2+1)&lt;&gt;"Starfsbundið",GG49="",GG$8="",GG$7=""),"",ROUND(GG49/GG$8*GG$7*KVARDI,2))</f>
        <v/>
      </c>
      <c r="GI49" s="39"/>
      <c r="GJ49" s="40" t="str">
        <f aca="false">IF(OR(INDEX(Undirviðmið!$G$6:$G$105,(COLUMN()-7-1)/2+1)&lt;&gt;"Starfsbundið",GI49="",GI$8="",GI$7=""),"",ROUND(GI49/GI$8*GI$7*KVARDI,2))</f>
        <v/>
      </c>
      <c r="GK49" s="39"/>
      <c r="GL49" s="40" t="str">
        <f aca="false">IF(OR(INDEX(Undirviðmið!$G$6:$G$105,(COLUMN()-7-1)/2+1)&lt;&gt;"Starfsbundið",GK49="",GK$8="",GK$7=""),"",ROUND(GK49/GK$8*GK$7*KVARDI,2))</f>
        <v/>
      </c>
      <c r="GM49" s="39"/>
      <c r="GN49" s="40" t="str">
        <f aca="false">IF(OR(INDEX(Undirviðmið!$G$6:$G$105,(COLUMN()-7-1)/2+1)&lt;&gt;"Starfsbundið",GM49="",GM$8="",GM$7=""),"",ROUND(GM49/GM$8*GM$7*KVARDI,2))</f>
        <v/>
      </c>
      <c r="GO49" s="39"/>
      <c r="GP49" s="40" t="str">
        <f aca="false">IF(OR(INDEX(Undirviðmið!$G$6:$G$105,(COLUMN()-7-1)/2+1)&lt;&gt;"Starfsbundið",GO49="",GO$8="",GO$7=""),"",ROUND(GO49/GO$8*GO$7*KVARDI,2))</f>
        <v/>
      </c>
      <c r="GQ49" s="39"/>
      <c r="GR49" s="40" t="str">
        <f aca="false">IF(OR(INDEX(Undirviðmið!$G$6:$G$105,(COLUMN()-7-1)/2+1)&lt;&gt;"Starfsbundið",GQ49="",GQ$8="",GQ$7=""),"",ROUND(GQ49/GQ$8*GQ$7*KVARDI,2))</f>
        <v/>
      </c>
      <c r="GS49" s="39"/>
      <c r="GT49" s="40" t="str">
        <f aca="false">IF(OR(INDEX(Undirviðmið!$G$6:$G$105,(COLUMN()-7-1)/2+1)&lt;&gt;"Starfsbundið",GS49="",GS$8="",GS$7=""),"",ROUND(GS49/GS$8*GS$7*KVARDI,2))</f>
        <v/>
      </c>
      <c r="GU49" s="39"/>
      <c r="GV49" s="40" t="str">
        <f aca="false">IF(OR(INDEX(Undirviðmið!$G$6:$G$105,(COLUMN()-7-1)/2+1)&lt;&gt;"Starfsbundið",GU49="",GU$8="",GU$7=""),"",ROUND(GU49/GU$8*GU$7*KVARDI,2))</f>
        <v/>
      </c>
      <c r="GW49" s="39"/>
      <c r="GX49" s="40" t="str">
        <f aca="false">IF(OR(INDEX(Undirviðmið!$G$6:$G$105,(COLUMN()-7-1)/2+1)&lt;&gt;"Starfsbundið",GW49="",GW$8="",GW$7=""),"",ROUND(GW49/GW$8*GW$7*KVARDI,2))</f>
        <v/>
      </c>
      <c r="GZ49" s="20"/>
    </row>
    <row r="50" customFormat="false" ht="15" hidden="true" customHeight="true" outlineLevel="1" collapsed="false">
      <c r="B50" s="37" t="str">
        <f aca="false" t="array" ref="B50:B50">IFERROR(INDEX(Starfsmenn!$C$6:$C$10005,MATCH(0,COUNTIF($B$11:B49,Starfsmenn!$C$6:$C$10005)+(Starfsmenn!$C$6:$C$10005=""),0)),"")</f>
        <v/>
      </c>
      <c r="C50" s="38" t="n">
        <f aca="false">IFERROR(SUMIF($G$10:$GX$10,"Stig",$G50:$GX50),0)</f>
        <v>0</v>
      </c>
      <c r="G50" s="39"/>
      <c r="H50" s="40" t="str">
        <f aca="false">IF(OR(INDEX(Undirviðmið!$G$6:$G$105,(COLUMN()-7-1)/2+1)&lt;&gt;"Starfsbundið",G50="",G$8="",G$7=""),"",ROUND(G50/G$8*G$7*KVARDI,2))</f>
        <v/>
      </c>
      <c r="I50" s="39"/>
      <c r="J50" s="40" t="str">
        <f aca="false">IF(OR(INDEX(Undirviðmið!$G$6:$G$105,(COLUMN()-7-1)/2+1)&lt;&gt;"Starfsbundið",I50="",I$8="",I$7=""),"",ROUND(I50/I$8*I$7*KVARDI,2))</f>
        <v/>
      </c>
      <c r="K50" s="39"/>
      <c r="L50" s="40" t="str">
        <f aca="false">IF(OR(INDEX(Undirviðmið!$G$6:$G$105,(COLUMN()-7-1)/2+1)&lt;&gt;"Starfsbundið",K50="",K$8="",K$7=""),"",ROUND(K50/K$8*K$7*KVARDI,2))</f>
        <v/>
      </c>
      <c r="M50" s="39"/>
      <c r="N50" s="40" t="str">
        <f aca="false">IF(OR(INDEX(Undirviðmið!$G$6:$G$105,(COLUMN()-7-1)/2+1)&lt;&gt;"Starfsbundið",M50="",M$8="",M$7=""),"",ROUND(M50/M$8*M$7*KVARDI,2))</f>
        <v/>
      </c>
      <c r="O50" s="39"/>
      <c r="P50" s="40" t="str">
        <f aca="false">IF(OR(INDEX(Undirviðmið!$G$6:$G$105,(COLUMN()-7-1)/2+1)&lt;&gt;"Starfsbundið",O50="",O$8="",O$7=""),"",ROUND(O50/O$8*O$7*KVARDI,2))</f>
        <v/>
      </c>
      <c r="Q50" s="39"/>
      <c r="R50" s="40" t="str">
        <f aca="false">IF(OR(INDEX(Undirviðmið!$G$6:$G$105,(COLUMN()-7-1)/2+1)&lt;&gt;"Starfsbundið",Q50="",Q$8="",Q$7=""),"",ROUND(Q50/Q$8*Q$7*KVARDI,2))</f>
        <v/>
      </c>
      <c r="S50" s="39"/>
      <c r="T50" s="40" t="str">
        <f aca="false">IF(OR(INDEX(Undirviðmið!$G$6:$G$105,(COLUMN()-7-1)/2+1)&lt;&gt;"Starfsbundið",S50="",S$8="",S$7=""),"",ROUND(S50/S$8*S$7*KVARDI,2))</f>
        <v/>
      </c>
      <c r="U50" s="39"/>
      <c r="V50" s="40" t="str">
        <f aca="false">IF(OR(INDEX(Undirviðmið!$G$6:$G$105,(COLUMN()-7-1)/2+1)&lt;&gt;"Starfsbundið",U50="",U$8="",U$7=""),"",ROUND(U50/U$8*U$7*KVARDI,2))</f>
        <v/>
      </c>
      <c r="W50" s="39"/>
      <c r="X50" s="40" t="str">
        <f aca="false">IF(OR(INDEX(Undirviðmið!$G$6:$G$105,(COLUMN()-7-1)/2+1)&lt;&gt;"Starfsbundið",W50="",W$8="",W$7=""),"",ROUND(W50/W$8*W$7*KVARDI,2))</f>
        <v/>
      </c>
      <c r="Y50" s="39"/>
      <c r="Z50" s="40" t="str">
        <f aca="false">IF(OR(INDEX(Undirviðmið!$G$6:$G$105,(COLUMN()-7-1)/2+1)&lt;&gt;"Starfsbundið",Y50="",Y$8="",Y$7=""),"",ROUND(Y50/Y$8*Y$7*KVARDI,2))</f>
        <v/>
      </c>
      <c r="AA50" s="39"/>
      <c r="AB50" s="40" t="str">
        <f aca="false">IF(OR(INDEX(Undirviðmið!$G$6:$G$105,(COLUMN()-7-1)/2+1)&lt;&gt;"Starfsbundið",AA50="",AA$8="",AA$7=""),"",ROUND(AA50/AA$8*AA$7*KVARDI,2))</f>
        <v/>
      </c>
      <c r="AC50" s="39"/>
      <c r="AD50" s="40" t="str">
        <f aca="false">IF(OR(INDEX(Undirviðmið!$G$6:$G$105,(COLUMN()-7-1)/2+1)&lt;&gt;"Starfsbundið",AC50="",AC$8="",AC$7=""),"",ROUND(AC50/AC$8*AC$7*KVARDI,2))</f>
        <v/>
      </c>
      <c r="AE50" s="39"/>
      <c r="AF50" s="40" t="str">
        <f aca="false">IF(OR(INDEX(Undirviðmið!$G$6:$G$105,(COLUMN()-7-1)/2+1)&lt;&gt;"Starfsbundið",AE50="",AE$8="",AE$7=""),"",ROUND(AE50/AE$8*AE$7*KVARDI,2))</f>
        <v/>
      </c>
      <c r="AG50" s="39"/>
      <c r="AH50" s="40" t="str">
        <f aca="false">IF(OR(INDEX(Undirviðmið!$G$6:$G$105,(COLUMN()-7-1)/2+1)&lt;&gt;"Starfsbundið",AG50="",AG$8="",AG$7=""),"",ROUND(AG50/AG$8*AG$7*KVARDI,2))</f>
        <v/>
      </c>
      <c r="AI50" s="39"/>
      <c r="AJ50" s="40" t="str">
        <f aca="false">IF(OR(INDEX(Undirviðmið!$G$6:$G$105,(COLUMN()-7-1)/2+1)&lt;&gt;"Starfsbundið",AI50="",AI$8="",AI$7=""),"",ROUND(AI50/AI$8*AI$7*KVARDI,2))</f>
        <v/>
      </c>
      <c r="AK50" s="39"/>
      <c r="AL50" s="40" t="str">
        <f aca="false">IF(OR(INDEX(Undirviðmið!$G$6:$G$105,(COLUMN()-7-1)/2+1)&lt;&gt;"Starfsbundið",AK50="",AK$8="",AK$7=""),"",ROUND(AK50/AK$8*AK$7*KVARDI,2))</f>
        <v/>
      </c>
      <c r="AM50" s="39"/>
      <c r="AN50" s="40" t="str">
        <f aca="false">IF(OR(INDEX(Undirviðmið!$G$6:$G$105,(COLUMN()-7-1)/2+1)&lt;&gt;"Starfsbundið",AM50="",AM$8="",AM$7=""),"",ROUND(AM50/AM$8*AM$7*KVARDI,2))</f>
        <v/>
      </c>
      <c r="AO50" s="39"/>
      <c r="AP50" s="40" t="str">
        <f aca="false">IF(OR(INDEX(Undirviðmið!$G$6:$G$105,(COLUMN()-7-1)/2+1)&lt;&gt;"Starfsbundið",AO50="",AO$8="",AO$7=""),"",ROUND(AO50/AO$8*AO$7*KVARDI,2))</f>
        <v/>
      </c>
      <c r="AQ50" s="39"/>
      <c r="AR50" s="40" t="str">
        <f aca="false">IF(OR(INDEX(Undirviðmið!$G$6:$G$105,(COLUMN()-7-1)/2+1)&lt;&gt;"Starfsbundið",AQ50="",AQ$8="",AQ$7=""),"",ROUND(AQ50/AQ$8*AQ$7*KVARDI,2))</f>
        <v/>
      </c>
      <c r="AS50" s="39"/>
      <c r="AT50" s="40" t="str">
        <f aca="false">IF(OR(INDEX(Undirviðmið!$G$6:$G$105,(COLUMN()-7-1)/2+1)&lt;&gt;"Starfsbundið",AS50="",AS$8="",AS$7=""),"",ROUND(AS50/AS$8*AS$7*KVARDI,2))</f>
        <v/>
      </c>
      <c r="AU50" s="39"/>
      <c r="AV50" s="40" t="str">
        <f aca="false">IF(OR(INDEX(Undirviðmið!$G$6:$G$105,(COLUMN()-7-1)/2+1)&lt;&gt;"Starfsbundið",AU50="",AU$8="",AU$7=""),"",ROUND(AU50/AU$8*AU$7*KVARDI,2))</f>
        <v/>
      </c>
      <c r="AW50" s="39"/>
      <c r="AX50" s="40" t="str">
        <f aca="false">IF(OR(INDEX(Undirviðmið!$G$6:$G$105,(COLUMN()-7-1)/2+1)&lt;&gt;"Starfsbundið",AW50="",AW$8="",AW$7=""),"",ROUND(AW50/AW$8*AW$7*KVARDI,2))</f>
        <v/>
      </c>
      <c r="AY50" s="39"/>
      <c r="AZ50" s="40" t="str">
        <f aca="false">IF(OR(INDEX(Undirviðmið!$G$6:$G$105,(COLUMN()-7-1)/2+1)&lt;&gt;"Starfsbundið",AY50="",AY$8="",AY$7=""),"",ROUND(AY50/AY$8*AY$7*KVARDI,2))</f>
        <v/>
      </c>
      <c r="BA50" s="39"/>
      <c r="BB50" s="40" t="str">
        <f aca="false">IF(OR(INDEX(Undirviðmið!$G$6:$G$105,(COLUMN()-7-1)/2+1)&lt;&gt;"Starfsbundið",BA50="",BA$8="",BA$7=""),"",ROUND(BA50/BA$8*BA$7*KVARDI,2))</f>
        <v/>
      </c>
      <c r="BC50" s="39"/>
      <c r="BD50" s="40" t="str">
        <f aca="false">IF(OR(INDEX(Undirviðmið!$G$6:$G$105,(COLUMN()-7-1)/2+1)&lt;&gt;"Starfsbundið",BC50="",BC$8="",BC$7=""),"",ROUND(BC50/BC$8*BC$7*KVARDI,2))</f>
        <v/>
      </c>
      <c r="BE50" s="39"/>
      <c r="BF50" s="40" t="str">
        <f aca="false">IF(OR(INDEX(Undirviðmið!$G$6:$G$105,(COLUMN()-7-1)/2+1)&lt;&gt;"Starfsbundið",BE50="",BE$8="",BE$7=""),"",ROUND(BE50/BE$8*BE$7*KVARDI,2))</f>
        <v/>
      </c>
      <c r="BG50" s="39"/>
      <c r="BH50" s="40" t="str">
        <f aca="false">IF(OR(INDEX(Undirviðmið!$G$6:$G$105,(COLUMN()-7-1)/2+1)&lt;&gt;"Starfsbundið",BG50="",BG$8="",BG$7=""),"",ROUND(BG50/BG$8*BG$7*KVARDI,2))</f>
        <v/>
      </c>
      <c r="BI50" s="39"/>
      <c r="BJ50" s="40" t="str">
        <f aca="false">IF(OR(INDEX(Undirviðmið!$G$6:$G$105,(COLUMN()-7-1)/2+1)&lt;&gt;"Starfsbundið",BI50="",BI$8="",BI$7=""),"",ROUND(BI50/BI$8*BI$7*KVARDI,2))</f>
        <v/>
      </c>
      <c r="BK50" s="39"/>
      <c r="BL50" s="40" t="str">
        <f aca="false">IF(OR(INDEX(Undirviðmið!$G$6:$G$105,(COLUMN()-7-1)/2+1)&lt;&gt;"Starfsbundið",BK50="",BK$8="",BK$7=""),"",ROUND(BK50/BK$8*BK$7*KVARDI,2))</f>
        <v/>
      </c>
      <c r="BM50" s="39"/>
      <c r="BN50" s="40" t="str">
        <f aca="false">IF(OR(INDEX(Undirviðmið!$G$6:$G$105,(COLUMN()-7-1)/2+1)&lt;&gt;"Starfsbundið",BM50="",BM$8="",BM$7=""),"",ROUND(BM50/BM$8*BM$7*KVARDI,2))</f>
        <v/>
      </c>
      <c r="BO50" s="39"/>
      <c r="BP50" s="40" t="str">
        <f aca="false">IF(OR(INDEX(Undirviðmið!$G$6:$G$105,(COLUMN()-7-1)/2+1)&lt;&gt;"Starfsbundið",BO50="",BO$8="",BO$7=""),"",ROUND(BO50/BO$8*BO$7*KVARDI,2))</f>
        <v/>
      </c>
      <c r="BQ50" s="39"/>
      <c r="BR50" s="40" t="str">
        <f aca="false">IF(OR(INDEX(Undirviðmið!$G$6:$G$105,(COLUMN()-7-1)/2+1)&lt;&gt;"Starfsbundið",BQ50="",BQ$8="",BQ$7=""),"",ROUND(BQ50/BQ$8*BQ$7*KVARDI,2))</f>
        <v/>
      </c>
      <c r="BS50" s="39"/>
      <c r="BT50" s="40" t="str">
        <f aca="false">IF(OR(INDEX(Undirviðmið!$G$6:$G$105,(COLUMN()-7-1)/2+1)&lt;&gt;"Starfsbundið",BS50="",BS$8="",BS$7=""),"",ROUND(BS50/BS$8*BS$7*KVARDI,2))</f>
        <v/>
      </c>
      <c r="BU50" s="39"/>
      <c r="BV50" s="40" t="str">
        <f aca="false">IF(OR(INDEX(Undirviðmið!$G$6:$G$105,(COLUMN()-7-1)/2+1)&lt;&gt;"Starfsbundið",BU50="",BU$8="",BU$7=""),"",ROUND(BU50/BU$8*BU$7*KVARDI,2))</f>
        <v/>
      </c>
      <c r="BW50" s="39"/>
      <c r="BX50" s="40" t="str">
        <f aca="false">IF(OR(INDEX(Undirviðmið!$G$6:$G$105,(COLUMN()-7-1)/2+1)&lt;&gt;"Starfsbundið",BW50="",BW$8="",BW$7=""),"",ROUND(BW50/BW$8*BW$7*KVARDI,2))</f>
        <v/>
      </c>
      <c r="BY50" s="39"/>
      <c r="BZ50" s="40" t="str">
        <f aca="false">IF(OR(INDEX(Undirviðmið!$G$6:$G$105,(COLUMN()-7-1)/2+1)&lt;&gt;"Starfsbundið",BY50="",BY$8="",BY$7=""),"",ROUND(BY50/BY$8*BY$7*KVARDI,2))</f>
        <v/>
      </c>
      <c r="CA50" s="39"/>
      <c r="CB50" s="40" t="str">
        <f aca="false">IF(OR(INDEX(Undirviðmið!$G$6:$G$105,(COLUMN()-7-1)/2+1)&lt;&gt;"Starfsbundið",CA50="",CA$8="",CA$7=""),"",ROUND(CA50/CA$8*CA$7*KVARDI,2))</f>
        <v/>
      </c>
      <c r="CC50" s="39"/>
      <c r="CD50" s="40" t="str">
        <f aca="false">IF(OR(INDEX(Undirviðmið!$G$6:$G$105,(COLUMN()-7-1)/2+1)&lt;&gt;"Starfsbundið",CC50="",CC$8="",CC$7=""),"",ROUND(CC50/CC$8*CC$7*KVARDI,2))</f>
        <v/>
      </c>
      <c r="CE50" s="39"/>
      <c r="CF50" s="40" t="str">
        <f aca="false">IF(OR(INDEX(Undirviðmið!$G$6:$G$105,(COLUMN()-7-1)/2+1)&lt;&gt;"Starfsbundið",CE50="",CE$8="",CE$7=""),"",ROUND(CE50/CE$8*CE$7*KVARDI,2))</f>
        <v/>
      </c>
      <c r="CG50" s="39"/>
      <c r="CH50" s="40" t="str">
        <f aca="false">IF(OR(INDEX(Undirviðmið!$G$6:$G$105,(COLUMN()-7-1)/2+1)&lt;&gt;"Starfsbundið",CG50="",CG$8="",CG$7=""),"",ROUND(CG50/CG$8*CG$7*KVARDI,2))</f>
        <v/>
      </c>
      <c r="CI50" s="39"/>
      <c r="CJ50" s="40" t="str">
        <f aca="false">IF(OR(INDEX(Undirviðmið!$G$6:$G$105,(COLUMN()-7-1)/2+1)&lt;&gt;"Starfsbundið",CI50="",CI$8="",CI$7=""),"",ROUND(CI50/CI$8*CI$7*KVARDI,2))</f>
        <v/>
      </c>
      <c r="CK50" s="39"/>
      <c r="CL50" s="40" t="str">
        <f aca="false">IF(OR(INDEX(Undirviðmið!$G$6:$G$105,(COLUMN()-7-1)/2+1)&lt;&gt;"Starfsbundið",CK50="",CK$8="",CK$7=""),"",ROUND(CK50/CK$8*CK$7*KVARDI,2))</f>
        <v/>
      </c>
      <c r="CM50" s="39"/>
      <c r="CN50" s="40" t="str">
        <f aca="false">IF(OR(INDEX(Undirviðmið!$G$6:$G$105,(COLUMN()-7-1)/2+1)&lt;&gt;"Starfsbundið",CM50="",CM$8="",CM$7=""),"",ROUND(CM50/CM$8*CM$7*KVARDI,2))</f>
        <v/>
      </c>
      <c r="CO50" s="39"/>
      <c r="CP50" s="40" t="str">
        <f aca="false">IF(OR(INDEX(Undirviðmið!$G$6:$G$105,(COLUMN()-7-1)/2+1)&lt;&gt;"Starfsbundið",CO50="",CO$8="",CO$7=""),"",ROUND(CO50/CO$8*CO$7*KVARDI,2))</f>
        <v/>
      </c>
      <c r="CQ50" s="39"/>
      <c r="CR50" s="40" t="str">
        <f aca="false">IF(OR(INDEX(Undirviðmið!$G$6:$G$105,(COLUMN()-7-1)/2+1)&lt;&gt;"Starfsbundið",CQ50="",CQ$8="",CQ$7=""),"",ROUND(CQ50/CQ$8*CQ$7*KVARDI,2))</f>
        <v/>
      </c>
      <c r="CS50" s="39"/>
      <c r="CT50" s="40" t="str">
        <f aca="false">IF(OR(INDEX(Undirviðmið!$G$6:$G$105,(COLUMN()-7-1)/2+1)&lt;&gt;"Starfsbundið",CS50="",CS$8="",CS$7=""),"",ROUND(CS50/CS$8*CS$7*KVARDI,2))</f>
        <v/>
      </c>
      <c r="CU50" s="39"/>
      <c r="CV50" s="40" t="str">
        <f aca="false">IF(OR(INDEX(Undirviðmið!$G$6:$G$105,(COLUMN()-7-1)/2+1)&lt;&gt;"Starfsbundið",CU50="",CU$8="",CU$7=""),"",ROUND(CU50/CU$8*CU$7*KVARDI,2))</f>
        <v/>
      </c>
      <c r="CW50" s="39"/>
      <c r="CX50" s="40" t="str">
        <f aca="false">IF(OR(INDEX(Undirviðmið!$G$6:$G$105,(COLUMN()-7-1)/2+1)&lt;&gt;"Starfsbundið",CW50="",CW$8="",CW$7=""),"",ROUND(CW50/CW$8*CW$7*KVARDI,2))</f>
        <v/>
      </c>
      <c r="CY50" s="39"/>
      <c r="CZ50" s="40" t="str">
        <f aca="false">IF(OR(INDEX(Undirviðmið!$G$6:$G$105,(COLUMN()-7-1)/2+1)&lt;&gt;"Starfsbundið",CY50="",CY$8="",CY$7=""),"",ROUND(CY50/CY$8*CY$7*KVARDI,2))</f>
        <v/>
      </c>
      <c r="DA50" s="39"/>
      <c r="DB50" s="40" t="str">
        <f aca="false">IF(OR(INDEX(Undirviðmið!$G$6:$G$105,(COLUMN()-7-1)/2+1)&lt;&gt;"Starfsbundið",DA50="",DA$8="",DA$7=""),"",ROUND(DA50/DA$8*DA$7*KVARDI,2))</f>
        <v/>
      </c>
      <c r="DC50" s="39"/>
      <c r="DD50" s="40" t="str">
        <f aca="false">IF(OR(INDEX(Undirviðmið!$G$6:$G$105,(COLUMN()-7-1)/2+1)&lt;&gt;"Starfsbundið",DC50="",DC$8="",DC$7=""),"",ROUND(DC50/DC$8*DC$7*KVARDI,2))</f>
        <v/>
      </c>
      <c r="DE50" s="39"/>
      <c r="DF50" s="40" t="str">
        <f aca="false">IF(OR(INDEX(Undirviðmið!$G$6:$G$105,(COLUMN()-7-1)/2+1)&lt;&gt;"Starfsbundið",DE50="",DE$8="",DE$7=""),"",ROUND(DE50/DE$8*DE$7*KVARDI,2))</f>
        <v/>
      </c>
      <c r="DG50" s="39"/>
      <c r="DH50" s="40" t="str">
        <f aca="false">IF(OR(INDEX(Undirviðmið!$G$6:$G$105,(COLUMN()-7-1)/2+1)&lt;&gt;"Starfsbundið",DG50="",DG$8="",DG$7=""),"",ROUND(DG50/DG$8*DG$7*KVARDI,2))</f>
        <v/>
      </c>
      <c r="DI50" s="39"/>
      <c r="DJ50" s="40" t="str">
        <f aca="false">IF(OR(INDEX(Undirviðmið!$G$6:$G$105,(COLUMN()-7-1)/2+1)&lt;&gt;"Starfsbundið",DI50="",DI$8="",DI$7=""),"",ROUND(DI50/DI$8*DI$7*KVARDI,2))</f>
        <v/>
      </c>
      <c r="DK50" s="39"/>
      <c r="DL50" s="40" t="str">
        <f aca="false">IF(OR(INDEX(Undirviðmið!$G$6:$G$105,(COLUMN()-7-1)/2+1)&lt;&gt;"Starfsbundið",DK50="",DK$8="",DK$7=""),"",ROUND(DK50/DK$8*DK$7*KVARDI,2))</f>
        <v/>
      </c>
      <c r="DM50" s="39"/>
      <c r="DN50" s="40" t="str">
        <f aca="false">IF(OR(INDEX(Undirviðmið!$G$6:$G$105,(COLUMN()-7-1)/2+1)&lt;&gt;"Starfsbundið",DM50="",DM$8="",DM$7=""),"",ROUND(DM50/DM$8*DM$7*KVARDI,2))</f>
        <v/>
      </c>
      <c r="DO50" s="39"/>
      <c r="DP50" s="40" t="str">
        <f aca="false">IF(OR(INDEX(Undirviðmið!$G$6:$G$105,(COLUMN()-7-1)/2+1)&lt;&gt;"Starfsbundið",DO50="",DO$8="",DO$7=""),"",ROUND(DO50/DO$8*DO$7*KVARDI,2))</f>
        <v/>
      </c>
      <c r="DQ50" s="39"/>
      <c r="DR50" s="40" t="str">
        <f aca="false">IF(OR(INDEX(Undirviðmið!$G$6:$G$105,(COLUMN()-7-1)/2+1)&lt;&gt;"Starfsbundið",DQ50="",DQ$8="",DQ$7=""),"",ROUND(DQ50/DQ$8*DQ$7*KVARDI,2))</f>
        <v/>
      </c>
      <c r="DS50" s="39"/>
      <c r="DT50" s="40" t="str">
        <f aca="false">IF(OR(INDEX(Undirviðmið!$G$6:$G$105,(COLUMN()-7-1)/2+1)&lt;&gt;"Starfsbundið",DS50="",DS$8="",DS$7=""),"",ROUND(DS50/DS$8*DS$7*KVARDI,2))</f>
        <v/>
      </c>
      <c r="DU50" s="39"/>
      <c r="DV50" s="40" t="str">
        <f aca="false">IF(OR(INDEX(Undirviðmið!$G$6:$G$105,(COLUMN()-7-1)/2+1)&lt;&gt;"Starfsbundið",DU50="",DU$8="",DU$7=""),"",ROUND(DU50/DU$8*DU$7*KVARDI,2))</f>
        <v/>
      </c>
      <c r="DW50" s="39"/>
      <c r="DX50" s="40" t="str">
        <f aca="false">IF(OR(INDEX(Undirviðmið!$G$6:$G$105,(COLUMN()-7-1)/2+1)&lt;&gt;"Starfsbundið",DW50="",DW$8="",DW$7=""),"",ROUND(DW50/DW$8*DW$7*KVARDI,2))</f>
        <v/>
      </c>
      <c r="DY50" s="39"/>
      <c r="DZ50" s="40" t="str">
        <f aca="false">IF(OR(INDEX(Undirviðmið!$G$6:$G$105,(COLUMN()-7-1)/2+1)&lt;&gt;"Starfsbundið",DY50="",DY$8="",DY$7=""),"",ROUND(DY50/DY$8*DY$7*KVARDI,2))</f>
        <v/>
      </c>
      <c r="EA50" s="39"/>
      <c r="EB50" s="40" t="str">
        <f aca="false">IF(OR(INDEX(Undirviðmið!$G$6:$G$105,(COLUMN()-7-1)/2+1)&lt;&gt;"Starfsbundið",EA50="",EA$8="",EA$7=""),"",ROUND(EA50/EA$8*EA$7*KVARDI,2))</f>
        <v/>
      </c>
      <c r="EC50" s="39"/>
      <c r="ED50" s="40" t="str">
        <f aca="false">IF(OR(INDEX(Undirviðmið!$G$6:$G$105,(COLUMN()-7-1)/2+1)&lt;&gt;"Starfsbundið",EC50="",EC$8="",EC$7=""),"",ROUND(EC50/EC$8*EC$7*KVARDI,2))</f>
        <v/>
      </c>
      <c r="EE50" s="39"/>
      <c r="EF50" s="40" t="str">
        <f aca="false">IF(OR(INDEX(Undirviðmið!$G$6:$G$105,(COLUMN()-7-1)/2+1)&lt;&gt;"Starfsbundið",EE50="",EE$8="",EE$7=""),"",ROUND(EE50/EE$8*EE$7*KVARDI,2))</f>
        <v/>
      </c>
      <c r="EG50" s="39"/>
      <c r="EH50" s="40" t="str">
        <f aca="false">IF(OR(INDEX(Undirviðmið!$G$6:$G$105,(COLUMN()-7-1)/2+1)&lt;&gt;"Starfsbundið",EG50="",EG$8="",EG$7=""),"",ROUND(EG50/EG$8*EG$7*KVARDI,2))</f>
        <v/>
      </c>
      <c r="EI50" s="39"/>
      <c r="EJ50" s="40" t="str">
        <f aca="false">IF(OR(INDEX(Undirviðmið!$G$6:$G$105,(COLUMN()-7-1)/2+1)&lt;&gt;"Starfsbundið",EI50="",EI$8="",EI$7=""),"",ROUND(EI50/EI$8*EI$7*KVARDI,2))</f>
        <v/>
      </c>
      <c r="EK50" s="39"/>
      <c r="EL50" s="40" t="str">
        <f aca="false">IF(OR(INDEX(Undirviðmið!$G$6:$G$105,(COLUMN()-7-1)/2+1)&lt;&gt;"Starfsbundið",EK50="",EK$8="",EK$7=""),"",ROUND(EK50/EK$8*EK$7*KVARDI,2))</f>
        <v/>
      </c>
      <c r="EM50" s="39"/>
      <c r="EN50" s="40" t="str">
        <f aca="false">IF(OR(INDEX(Undirviðmið!$G$6:$G$105,(COLUMN()-7-1)/2+1)&lt;&gt;"Starfsbundið",EM50="",EM$8="",EM$7=""),"",ROUND(EM50/EM$8*EM$7*KVARDI,2))</f>
        <v/>
      </c>
      <c r="EO50" s="39"/>
      <c r="EP50" s="40" t="str">
        <f aca="false">IF(OR(INDEX(Undirviðmið!$G$6:$G$105,(COLUMN()-7-1)/2+1)&lt;&gt;"Starfsbundið",EO50="",EO$8="",EO$7=""),"",ROUND(EO50/EO$8*EO$7*KVARDI,2))</f>
        <v/>
      </c>
      <c r="EQ50" s="39"/>
      <c r="ER50" s="40" t="str">
        <f aca="false">IF(OR(INDEX(Undirviðmið!$G$6:$G$105,(COLUMN()-7-1)/2+1)&lt;&gt;"Starfsbundið",EQ50="",EQ$8="",EQ$7=""),"",ROUND(EQ50/EQ$8*EQ$7*KVARDI,2))</f>
        <v/>
      </c>
      <c r="ES50" s="39"/>
      <c r="ET50" s="40" t="str">
        <f aca="false">IF(OR(INDEX(Undirviðmið!$G$6:$G$105,(COLUMN()-7-1)/2+1)&lt;&gt;"Starfsbundið",ES50="",ES$8="",ES$7=""),"",ROUND(ES50/ES$8*ES$7*KVARDI,2))</f>
        <v/>
      </c>
      <c r="EU50" s="39"/>
      <c r="EV50" s="40" t="str">
        <f aca="false">IF(OR(INDEX(Undirviðmið!$G$6:$G$105,(COLUMN()-7-1)/2+1)&lt;&gt;"Starfsbundið",EU50="",EU$8="",EU$7=""),"",ROUND(EU50/EU$8*EU$7*KVARDI,2))</f>
        <v/>
      </c>
      <c r="EW50" s="39"/>
      <c r="EX50" s="40" t="str">
        <f aca="false">IF(OR(INDEX(Undirviðmið!$G$6:$G$105,(COLUMN()-7-1)/2+1)&lt;&gt;"Starfsbundið",EW50="",EW$8="",EW$7=""),"",ROUND(EW50/EW$8*EW$7*KVARDI,2))</f>
        <v/>
      </c>
      <c r="EY50" s="39"/>
      <c r="EZ50" s="40" t="str">
        <f aca="false">IF(OR(INDEX(Undirviðmið!$G$6:$G$105,(COLUMN()-7-1)/2+1)&lt;&gt;"Starfsbundið",EY50="",EY$8="",EY$7=""),"",ROUND(EY50/EY$8*EY$7*KVARDI,2))</f>
        <v/>
      </c>
      <c r="FA50" s="39"/>
      <c r="FB50" s="40" t="str">
        <f aca="false">IF(OR(INDEX(Undirviðmið!$G$6:$G$105,(COLUMN()-7-1)/2+1)&lt;&gt;"Starfsbundið",FA50="",FA$8="",FA$7=""),"",ROUND(FA50/FA$8*FA$7*KVARDI,2))</f>
        <v/>
      </c>
      <c r="FC50" s="39"/>
      <c r="FD50" s="40" t="str">
        <f aca="false">IF(OR(INDEX(Undirviðmið!$G$6:$G$105,(COLUMN()-7-1)/2+1)&lt;&gt;"Starfsbundið",FC50="",FC$8="",FC$7=""),"",ROUND(FC50/FC$8*FC$7*KVARDI,2))</f>
        <v/>
      </c>
      <c r="FE50" s="39"/>
      <c r="FF50" s="40" t="str">
        <f aca="false">IF(OR(INDEX(Undirviðmið!$G$6:$G$105,(COLUMN()-7-1)/2+1)&lt;&gt;"Starfsbundið",FE50="",FE$8="",FE$7=""),"",ROUND(FE50/FE$8*FE$7*KVARDI,2))</f>
        <v/>
      </c>
      <c r="FG50" s="39"/>
      <c r="FH50" s="40" t="str">
        <f aca="false">IF(OR(INDEX(Undirviðmið!$G$6:$G$105,(COLUMN()-7-1)/2+1)&lt;&gt;"Starfsbundið",FG50="",FG$8="",FG$7=""),"",ROUND(FG50/FG$8*FG$7*KVARDI,2))</f>
        <v/>
      </c>
      <c r="FI50" s="39"/>
      <c r="FJ50" s="40" t="str">
        <f aca="false">IF(OR(INDEX(Undirviðmið!$G$6:$G$105,(COLUMN()-7-1)/2+1)&lt;&gt;"Starfsbundið",FI50="",FI$8="",FI$7=""),"",ROUND(FI50/FI$8*FI$7*KVARDI,2))</f>
        <v/>
      </c>
      <c r="FK50" s="39"/>
      <c r="FL50" s="40" t="str">
        <f aca="false">IF(OR(INDEX(Undirviðmið!$G$6:$G$105,(COLUMN()-7-1)/2+1)&lt;&gt;"Starfsbundið",FK50="",FK$8="",FK$7=""),"",ROUND(FK50/FK$8*FK$7*KVARDI,2))</f>
        <v/>
      </c>
      <c r="FM50" s="39"/>
      <c r="FN50" s="40" t="str">
        <f aca="false">IF(OR(INDEX(Undirviðmið!$G$6:$G$105,(COLUMN()-7-1)/2+1)&lt;&gt;"Starfsbundið",FM50="",FM$8="",FM$7=""),"",ROUND(FM50/FM$8*FM$7*KVARDI,2))</f>
        <v/>
      </c>
      <c r="FO50" s="39"/>
      <c r="FP50" s="40" t="str">
        <f aca="false">IF(OR(INDEX(Undirviðmið!$G$6:$G$105,(COLUMN()-7-1)/2+1)&lt;&gt;"Starfsbundið",FO50="",FO$8="",FO$7=""),"",ROUND(FO50/FO$8*FO$7*KVARDI,2))</f>
        <v/>
      </c>
      <c r="FQ50" s="39"/>
      <c r="FR50" s="40" t="str">
        <f aca="false">IF(OR(INDEX(Undirviðmið!$G$6:$G$105,(COLUMN()-7-1)/2+1)&lt;&gt;"Starfsbundið",FQ50="",FQ$8="",FQ$7=""),"",ROUND(FQ50/FQ$8*FQ$7*KVARDI,2))</f>
        <v/>
      </c>
      <c r="FS50" s="39"/>
      <c r="FT50" s="40" t="str">
        <f aca="false">IF(OR(INDEX(Undirviðmið!$G$6:$G$105,(COLUMN()-7-1)/2+1)&lt;&gt;"Starfsbundið",FS50="",FS$8="",FS$7=""),"",ROUND(FS50/FS$8*FS$7*KVARDI,2))</f>
        <v/>
      </c>
      <c r="FU50" s="39"/>
      <c r="FV50" s="40" t="str">
        <f aca="false">IF(OR(INDEX(Undirviðmið!$G$6:$G$105,(COLUMN()-7-1)/2+1)&lt;&gt;"Starfsbundið",FU50="",FU$8="",FU$7=""),"",ROUND(FU50/FU$8*FU$7*KVARDI,2))</f>
        <v/>
      </c>
      <c r="FW50" s="39"/>
      <c r="FX50" s="40" t="str">
        <f aca="false">IF(OR(INDEX(Undirviðmið!$G$6:$G$105,(COLUMN()-7-1)/2+1)&lt;&gt;"Starfsbundið",FW50="",FW$8="",FW$7=""),"",ROUND(FW50/FW$8*FW$7*KVARDI,2))</f>
        <v/>
      </c>
      <c r="FY50" s="39"/>
      <c r="FZ50" s="40" t="str">
        <f aca="false">IF(OR(INDEX(Undirviðmið!$G$6:$G$105,(COLUMN()-7-1)/2+1)&lt;&gt;"Starfsbundið",FY50="",FY$8="",FY$7=""),"",ROUND(FY50/FY$8*FY$7*KVARDI,2))</f>
        <v/>
      </c>
      <c r="GA50" s="39"/>
      <c r="GB50" s="40" t="str">
        <f aca="false">IF(OR(INDEX(Undirviðmið!$G$6:$G$105,(COLUMN()-7-1)/2+1)&lt;&gt;"Starfsbundið",GA50="",GA$8="",GA$7=""),"",ROUND(GA50/GA$8*GA$7*KVARDI,2))</f>
        <v/>
      </c>
      <c r="GC50" s="39"/>
      <c r="GD50" s="40" t="str">
        <f aca="false">IF(OR(INDEX(Undirviðmið!$G$6:$G$105,(COLUMN()-7-1)/2+1)&lt;&gt;"Starfsbundið",GC50="",GC$8="",GC$7=""),"",ROUND(GC50/GC$8*GC$7*KVARDI,2))</f>
        <v/>
      </c>
      <c r="GE50" s="39"/>
      <c r="GF50" s="40" t="str">
        <f aca="false">IF(OR(INDEX(Undirviðmið!$G$6:$G$105,(COLUMN()-7-1)/2+1)&lt;&gt;"Starfsbundið",GE50="",GE$8="",GE$7=""),"",ROUND(GE50/GE$8*GE$7*KVARDI,2))</f>
        <v/>
      </c>
      <c r="GG50" s="39"/>
      <c r="GH50" s="40" t="str">
        <f aca="false">IF(OR(INDEX(Undirviðmið!$G$6:$G$105,(COLUMN()-7-1)/2+1)&lt;&gt;"Starfsbundið",GG50="",GG$8="",GG$7=""),"",ROUND(GG50/GG$8*GG$7*KVARDI,2))</f>
        <v/>
      </c>
      <c r="GI50" s="39"/>
      <c r="GJ50" s="40" t="str">
        <f aca="false">IF(OR(INDEX(Undirviðmið!$G$6:$G$105,(COLUMN()-7-1)/2+1)&lt;&gt;"Starfsbundið",GI50="",GI$8="",GI$7=""),"",ROUND(GI50/GI$8*GI$7*KVARDI,2))</f>
        <v/>
      </c>
      <c r="GK50" s="39"/>
      <c r="GL50" s="40" t="str">
        <f aca="false">IF(OR(INDEX(Undirviðmið!$G$6:$G$105,(COLUMN()-7-1)/2+1)&lt;&gt;"Starfsbundið",GK50="",GK$8="",GK$7=""),"",ROUND(GK50/GK$8*GK$7*KVARDI,2))</f>
        <v/>
      </c>
      <c r="GM50" s="39"/>
      <c r="GN50" s="40" t="str">
        <f aca="false">IF(OR(INDEX(Undirviðmið!$G$6:$G$105,(COLUMN()-7-1)/2+1)&lt;&gt;"Starfsbundið",GM50="",GM$8="",GM$7=""),"",ROUND(GM50/GM$8*GM$7*KVARDI,2))</f>
        <v/>
      </c>
      <c r="GO50" s="39"/>
      <c r="GP50" s="40" t="str">
        <f aca="false">IF(OR(INDEX(Undirviðmið!$G$6:$G$105,(COLUMN()-7-1)/2+1)&lt;&gt;"Starfsbundið",GO50="",GO$8="",GO$7=""),"",ROUND(GO50/GO$8*GO$7*KVARDI,2))</f>
        <v/>
      </c>
      <c r="GQ50" s="39"/>
      <c r="GR50" s="40" t="str">
        <f aca="false">IF(OR(INDEX(Undirviðmið!$G$6:$G$105,(COLUMN()-7-1)/2+1)&lt;&gt;"Starfsbundið",GQ50="",GQ$8="",GQ$7=""),"",ROUND(GQ50/GQ$8*GQ$7*KVARDI,2))</f>
        <v/>
      </c>
      <c r="GS50" s="39"/>
      <c r="GT50" s="40" t="str">
        <f aca="false">IF(OR(INDEX(Undirviðmið!$G$6:$G$105,(COLUMN()-7-1)/2+1)&lt;&gt;"Starfsbundið",GS50="",GS$8="",GS$7=""),"",ROUND(GS50/GS$8*GS$7*KVARDI,2))</f>
        <v/>
      </c>
      <c r="GU50" s="39"/>
      <c r="GV50" s="40" t="str">
        <f aca="false">IF(OR(INDEX(Undirviðmið!$G$6:$G$105,(COLUMN()-7-1)/2+1)&lt;&gt;"Starfsbundið",GU50="",GU$8="",GU$7=""),"",ROUND(GU50/GU$8*GU$7*KVARDI,2))</f>
        <v/>
      </c>
      <c r="GW50" s="39"/>
      <c r="GX50" s="40" t="str">
        <f aca="false">IF(OR(INDEX(Undirviðmið!$G$6:$G$105,(COLUMN()-7-1)/2+1)&lt;&gt;"Starfsbundið",GW50="",GW$8="",GW$7=""),"",ROUND(GW50/GW$8*GW$7*KVARDI,2))</f>
        <v/>
      </c>
      <c r="GZ50" s="20"/>
    </row>
    <row r="51" customFormat="false" ht="15" hidden="true" customHeight="true" outlineLevel="1" collapsed="false">
      <c r="B51" s="37" t="str">
        <f aca="false" t="array" ref="B51:B51">IFERROR(INDEX(Starfsmenn!$C$6:$C$10005,MATCH(0,COUNTIF($B$11:B50,Starfsmenn!$C$6:$C$10005)+(Starfsmenn!$C$6:$C$10005=""),0)),"")</f>
        <v/>
      </c>
      <c r="C51" s="38" t="n">
        <f aca="false">IFERROR(SUMIF($G$10:$GX$10,"Stig",$G51:$GX51),0)</f>
        <v>0</v>
      </c>
      <c r="G51" s="39"/>
      <c r="H51" s="40" t="str">
        <f aca="false">IF(OR(INDEX(Undirviðmið!$G$6:$G$105,(COLUMN()-7-1)/2+1)&lt;&gt;"Starfsbundið",G51="",G$8="",G$7=""),"",ROUND(G51/G$8*G$7*KVARDI,2))</f>
        <v/>
      </c>
      <c r="I51" s="39"/>
      <c r="J51" s="40" t="str">
        <f aca="false">IF(OR(INDEX(Undirviðmið!$G$6:$G$105,(COLUMN()-7-1)/2+1)&lt;&gt;"Starfsbundið",I51="",I$8="",I$7=""),"",ROUND(I51/I$8*I$7*KVARDI,2))</f>
        <v/>
      </c>
      <c r="K51" s="39"/>
      <c r="L51" s="40" t="str">
        <f aca="false">IF(OR(INDEX(Undirviðmið!$G$6:$G$105,(COLUMN()-7-1)/2+1)&lt;&gt;"Starfsbundið",K51="",K$8="",K$7=""),"",ROUND(K51/K$8*K$7*KVARDI,2))</f>
        <v/>
      </c>
      <c r="M51" s="39"/>
      <c r="N51" s="40" t="str">
        <f aca="false">IF(OR(INDEX(Undirviðmið!$G$6:$G$105,(COLUMN()-7-1)/2+1)&lt;&gt;"Starfsbundið",M51="",M$8="",M$7=""),"",ROUND(M51/M$8*M$7*KVARDI,2))</f>
        <v/>
      </c>
      <c r="O51" s="39"/>
      <c r="P51" s="40" t="str">
        <f aca="false">IF(OR(INDEX(Undirviðmið!$G$6:$G$105,(COLUMN()-7-1)/2+1)&lt;&gt;"Starfsbundið",O51="",O$8="",O$7=""),"",ROUND(O51/O$8*O$7*KVARDI,2))</f>
        <v/>
      </c>
      <c r="Q51" s="39"/>
      <c r="R51" s="40" t="str">
        <f aca="false">IF(OR(INDEX(Undirviðmið!$G$6:$G$105,(COLUMN()-7-1)/2+1)&lt;&gt;"Starfsbundið",Q51="",Q$8="",Q$7=""),"",ROUND(Q51/Q$8*Q$7*KVARDI,2))</f>
        <v/>
      </c>
      <c r="S51" s="39"/>
      <c r="T51" s="40" t="str">
        <f aca="false">IF(OR(INDEX(Undirviðmið!$G$6:$G$105,(COLUMN()-7-1)/2+1)&lt;&gt;"Starfsbundið",S51="",S$8="",S$7=""),"",ROUND(S51/S$8*S$7*KVARDI,2))</f>
        <v/>
      </c>
      <c r="U51" s="39"/>
      <c r="V51" s="40" t="str">
        <f aca="false">IF(OR(INDEX(Undirviðmið!$G$6:$G$105,(COLUMN()-7-1)/2+1)&lt;&gt;"Starfsbundið",U51="",U$8="",U$7=""),"",ROUND(U51/U$8*U$7*KVARDI,2))</f>
        <v/>
      </c>
      <c r="W51" s="39"/>
      <c r="X51" s="40" t="str">
        <f aca="false">IF(OR(INDEX(Undirviðmið!$G$6:$G$105,(COLUMN()-7-1)/2+1)&lt;&gt;"Starfsbundið",W51="",W$8="",W$7=""),"",ROUND(W51/W$8*W$7*KVARDI,2))</f>
        <v/>
      </c>
      <c r="Y51" s="39"/>
      <c r="Z51" s="40" t="str">
        <f aca="false">IF(OR(INDEX(Undirviðmið!$G$6:$G$105,(COLUMN()-7-1)/2+1)&lt;&gt;"Starfsbundið",Y51="",Y$8="",Y$7=""),"",ROUND(Y51/Y$8*Y$7*KVARDI,2))</f>
        <v/>
      </c>
      <c r="AA51" s="39"/>
      <c r="AB51" s="40" t="str">
        <f aca="false">IF(OR(INDEX(Undirviðmið!$G$6:$G$105,(COLUMN()-7-1)/2+1)&lt;&gt;"Starfsbundið",AA51="",AA$8="",AA$7=""),"",ROUND(AA51/AA$8*AA$7*KVARDI,2))</f>
        <v/>
      </c>
      <c r="AC51" s="39"/>
      <c r="AD51" s="40" t="str">
        <f aca="false">IF(OR(INDEX(Undirviðmið!$G$6:$G$105,(COLUMN()-7-1)/2+1)&lt;&gt;"Starfsbundið",AC51="",AC$8="",AC$7=""),"",ROUND(AC51/AC$8*AC$7*KVARDI,2))</f>
        <v/>
      </c>
      <c r="AE51" s="39"/>
      <c r="AF51" s="40" t="str">
        <f aca="false">IF(OR(INDEX(Undirviðmið!$G$6:$G$105,(COLUMN()-7-1)/2+1)&lt;&gt;"Starfsbundið",AE51="",AE$8="",AE$7=""),"",ROUND(AE51/AE$8*AE$7*KVARDI,2))</f>
        <v/>
      </c>
      <c r="AG51" s="39"/>
      <c r="AH51" s="40" t="str">
        <f aca="false">IF(OR(INDEX(Undirviðmið!$G$6:$G$105,(COLUMN()-7-1)/2+1)&lt;&gt;"Starfsbundið",AG51="",AG$8="",AG$7=""),"",ROUND(AG51/AG$8*AG$7*KVARDI,2))</f>
        <v/>
      </c>
      <c r="AI51" s="39"/>
      <c r="AJ51" s="40" t="str">
        <f aca="false">IF(OR(INDEX(Undirviðmið!$G$6:$G$105,(COLUMN()-7-1)/2+1)&lt;&gt;"Starfsbundið",AI51="",AI$8="",AI$7=""),"",ROUND(AI51/AI$8*AI$7*KVARDI,2))</f>
        <v/>
      </c>
      <c r="AK51" s="39"/>
      <c r="AL51" s="40" t="str">
        <f aca="false">IF(OR(INDEX(Undirviðmið!$G$6:$G$105,(COLUMN()-7-1)/2+1)&lt;&gt;"Starfsbundið",AK51="",AK$8="",AK$7=""),"",ROUND(AK51/AK$8*AK$7*KVARDI,2))</f>
        <v/>
      </c>
      <c r="AM51" s="39"/>
      <c r="AN51" s="40" t="str">
        <f aca="false">IF(OR(INDEX(Undirviðmið!$G$6:$G$105,(COLUMN()-7-1)/2+1)&lt;&gt;"Starfsbundið",AM51="",AM$8="",AM$7=""),"",ROUND(AM51/AM$8*AM$7*KVARDI,2))</f>
        <v/>
      </c>
      <c r="AO51" s="39"/>
      <c r="AP51" s="40" t="str">
        <f aca="false">IF(OR(INDEX(Undirviðmið!$G$6:$G$105,(COLUMN()-7-1)/2+1)&lt;&gt;"Starfsbundið",AO51="",AO$8="",AO$7=""),"",ROUND(AO51/AO$8*AO$7*KVARDI,2))</f>
        <v/>
      </c>
      <c r="AQ51" s="39"/>
      <c r="AR51" s="40" t="str">
        <f aca="false">IF(OR(INDEX(Undirviðmið!$G$6:$G$105,(COLUMN()-7-1)/2+1)&lt;&gt;"Starfsbundið",AQ51="",AQ$8="",AQ$7=""),"",ROUND(AQ51/AQ$8*AQ$7*KVARDI,2))</f>
        <v/>
      </c>
      <c r="AS51" s="39"/>
      <c r="AT51" s="40" t="str">
        <f aca="false">IF(OR(INDEX(Undirviðmið!$G$6:$G$105,(COLUMN()-7-1)/2+1)&lt;&gt;"Starfsbundið",AS51="",AS$8="",AS$7=""),"",ROUND(AS51/AS$8*AS$7*KVARDI,2))</f>
        <v/>
      </c>
      <c r="AU51" s="39"/>
      <c r="AV51" s="40" t="str">
        <f aca="false">IF(OR(INDEX(Undirviðmið!$G$6:$G$105,(COLUMN()-7-1)/2+1)&lt;&gt;"Starfsbundið",AU51="",AU$8="",AU$7=""),"",ROUND(AU51/AU$8*AU$7*KVARDI,2))</f>
        <v/>
      </c>
      <c r="AW51" s="39"/>
      <c r="AX51" s="40" t="str">
        <f aca="false">IF(OR(INDEX(Undirviðmið!$G$6:$G$105,(COLUMN()-7-1)/2+1)&lt;&gt;"Starfsbundið",AW51="",AW$8="",AW$7=""),"",ROUND(AW51/AW$8*AW$7*KVARDI,2))</f>
        <v/>
      </c>
      <c r="AY51" s="39"/>
      <c r="AZ51" s="40" t="str">
        <f aca="false">IF(OR(INDEX(Undirviðmið!$G$6:$G$105,(COLUMN()-7-1)/2+1)&lt;&gt;"Starfsbundið",AY51="",AY$8="",AY$7=""),"",ROUND(AY51/AY$8*AY$7*KVARDI,2))</f>
        <v/>
      </c>
      <c r="BA51" s="39"/>
      <c r="BB51" s="40" t="str">
        <f aca="false">IF(OR(INDEX(Undirviðmið!$G$6:$G$105,(COLUMN()-7-1)/2+1)&lt;&gt;"Starfsbundið",BA51="",BA$8="",BA$7=""),"",ROUND(BA51/BA$8*BA$7*KVARDI,2))</f>
        <v/>
      </c>
      <c r="BC51" s="39"/>
      <c r="BD51" s="40" t="str">
        <f aca="false">IF(OR(INDEX(Undirviðmið!$G$6:$G$105,(COLUMN()-7-1)/2+1)&lt;&gt;"Starfsbundið",BC51="",BC$8="",BC$7=""),"",ROUND(BC51/BC$8*BC$7*KVARDI,2))</f>
        <v/>
      </c>
      <c r="BE51" s="39"/>
      <c r="BF51" s="40" t="str">
        <f aca="false">IF(OR(INDEX(Undirviðmið!$G$6:$G$105,(COLUMN()-7-1)/2+1)&lt;&gt;"Starfsbundið",BE51="",BE$8="",BE$7=""),"",ROUND(BE51/BE$8*BE$7*KVARDI,2))</f>
        <v/>
      </c>
      <c r="BG51" s="39"/>
      <c r="BH51" s="40" t="str">
        <f aca="false">IF(OR(INDEX(Undirviðmið!$G$6:$G$105,(COLUMN()-7-1)/2+1)&lt;&gt;"Starfsbundið",BG51="",BG$8="",BG$7=""),"",ROUND(BG51/BG$8*BG$7*KVARDI,2))</f>
        <v/>
      </c>
      <c r="BI51" s="39"/>
      <c r="BJ51" s="40" t="str">
        <f aca="false">IF(OR(INDEX(Undirviðmið!$G$6:$G$105,(COLUMN()-7-1)/2+1)&lt;&gt;"Starfsbundið",BI51="",BI$8="",BI$7=""),"",ROUND(BI51/BI$8*BI$7*KVARDI,2))</f>
        <v/>
      </c>
      <c r="BK51" s="39"/>
      <c r="BL51" s="40" t="str">
        <f aca="false">IF(OR(INDEX(Undirviðmið!$G$6:$G$105,(COLUMN()-7-1)/2+1)&lt;&gt;"Starfsbundið",BK51="",BK$8="",BK$7=""),"",ROUND(BK51/BK$8*BK$7*KVARDI,2))</f>
        <v/>
      </c>
      <c r="BM51" s="39"/>
      <c r="BN51" s="40" t="str">
        <f aca="false">IF(OR(INDEX(Undirviðmið!$G$6:$G$105,(COLUMN()-7-1)/2+1)&lt;&gt;"Starfsbundið",BM51="",BM$8="",BM$7=""),"",ROUND(BM51/BM$8*BM$7*KVARDI,2))</f>
        <v/>
      </c>
      <c r="BO51" s="39"/>
      <c r="BP51" s="40" t="str">
        <f aca="false">IF(OR(INDEX(Undirviðmið!$G$6:$G$105,(COLUMN()-7-1)/2+1)&lt;&gt;"Starfsbundið",BO51="",BO$8="",BO$7=""),"",ROUND(BO51/BO$8*BO$7*KVARDI,2))</f>
        <v/>
      </c>
      <c r="BQ51" s="39"/>
      <c r="BR51" s="40" t="str">
        <f aca="false">IF(OR(INDEX(Undirviðmið!$G$6:$G$105,(COLUMN()-7-1)/2+1)&lt;&gt;"Starfsbundið",BQ51="",BQ$8="",BQ$7=""),"",ROUND(BQ51/BQ$8*BQ$7*KVARDI,2))</f>
        <v/>
      </c>
      <c r="BS51" s="39"/>
      <c r="BT51" s="40" t="str">
        <f aca="false">IF(OR(INDEX(Undirviðmið!$G$6:$G$105,(COLUMN()-7-1)/2+1)&lt;&gt;"Starfsbundið",BS51="",BS$8="",BS$7=""),"",ROUND(BS51/BS$8*BS$7*KVARDI,2))</f>
        <v/>
      </c>
      <c r="BU51" s="39"/>
      <c r="BV51" s="40" t="str">
        <f aca="false">IF(OR(INDEX(Undirviðmið!$G$6:$G$105,(COLUMN()-7-1)/2+1)&lt;&gt;"Starfsbundið",BU51="",BU$8="",BU$7=""),"",ROUND(BU51/BU$8*BU$7*KVARDI,2))</f>
        <v/>
      </c>
      <c r="BW51" s="39"/>
      <c r="BX51" s="40" t="str">
        <f aca="false">IF(OR(INDEX(Undirviðmið!$G$6:$G$105,(COLUMN()-7-1)/2+1)&lt;&gt;"Starfsbundið",BW51="",BW$8="",BW$7=""),"",ROUND(BW51/BW$8*BW$7*KVARDI,2))</f>
        <v/>
      </c>
      <c r="BY51" s="39"/>
      <c r="BZ51" s="40" t="str">
        <f aca="false">IF(OR(INDEX(Undirviðmið!$G$6:$G$105,(COLUMN()-7-1)/2+1)&lt;&gt;"Starfsbundið",BY51="",BY$8="",BY$7=""),"",ROUND(BY51/BY$8*BY$7*KVARDI,2))</f>
        <v/>
      </c>
      <c r="CA51" s="39"/>
      <c r="CB51" s="40" t="str">
        <f aca="false">IF(OR(INDEX(Undirviðmið!$G$6:$G$105,(COLUMN()-7-1)/2+1)&lt;&gt;"Starfsbundið",CA51="",CA$8="",CA$7=""),"",ROUND(CA51/CA$8*CA$7*KVARDI,2))</f>
        <v/>
      </c>
      <c r="CC51" s="39"/>
      <c r="CD51" s="40" t="str">
        <f aca="false">IF(OR(INDEX(Undirviðmið!$G$6:$G$105,(COLUMN()-7-1)/2+1)&lt;&gt;"Starfsbundið",CC51="",CC$8="",CC$7=""),"",ROUND(CC51/CC$8*CC$7*KVARDI,2))</f>
        <v/>
      </c>
      <c r="CE51" s="39"/>
      <c r="CF51" s="40" t="str">
        <f aca="false">IF(OR(INDEX(Undirviðmið!$G$6:$G$105,(COLUMN()-7-1)/2+1)&lt;&gt;"Starfsbundið",CE51="",CE$8="",CE$7=""),"",ROUND(CE51/CE$8*CE$7*KVARDI,2))</f>
        <v/>
      </c>
      <c r="CG51" s="39"/>
      <c r="CH51" s="40" t="str">
        <f aca="false">IF(OR(INDEX(Undirviðmið!$G$6:$G$105,(COLUMN()-7-1)/2+1)&lt;&gt;"Starfsbundið",CG51="",CG$8="",CG$7=""),"",ROUND(CG51/CG$8*CG$7*KVARDI,2))</f>
        <v/>
      </c>
      <c r="CI51" s="39"/>
      <c r="CJ51" s="40" t="str">
        <f aca="false">IF(OR(INDEX(Undirviðmið!$G$6:$G$105,(COLUMN()-7-1)/2+1)&lt;&gt;"Starfsbundið",CI51="",CI$8="",CI$7=""),"",ROUND(CI51/CI$8*CI$7*KVARDI,2))</f>
        <v/>
      </c>
      <c r="CK51" s="39"/>
      <c r="CL51" s="40" t="str">
        <f aca="false">IF(OR(INDEX(Undirviðmið!$G$6:$G$105,(COLUMN()-7-1)/2+1)&lt;&gt;"Starfsbundið",CK51="",CK$8="",CK$7=""),"",ROUND(CK51/CK$8*CK$7*KVARDI,2))</f>
        <v/>
      </c>
      <c r="CM51" s="39"/>
      <c r="CN51" s="40" t="str">
        <f aca="false">IF(OR(INDEX(Undirviðmið!$G$6:$G$105,(COLUMN()-7-1)/2+1)&lt;&gt;"Starfsbundið",CM51="",CM$8="",CM$7=""),"",ROUND(CM51/CM$8*CM$7*KVARDI,2))</f>
        <v/>
      </c>
      <c r="CO51" s="39"/>
      <c r="CP51" s="40" t="str">
        <f aca="false">IF(OR(INDEX(Undirviðmið!$G$6:$G$105,(COLUMN()-7-1)/2+1)&lt;&gt;"Starfsbundið",CO51="",CO$8="",CO$7=""),"",ROUND(CO51/CO$8*CO$7*KVARDI,2))</f>
        <v/>
      </c>
      <c r="CQ51" s="39"/>
      <c r="CR51" s="40" t="str">
        <f aca="false">IF(OR(INDEX(Undirviðmið!$G$6:$G$105,(COLUMN()-7-1)/2+1)&lt;&gt;"Starfsbundið",CQ51="",CQ$8="",CQ$7=""),"",ROUND(CQ51/CQ$8*CQ$7*KVARDI,2))</f>
        <v/>
      </c>
      <c r="CS51" s="39"/>
      <c r="CT51" s="40" t="str">
        <f aca="false">IF(OR(INDEX(Undirviðmið!$G$6:$G$105,(COLUMN()-7-1)/2+1)&lt;&gt;"Starfsbundið",CS51="",CS$8="",CS$7=""),"",ROUND(CS51/CS$8*CS$7*KVARDI,2))</f>
        <v/>
      </c>
      <c r="CU51" s="39"/>
      <c r="CV51" s="40" t="str">
        <f aca="false">IF(OR(INDEX(Undirviðmið!$G$6:$G$105,(COLUMN()-7-1)/2+1)&lt;&gt;"Starfsbundið",CU51="",CU$8="",CU$7=""),"",ROUND(CU51/CU$8*CU$7*KVARDI,2))</f>
        <v/>
      </c>
      <c r="CW51" s="39"/>
      <c r="CX51" s="40" t="str">
        <f aca="false">IF(OR(INDEX(Undirviðmið!$G$6:$G$105,(COLUMN()-7-1)/2+1)&lt;&gt;"Starfsbundið",CW51="",CW$8="",CW$7=""),"",ROUND(CW51/CW$8*CW$7*KVARDI,2))</f>
        <v/>
      </c>
      <c r="CY51" s="39"/>
      <c r="CZ51" s="40" t="str">
        <f aca="false">IF(OR(INDEX(Undirviðmið!$G$6:$G$105,(COLUMN()-7-1)/2+1)&lt;&gt;"Starfsbundið",CY51="",CY$8="",CY$7=""),"",ROUND(CY51/CY$8*CY$7*KVARDI,2))</f>
        <v/>
      </c>
      <c r="DA51" s="39"/>
      <c r="DB51" s="40" t="str">
        <f aca="false">IF(OR(INDEX(Undirviðmið!$G$6:$G$105,(COLUMN()-7-1)/2+1)&lt;&gt;"Starfsbundið",DA51="",DA$8="",DA$7=""),"",ROUND(DA51/DA$8*DA$7*KVARDI,2))</f>
        <v/>
      </c>
      <c r="DC51" s="39"/>
      <c r="DD51" s="40" t="str">
        <f aca="false">IF(OR(INDEX(Undirviðmið!$G$6:$G$105,(COLUMN()-7-1)/2+1)&lt;&gt;"Starfsbundið",DC51="",DC$8="",DC$7=""),"",ROUND(DC51/DC$8*DC$7*KVARDI,2))</f>
        <v/>
      </c>
      <c r="DE51" s="39"/>
      <c r="DF51" s="40" t="str">
        <f aca="false">IF(OR(INDEX(Undirviðmið!$G$6:$G$105,(COLUMN()-7-1)/2+1)&lt;&gt;"Starfsbundið",DE51="",DE$8="",DE$7=""),"",ROUND(DE51/DE$8*DE$7*KVARDI,2))</f>
        <v/>
      </c>
      <c r="DG51" s="39"/>
      <c r="DH51" s="40" t="str">
        <f aca="false">IF(OR(INDEX(Undirviðmið!$G$6:$G$105,(COLUMN()-7-1)/2+1)&lt;&gt;"Starfsbundið",DG51="",DG$8="",DG$7=""),"",ROUND(DG51/DG$8*DG$7*KVARDI,2))</f>
        <v/>
      </c>
      <c r="DI51" s="39"/>
      <c r="DJ51" s="40" t="str">
        <f aca="false">IF(OR(INDEX(Undirviðmið!$G$6:$G$105,(COLUMN()-7-1)/2+1)&lt;&gt;"Starfsbundið",DI51="",DI$8="",DI$7=""),"",ROUND(DI51/DI$8*DI$7*KVARDI,2))</f>
        <v/>
      </c>
      <c r="DK51" s="39"/>
      <c r="DL51" s="40" t="str">
        <f aca="false">IF(OR(INDEX(Undirviðmið!$G$6:$G$105,(COLUMN()-7-1)/2+1)&lt;&gt;"Starfsbundið",DK51="",DK$8="",DK$7=""),"",ROUND(DK51/DK$8*DK$7*KVARDI,2))</f>
        <v/>
      </c>
      <c r="DM51" s="39"/>
      <c r="DN51" s="40" t="str">
        <f aca="false">IF(OR(INDEX(Undirviðmið!$G$6:$G$105,(COLUMN()-7-1)/2+1)&lt;&gt;"Starfsbundið",DM51="",DM$8="",DM$7=""),"",ROUND(DM51/DM$8*DM$7*KVARDI,2))</f>
        <v/>
      </c>
      <c r="DO51" s="39"/>
      <c r="DP51" s="40" t="str">
        <f aca="false">IF(OR(INDEX(Undirviðmið!$G$6:$G$105,(COLUMN()-7-1)/2+1)&lt;&gt;"Starfsbundið",DO51="",DO$8="",DO$7=""),"",ROUND(DO51/DO$8*DO$7*KVARDI,2))</f>
        <v/>
      </c>
      <c r="DQ51" s="39"/>
      <c r="DR51" s="40" t="str">
        <f aca="false">IF(OR(INDEX(Undirviðmið!$G$6:$G$105,(COLUMN()-7-1)/2+1)&lt;&gt;"Starfsbundið",DQ51="",DQ$8="",DQ$7=""),"",ROUND(DQ51/DQ$8*DQ$7*KVARDI,2))</f>
        <v/>
      </c>
      <c r="DS51" s="39"/>
      <c r="DT51" s="40" t="str">
        <f aca="false">IF(OR(INDEX(Undirviðmið!$G$6:$G$105,(COLUMN()-7-1)/2+1)&lt;&gt;"Starfsbundið",DS51="",DS$8="",DS$7=""),"",ROUND(DS51/DS$8*DS$7*KVARDI,2))</f>
        <v/>
      </c>
      <c r="DU51" s="39"/>
      <c r="DV51" s="40" t="str">
        <f aca="false">IF(OR(INDEX(Undirviðmið!$G$6:$G$105,(COLUMN()-7-1)/2+1)&lt;&gt;"Starfsbundið",DU51="",DU$8="",DU$7=""),"",ROUND(DU51/DU$8*DU$7*KVARDI,2))</f>
        <v/>
      </c>
      <c r="DW51" s="39"/>
      <c r="DX51" s="40" t="str">
        <f aca="false">IF(OR(INDEX(Undirviðmið!$G$6:$G$105,(COLUMN()-7-1)/2+1)&lt;&gt;"Starfsbundið",DW51="",DW$8="",DW$7=""),"",ROUND(DW51/DW$8*DW$7*KVARDI,2))</f>
        <v/>
      </c>
      <c r="DY51" s="39"/>
      <c r="DZ51" s="40" t="str">
        <f aca="false">IF(OR(INDEX(Undirviðmið!$G$6:$G$105,(COLUMN()-7-1)/2+1)&lt;&gt;"Starfsbundið",DY51="",DY$8="",DY$7=""),"",ROUND(DY51/DY$8*DY$7*KVARDI,2))</f>
        <v/>
      </c>
      <c r="EA51" s="39"/>
      <c r="EB51" s="40" t="str">
        <f aca="false">IF(OR(INDEX(Undirviðmið!$G$6:$G$105,(COLUMN()-7-1)/2+1)&lt;&gt;"Starfsbundið",EA51="",EA$8="",EA$7=""),"",ROUND(EA51/EA$8*EA$7*KVARDI,2))</f>
        <v/>
      </c>
      <c r="EC51" s="39"/>
      <c r="ED51" s="40" t="str">
        <f aca="false">IF(OR(INDEX(Undirviðmið!$G$6:$G$105,(COLUMN()-7-1)/2+1)&lt;&gt;"Starfsbundið",EC51="",EC$8="",EC$7=""),"",ROUND(EC51/EC$8*EC$7*KVARDI,2))</f>
        <v/>
      </c>
      <c r="EE51" s="39"/>
      <c r="EF51" s="40" t="str">
        <f aca="false">IF(OR(INDEX(Undirviðmið!$G$6:$G$105,(COLUMN()-7-1)/2+1)&lt;&gt;"Starfsbundið",EE51="",EE$8="",EE$7=""),"",ROUND(EE51/EE$8*EE$7*KVARDI,2))</f>
        <v/>
      </c>
      <c r="EG51" s="39"/>
      <c r="EH51" s="40" t="str">
        <f aca="false">IF(OR(INDEX(Undirviðmið!$G$6:$G$105,(COLUMN()-7-1)/2+1)&lt;&gt;"Starfsbundið",EG51="",EG$8="",EG$7=""),"",ROUND(EG51/EG$8*EG$7*KVARDI,2))</f>
        <v/>
      </c>
      <c r="EI51" s="39"/>
      <c r="EJ51" s="40" t="str">
        <f aca="false">IF(OR(INDEX(Undirviðmið!$G$6:$G$105,(COLUMN()-7-1)/2+1)&lt;&gt;"Starfsbundið",EI51="",EI$8="",EI$7=""),"",ROUND(EI51/EI$8*EI$7*KVARDI,2))</f>
        <v/>
      </c>
      <c r="EK51" s="39"/>
      <c r="EL51" s="40" t="str">
        <f aca="false">IF(OR(INDEX(Undirviðmið!$G$6:$G$105,(COLUMN()-7-1)/2+1)&lt;&gt;"Starfsbundið",EK51="",EK$8="",EK$7=""),"",ROUND(EK51/EK$8*EK$7*KVARDI,2))</f>
        <v/>
      </c>
      <c r="EM51" s="39"/>
      <c r="EN51" s="40" t="str">
        <f aca="false">IF(OR(INDEX(Undirviðmið!$G$6:$G$105,(COLUMN()-7-1)/2+1)&lt;&gt;"Starfsbundið",EM51="",EM$8="",EM$7=""),"",ROUND(EM51/EM$8*EM$7*KVARDI,2))</f>
        <v/>
      </c>
      <c r="EO51" s="39"/>
      <c r="EP51" s="40" t="str">
        <f aca="false">IF(OR(INDEX(Undirviðmið!$G$6:$G$105,(COLUMN()-7-1)/2+1)&lt;&gt;"Starfsbundið",EO51="",EO$8="",EO$7=""),"",ROUND(EO51/EO$8*EO$7*KVARDI,2))</f>
        <v/>
      </c>
      <c r="EQ51" s="39"/>
      <c r="ER51" s="40" t="str">
        <f aca="false">IF(OR(INDEX(Undirviðmið!$G$6:$G$105,(COLUMN()-7-1)/2+1)&lt;&gt;"Starfsbundið",EQ51="",EQ$8="",EQ$7=""),"",ROUND(EQ51/EQ$8*EQ$7*KVARDI,2))</f>
        <v/>
      </c>
      <c r="ES51" s="39"/>
      <c r="ET51" s="40" t="str">
        <f aca="false">IF(OR(INDEX(Undirviðmið!$G$6:$G$105,(COLUMN()-7-1)/2+1)&lt;&gt;"Starfsbundið",ES51="",ES$8="",ES$7=""),"",ROUND(ES51/ES$8*ES$7*KVARDI,2))</f>
        <v/>
      </c>
      <c r="EU51" s="39"/>
      <c r="EV51" s="40" t="str">
        <f aca="false">IF(OR(INDEX(Undirviðmið!$G$6:$G$105,(COLUMN()-7-1)/2+1)&lt;&gt;"Starfsbundið",EU51="",EU$8="",EU$7=""),"",ROUND(EU51/EU$8*EU$7*KVARDI,2))</f>
        <v/>
      </c>
      <c r="EW51" s="39"/>
      <c r="EX51" s="40" t="str">
        <f aca="false">IF(OR(INDEX(Undirviðmið!$G$6:$G$105,(COLUMN()-7-1)/2+1)&lt;&gt;"Starfsbundið",EW51="",EW$8="",EW$7=""),"",ROUND(EW51/EW$8*EW$7*KVARDI,2))</f>
        <v/>
      </c>
      <c r="EY51" s="39"/>
      <c r="EZ51" s="40" t="str">
        <f aca="false">IF(OR(INDEX(Undirviðmið!$G$6:$G$105,(COLUMN()-7-1)/2+1)&lt;&gt;"Starfsbundið",EY51="",EY$8="",EY$7=""),"",ROUND(EY51/EY$8*EY$7*KVARDI,2))</f>
        <v/>
      </c>
      <c r="FA51" s="39"/>
      <c r="FB51" s="40" t="str">
        <f aca="false">IF(OR(INDEX(Undirviðmið!$G$6:$G$105,(COLUMN()-7-1)/2+1)&lt;&gt;"Starfsbundið",FA51="",FA$8="",FA$7=""),"",ROUND(FA51/FA$8*FA$7*KVARDI,2))</f>
        <v/>
      </c>
      <c r="FC51" s="39"/>
      <c r="FD51" s="40" t="str">
        <f aca="false">IF(OR(INDEX(Undirviðmið!$G$6:$G$105,(COLUMN()-7-1)/2+1)&lt;&gt;"Starfsbundið",FC51="",FC$8="",FC$7=""),"",ROUND(FC51/FC$8*FC$7*KVARDI,2))</f>
        <v/>
      </c>
      <c r="FE51" s="39"/>
      <c r="FF51" s="40" t="str">
        <f aca="false">IF(OR(INDEX(Undirviðmið!$G$6:$G$105,(COLUMN()-7-1)/2+1)&lt;&gt;"Starfsbundið",FE51="",FE$8="",FE$7=""),"",ROUND(FE51/FE$8*FE$7*KVARDI,2))</f>
        <v/>
      </c>
      <c r="FG51" s="39"/>
      <c r="FH51" s="40" t="str">
        <f aca="false">IF(OR(INDEX(Undirviðmið!$G$6:$G$105,(COLUMN()-7-1)/2+1)&lt;&gt;"Starfsbundið",FG51="",FG$8="",FG$7=""),"",ROUND(FG51/FG$8*FG$7*KVARDI,2))</f>
        <v/>
      </c>
      <c r="FI51" s="39"/>
      <c r="FJ51" s="40" t="str">
        <f aca="false">IF(OR(INDEX(Undirviðmið!$G$6:$G$105,(COLUMN()-7-1)/2+1)&lt;&gt;"Starfsbundið",FI51="",FI$8="",FI$7=""),"",ROUND(FI51/FI$8*FI$7*KVARDI,2))</f>
        <v/>
      </c>
      <c r="FK51" s="39"/>
      <c r="FL51" s="40" t="str">
        <f aca="false">IF(OR(INDEX(Undirviðmið!$G$6:$G$105,(COLUMN()-7-1)/2+1)&lt;&gt;"Starfsbundið",FK51="",FK$8="",FK$7=""),"",ROUND(FK51/FK$8*FK$7*KVARDI,2))</f>
        <v/>
      </c>
      <c r="FM51" s="39"/>
      <c r="FN51" s="40" t="str">
        <f aca="false">IF(OR(INDEX(Undirviðmið!$G$6:$G$105,(COLUMN()-7-1)/2+1)&lt;&gt;"Starfsbundið",FM51="",FM$8="",FM$7=""),"",ROUND(FM51/FM$8*FM$7*KVARDI,2))</f>
        <v/>
      </c>
      <c r="FO51" s="39"/>
      <c r="FP51" s="40" t="str">
        <f aca="false">IF(OR(INDEX(Undirviðmið!$G$6:$G$105,(COLUMN()-7-1)/2+1)&lt;&gt;"Starfsbundið",FO51="",FO$8="",FO$7=""),"",ROUND(FO51/FO$8*FO$7*KVARDI,2))</f>
        <v/>
      </c>
      <c r="FQ51" s="39"/>
      <c r="FR51" s="40" t="str">
        <f aca="false">IF(OR(INDEX(Undirviðmið!$G$6:$G$105,(COLUMN()-7-1)/2+1)&lt;&gt;"Starfsbundið",FQ51="",FQ$8="",FQ$7=""),"",ROUND(FQ51/FQ$8*FQ$7*KVARDI,2))</f>
        <v/>
      </c>
      <c r="FS51" s="39"/>
      <c r="FT51" s="40" t="str">
        <f aca="false">IF(OR(INDEX(Undirviðmið!$G$6:$G$105,(COLUMN()-7-1)/2+1)&lt;&gt;"Starfsbundið",FS51="",FS$8="",FS$7=""),"",ROUND(FS51/FS$8*FS$7*KVARDI,2))</f>
        <v/>
      </c>
      <c r="FU51" s="39"/>
      <c r="FV51" s="40" t="str">
        <f aca="false">IF(OR(INDEX(Undirviðmið!$G$6:$G$105,(COLUMN()-7-1)/2+1)&lt;&gt;"Starfsbundið",FU51="",FU$8="",FU$7=""),"",ROUND(FU51/FU$8*FU$7*KVARDI,2))</f>
        <v/>
      </c>
      <c r="FW51" s="39"/>
      <c r="FX51" s="40" t="str">
        <f aca="false">IF(OR(INDEX(Undirviðmið!$G$6:$G$105,(COLUMN()-7-1)/2+1)&lt;&gt;"Starfsbundið",FW51="",FW$8="",FW$7=""),"",ROUND(FW51/FW$8*FW$7*KVARDI,2))</f>
        <v/>
      </c>
      <c r="FY51" s="39"/>
      <c r="FZ51" s="40" t="str">
        <f aca="false">IF(OR(INDEX(Undirviðmið!$G$6:$G$105,(COLUMN()-7-1)/2+1)&lt;&gt;"Starfsbundið",FY51="",FY$8="",FY$7=""),"",ROUND(FY51/FY$8*FY$7*KVARDI,2))</f>
        <v/>
      </c>
      <c r="GA51" s="39"/>
      <c r="GB51" s="40" t="str">
        <f aca="false">IF(OR(INDEX(Undirviðmið!$G$6:$G$105,(COLUMN()-7-1)/2+1)&lt;&gt;"Starfsbundið",GA51="",GA$8="",GA$7=""),"",ROUND(GA51/GA$8*GA$7*KVARDI,2))</f>
        <v/>
      </c>
      <c r="GC51" s="39"/>
      <c r="GD51" s="40" t="str">
        <f aca="false">IF(OR(INDEX(Undirviðmið!$G$6:$G$105,(COLUMN()-7-1)/2+1)&lt;&gt;"Starfsbundið",GC51="",GC$8="",GC$7=""),"",ROUND(GC51/GC$8*GC$7*KVARDI,2))</f>
        <v/>
      </c>
      <c r="GE51" s="39"/>
      <c r="GF51" s="40" t="str">
        <f aca="false">IF(OR(INDEX(Undirviðmið!$G$6:$G$105,(COLUMN()-7-1)/2+1)&lt;&gt;"Starfsbundið",GE51="",GE$8="",GE$7=""),"",ROUND(GE51/GE$8*GE$7*KVARDI,2))</f>
        <v/>
      </c>
      <c r="GG51" s="39"/>
      <c r="GH51" s="40" t="str">
        <f aca="false">IF(OR(INDEX(Undirviðmið!$G$6:$G$105,(COLUMN()-7-1)/2+1)&lt;&gt;"Starfsbundið",GG51="",GG$8="",GG$7=""),"",ROUND(GG51/GG$8*GG$7*KVARDI,2))</f>
        <v/>
      </c>
      <c r="GI51" s="39"/>
      <c r="GJ51" s="40" t="str">
        <f aca="false">IF(OR(INDEX(Undirviðmið!$G$6:$G$105,(COLUMN()-7-1)/2+1)&lt;&gt;"Starfsbundið",GI51="",GI$8="",GI$7=""),"",ROUND(GI51/GI$8*GI$7*KVARDI,2))</f>
        <v/>
      </c>
      <c r="GK51" s="39"/>
      <c r="GL51" s="40" t="str">
        <f aca="false">IF(OR(INDEX(Undirviðmið!$G$6:$G$105,(COLUMN()-7-1)/2+1)&lt;&gt;"Starfsbundið",GK51="",GK$8="",GK$7=""),"",ROUND(GK51/GK$8*GK$7*KVARDI,2))</f>
        <v/>
      </c>
      <c r="GM51" s="39"/>
      <c r="GN51" s="40" t="str">
        <f aca="false">IF(OR(INDEX(Undirviðmið!$G$6:$G$105,(COLUMN()-7-1)/2+1)&lt;&gt;"Starfsbundið",GM51="",GM$8="",GM$7=""),"",ROUND(GM51/GM$8*GM$7*KVARDI,2))</f>
        <v/>
      </c>
      <c r="GO51" s="39"/>
      <c r="GP51" s="40" t="str">
        <f aca="false">IF(OR(INDEX(Undirviðmið!$G$6:$G$105,(COLUMN()-7-1)/2+1)&lt;&gt;"Starfsbundið",GO51="",GO$8="",GO$7=""),"",ROUND(GO51/GO$8*GO$7*KVARDI,2))</f>
        <v/>
      </c>
      <c r="GQ51" s="39"/>
      <c r="GR51" s="40" t="str">
        <f aca="false">IF(OR(INDEX(Undirviðmið!$G$6:$G$105,(COLUMN()-7-1)/2+1)&lt;&gt;"Starfsbundið",GQ51="",GQ$8="",GQ$7=""),"",ROUND(GQ51/GQ$8*GQ$7*KVARDI,2))</f>
        <v/>
      </c>
      <c r="GS51" s="39"/>
      <c r="GT51" s="40" t="str">
        <f aca="false">IF(OR(INDEX(Undirviðmið!$G$6:$G$105,(COLUMN()-7-1)/2+1)&lt;&gt;"Starfsbundið",GS51="",GS$8="",GS$7=""),"",ROUND(GS51/GS$8*GS$7*KVARDI,2))</f>
        <v/>
      </c>
      <c r="GU51" s="39"/>
      <c r="GV51" s="40" t="str">
        <f aca="false">IF(OR(INDEX(Undirviðmið!$G$6:$G$105,(COLUMN()-7-1)/2+1)&lt;&gt;"Starfsbundið",GU51="",GU$8="",GU$7=""),"",ROUND(GU51/GU$8*GU$7*KVARDI,2))</f>
        <v/>
      </c>
      <c r="GW51" s="39"/>
      <c r="GX51" s="40" t="str">
        <f aca="false">IF(OR(INDEX(Undirviðmið!$G$6:$G$105,(COLUMN()-7-1)/2+1)&lt;&gt;"Starfsbundið",GW51="",GW$8="",GW$7=""),"",ROUND(GW51/GW$8*GW$7*KVARDI,2))</f>
        <v/>
      </c>
      <c r="GZ51" s="20"/>
    </row>
    <row r="52" customFormat="false" ht="15" hidden="true" customHeight="true" outlineLevel="1" collapsed="false">
      <c r="B52" s="37" t="str">
        <f aca="false" t="array" ref="B52:B52">IFERROR(INDEX(Starfsmenn!$C$6:$C$10005,MATCH(0,COUNTIF($B$11:B51,Starfsmenn!$C$6:$C$10005)+(Starfsmenn!$C$6:$C$10005=""),0)),"")</f>
        <v/>
      </c>
      <c r="C52" s="38" t="n">
        <f aca="false">IFERROR(SUMIF($G$10:$GX$10,"Stig",$G52:$GX52),0)</f>
        <v>0</v>
      </c>
      <c r="G52" s="39"/>
      <c r="H52" s="40" t="str">
        <f aca="false">IF(OR(INDEX(Undirviðmið!$G$6:$G$105,(COLUMN()-7-1)/2+1)&lt;&gt;"Starfsbundið",G52="",G$8="",G$7=""),"",ROUND(G52/G$8*G$7*KVARDI,2))</f>
        <v/>
      </c>
      <c r="I52" s="39"/>
      <c r="J52" s="40" t="str">
        <f aca="false">IF(OR(INDEX(Undirviðmið!$G$6:$G$105,(COLUMN()-7-1)/2+1)&lt;&gt;"Starfsbundið",I52="",I$8="",I$7=""),"",ROUND(I52/I$8*I$7*KVARDI,2))</f>
        <v/>
      </c>
      <c r="K52" s="39"/>
      <c r="L52" s="40" t="str">
        <f aca="false">IF(OR(INDEX(Undirviðmið!$G$6:$G$105,(COLUMN()-7-1)/2+1)&lt;&gt;"Starfsbundið",K52="",K$8="",K$7=""),"",ROUND(K52/K$8*K$7*KVARDI,2))</f>
        <v/>
      </c>
      <c r="M52" s="39"/>
      <c r="N52" s="40" t="str">
        <f aca="false">IF(OR(INDEX(Undirviðmið!$G$6:$G$105,(COLUMN()-7-1)/2+1)&lt;&gt;"Starfsbundið",M52="",M$8="",M$7=""),"",ROUND(M52/M$8*M$7*KVARDI,2))</f>
        <v/>
      </c>
      <c r="O52" s="39"/>
      <c r="P52" s="40" t="str">
        <f aca="false">IF(OR(INDEX(Undirviðmið!$G$6:$G$105,(COLUMN()-7-1)/2+1)&lt;&gt;"Starfsbundið",O52="",O$8="",O$7=""),"",ROUND(O52/O$8*O$7*KVARDI,2))</f>
        <v/>
      </c>
      <c r="Q52" s="39"/>
      <c r="R52" s="40" t="str">
        <f aca="false">IF(OR(INDEX(Undirviðmið!$G$6:$G$105,(COLUMN()-7-1)/2+1)&lt;&gt;"Starfsbundið",Q52="",Q$8="",Q$7=""),"",ROUND(Q52/Q$8*Q$7*KVARDI,2))</f>
        <v/>
      </c>
      <c r="S52" s="39"/>
      <c r="T52" s="40" t="str">
        <f aca="false">IF(OR(INDEX(Undirviðmið!$G$6:$G$105,(COLUMN()-7-1)/2+1)&lt;&gt;"Starfsbundið",S52="",S$8="",S$7=""),"",ROUND(S52/S$8*S$7*KVARDI,2))</f>
        <v/>
      </c>
      <c r="U52" s="39"/>
      <c r="V52" s="40" t="str">
        <f aca="false">IF(OR(INDEX(Undirviðmið!$G$6:$G$105,(COLUMN()-7-1)/2+1)&lt;&gt;"Starfsbundið",U52="",U$8="",U$7=""),"",ROUND(U52/U$8*U$7*KVARDI,2))</f>
        <v/>
      </c>
      <c r="W52" s="39"/>
      <c r="X52" s="40" t="str">
        <f aca="false">IF(OR(INDEX(Undirviðmið!$G$6:$G$105,(COLUMN()-7-1)/2+1)&lt;&gt;"Starfsbundið",W52="",W$8="",W$7=""),"",ROUND(W52/W$8*W$7*KVARDI,2))</f>
        <v/>
      </c>
      <c r="Y52" s="39"/>
      <c r="Z52" s="40" t="str">
        <f aca="false">IF(OR(INDEX(Undirviðmið!$G$6:$G$105,(COLUMN()-7-1)/2+1)&lt;&gt;"Starfsbundið",Y52="",Y$8="",Y$7=""),"",ROUND(Y52/Y$8*Y$7*KVARDI,2))</f>
        <v/>
      </c>
      <c r="AA52" s="39"/>
      <c r="AB52" s="40" t="str">
        <f aca="false">IF(OR(INDEX(Undirviðmið!$G$6:$G$105,(COLUMN()-7-1)/2+1)&lt;&gt;"Starfsbundið",AA52="",AA$8="",AA$7=""),"",ROUND(AA52/AA$8*AA$7*KVARDI,2))</f>
        <v/>
      </c>
      <c r="AC52" s="39"/>
      <c r="AD52" s="40" t="str">
        <f aca="false">IF(OR(INDEX(Undirviðmið!$G$6:$G$105,(COLUMN()-7-1)/2+1)&lt;&gt;"Starfsbundið",AC52="",AC$8="",AC$7=""),"",ROUND(AC52/AC$8*AC$7*KVARDI,2))</f>
        <v/>
      </c>
      <c r="AE52" s="39"/>
      <c r="AF52" s="40" t="str">
        <f aca="false">IF(OR(INDEX(Undirviðmið!$G$6:$G$105,(COLUMN()-7-1)/2+1)&lt;&gt;"Starfsbundið",AE52="",AE$8="",AE$7=""),"",ROUND(AE52/AE$8*AE$7*KVARDI,2))</f>
        <v/>
      </c>
      <c r="AG52" s="39"/>
      <c r="AH52" s="40" t="str">
        <f aca="false">IF(OR(INDEX(Undirviðmið!$G$6:$G$105,(COLUMN()-7-1)/2+1)&lt;&gt;"Starfsbundið",AG52="",AG$8="",AG$7=""),"",ROUND(AG52/AG$8*AG$7*KVARDI,2))</f>
        <v/>
      </c>
      <c r="AI52" s="39"/>
      <c r="AJ52" s="40" t="str">
        <f aca="false">IF(OR(INDEX(Undirviðmið!$G$6:$G$105,(COLUMN()-7-1)/2+1)&lt;&gt;"Starfsbundið",AI52="",AI$8="",AI$7=""),"",ROUND(AI52/AI$8*AI$7*KVARDI,2))</f>
        <v/>
      </c>
      <c r="AK52" s="39"/>
      <c r="AL52" s="40" t="str">
        <f aca="false">IF(OR(INDEX(Undirviðmið!$G$6:$G$105,(COLUMN()-7-1)/2+1)&lt;&gt;"Starfsbundið",AK52="",AK$8="",AK$7=""),"",ROUND(AK52/AK$8*AK$7*KVARDI,2))</f>
        <v/>
      </c>
      <c r="AM52" s="39"/>
      <c r="AN52" s="40" t="str">
        <f aca="false">IF(OR(INDEX(Undirviðmið!$G$6:$G$105,(COLUMN()-7-1)/2+1)&lt;&gt;"Starfsbundið",AM52="",AM$8="",AM$7=""),"",ROUND(AM52/AM$8*AM$7*KVARDI,2))</f>
        <v/>
      </c>
      <c r="AO52" s="39"/>
      <c r="AP52" s="40" t="str">
        <f aca="false">IF(OR(INDEX(Undirviðmið!$G$6:$G$105,(COLUMN()-7-1)/2+1)&lt;&gt;"Starfsbundið",AO52="",AO$8="",AO$7=""),"",ROUND(AO52/AO$8*AO$7*KVARDI,2))</f>
        <v/>
      </c>
      <c r="AQ52" s="39"/>
      <c r="AR52" s="40" t="str">
        <f aca="false">IF(OR(INDEX(Undirviðmið!$G$6:$G$105,(COLUMN()-7-1)/2+1)&lt;&gt;"Starfsbundið",AQ52="",AQ$8="",AQ$7=""),"",ROUND(AQ52/AQ$8*AQ$7*KVARDI,2))</f>
        <v/>
      </c>
      <c r="AS52" s="39"/>
      <c r="AT52" s="40" t="str">
        <f aca="false">IF(OR(INDEX(Undirviðmið!$G$6:$G$105,(COLUMN()-7-1)/2+1)&lt;&gt;"Starfsbundið",AS52="",AS$8="",AS$7=""),"",ROUND(AS52/AS$8*AS$7*KVARDI,2))</f>
        <v/>
      </c>
      <c r="AU52" s="39"/>
      <c r="AV52" s="40" t="str">
        <f aca="false">IF(OR(INDEX(Undirviðmið!$G$6:$G$105,(COLUMN()-7-1)/2+1)&lt;&gt;"Starfsbundið",AU52="",AU$8="",AU$7=""),"",ROUND(AU52/AU$8*AU$7*KVARDI,2))</f>
        <v/>
      </c>
      <c r="AW52" s="39"/>
      <c r="AX52" s="40" t="str">
        <f aca="false">IF(OR(INDEX(Undirviðmið!$G$6:$G$105,(COLUMN()-7-1)/2+1)&lt;&gt;"Starfsbundið",AW52="",AW$8="",AW$7=""),"",ROUND(AW52/AW$8*AW$7*KVARDI,2))</f>
        <v/>
      </c>
      <c r="AY52" s="39"/>
      <c r="AZ52" s="40" t="str">
        <f aca="false">IF(OR(INDEX(Undirviðmið!$G$6:$G$105,(COLUMN()-7-1)/2+1)&lt;&gt;"Starfsbundið",AY52="",AY$8="",AY$7=""),"",ROUND(AY52/AY$8*AY$7*KVARDI,2))</f>
        <v/>
      </c>
      <c r="BA52" s="39"/>
      <c r="BB52" s="40" t="str">
        <f aca="false">IF(OR(INDEX(Undirviðmið!$G$6:$G$105,(COLUMN()-7-1)/2+1)&lt;&gt;"Starfsbundið",BA52="",BA$8="",BA$7=""),"",ROUND(BA52/BA$8*BA$7*KVARDI,2))</f>
        <v/>
      </c>
      <c r="BC52" s="39"/>
      <c r="BD52" s="40" t="str">
        <f aca="false">IF(OR(INDEX(Undirviðmið!$G$6:$G$105,(COLUMN()-7-1)/2+1)&lt;&gt;"Starfsbundið",BC52="",BC$8="",BC$7=""),"",ROUND(BC52/BC$8*BC$7*KVARDI,2))</f>
        <v/>
      </c>
      <c r="BE52" s="39"/>
      <c r="BF52" s="40" t="str">
        <f aca="false">IF(OR(INDEX(Undirviðmið!$G$6:$G$105,(COLUMN()-7-1)/2+1)&lt;&gt;"Starfsbundið",BE52="",BE$8="",BE$7=""),"",ROUND(BE52/BE$8*BE$7*KVARDI,2))</f>
        <v/>
      </c>
      <c r="BG52" s="39"/>
      <c r="BH52" s="40" t="str">
        <f aca="false">IF(OR(INDEX(Undirviðmið!$G$6:$G$105,(COLUMN()-7-1)/2+1)&lt;&gt;"Starfsbundið",BG52="",BG$8="",BG$7=""),"",ROUND(BG52/BG$8*BG$7*KVARDI,2))</f>
        <v/>
      </c>
      <c r="BI52" s="39"/>
      <c r="BJ52" s="40" t="str">
        <f aca="false">IF(OR(INDEX(Undirviðmið!$G$6:$G$105,(COLUMN()-7-1)/2+1)&lt;&gt;"Starfsbundið",BI52="",BI$8="",BI$7=""),"",ROUND(BI52/BI$8*BI$7*KVARDI,2))</f>
        <v/>
      </c>
      <c r="BK52" s="39"/>
      <c r="BL52" s="40" t="str">
        <f aca="false">IF(OR(INDEX(Undirviðmið!$G$6:$G$105,(COLUMN()-7-1)/2+1)&lt;&gt;"Starfsbundið",BK52="",BK$8="",BK$7=""),"",ROUND(BK52/BK$8*BK$7*KVARDI,2))</f>
        <v/>
      </c>
      <c r="BM52" s="39"/>
      <c r="BN52" s="40" t="str">
        <f aca="false">IF(OR(INDEX(Undirviðmið!$G$6:$G$105,(COLUMN()-7-1)/2+1)&lt;&gt;"Starfsbundið",BM52="",BM$8="",BM$7=""),"",ROUND(BM52/BM$8*BM$7*KVARDI,2))</f>
        <v/>
      </c>
      <c r="BO52" s="39"/>
      <c r="BP52" s="40" t="str">
        <f aca="false">IF(OR(INDEX(Undirviðmið!$G$6:$G$105,(COLUMN()-7-1)/2+1)&lt;&gt;"Starfsbundið",BO52="",BO$8="",BO$7=""),"",ROUND(BO52/BO$8*BO$7*KVARDI,2))</f>
        <v/>
      </c>
      <c r="BQ52" s="39"/>
      <c r="BR52" s="40" t="str">
        <f aca="false">IF(OR(INDEX(Undirviðmið!$G$6:$G$105,(COLUMN()-7-1)/2+1)&lt;&gt;"Starfsbundið",BQ52="",BQ$8="",BQ$7=""),"",ROUND(BQ52/BQ$8*BQ$7*KVARDI,2))</f>
        <v/>
      </c>
      <c r="BS52" s="39"/>
      <c r="BT52" s="40" t="str">
        <f aca="false">IF(OR(INDEX(Undirviðmið!$G$6:$G$105,(COLUMN()-7-1)/2+1)&lt;&gt;"Starfsbundið",BS52="",BS$8="",BS$7=""),"",ROUND(BS52/BS$8*BS$7*KVARDI,2))</f>
        <v/>
      </c>
      <c r="BU52" s="39"/>
      <c r="BV52" s="40" t="str">
        <f aca="false">IF(OR(INDEX(Undirviðmið!$G$6:$G$105,(COLUMN()-7-1)/2+1)&lt;&gt;"Starfsbundið",BU52="",BU$8="",BU$7=""),"",ROUND(BU52/BU$8*BU$7*KVARDI,2))</f>
        <v/>
      </c>
      <c r="BW52" s="39"/>
      <c r="BX52" s="40" t="str">
        <f aca="false">IF(OR(INDEX(Undirviðmið!$G$6:$G$105,(COLUMN()-7-1)/2+1)&lt;&gt;"Starfsbundið",BW52="",BW$8="",BW$7=""),"",ROUND(BW52/BW$8*BW$7*KVARDI,2))</f>
        <v/>
      </c>
      <c r="BY52" s="39"/>
      <c r="BZ52" s="40" t="str">
        <f aca="false">IF(OR(INDEX(Undirviðmið!$G$6:$G$105,(COLUMN()-7-1)/2+1)&lt;&gt;"Starfsbundið",BY52="",BY$8="",BY$7=""),"",ROUND(BY52/BY$8*BY$7*KVARDI,2))</f>
        <v/>
      </c>
      <c r="CA52" s="39"/>
      <c r="CB52" s="40" t="str">
        <f aca="false">IF(OR(INDEX(Undirviðmið!$G$6:$G$105,(COLUMN()-7-1)/2+1)&lt;&gt;"Starfsbundið",CA52="",CA$8="",CA$7=""),"",ROUND(CA52/CA$8*CA$7*KVARDI,2))</f>
        <v/>
      </c>
      <c r="CC52" s="39"/>
      <c r="CD52" s="40" t="str">
        <f aca="false">IF(OR(INDEX(Undirviðmið!$G$6:$G$105,(COLUMN()-7-1)/2+1)&lt;&gt;"Starfsbundið",CC52="",CC$8="",CC$7=""),"",ROUND(CC52/CC$8*CC$7*KVARDI,2))</f>
        <v/>
      </c>
      <c r="CE52" s="39"/>
      <c r="CF52" s="40" t="str">
        <f aca="false">IF(OR(INDEX(Undirviðmið!$G$6:$G$105,(COLUMN()-7-1)/2+1)&lt;&gt;"Starfsbundið",CE52="",CE$8="",CE$7=""),"",ROUND(CE52/CE$8*CE$7*KVARDI,2))</f>
        <v/>
      </c>
      <c r="CG52" s="39"/>
      <c r="CH52" s="40" t="str">
        <f aca="false">IF(OR(INDEX(Undirviðmið!$G$6:$G$105,(COLUMN()-7-1)/2+1)&lt;&gt;"Starfsbundið",CG52="",CG$8="",CG$7=""),"",ROUND(CG52/CG$8*CG$7*KVARDI,2))</f>
        <v/>
      </c>
      <c r="CI52" s="39"/>
      <c r="CJ52" s="40" t="str">
        <f aca="false">IF(OR(INDEX(Undirviðmið!$G$6:$G$105,(COLUMN()-7-1)/2+1)&lt;&gt;"Starfsbundið",CI52="",CI$8="",CI$7=""),"",ROUND(CI52/CI$8*CI$7*KVARDI,2))</f>
        <v/>
      </c>
      <c r="CK52" s="39"/>
      <c r="CL52" s="40" t="str">
        <f aca="false">IF(OR(INDEX(Undirviðmið!$G$6:$G$105,(COLUMN()-7-1)/2+1)&lt;&gt;"Starfsbundið",CK52="",CK$8="",CK$7=""),"",ROUND(CK52/CK$8*CK$7*KVARDI,2))</f>
        <v/>
      </c>
      <c r="CM52" s="39"/>
      <c r="CN52" s="40" t="str">
        <f aca="false">IF(OR(INDEX(Undirviðmið!$G$6:$G$105,(COLUMN()-7-1)/2+1)&lt;&gt;"Starfsbundið",CM52="",CM$8="",CM$7=""),"",ROUND(CM52/CM$8*CM$7*KVARDI,2))</f>
        <v/>
      </c>
      <c r="CO52" s="39"/>
      <c r="CP52" s="40" t="str">
        <f aca="false">IF(OR(INDEX(Undirviðmið!$G$6:$G$105,(COLUMN()-7-1)/2+1)&lt;&gt;"Starfsbundið",CO52="",CO$8="",CO$7=""),"",ROUND(CO52/CO$8*CO$7*KVARDI,2))</f>
        <v/>
      </c>
      <c r="CQ52" s="39"/>
      <c r="CR52" s="40" t="str">
        <f aca="false">IF(OR(INDEX(Undirviðmið!$G$6:$G$105,(COLUMN()-7-1)/2+1)&lt;&gt;"Starfsbundið",CQ52="",CQ$8="",CQ$7=""),"",ROUND(CQ52/CQ$8*CQ$7*KVARDI,2))</f>
        <v/>
      </c>
      <c r="CS52" s="39"/>
      <c r="CT52" s="40" t="str">
        <f aca="false">IF(OR(INDEX(Undirviðmið!$G$6:$G$105,(COLUMN()-7-1)/2+1)&lt;&gt;"Starfsbundið",CS52="",CS$8="",CS$7=""),"",ROUND(CS52/CS$8*CS$7*KVARDI,2))</f>
        <v/>
      </c>
      <c r="CU52" s="39"/>
      <c r="CV52" s="40" t="str">
        <f aca="false">IF(OR(INDEX(Undirviðmið!$G$6:$G$105,(COLUMN()-7-1)/2+1)&lt;&gt;"Starfsbundið",CU52="",CU$8="",CU$7=""),"",ROUND(CU52/CU$8*CU$7*KVARDI,2))</f>
        <v/>
      </c>
      <c r="CW52" s="39"/>
      <c r="CX52" s="40" t="str">
        <f aca="false">IF(OR(INDEX(Undirviðmið!$G$6:$G$105,(COLUMN()-7-1)/2+1)&lt;&gt;"Starfsbundið",CW52="",CW$8="",CW$7=""),"",ROUND(CW52/CW$8*CW$7*KVARDI,2))</f>
        <v/>
      </c>
      <c r="CY52" s="39"/>
      <c r="CZ52" s="40" t="str">
        <f aca="false">IF(OR(INDEX(Undirviðmið!$G$6:$G$105,(COLUMN()-7-1)/2+1)&lt;&gt;"Starfsbundið",CY52="",CY$8="",CY$7=""),"",ROUND(CY52/CY$8*CY$7*KVARDI,2))</f>
        <v/>
      </c>
      <c r="DA52" s="39"/>
      <c r="DB52" s="40" t="str">
        <f aca="false">IF(OR(INDEX(Undirviðmið!$G$6:$G$105,(COLUMN()-7-1)/2+1)&lt;&gt;"Starfsbundið",DA52="",DA$8="",DA$7=""),"",ROUND(DA52/DA$8*DA$7*KVARDI,2))</f>
        <v/>
      </c>
      <c r="DC52" s="39"/>
      <c r="DD52" s="40" t="str">
        <f aca="false">IF(OR(INDEX(Undirviðmið!$G$6:$G$105,(COLUMN()-7-1)/2+1)&lt;&gt;"Starfsbundið",DC52="",DC$8="",DC$7=""),"",ROUND(DC52/DC$8*DC$7*KVARDI,2))</f>
        <v/>
      </c>
      <c r="DE52" s="39"/>
      <c r="DF52" s="40" t="str">
        <f aca="false">IF(OR(INDEX(Undirviðmið!$G$6:$G$105,(COLUMN()-7-1)/2+1)&lt;&gt;"Starfsbundið",DE52="",DE$8="",DE$7=""),"",ROUND(DE52/DE$8*DE$7*KVARDI,2))</f>
        <v/>
      </c>
      <c r="DG52" s="39"/>
      <c r="DH52" s="40" t="str">
        <f aca="false">IF(OR(INDEX(Undirviðmið!$G$6:$G$105,(COLUMN()-7-1)/2+1)&lt;&gt;"Starfsbundið",DG52="",DG$8="",DG$7=""),"",ROUND(DG52/DG$8*DG$7*KVARDI,2))</f>
        <v/>
      </c>
      <c r="DI52" s="39"/>
      <c r="DJ52" s="40" t="str">
        <f aca="false">IF(OR(INDEX(Undirviðmið!$G$6:$G$105,(COLUMN()-7-1)/2+1)&lt;&gt;"Starfsbundið",DI52="",DI$8="",DI$7=""),"",ROUND(DI52/DI$8*DI$7*KVARDI,2))</f>
        <v/>
      </c>
      <c r="DK52" s="39"/>
      <c r="DL52" s="40" t="str">
        <f aca="false">IF(OR(INDEX(Undirviðmið!$G$6:$G$105,(COLUMN()-7-1)/2+1)&lt;&gt;"Starfsbundið",DK52="",DK$8="",DK$7=""),"",ROUND(DK52/DK$8*DK$7*KVARDI,2))</f>
        <v/>
      </c>
      <c r="DM52" s="39"/>
      <c r="DN52" s="40" t="str">
        <f aca="false">IF(OR(INDEX(Undirviðmið!$G$6:$G$105,(COLUMN()-7-1)/2+1)&lt;&gt;"Starfsbundið",DM52="",DM$8="",DM$7=""),"",ROUND(DM52/DM$8*DM$7*KVARDI,2))</f>
        <v/>
      </c>
      <c r="DO52" s="39"/>
      <c r="DP52" s="40" t="str">
        <f aca="false">IF(OR(INDEX(Undirviðmið!$G$6:$G$105,(COLUMN()-7-1)/2+1)&lt;&gt;"Starfsbundið",DO52="",DO$8="",DO$7=""),"",ROUND(DO52/DO$8*DO$7*KVARDI,2))</f>
        <v/>
      </c>
      <c r="DQ52" s="39"/>
      <c r="DR52" s="40" t="str">
        <f aca="false">IF(OR(INDEX(Undirviðmið!$G$6:$G$105,(COLUMN()-7-1)/2+1)&lt;&gt;"Starfsbundið",DQ52="",DQ$8="",DQ$7=""),"",ROUND(DQ52/DQ$8*DQ$7*KVARDI,2))</f>
        <v/>
      </c>
      <c r="DS52" s="39"/>
      <c r="DT52" s="40" t="str">
        <f aca="false">IF(OR(INDEX(Undirviðmið!$G$6:$G$105,(COLUMN()-7-1)/2+1)&lt;&gt;"Starfsbundið",DS52="",DS$8="",DS$7=""),"",ROUND(DS52/DS$8*DS$7*KVARDI,2))</f>
        <v/>
      </c>
      <c r="DU52" s="39"/>
      <c r="DV52" s="40" t="str">
        <f aca="false">IF(OR(INDEX(Undirviðmið!$G$6:$G$105,(COLUMN()-7-1)/2+1)&lt;&gt;"Starfsbundið",DU52="",DU$8="",DU$7=""),"",ROUND(DU52/DU$8*DU$7*KVARDI,2))</f>
        <v/>
      </c>
      <c r="DW52" s="39"/>
      <c r="DX52" s="40" t="str">
        <f aca="false">IF(OR(INDEX(Undirviðmið!$G$6:$G$105,(COLUMN()-7-1)/2+1)&lt;&gt;"Starfsbundið",DW52="",DW$8="",DW$7=""),"",ROUND(DW52/DW$8*DW$7*KVARDI,2))</f>
        <v/>
      </c>
      <c r="DY52" s="39"/>
      <c r="DZ52" s="40" t="str">
        <f aca="false">IF(OR(INDEX(Undirviðmið!$G$6:$G$105,(COLUMN()-7-1)/2+1)&lt;&gt;"Starfsbundið",DY52="",DY$8="",DY$7=""),"",ROUND(DY52/DY$8*DY$7*KVARDI,2))</f>
        <v/>
      </c>
      <c r="EA52" s="39"/>
      <c r="EB52" s="40" t="str">
        <f aca="false">IF(OR(INDEX(Undirviðmið!$G$6:$G$105,(COLUMN()-7-1)/2+1)&lt;&gt;"Starfsbundið",EA52="",EA$8="",EA$7=""),"",ROUND(EA52/EA$8*EA$7*KVARDI,2))</f>
        <v/>
      </c>
      <c r="EC52" s="39"/>
      <c r="ED52" s="40" t="str">
        <f aca="false">IF(OR(INDEX(Undirviðmið!$G$6:$G$105,(COLUMN()-7-1)/2+1)&lt;&gt;"Starfsbundið",EC52="",EC$8="",EC$7=""),"",ROUND(EC52/EC$8*EC$7*KVARDI,2))</f>
        <v/>
      </c>
      <c r="EE52" s="39"/>
      <c r="EF52" s="40" t="str">
        <f aca="false">IF(OR(INDEX(Undirviðmið!$G$6:$G$105,(COLUMN()-7-1)/2+1)&lt;&gt;"Starfsbundið",EE52="",EE$8="",EE$7=""),"",ROUND(EE52/EE$8*EE$7*KVARDI,2))</f>
        <v/>
      </c>
      <c r="EG52" s="39"/>
      <c r="EH52" s="40" t="str">
        <f aca="false">IF(OR(INDEX(Undirviðmið!$G$6:$G$105,(COLUMN()-7-1)/2+1)&lt;&gt;"Starfsbundið",EG52="",EG$8="",EG$7=""),"",ROUND(EG52/EG$8*EG$7*KVARDI,2))</f>
        <v/>
      </c>
      <c r="EI52" s="39"/>
      <c r="EJ52" s="40" t="str">
        <f aca="false">IF(OR(INDEX(Undirviðmið!$G$6:$G$105,(COLUMN()-7-1)/2+1)&lt;&gt;"Starfsbundið",EI52="",EI$8="",EI$7=""),"",ROUND(EI52/EI$8*EI$7*KVARDI,2))</f>
        <v/>
      </c>
      <c r="EK52" s="39"/>
      <c r="EL52" s="40" t="str">
        <f aca="false">IF(OR(INDEX(Undirviðmið!$G$6:$G$105,(COLUMN()-7-1)/2+1)&lt;&gt;"Starfsbundið",EK52="",EK$8="",EK$7=""),"",ROUND(EK52/EK$8*EK$7*KVARDI,2))</f>
        <v/>
      </c>
      <c r="EM52" s="39"/>
      <c r="EN52" s="40" t="str">
        <f aca="false">IF(OR(INDEX(Undirviðmið!$G$6:$G$105,(COLUMN()-7-1)/2+1)&lt;&gt;"Starfsbundið",EM52="",EM$8="",EM$7=""),"",ROUND(EM52/EM$8*EM$7*KVARDI,2))</f>
        <v/>
      </c>
      <c r="EO52" s="39"/>
      <c r="EP52" s="40" t="str">
        <f aca="false">IF(OR(INDEX(Undirviðmið!$G$6:$G$105,(COLUMN()-7-1)/2+1)&lt;&gt;"Starfsbundið",EO52="",EO$8="",EO$7=""),"",ROUND(EO52/EO$8*EO$7*KVARDI,2))</f>
        <v/>
      </c>
      <c r="EQ52" s="39"/>
      <c r="ER52" s="40" t="str">
        <f aca="false">IF(OR(INDEX(Undirviðmið!$G$6:$G$105,(COLUMN()-7-1)/2+1)&lt;&gt;"Starfsbundið",EQ52="",EQ$8="",EQ$7=""),"",ROUND(EQ52/EQ$8*EQ$7*KVARDI,2))</f>
        <v/>
      </c>
      <c r="ES52" s="39"/>
      <c r="ET52" s="40" t="str">
        <f aca="false">IF(OR(INDEX(Undirviðmið!$G$6:$G$105,(COLUMN()-7-1)/2+1)&lt;&gt;"Starfsbundið",ES52="",ES$8="",ES$7=""),"",ROUND(ES52/ES$8*ES$7*KVARDI,2))</f>
        <v/>
      </c>
      <c r="EU52" s="39"/>
      <c r="EV52" s="40" t="str">
        <f aca="false">IF(OR(INDEX(Undirviðmið!$G$6:$G$105,(COLUMN()-7-1)/2+1)&lt;&gt;"Starfsbundið",EU52="",EU$8="",EU$7=""),"",ROUND(EU52/EU$8*EU$7*KVARDI,2))</f>
        <v/>
      </c>
      <c r="EW52" s="39"/>
      <c r="EX52" s="40" t="str">
        <f aca="false">IF(OR(INDEX(Undirviðmið!$G$6:$G$105,(COLUMN()-7-1)/2+1)&lt;&gt;"Starfsbundið",EW52="",EW$8="",EW$7=""),"",ROUND(EW52/EW$8*EW$7*KVARDI,2))</f>
        <v/>
      </c>
      <c r="EY52" s="39"/>
      <c r="EZ52" s="40" t="str">
        <f aca="false">IF(OR(INDEX(Undirviðmið!$G$6:$G$105,(COLUMN()-7-1)/2+1)&lt;&gt;"Starfsbundið",EY52="",EY$8="",EY$7=""),"",ROUND(EY52/EY$8*EY$7*KVARDI,2))</f>
        <v/>
      </c>
      <c r="FA52" s="39"/>
      <c r="FB52" s="40" t="str">
        <f aca="false">IF(OR(INDEX(Undirviðmið!$G$6:$G$105,(COLUMN()-7-1)/2+1)&lt;&gt;"Starfsbundið",FA52="",FA$8="",FA$7=""),"",ROUND(FA52/FA$8*FA$7*KVARDI,2))</f>
        <v/>
      </c>
      <c r="FC52" s="39"/>
      <c r="FD52" s="40" t="str">
        <f aca="false">IF(OR(INDEX(Undirviðmið!$G$6:$G$105,(COLUMN()-7-1)/2+1)&lt;&gt;"Starfsbundið",FC52="",FC$8="",FC$7=""),"",ROUND(FC52/FC$8*FC$7*KVARDI,2))</f>
        <v/>
      </c>
      <c r="FE52" s="39"/>
      <c r="FF52" s="40" t="str">
        <f aca="false">IF(OR(INDEX(Undirviðmið!$G$6:$G$105,(COLUMN()-7-1)/2+1)&lt;&gt;"Starfsbundið",FE52="",FE$8="",FE$7=""),"",ROUND(FE52/FE$8*FE$7*KVARDI,2))</f>
        <v/>
      </c>
      <c r="FG52" s="39"/>
      <c r="FH52" s="40" t="str">
        <f aca="false">IF(OR(INDEX(Undirviðmið!$G$6:$G$105,(COLUMN()-7-1)/2+1)&lt;&gt;"Starfsbundið",FG52="",FG$8="",FG$7=""),"",ROUND(FG52/FG$8*FG$7*KVARDI,2))</f>
        <v/>
      </c>
      <c r="FI52" s="39"/>
      <c r="FJ52" s="40" t="str">
        <f aca="false">IF(OR(INDEX(Undirviðmið!$G$6:$G$105,(COLUMN()-7-1)/2+1)&lt;&gt;"Starfsbundið",FI52="",FI$8="",FI$7=""),"",ROUND(FI52/FI$8*FI$7*KVARDI,2))</f>
        <v/>
      </c>
      <c r="FK52" s="39"/>
      <c r="FL52" s="40" t="str">
        <f aca="false">IF(OR(INDEX(Undirviðmið!$G$6:$G$105,(COLUMN()-7-1)/2+1)&lt;&gt;"Starfsbundið",FK52="",FK$8="",FK$7=""),"",ROUND(FK52/FK$8*FK$7*KVARDI,2))</f>
        <v/>
      </c>
      <c r="FM52" s="39"/>
      <c r="FN52" s="40" t="str">
        <f aca="false">IF(OR(INDEX(Undirviðmið!$G$6:$G$105,(COLUMN()-7-1)/2+1)&lt;&gt;"Starfsbundið",FM52="",FM$8="",FM$7=""),"",ROUND(FM52/FM$8*FM$7*KVARDI,2))</f>
        <v/>
      </c>
      <c r="FO52" s="39"/>
      <c r="FP52" s="40" t="str">
        <f aca="false">IF(OR(INDEX(Undirviðmið!$G$6:$G$105,(COLUMN()-7-1)/2+1)&lt;&gt;"Starfsbundið",FO52="",FO$8="",FO$7=""),"",ROUND(FO52/FO$8*FO$7*KVARDI,2))</f>
        <v/>
      </c>
      <c r="FQ52" s="39"/>
      <c r="FR52" s="40" t="str">
        <f aca="false">IF(OR(INDEX(Undirviðmið!$G$6:$G$105,(COLUMN()-7-1)/2+1)&lt;&gt;"Starfsbundið",FQ52="",FQ$8="",FQ$7=""),"",ROUND(FQ52/FQ$8*FQ$7*KVARDI,2))</f>
        <v/>
      </c>
      <c r="FS52" s="39"/>
      <c r="FT52" s="40" t="str">
        <f aca="false">IF(OR(INDEX(Undirviðmið!$G$6:$G$105,(COLUMN()-7-1)/2+1)&lt;&gt;"Starfsbundið",FS52="",FS$8="",FS$7=""),"",ROUND(FS52/FS$8*FS$7*KVARDI,2))</f>
        <v/>
      </c>
      <c r="FU52" s="39"/>
      <c r="FV52" s="40" t="str">
        <f aca="false">IF(OR(INDEX(Undirviðmið!$G$6:$G$105,(COLUMN()-7-1)/2+1)&lt;&gt;"Starfsbundið",FU52="",FU$8="",FU$7=""),"",ROUND(FU52/FU$8*FU$7*KVARDI,2))</f>
        <v/>
      </c>
      <c r="FW52" s="39"/>
      <c r="FX52" s="40" t="str">
        <f aca="false">IF(OR(INDEX(Undirviðmið!$G$6:$G$105,(COLUMN()-7-1)/2+1)&lt;&gt;"Starfsbundið",FW52="",FW$8="",FW$7=""),"",ROUND(FW52/FW$8*FW$7*KVARDI,2))</f>
        <v/>
      </c>
      <c r="FY52" s="39"/>
      <c r="FZ52" s="40" t="str">
        <f aca="false">IF(OR(INDEX(Undirviðmið!$G$6:$G$105,(COLUMN()-7-1)/2+1)&lt;&gt;"Starfsbundið",FY52="",FY$8="",FY$7=""),"",ROUND(FY52/FY$8*FY$7*KVARDI,2))</f>
        <v/>
      </c>
      <c r="GA52" s="39"/>
      <c r="GB52" s="40" t="str">
        <f aca="false">IF(OR(INDEX(Undirviðmið!$G$6:$G$105,(COLUMN()-7-1)/2+1)&lt;&gt;"Starfsbundið",GA52="",GA$8="",GA$7=""),"",ROUND(GA52/GA$8*GA$7*KVARDI,2))</f>
        <v/>
      </c>
      <c r="GC52" s="39"/>
      <c r="GD52" s="40" t="str">
        <f aca="false">IF(OR(INDEX(Undirviðmið!$G$6:$G$105,(COLUMN()-7-1)/2+1)&lt;&gt;"Starfsbundið",GC52="",GC$8="",GC$7=""),"",ROUND(GC52/GC$8*GC$7*KVARDI,2))</f>
        <v/>
      </c>
      <c r="GE52" s="39"/>
      <c r="GF52" s="40" t="str">
        <f aca="false">IF(OR(INDEX(Undirviðmið!$G$6:$G$105,(COLUMN()-7-1)/2+1)&lt;&gt;"Starfsbundið",GE52="",GE$8="",GE$7=""),"",ROUND(GE52/GE$8*GE$7*KVARDI,2))</f>
        <v/>
      </c>
      <c r="GG52" s="39"/>
      <c r="GH52" s="40" t="str">
        <f aca="false">IF(OR(INDEX(Undirviðmið!$G$6:$G$105,(COLUMN()-7-1)/2+1)&lt;&gt;"Starfsbundið",GG52="",GG$8="",GG$7=""),"",ROUND(GG52/GG$8*GG$7*KVARDI,2))</f>
        <v/>
      </c>
      <c r="GI52" s="39"/>
      <c r="GJ52" s="40" t="str">
        <f aca="false">IF(OR(INDEX(Undirviðmið!$G$6:$G$105,(COLUMN()-7-1)/2+1)&lt;&gt;"Starfsbundið",GI52="",GI$8="",GI$7=""),"",ROUND(GI52/GI$8*GI$7*KVARDI,2))</f>
        <v/>
      </c>
      <c r="GK52" s="39"/>
      <c r="GL52" s="40" t="str">
        <f aca="false">IF(OR(INDEX(Undirviðmið!$G$6:$G$105,(COLUMN()-7-1)/2+1)&lt;&gt;"Starfsbundið",GK52="",GK$8="",GK$7=""),"",ROUND(GK52/GK$8*GK$7*KVARDI,2))</f>
        <v/>
      </c>
      <c r="GM52" s="39"/>
      <c r="GN52" s="40" t="str">
        <f aca="false">IF(OR(INDEX(Undirviðmið!$G$6:$G$105,(COLUMN()-7-1)/2+1)&lt;&gt;"Starfsbundið",GM52="",GM$8="",GM$7=""),"",ROUND(GM52/GM$8*GM$7*KVARDI,2))</f>
        <v/>
      </c>
      <c r="GO52" s="39"/>
      <c r="GP52" s="40" t="str">
        <f aca="false">IF(OR(INDEX(Undirviðmið!$G$6:$G$105,(COLUMN()-7-1)/2+1)&lt;&gt;"Starfsbundið",GO52="",GO$8="",GO$7=""),"",ROUND(GO52/GO$8*GO$7*KVARDI,2))</f>
        <v/>
      </c>
      <c r="GQ52" s="39"/>
      <c r="GR52" s="40" t="str">
        <f aca="false">IF(OR(INDEX(Undirviðmið!$G$6:$G$105,(COLUMN()-7-1)/2+1)&lt;&gt;"Starfsbundið",GQ52="",GQ$8="",GQ$7=""),"",ROUND(GQ52/GQ$8*GQ$7*KVARDI,2))</f>
        <v/>
      </c>
      <c r="GS52" s="39"/>
      <c r="GT52" s="40" t="str">
        <f aca="false">IF(OR(INDEX(Undirviðmið!$G$6:$G$105,(COLUMN()-7-1)/2+1)&lt;&gt;"Starfsbundið",GS52="",GS$8="",GS$7=""),"",ROUND(GS52/GS$8*GS$7*KVARDI,2))</f>
        <v/>
      </c>
      <c r="GU52" s="39"/>
      <c r="GV52" s="40" t="str">
        <f aca="false">IF(OR(INDEX(Undirviðmið!$G$6:$G$105,(COLUMN()-7-1)/2+1)&lt;&gt;"Starfsbundið",GU52="",GU$8="",GU$7=""),"",ROUND(GU52/GU$8*GU$7*KVARDI,2))</f>
        <v/>
      </c>
      <c r="GW52" s="39"/>
      <c r="GX52" s="40" t="str">
        <f aca="false">IF(OR(INDEX(Undirviðmið!$G$6:$G$105,(COLUMN()-7-1)/2+1)&lt;&gt;"Starfsbundið",GW52="",GW$8="",GW$7=""),"",ROUND(GW52/GW$8*GW$7*KVARDI,2))</f>
        <v/>
      </c>
      <c r="GZ52" s="20"/>
    </row>
    <row r="53" customFormat="false" ht="15" hidden="true" customHeight="true" outlineLevel="1" collapsed="false">
      <c r="B53" s="37" t="str">
        <f aca="false" t="array" ref="B53:B53">IFERROR(INDEX(Starfsmenn!$C$6:$C$10005,MATCH(0,COUNTIF($B$11:B52,Starfsmenn!$C$6:$C$10005)+(Starfsmenn!$C$6:$C$10005=""),0)),"")</f>
        <v/>
      </c>
      <c r="C53" s="38" t="n">
        <f aca="false">IFERROR(SUMIF($G$10:$GX$10,"Stig",$G53:$GX53),0)</f>
        <v>0</v>
      </c>
      <c r="G53" s="39"/>
      <c r="H53" s="40" t="str">
        <f aca="false">IF(OR(INDEX(Undirviðmið!$G$6:$G$105,(COLUMN()-7-1)/2+1)&lt;&gt;"Starfsbundið",G53="",G$8="",G$7=""),"",ROUND(G53/G$8*G$7*KVARDI,2))</f>
        <v/>
      </c>
      <c r="I53" s="39"/>
      <c r="J53" s="40" t="str">
        <f aca="false">IF(OR(INDEX(Undirviðmið!$G$6:$G$105,(COLUMN()-7-1)/2+1)&lt;&gt;"Starfsbundið",I53="",I$8="",I$7=""),"",ROUND(I53/I$8*I$7*KVARDI,2))</f>
        <v/>
      </c>
      <c r="K53" s="39"/>
      <c r="L53" s="40" t="str">
        <f aca="false">IF(OR(INDEX(Undirviðmið!$G$6:$G$105,(COLUMN()-7-1)/2+1)&lt;&gt;"Starfsbundið",K53="",K$8="",K$7=""),"",ROUND(K53/K$8*K$7*KVARDI,2))</f>
        <v/>
      </c>
      <c r="M53" s="39"/>
      <c r="N53" s="40" t="str">
        <f aca="false">IF(OR(INDEX(Undirviðmið!$G$6:$G$105,(COLUMN()-7-1)/2+1)&lt;&gt;"Starfsbundið",M53="",M$8="",M$7=""),"",ROUND(M53/M$8*M$7*KVARDI,2))</f>
        <v/>
      </c>
      <c r="O53" s="39"/>
      <c r="P53" s="40" t="str">
        <f aca="false">IF(OR(INDEX(Undirviðmið!$G$6:$G$105,(COLUMN()-7-1)/2+1)&lt;&gt;"Starfsbundið",O53="",O$8="",O$7=""),"",ROUND(O53/O$8*O$7*KVARDI,2))</f>
        <v/>
      </c>
      <c r="Q53" s="39"/>
      <c r="R53" s="40" t="str">
        <f aca="false">IF(OR(INDEX(Undirviðmið!$G$6:$G$105,(COLUMN()-7-1)/2+1)&lt;&gt;"Starfsbundið",Q53="",Q$8="",Q$7=""),"",ROUND(Q53/Q$8*Q$7*KVARDI,2))</f>
        <v/>
      </c>
      <c r="S53" s="39"/>
      <c r="T53" s="40" t="str">
        <f aca="false">IF(OR(INDEX(Undirviðmið!$G$6:$G$105,(COLUMN()-7-1)/2+1)&lt;&gt;"Starfsbundið",S53="",S$8="",S$7=""),"",ROUND(S53/S$8*S$7*KVARDI,2))</f>
        <v/>
      </c>
      <c r="U53" s="39"/>
      <c r="V53" s="40" t="str">
        <f aca="false">IF(OR(INDEX(Undirviðmið!$G$6:$G$105,(COLUMN()-7-1)/2+1)&lt;&gt;"Starfsbundið",U53="",U$8="",U$7=""),"",ROUND(U53/U$8*U$7*KVARDI,2))</f>
        <v/>
      </c>
      <c r="W53" s="39"/>
      <c r="X53" s="40" t="str">
        <f aca="false">IF(OR(INDEX(Undirviðmið!$G$6:$G$105,(COLUMN()-7-1)/2+1)&lt;&gt;"Starfsbundið",W53="",W$8="",W$7=""),"",ROUND(W53/W$8*W$7*KVARDI,2))</f>
        <v/>
      </c>
      <c r="Y53" s="39"/>
      <c r="Z53" s="40" t="str">
        <f aca="false">IF(OR(INDEX(Undirviðmið!$G$6:$G$105,(COLUMN()-7-1)/2+1)&lt;&gt;"Starfsbundið",Y53="",Y$8="",Y$7=""),"",ROUND(Y53/Y$8*Y$7*KVARDI,2))</f>
        <v/>
      </c>
      <c r="AA53" s="39"/>
      <c r="AB53" s="40" t="str">
        <f aca="false">IF(OR(INDEX(Undirviðmið!$G$6:$G$105,(COLUMN()-7-1)/2+1)&lt;&gt;"Starfsbundið",AA53="",AA$8="",AA$7=""),"",ROUND(AA53/AA$8*AA$7*KVARDI,2))</f>
        <v/>
      </c>
      <c r="AC53" s="39"/>
      <c r="AD53" s="40" t="str">
        <f aca="false">IF(OR(INDEX(Undirviðmið!$G$6:$G$105,(COLUMN()-7-1)/2+1)&lt;&gt;"Starfsbundið",AC53="",AC$8="",AC$7=""),"",ROUND(AC53/AC$8*AC$7*KVARDI,2))</f>
        <v/>
      </c>
      <c r="AE53" s="39"/>
      <c r="AF53" s="40" t="str">
        <f aca="false">IF(OR(INDEX(Undirviðmið!$G$6:$G$105,(COLUMN()-7-1)/2+1)&lt;&gt;"Starfsbundið",AE53="",AE$8="",AE$7=""),"",ROUND(AE53/AE$8*AE$7*KVARDI,2))</f>
        <v/>
      </c>
      <c r="AG53" s="39"/>
      <c r="AH53" s="40" t="str">
        <f aca="false">IF(OR(INDEX(Undirviðmið!$G$6:$G$105,(COLUMN()-7-1)/2+1)&lt;&gt;"Starfsbundið",AG53="",AG$8="",AG$7=""),"",ROUND(AG53/AG$8*AG$7*KVARDI,2))</f>
        <v/>
      </c>
      <c r="AI53" s="39"/>
      <c r="AJ53" s="40" t="str">
        <f aca="false">IF(OR(INDEX(Undirviðmið!$G$6:$G$105,(COLUMN()-7-1)/2+1)&lt;&gt;"Starfsbundið",AI53="",AI$8="",AI$7=""),"",ROUND(AI53/AI$8*AI$7*KVARDI,2))</f>
        <v/>
      </c>
      <c r="AK53" s="39"/>
      <c r="AL53" s="40" t="str">
        <f aca="false">IF(OR(INDEX(Undirviðmið!$G$6:$G$105,(COLUMN()-7-1)/2+1)&lt;&gt;"Starfsbundið",AK53="",AK$8="",AK$7=""),"",ROUND(AK53/AK$8*AK$7*KVARDI,2))</f>
        <v/>
      </c>
      <c r="AM53" s="39"/>
      <c r="AN53" s="40" t="str">
        <f aca="false">IF(OR(INDEX(Undirviðmið!$G$6:$G$105,(COLUMN()-7-1)/2+1)&lt;&gt;"Starfsbundið",AM53="",AM$8="",AM$7=""),"",ROUND(AM53/AM$8*AM$7*KVARDI,2))</f>
        <v/>
      </c>
      <c r="AO53" s="39"/>
      <c r="AP53" s="40" t="str">
        <f aca="false">IF(OR(INDEX(Undirviðmið!$G$6:$G$105,(COLUMN()-7-1)/2+1)&lt;&gt;"Starfsbundið",AO53="",AO$8="",AO$7=""),"",ROUND(AO53/AO$8*AO$7*KVARDI,2))</f>
        <v/>
      </c>
      <c r="AQ53" s="39"/>
      <c r="AR53" s="40" t="str">
        <f aca="false">IF(OR(INDEX(Undirviðmið!$G$6:$G$105,(COLUMN()-7-1)/2+1)&lt;&gt;"Starfsbundið",AQ53="",AQ$8="",AQ$7=""),"",ROUND(AQ53/AQ$8*AQ$7*KVARDI,2))</f>
        <v/>
      </c>
      <c r="AS53" s="39"/>
      <c r="AT53" s="40" t="str">
        <f aca="false">IF(OR(INDEX(Undirviðmið!$G$6:$G$105,(COLUMN()-7-1)/2+1)&lt;&gt;"Starfsbundið",AS53="",AS$8="",AS$7=""),"",ROUND(AS53/AS$8*AS$7*KVARDI,2))</f>
        <v/>
      </c>
      <c r="AU53" s="39"/>
      <c r="AV53" s="40" t="str">
        <f aca="false">IF(OR(INDEX(Undirviðmið!$G$6:$G$105,(COLUMN()-7-1)/2+1)&lt;&gt;"Starfsbundið",AU53="",AU$8="",AU$7=""),"",ROUND(AU53/AU$8*AU$7*KVARDI,2))</f>
        <v/>
      </c>
      <c r="AW53" s="39"/>
      <c r="AX53" s="40" t="str">
        <f aca="false">IF(OR(INDEX(Undirviðmið!$G$6:$G$105,(COLUMN()-7-1)/2+1)&lt;&gt;"Starfsbundið",AW53="",AW$8="",AW$7=""),"",ROUND(AW53/AW$8*AW$7*KVARDI,2))</f>
        <v/>
      </c>
      <c r="AY53" s="39"/>
      <c r="AZ53" s="40" t="str">
        <f aca="false">IF(OR(INDEX(Undirviðmið!$G$6:$G$105,(COLUMN()-7-1)/2+1)&lt;&gt;"Starfsbundið",AY53="",AY$8="",AY$7=""),"",ROUND(AY53/AY$8*AY$7*KVARDI,2))</f>
        <v/>
      </c>
      <c r="BA53" s="39"/>
      <c r="BB53" s="40" t="str">
        <f aca="false">IF(OR(INDEX(Undirviðmið!$G$6:$G$105,(COLUMN()-7-1)/2+1)&lt;&gt;"Starfsbundið",BA53="",BA$8="",BA$7=""),"",ROUND(BA53/BA$8*BA$7*KVARDI,2))</f>
        <v/>
      </c>
      <c r="BC53" s="39"/>
      <c r="BD53" s="40" t="str">
        <f aca="false">IF(OR(INDEX(Undirviðmið!$G$6:$G$105,(COLUMN()-7-1)/2+1)&lt;&gt;"Starfsbundið",BC53="",BC$8="",BC$7=""),"",ROUND(BC53/BC$8*BC$7*KVARDI,2))</f>
        <v/>
      </c>
      <c r="BE53" s="39"/>
      <c r="BF53" s="40" t="str">
        <f aca="false">IF(OR(INDEX(Undirviðmið!$G$6:$G$105,(COLUMN()-7-1)/2+1)&lt;&gt;"Starfsbundið",BE53="",BE$8="",BE$7=""),"",ROUND(BE53/BE$8*BE$7*KVARDI,2))</f>
        <v/>
      </c>
      <c r="BG53" s="39"/>
      <c r="BH53" s="40" t="str">
        <f aca="false">IF(OR(INDEX(Undirviðmið!$G$6:$G$105,(COLUMN()-7-1)/2+1)&lt;&gt;"Starfsbundið",BG53="",BG$8="",BG$7=""),"",ROUND(BG53/BG$8*BG$7*KVARDI,2))</f>
        <v/>
      </c>
      <c r="BI53" s="39"/>
      <c r="BJ53" s="40" t="str">
        <f aca="false">IF(OR(INDEX(Undirviðmið!$G$6:$G$105,(COLUMN()-7-1)/2+1)&lt;&gt;"Starfsbundið",BI53="",BI$8="",BI$7=""),"",ROUND(BI53/BI$8*BI$7*KVARDI,2))</f>
        <v/>
      </c>
      <c r="BK53" s="39"/>
      <c r="BL53" s="40" t="str">
        <f aca="false">IF(OR(INDEX(Undirviðmið!$G$6:$G$105,(COLUMN()-7-1)/2+1)&lt;&gt;"Starfsbundið",BK53="",BK$8="",BK$7=""),"",ROUND(BK53/BK$8*BK$7*KVARDI,2))</f>
        <v/>
      </c>
      <c r="BM53" s="39"/>
      <c r="BN53" s="40" t="str">
        <f aca="false">IF(OR(INDEX(Undirviðmið!$G$6:$G$105,(COLUMN()-7-1)/2+1)&lt;&gt;"Starfsbundið",BM53="",BM$8="",BM$7=""),"",ROUND(BM53/BM$8*BM$7*KVARDI,2))</f>
        <v/>
      </c>
      <c r="BO53" s="39"/>
      <c r="BP53" s="40" t="str">
        <f aca="false">IF(OR(INDEX(Undirviðmið!$G$6:$G$105,(COLUMN()-7-1)/2+1)&lt;&gt;"Starfsbundið",BO53="",BO$8="",BO$7=""),"",ROUND(BO53/BO$8*BO$7*KVARDI,2))</f>
        <v/>
      </c>
      <c r="BQ53" s="39"/>
      <c r="BR53" s="40" t="str">
        <f aca="false">IF(OR(INDEX(Undirviðmið!$G$6:$G$105,(COLUMN()-7-1)/2+1)&lt;&gt;"Starfsbundið",BQ53="",BQ$8="",BQ$7=""),"",ROUND(BQ53/BQ$8*BQ$7*KVARDI,2))</f>
        <v/>
      </c>
      <c r="BS53" s="39"/>
      <c r="BT53" s="40" t="str">
        <f aca="false">IF(OR(INDEX(Undirviðmið!$G$6:$G$105,(COLUMN()-7-1)/2+1)&lt;&gt;"Starfsbundið",BS53="",BS$8="",BS$7=""),"",ROUND(BS53/BS$8*BS$7*KVARDI,2))</f>
        <v/>
      </c>
      <c r="BU53" s="39"/>
      <c r="BV53" s="40" t="str">
        <f aca="false">IF(OR(INDEX(Undirviðmið!$G$6:$G$105,(COLUMN()-7-1)/2+1)&lt;&gt;"Starfsbundið",BU53="",BU$8="",BU$7=""),"",ROUND(BU53/BU$8*BU$7*KVARDI,2))</f>
        <v/>
      </c>
      <c r="BW53" s="39"/>
      <c r="BX53" s="40" t="str">
        <f aca="false">IF(OR(INDEX(Undirviðmið!$G$6:$G$105,(COLUMN()-7-1)/2+1)&lt;&gt;"Starfsbundið",BW53="",BW$8="",BW$7=""),"",ROUND(BW53/BW$8*BW$7*KVARDI,2))</f>
        <v/>
      </c>
      <c r="BY53" s="39"/>
      <c r="BZ53" s="40" t="str">
        <f aca="false">IF(OR(INDEX(Undirviðmið!$G$6:$G$105,(COLUMN()-7-1)/2+1)&lt;&gt;"Starfsbundið",BY53="",BY$8="",BY$7=""),"",ROUND(BY53/BY$8*BY$7*KVARDI,2))</f>
        <v/>
      </c>
      <c r="CA53" s="39"/>
      <c r="CB53" s="40" t="str">
        <f aca="false">IF(OR(INDEX(Undirviðmið!$G$6:$G$105,(COLUMN()-7-1)/2+1)&lt;&gt;"Starfsbundið",CA53="",CA$8="",CA$7=""),"",ROUND(CA53/CA$8*CA$7*KVARDI,2))</f>
        <v/>
      </c>
      <c r="CC53" s="39"/>
      <c r="CD53" s="40" t="str">
        <f aca="false">IF(OR(INDEX(Undirviðmið!$G$6:$G$105,(COLUMN()-7-1)/2+1)&lt;&gt;"Starfsbundið",CC53="",CC$8="",CC$7=""),"",ROUND(CC53/CC$8*CC$7*KVARDI,2))</f>
        <v/>
      </c>
      <c r="CE53" s="39"/>
      <c r="CF53" s="40" t="str">
        <f aca="false">IF(OR(INDEX(Undirviðmið!$G$6:$G$105,(COLUMN()-7-1)/2+1)&lt;&gt;"Starfsbundið",CE53="",CE$8="",CE$7=""),"",ROUND(CE53/CE$8*CE$7*KVARDI,2))</f>
        <v/>
      </c>
      <c r="CG53" s="39"/>
      <c r="CH53" s="40" t="str">
        <f aca="false">IF(OR(INDEX(Undirviðmið!$G$6:$G$105,(COLUMN()-7-1)/2+1)&lt;&gt;"Starfsbundið",CG53="",CG$8="",CG$7=""),"",ROUND(CG53/CG$8*CG$7*KVARDI,2))</f>
        <v/>
      </c>
      <c r="CI53" s="39"/>
      <c r="CJ53" s="40" t="str">
        <f aca="false">IF(OR(INDEX(Undirviðmið!$G$6:$G$105,(COLUMN()-7-1)/2+1)&lt;&gt;"Starfsbundið",CI53="",CI$8="",CI$7=""),"",ROUND(CI53/CI$8*CI$7*KVARDI,2))</f>
        <v/>
      </c>
      <c r="CK53" s="39"/>
      <c r="CL53" s="40" t="str">
        <f aca="false">IF(OR(INDEX(Undirviðmið!$G$6:$G$105,(COLUMN()-7-1)/2+1)&lt;&gt;"Starfsbundið",CK53="",CK$8="",CK$7=""),"",ROUND(CK53/CK$8*CK$7*KVARDI,2))</f>
        <v/>
      </c>
      <c r="CM53" s="39"/>
      <c r="CN53" s="40" t="str">
        <f aca="false">IF(OR(INDEX(Undirviðmið!$G$6:$G$105,(COLUMN()-7-1)/2+1)&lt;&gt;"Starfsbundið",CM53="",CM$8="",CM$7=""),"",ROUND(CM53/CM$8*CM$7*KVARDI,2))</f>
        <v/>
      </c>
      <c r="CO53" s="39"/>
      <c r="CP53" s="40" t="str">
        <f aca="false">IF(OR(INDEX(Undirviðmið!$G$6:$G$105,(COLUMN()-7-1)/2+1)&lt;&gt;"Starfsbundið",CO53="",CO$8="",CO$7=""),"",ROUND(CO53/CO$8*CO$7*KVARDI,2))</f>
        <v/>
      </c>
      <c r="CQ53" s="39"/>
      <c r="CR53" s="40" t="str">
        <f aca="false">IF(OR(INDEX(Undirviðmið!$G$6:$G$105,(COLUMN()-7-1)/2+1)&lt;&gt;"Starfsbundið",CQ53="",CQ$8="",CQ$7=""),"",ROUND(CQ53/CQ$8*CQ$7*KVARDI,2))</f>
        <v/>
      </c>
      <c r="CS53" s="39"/>
      <c r="CT53" s="40" t="str">
        <f aca="false">IF(OR(INDEX(Undirviðmið!$G$6:$G$105,(COLUMN()-7-1)/2+1)&lt;&gt;"Starfsbundið",CS53="",CS$8="",CS$7=""),"",ROUND(CS53/CS$8*CS$7*KVARDI,2))</f>
        <v/>
      </c>
      <c r="CU53" s="39"/>
      <c r="CV53" s="40" t="str">
        <f aca="false">IF(OR(INDEX(Undirviðmið!$G$6:$G$105,(COLUMN()-7-1)/2+1)&lt;&gt;"Starfsbundið",CU53="",CU$8="",CU$7=""),"",ROUND(CU53/CU$8*CU$7*KVARDI,2))</f>
        <v/>
      </c>
      <c r="CW53" s="39"/>
      <c r="CX53" s="40" t="str">
        <f aca="false">IF(OR(INDEX(Undirviðmið!$G$6:$G$105,(COLUMN()-7-1)/2+1)&lt;&gt;"Starfsbundið",CW53="",CW$8="",CW$7=""),"",ROUND(CW53/CW$8*CW$7*KVARDI,2))</f>
        <v/>
      </c>
      <c r="CY53" s="39"/>
      <c r="CZ53" s="40" t="str">
        <f aca="false">IF(OR(INDEX(Undirviðmið!$G$6:$G$105,(COLUMN()-7-1)/2+1)&lt;&gt;"Starfsbundið",CY53="",CY$8="",CY$7=""),"",ROUND(CY53/CY$8*CY$7*KVARDI,2))</f>
        <v/>
      </c>
      <c r="DA53" s="39"/>
      <c r="DB53" s="40" t="str">
        <f aca="false">IF(OR(INDEX(Undirviðmið!$G$6:$G$105,(COLUMN()-7-1)/2+1)&lt;&gt;"Starfsbundið",DA53="",DA$8="",DA$7=""),"",ROUND(DA53/DA$8*DA$7*KVARDI,2))</f>
        <v/>
      </c>
      <c r="DC53" s="39"/>
      <c r="DD53" s="40" t="str">
        <f aca="false">IF(OR(INDEX(Undirviðmið!$G$6:$G$105,(COLUMN()-7-1)/2+1)&lt;&gt;"Starfsbundið",DC53="",DC$8="",DC$7=""),"",ROUND(DC53/DC$8*DC$7*KVARDI,2))</f>
        <v/>
      </c>
      <c r="DE53" s="39"/>
      <c r="DF53" s="40" t="str">
        <f aca="false">IF(OR(INDEX(Undirviðmið!$G$6:$G$105,(COLUMN()-7-1)/2+1)&lt;&gt;"Starfsbundið",DE53="",DE$8="",DE$7=""),"",ROUND(DE53/DE$8*DE$7*KVARDI,2))</f>
        <v/>
      </c>
      <c r="DG53" s="39"/>
      <c r="DH53" s="40" t="str">
        <f aca="false">IF(OR(INDEX(Undirviðmið!$G$6:$G$105,(COLUMN()-7-1)/2+1)&lt;&gt;"Starfsbundið",DG53="",DG$8="",DG$7=""),"",ROUND(DG53/DG$8*DG$7*KVARDI,2))</f>
        <v/>
      </c>
      <c r="DI53" s="39"/>
      <c r="DJ53" s="40" t="str">
        <f aca="false">IF(OR(INDEX(Undirviðmið!$G$6:$G$105,(COLUMN()-7-1)/2+1)&lt;&gt;"Starfsbundið",DI53="",DI$8="",DI$7=""),"",ROUND(DI53/DI$8*DI$7*KVARDI,2))</f>
        <v/>
      </c>
      <c r="DK53" s="39"/>
      <c r="DL53" s="40" t="str">
        <f aca="false">IF(OR(INDEX(Undirviðmið!$G$6:$G$105,(COLUMN()-7-1)/2+1)&lt;&gt;"Starfsbundið",DK53="",DK$8="",DK$7=""),"",ROUND(DK53/DK$8*DK$7*KVARDI,2))</f>
        <v/>
      </c>
      <c r="DM53" s="39"/>
      <c r="DN53" s="40" t="str">
        <f aca="false">IF(OR(INDEX(Undirviðmið!$G$6:$G$105,(COLUMN()-7-1)/2+1)&lt;&gt;"Starfsbundið",DM53="",DM$8="",DM$7=""),"",ROUND(DM53/DM$8*DM$7*KVARDI,2))</f>
        <v/>
      </c>
      <c r="DO53" s="39"/>
      <c r="DP53" s="40" t="str">
        <f aca="false">IF(OR(INDEX(Undirviðmið!$G$6:$G$105,(COLUMN()-7-1)/2+1)&lt;&gt;"Starfsbundið",DO53="",DO$8="",DO$7=""),"",ROUND(DO53/DO$8*DO$7*KVARDI,2))</f>
        <v/>
      </c>
      <c r="DQ53" s="39"/>
      <c r="DR53" s="40" t="str">
        <f aca="false">IF(OR(INDEX(Undirviðmið!$G$6:$G$105,(COLUMN()-7-1)/2+1)&lt;&gt;"Starfsbundið",DQ53="",DQ$8="",DQ$7=""),"",ROUND(DQ53/DQ$8*DQ$7*KVARDI,2))</f>
        <v/>
      </c>
      <c r="DS53" s="39"/>
      <c r="DT53" s="40" t="str">
        <f aca="false">IF(OR(INDEX(Undirviðmið!$G$6:$G$105,(COLUMN()-7-1)/2+1)&lt;&gt;"Starfsbundið",DS53="",DS$8="",DS$7=""),"",ROUND(DS53/DS$8*DS$7*KVARDI,2))</f>
        <v/>
      </c>
      <c r="DU53" s="39"/>
      <c r="DV53" s="40" t="str">
        <f aca="false">IF(OR(INDEX(Undirviðmið!$G$6:$G$105,(COLUMN()-7-1)/2+1)&lt;&gt;"Starfsbundið",DU53="",DU$8="",DU$7=""),"",ROUND(DU53/DU$8*DU$7*KVARDI,2))</f>
        <v/>
      </c>
      <c r="DW53" s="39"/>
      <c r="DX53" s="40" t="str">
        <f aca="false">IF(OR(INDEX(Undirviðmið!$G$6:$G$105,(COLUMN()-7-1)/2+1)&lt;&gt;"Starfsbundið",DW53="",DW$8="",DW$7=""),"",ROUND(DW53/DW$8*DW$7*KVARDI,2))</f>
        <v/>
      </c>
      <c r="DY53" s="39"/>
      <c r="DZ53" s="40" t="str">
        <f aca="false">IF(OR(INDEX(Undirviðmið!$G$6:$G$105,(COLUMN()-7-1)/2+1)&lt;&gt;"Starfsbundið",DY53="",DY$8="",DY$7=""),"",ROUND(DY53/DY$8*DY$7*KVARDI,2))</f>
        <v/>
      </c>
      <c r="EA53" s="39"/>
      <c r="EB53" s="40" t="str">
        <f aca="false">IF(OR(INDEX(Undirviðmið!$G$6:$G$105,(COLUMN()-7-1)/2+1)&lt;&gt;"Starfsbundið",EA53="",EA$8="",EA$7=""),"",ROUND(EA53/EA$8*EA$7*KVARDI,2))</f>
        <v/>
      </c>
      <c r="EC53" s="39"/>
      <c r="ED53" s="40" t="str">
        <f aca="false">IF(OR(INDEX(Undirviðmið!$G$6:$G$105,(COLUMN()-7-1)/2+1)&lt;&gt;"Starfsbundið",EC53="",EC$8="",EC$7=""),"",ROUND(EC53/EC$8*EC$7*KVARDI,2))</f>
        <v/>
      </c>
      <c r="EE53" s="39"/>
      <c r="EF53" s="40" t="str">
        <f aca="false">IF(OR(INDEX(Undirviðmið!$G$6:$G$105,(COLUMN()-7-1)/2+1)&lt;&gt;"Starfsbundið",EE53="",EE$8="",EE$7=""),"",ROUND(EE53/EE$8*EE$7*KVARDI,2))</f>
        <v/>
      </c>
      <c r="EG53" s="39"/>
      <c r="EH53" s="40" t="str">
        <f aca="false">IF(OR(INDEX(Undirviðmið!$G$6:$G$105,(COLUMN()-7-1)/2+1)&lt;&gt;"Starfsbundið",EG53="",EG$8="",EG$7=""),"",ROUND(EG53/EG$8*EG$7*KVARDI,2))</f>
        <v/>
      </c>
      <c r="EI53" s="39"/>
      <c r="EJ53" s="40" t="str">
        <f aca="false">IF(OR(INDEX(Undirviðmið!$G$6:$G$105,(COLUMN()-7-1)/2+1)&lt;&gt;"Starfsbundið",EI53="",EI$8="",EI$7=""),"",ROUND(EI53/EI$8*EI$7*KVARDI,2))</f>
        <v/>
      </c>
      <c r="EK53" s="39"/>
      <c r="EL53" s="40" t="str">
        <f aca="false">IF(OR(INDEX(Undirviðmið!$G$6:$G$105,(COLUMN()-7-1)/2+1)&lt;&gt;"Starfsbundið",EK53="",EK$8="",EK$7=""),"",ROUND(EK53/EK$8*EK$7*KVARDI,2))</f>
        <v/>
      </c>
      <c r="EM53" s="39"/>
      <c r="EN53" s="40" t="str">
        <f aca="false">IF(OR(INDEX(Undirviðmið!$G$6:$G$105,(COLUMN()-7-1)/2+1)&lt;&gt;"Starfsbundið",EM53="",EM$8="",EM$7=""),"",ROUND(EM53/EM$8*EM$7*KVARDI,2))</f>
        <v/>
      </c>
      <c r="EO53" s="39"/>
      <c r="EP53" s="40" t="str">
        <f aca="false">IF(OR(INDEX(Undirviðmið!$G$6:$G$105,(COLUMN()-7-1)/2+1)&lt;&gt;"Starfsbundið",EO53="",EO$8="",EO$7=""),"",ROUND(EO53/EO$8*EO$7*KVARDI,2))</f>
        <v/>
      </c>
      <c r="EQ53" s="39"/>
      <c r="ER53" s="40" t="str">
        <f aca="false">IF(OR(INDEX(Undirviðmið!$G$6:$G$105,(COLUMN()-7-1)/2+1)&lt;&gt;"Starfsbundið",EQ53="",EQ$8="",EQ$7=""),"",ROUND(EQ53/EQ$8*EQ$7*KVARDI,2))</f>
        <v/>
      </c>
      <c r="ES53" s="39"/>
      <c r="ET53" s="40" t="str">
        <f aca="false">IF(OR(INDEX(Undirviðmið!$G$6:$G$105,(COLUMN()-7-1)/2+1)&lt;&gt;"Starfsbundið",ES53="",ES$8="",ES$7=""),"",ROUND(ES53/ES$8*ES$7*KVARDI,2))</f>
        <v/>
      </c>
      <c r="EU53" s="39"/>
      <c r="EV53" s="40" t="str">
        <f aca="false">IF(OR(INDEX(Undirviðmið!$G$6:$G$105,(COLUMN()-7-1)/2+1)&lt;&gt;"Starfsbundið",EU53="",EU$8="",EU$7=""),"",ROUND(EU53/EU$8*EU$7*KVARDI,2))</f>
        <v/>
      </c>
      <c r="EW53" s="39"/>
      <c r="EX53" s="40" t="str">
        <f aca="false">IF(OR(INDEX(Undirviðmið!$G$6:$G$105,(COLUMN()-7-1)/2+1)&lt;&gt;"Starfsbundið",EW53="",EW$8="",EW$7=""),"",ROUND(EW53/EW$8*EW$7*KVARDI,2))</f>
        <v/>
      </c>
      <c r="EY53" s="39"/>
      <c r="EZ53" s="40" t="str">
        <f aca="false">IF(OR(INDEX(Undirviðmið!$G$6:$G$105,(COLUMN()-7-1)/2+1)&lt;&gt;"Starfsbundið",EY53="",EY$8="",EY$7=""),"",ROUND(EY53/EY$8*EY$7*KVARDI,2))</f>
        <v/>
      </c>
      <c r="FA53" s="39"/>
      <c r="FB53" s="40" t="str">
        <f aca="false">IF(OR(INDEX(Undirviðmið!$G$6:$G$105,(COLUMN()-7-1)/2+1)&lt;&gt;"Starfsbundið",FA53="",FA$8="",FA$7=""),"",ROUND(FA53/FA$8*FA$7*KVARDI,2))</f>
        <v/>
      </c>
      <c r="FC53" s="39"/>
      <c r="FD53" s="40" t="str">
        <f aca="false">IF(OR(INDEX(Undirviðmið!$G$6:$G$105,(COLUMN()-7-1)/2+1)&lt;&gt;"Starfsbundið",FC53="",FC$8="",FC$7=""),"",ROUND(FC53/FC$8*FC$7*KVARDI,2))</f>
        <v/>
      </c>
      <c r="FE53" s="39"/>
      <c r="FF53" s="40" t="str">
        <f aca="false">IF(OR(INDEX(Undirviðmið!$G$6:$G$105,(COLUMN()-7-1)/2+1)&lt;&gt;"Starfsbundið",FE53="",FE$8="",FE$7=""),"",ROUND(FE53/FE$8*FE$7*KVARDI,2))</f>
        <v/>
      </c>
      <c r="FG53" s="39"/>
      <c r="FH53" s="40" t="str">
        <f aca="false">IF(OR(INDEX(Undirviðmið!$G$6:$G$105,(COLUMN()-7-1)/2+1)&lt;&gt;"Starfsbundið",FG53="",FG$8="",FG$7=""),"",ROUND(FG53/FG$8*FG$7*KVARDI,2))</f>
        <v/>
      </c>
      <c r="FI53" s="39"/>
      <c r="FJ53" s="40" t="str">
        <f aca="false">IF(OR(INDEX(Undirviðmið!$G$6:$G$105,(COLUMN()-7-1)/2+1)&lt;&gt;"Starfsbundið",FI53="",FI$8="",FI$7=""),"",ROUND(FI53/FI$8*FI$7*KVARDI,2))</f>
        <v/>
      </c>
      <c r="FK53" s="39"/>
      <c r="FL53" s="40" t="str">
        <f aca="false">IF(OR(INDEX(Undirviðmið!$G$6:$G$105,(COLUMN()-7-1)/2+1)&lt;&gt;"Starfsbundið",FK53="",FK$8="",FK$7=""),"",ROUND(FK53/FK$8*FK$7*KVARDI,2))</f>
        <v/>
      </c>
      <c r="FM53" s="39"/>
      <c r="FN53" s="40" t="str">
        <f aca="false">IF(OR(INDEX(Undirviðmið!$G$6:$G$105,(COLUMN()-7-1)/2+1)&lt;&gt;"Starfsbundið",FM53="",FM$8="",FM$7=""),"",ROUND(FM53/FM$8*FM$7*KVARDI,2))</f>
        <v/>
      </c>
      <c r="FO53" s="39"/>
      <c r="FP53" s="40" t="str">
        <f aca="false">IF(OR(INDEX(Undirviðmið!$G$6:$G$105,(COLUMN()-7-1)/2+1)&lt;&gt;"Starfsbundið",FO53="",FO$8="",FO$7=""),"",ROUND(FO53/FO$8*FO$7*KVARDI,2))</f>
        <v/>
      </c>
      <c r="FQ53" s="39"/>
      <c r="FR53" s="40" t="str">
        <f aca="false">IF(OR(INDEX(Undirviðmið!$G$6:$G$105,(COLUMN()-7-1)/2+1)&lt;&gt;"Starfsbundið",FQ53="",FQ$8="",FQ$7=""),"",ROUND(FQ53/FQ$8*FQ$7*KVARDI,2))</f>
        <v/>
      </c>
      <c r="FS53" s="39"/>
      <c r="FT53" s="40" t="str">
        <f aca="false">IF(OR(INDEX(Undirviðmið!$G$6:$G$105,(COLUMN()-7-1)/2+1)&lt;&gt;"Starfsbundið",FS53="",FS$8="",FS$7=""),"",ROUND(FS53/FS$8*FS$7*KVARDI,2))</f>
        <v/>
      </c>
      <c r="FU53" s="39"/>
      <c r="FV53" s="40" t="str">
        <f aca="false">IF(OR(INDEX(Undirviðmið!$G$6:$G$105,(COLUMN()-7-1)/2+1)&lt;&gt;"Starfsbundið",FU53="",FU$8="",FU$7=""),"",ROUND(FU53/FU$8*FU$7*KVARDI,2))</f>
        <v/>
      </c>
      <c r="FW53" s="39"/>
      <c r="FX53" s="40" t="str">
        <f aca="false">IF(OR(INDEX(Undirviðmið!$G$6:$G$105,(COLUMN()-7-1)/2+1)&lt;&gt;"Starfsbundið",FW53="",FW$8="",FW$7=""),"",ROUND(FW53/FW$8*FW$7*KVARDI,2))</f>
        <v/>
      </c>
      <c r="FY53" s="39"/>
      <c r="FZ53" s="40" t="str">
        <f aca="false">IF(OR(INDEX(Undirviðmið!$G$6:$G$105,(COLUMN()-7-1)/2+1)&lt;&gt;"Starfsbundið",FY53="",FY$8="",FY$7=""),"",ROUND(FY53/FY$8*FY$7*KVARDI,2))</f>
        <v/>
      </c>
      <c r="GA53" s="39"/>
      <c r="GB53" s="40" t="str">
        <f aca="false">IF(OR(INDEX(Undirviðmið!$G$6:$G$105,(COLUMN()-7-1)/2+1)&lt;&gt;"Starfsbundið",GA53="",GA$8="",GA$7=""),"",ROUND(GA53/GA$8*GA$7*KVARDI,2))</f>
        <v/>
      </c>
      <c r="GC53" s="39"/>
      <c r="GD53" s="40" t="str">
        <f aca="false">IF(OR(INDEX(Undirviðmið!$G$6:$G$105,(COLUMN()-7-1)/2+1)&lt;&gt;"Starfsbundið",GC53="",GC$8="",GC$7=""),"",ROUND(GC53/GC$8*GC$7*KVARDI,2))</f>
        <v/>
      </c>
      <c r="GE53" s="39"/>
      <c r="GF53" s="40" t="str">
        <f aca="false">IF(OR(INDEX(Undirviðmið!$G$6:$G$105,(COLUMN()-7-1)/2+1)&lt;&gt;"Starfsbundið",GE53="",GE$8="",GE$7=""),"",ROUND(GE53/GE$8*GE$7*KVARDI,2))</f>
        <v/>
      </c>
      <c r="GG53" s="39"/>
      <c r="GH53" s="40" t="str">
        <f aca="false">IF(OR(INDEX(Undirviðmið!$G$6:$G$105,(COLUMN()-7-1)/2+1)&lt;&gt;"Starfsbundið",GG53="",GG$8="",GG$7=""),"",ROUND(GG53/GG$8*GG$7*KVARDI,2))</f>
        <v/>
      </c>
      <c r="GI53" s="39"/>
      <c r="GJ53" s="40" t="str">
        <f aca="false">IF(OR(INDEX(Undirviðmið!$G$6:$G$105,(COLUMN()-7-1)/2+1)&lt;&gt;"Starfsbundið",GI53="",GI$8="",GI$7=""),"",ROUND(GI53/GI$8*GI$7*KVARDI,2))</f>
        <v/>
      </c>
      <c r="GK53" s="39"/>
      <c r="GL53" s="40" t="str">
        <f aca="false">IF(OR(INDEX(Undirviðmið!$G$6:$G$105,(COLUMN()-7-1)/2+1)&lt;&gt;"Starfsbundið",GK53="",GK$8="",GK$7=""),"",ROUND(GK53/GK$8*GK$7*KVARDI,2))</f>
        <v/>
      </c>
      <c r="GM53" s="39"/>
      <c r="GN53" s="40" t="str">
        <f aca="false">IF(OR(INDEX(Undirviðmið!$G$6:$G$105,(COLUMN()-7-1)/2+1)&lt;&gt;"Starfsbundið",GM53="",GM$8="",GM$7=""),"",ROUND(GM53/GM$8*GM$7*KVARDI,2))</f>
        <v/>
      </c>
      <c r="GO53" s="39"/>
      <c r="GP53" s="40" t="str">
        <f aca="false">IF(OR(INDEX(Undirviðmið!$G$6:$G$105,(COLUMN()-7-1)/2+1)&lt;&gt;"Starfsbundið",GO53="",GO$8="",GO$7=""),"",ROUND(GO53/GO$8*GO$7*KVARDI,2))</f>
        <v/>
      </c>
      <c r="GQ53" s="39"/>
      <c r="GR53" s="40" t="str">
        <f aca="false">IF(OR(INDEX(Undirviðmið!$G$6:$G$105,(COLUMN()-7-1)/2+1)&lt;&gt;"Starfsbundið",GQ53="",GQ$8="",GQ$7=""),"",ROUND(GQ53/GQ$8*GQ$7*KVARDI,2))</f>
        <v/>
      </c>
      <c r="GS53" s="39"/>
      <c r="GT53" s="40" t="str">
        <f aca="false">IF(OR(INDEX(Undirviðmið!$G$6:$G$105,(COLUMN()-7-1)/2+1)&lt;&gt;"Starfsbundið",GS53="",GS$8="",GS$7=""),"",ROUND(GS53/GS$8*GS$7*KVARDI,2))</f>
        <v/>
      </c>
      <c r="GU53" s="39"/>
      <c r="GV53" s="40" t="str">
        <f aca="false">IF(OR(INDEX(Undirviðmið!$G$6:$G$105,(COLUMN()-7-1)/2+1)&lt;&gt;"Starfsbundið",GU53="",GU$8="",GU$7=""),"",ROUND(GU53/GU$8*GU$7*KVARDI,2))</f>
        <v/>
      </c>
      <c r="GW53" s="39"/>
      <c r="GX53" s="40" t="str">
        <f aca="false">IF(OR(INDEX(Undirviðmið!$G$6:$G$105,(COLUMN()-7-1)/2+1)&lt;&gt;"Starfsbundið",GW53="",GW$8="",GW$7=""),"",ROUND(GW53/GW$8*GW$7*KVARDI,2))</f>
        <v/>
      </c>
      <c r="GZ53" s="20"/>
    </row>
    <row r="54" customFormat="false" ht="15" hidden="true" customHeight="true" outlineLevel="1" collapsed="false">
      <c r="B54" s="37" t="str">
        <f aca="false" t="array" ref="B54:B54">IFERROR(INDEX(Starfsmenn!$C$6:$C$10005,MATCH(0,COUNTIF($B$11:B53,Starfsmenn!$C$6:$C$10005)+(Starfsmenn!$C$6:$C$10005=""),0)),"")</f>
        <v/>
      </c>
      <c r="C54" s="38" t="n">
        <f aca="false">IFERROR(SUMIF($G$10:$GX$10,"Stig",$G54:$GX54),0)</f>
        <v>0</v>
      </c>
      <c r="G54" s="39"/>
      <c r="H54" s="40" t="str">
        <f aca="false">IF(OR(INDEX(Undirviðmið!$G$6:$G$105,(COLUMN()-7-1)/2+1)&lt;&gt;"Starfsbundið",G54="",G$8="",G$7=""),"",ROUND(G54/G$8*G$7*KVARDI,2))</f>
        <v/>
      </c>
      <c r="I54" s="39"/>
      <c r="J54" s="40" t="str">
        <f aca="false">IF(OR(INDEX(Undirviðmið!$G$6:$G$105,(COLUMN()-7-1)/2+1)&lt;&gt;"Starfsbundið",I54="",I$8="",I$7=""),"",ROUND(I54/I$8*I$7*KVARDI,2))</f>
        <v/>
      </c>
      <c r="K54" s="39"/>
      <c r="L54" s="40" t="str">
        <f aca="false">IF(OR(INDEX(Undirviðmið!$G$6:$G$105,(COLUMN()-7-1)/2+1)&lt;&gt;"Starfsbundið",K54="",K$8="",K$7=""),"",ROUND(K54/K$8*K$7*KVARDI,2))</f>
        <v/>
      </c>
      <c r="M54" s="39"/>
      <c r="N54" s="40" t="str">
        <f aca="false">IF(OR(INDEX(Undirviðmið!$G$6:$G$105,(COLUMN()-7-1)/2+1)&lt;&gt;"Starfsbundið",M54="",M$8="",M$7=""),"",ROUND(M54/M$8*M$7*KVARDI,2))</f>
        <v/>
      </c>
      <c r="O54" s="39"/>
      <c r="P54" s="40" t="str">
        <f aca="false">IF(OR(INDEX(Undirviðmið!$G$6:$G$105,(COLUMN()-7-1)/2+1)&lt;&gt;"Starfsbundið",O54="",O$8="",O$7=""),"",ROUND(O54/O$8*O$7*KVARDI,2))</f>
        <v/>
      </c>
      <c r="Q54" s="39"/>
      <c r="R54" s="40" t="str">
        <f aca="false">IF(OR(INDEX(Undirviðmið!$G$6:$G$105,(COLUMN()-7-1)/2+1)&lt;&gt;"Starfsbundið",Q54="",Q$8="",Q$7=""),"",ROUND(Q54/Q$8*Q$7*KVARDI,2))</f>
        <v/>
      </c>
      <c r="S54" s="39"/>
      <c r="T54" s="40" t="str">
        <f aca="false">IF(OR(INDEX(Undirviðmið!$G$6:$G$105,(COLUMN()-7-1)/2+1)&lt;&gt;"Starfsbundið",S54="",S$8="",S$7=""),"",ROUND(S54/S$8*S$7*KVARDI,2))</f>
        <v/>
      </c>
      <c r="U54" s="39"/>
      <c r="V54" s="40" t="str">
        <f aca="false">IF(OR(INDEX(Undirviðmið!$G$6:$G$105,(COLUMN()-7-1)/2+1)&lt;&gt;"Starfsbundið",U54="",U$8="",U$7=""),"",ROUND(U54/U$8*U$7*KVARDI,2))</f>
        <v/>
      </c>
      <c r="W54" s="39"/>
      <c r="X54" s="40" t="str">
        <f aca="false">IF(OR(INDEX(Undirviðmið!$G$6:$G$105,(COLUMN()-7-1)/2+1)&lt;&gt;"Starfsbundið",W54="",W$8="",W$7=""),"",ROUND(W54/W$8*W$7*KVARDI,2))</f>
        <v/>
      </c>
      <c r="Y54" s="39"/>
      <c r="Z54" s="40" t="str">
        <f aca="false">IF(OR(INDEX(Undirviðmið!$G$6:$G$105,(COLUMN()-7-1)/2+1)&lt;&gt;"Starfsbundið",Y54="",Y$8="",Y$7=""),"",ROUND(Y54/Y$8*Y$7*KVARDI,2))</f>
        <v/>
      </c>
      <c r="AA54" s="39"/>
      <c r="AB54" s="40" t="str">
        <f aca="false">IF(OR(INDEX(Undirviðmið!$G$6:$G$105,(COLUMN()-7-1)/2+1)&lt;&gt;"Starfsbundið",AA54="",AA$8="",AA$7=""),"",ROUND(AA54/AA$8*AA$7*KVARDI,2))</f>
        <v/>
      </c>
      <c r="AC54" s="39"/>
      <c r="AD54" s="40" t="str">
        <f aca="false">IF(OR(INDEX(Undirviðmið!$G$6:$G$105,(COLUMN()-7-1)/2+1)&lt;&gt;"Starfsbundið",AC54="",AC$8="",AC$7=""),"",ROUND(AC54/AC$8*AC$7*KVARDI,2))</f>
        <v/>
      </c>
      <c r="AE54" s="39"/>
      <c r="AF54" s="40" t="str">
        <f aca="false">IF(OR(INDEX(Undirviðmið!$G$6:$G$105,(COLUMN()-7-1)/2+1)&lt;&gt;"Starfsbundið",AE54="",AE$8="",AE$7=""),"",ROUND(AE54/AE$8*AE$7*KVARDI,2))</f>
        <v/>
      </c>
      <c r="AG54" s="39"/>
      <c r="AH54" s="40" t="str">
        <f aca="false">IF(OR(INDEX(Undirviðmið!$G$6:$G$105,(COLUMN()-7-1)/2+1)&lt;&gt;"Starfsbundið",AG54="",AG$8="",AG$7=""),"",ROUND(AG54/AG$8*AG$7*KVARDI,2))</f>
        <v/>
      </c>
      <c r="AI54" s="39"/>
      <c r="AJ54" s="40" t="str">
        <f aca="false">IF(OR(INDEX(Undirviðmið!$G$6:$G$105,(COLUMN()-7-1)/2+1)&lt;&gt;"Starfsbundið",AI54="",AI$8="",AI$7=""),"",ROUND(AI54/AI$8*AI$7*KVARDI,2))</f>
        <v/>
      </c>
      <c r="AK54" s="39"/>
      <c r="AL54" s="40" t="str">
        <f aca="false">IF(OR(INDEX(Undirviðmið!$G$6:$G$105,(COLUMN()-7-1)/2+1)&lt;&gt;"Starfsbundið",AK54="",AK$8="",AK$7=""),"",ROUND(AK54/AK$8*AK$7*KVARDI,2))</f>
        <v/>
      </c>
      <c r="AM54" s="39"/>
      <c r="AN54" s="40" t="str">
        <f aca="false">IF(OR(INDEX(Undirviðmið!$G$6:$G$105,(COLUMN()-7-1)/2+1)&lt;&gt;"Starfsbundið",AM54="",AM$8="",AM$7=""),"",ROUND(AM54/AM$8*AM$7*KVARDI,2))</f>
        <v/>
      </c>
      <c r="AO54" s="39"/>
      <c r="AP54" s="40" t="str">
        <f aca="false">IF(OR(INDEX(Undirviðmið!$G$6:$G$105,(COLUMN()-7-1)/2+1)&lt;&gt;"Starfsbundið",AO54="",AO$8="",AO$7=""),"",ROUND(AO54/AO$8*AO$7*KVARDI,2))</f>
        <v/>
      </c>
      <c r="AQ54" s="39"/>
      <c r="AR54" s="40" t="str">
        <f aca="false">IF(OR(INDEX(Undirviðmið!$G$6:$G$105,(COLUMN()-7-1)/2+1)&lt;&gt;"Starfsbundið",AQ54="",AQ$8="",AQ$7=""),"",ROUND(AQ54/AQ$8*AQ$7*KVARDI,2))</f>
        <v/>
      </c>
      <c r="AS54" s="39"/>
      <c r="AT54" s="40" t="str">
        <f aca="false">IF(OR(INDEX(Undirviðmið!$G$6:$G$105,(COLUMN()-7-1)/2+1)&lt;&gt;"Starfsbundið",AS54="",AS$8="",AS$7=""),"",ROUND(AS54/AS$8*AS$7*KVARDI,2))</f>
        <v/>
      </c>
      <c r="AU54" s="39"/>
      <c r="AV54" s="40" t="str">
        <f aca="false">IF(OR(INDEX(Undirviðmið!$G$6:$G$105,(COLUMN()-7-1)/2+1)&lt;&gt;"Starfsbundið",AU54="",AU$8="",AU$7=""),"",ROUND(AU54/AU$8*AU$7*KVARDI,2))</f>
        <v/>
      </c>
      <c r="AW54" s="39"/>
      <c r="AX54" s="40" t="str">
        <f aca="false">IF(OR(INDEX(Undirviðmið!$G$6:$G$105,(COLUMN()-7-1)/2+1)&lt;&gt;"Starfsbundið",AW54="",AW$8="",AW$7=""),"",ROUND(AW54/AW$8*AW$7*KVARDI,2))</f>
        <v/>
      </c>
      <c r="AY54" s="39"/>
      <c r="AZ54" s="40" t="str">
        <f aca="false">IF(OR(INDEX(Undirviðmið!$G$6:$G$105,(COLUMN()-7-1)/2+1)&lt;&gt;"Starfsbundið",AY54="",AY$8="",AY$7=""),"",ROUND(AY54/AY$8*AY$7*KVARDI,2))</f>
        <v/>
      </c>
      <c r="BA54" s="39"/>
      <c r="BB54" s="40" t="str">
        <f aca="false">IF(OR(INDEX(Undirviðmið!$G$6:$G$105,(COLUMN()-7-1)/2+1)&lt;&gt;"Starfsbundið",BA54="",BA$8="",BA$7=""),"",ROUND(BA54/BA$8*BA$7*KVARDI,2))</f>
        <v/>
      </c>
      <c r="BC54" s="39"/>
      <c r="BD54" s="40" t="str">
        <f aca="false">IF(OR(INDEX(Undirviðmið!$G$6:$G$105,(COLUMN()-7-1)/2+1)&lt;&gt;"Starfsbundið",BC54="",BC$8="",BC$7=""),"",ROUND(BC54/BC$8*BC$7*KVARDI,2))</f>
        <v/>
      </c>
      <c r="BE54" s="39"/>
      <c r="BF54" s="40" t="str">
        <f aca="false">IF(OR(INDEX(Undirviðmið!$G$6:$G$105,(COLUMN()-7-1)/2+1)&lt;&gt;"Starfsbundið",BE54="",BE$8="",BE$7=""),"",ROUND(BE54/BE$8*BE$7*KVARDI,2))</f>
        <v/>
      </c>
      <c r="BG54" s="39"/>
      <c r="BH54" s="40" t="str">
        <f aca="false">IF(OR(INDEX(Undirviðmið!$G$6:$G$105,(COLUMN()-7-1)/2+1)&lt;&gt;"Starfsbundið",BG54="",BG$8="",BG$7=""),"",ROUND(BG54/BG$8*BG$7*KVARDI,2))</f>
        <v/>
      </c>
      <c r="BI54" s="39"/>
      <c r="BJ54" s="40" t="str">
        <f aca="false">IF(OR(INDEX(Undirviðmið!$G$6:$G$105,(COLUMN()-7-1)/2+1)&lt;&gt;"Starfsbundið",BI54="",BI$8="",BI$7=""),"",ROUND(BI54/BI$8*BI$7*KVARDI,2))</f>
        <v/>
      </c>
      <c r="BK54" s="39"/>
      <c r="BL54" s="40" t="str">
        <f aca="false">IF(OR(INDEX(Undirviðmið!$G$6:$G$105,(COLUMN()-7-1)/2+1)&lt;&gt;"Starfsbundið",BK54="",BK$8="",BK$7=""),"",ROUND(BK54/BK$8*BK$7*KVARDI,2))</f>
        <v/>
      </c>
      <c r="BM54" s="39"/>
      <c r="BN54" s="40" t="str">
        <f aca="false">IF(OR(INDEX(Undirviðmið!$G$6:$G$105,(COLUMN()-7-1)/2+1)&lt;&gt;"Starfsbundið",BM54="",BM$8="",BM$7=""),"",ROUND(BM54/BM$8*BM$7*KVARDI,2))</f>
        <v/>
      </c>
      <c r="BO54" s="39"/>
      <c r="BP54" s="40" t="str">
        <f aca="false">IF(OR(INDEX(Undirviðmið!$G$6:$G$105,(COLUMN()-7-1)/2+1)&lt;&gt;"Starfsbundið",BO54="",BO$8="",BO$7=""),"",ROUND(BO54/BO$8*BO$7*KVARDI,2))</f>
        <v/>
      </c>
      <c r="BQ54" s="39"/>
      <c r="BR54" s="40" t="str">
        <f aca="false">IF(OR(INDEX(Undirviðmið!$G$6:$G$105,(COLUMN()-7-1)/2+1)&lt;&gt;"Starfsbundið",BQ54="",BQ$8="",BQ$7=""),"",ROUND(BQ54/BQ$8*BQ$7*KVARDI,2))</f>
        <v/>
      </c>
      <c r="BS54" s="39"/>
      <c r="BT54" s="40" t="str">
        <f aca="false">IF(OR(INDEX(Undirviðmið!$G$6:$G$105,(COLUMN()-7-1)/2+1)&lt;&gt;"Starfsbundið",BS54="",BS$8="",BS$7=""),"",ROUND(BS54/BS$8*BS$7*KVARDI,2))</f>
        <v/>
      </c>
      <c r="BU54" s="39"/>
      <c r="BV54" s="40" t="str">
        <f aca="false">IF(OR(INDEX(Undirviðmið!$G$6:$G$105,(COLUMN()-7-1)/2+1)&lt;&gt;"Starfsbundið",BU54="",BU$8="",BU$7=""),"",ROUND(BU54/BU$8*BU$7*KVARDI,2))</f>
        <v/>
      </c>
      <c r="BW54" s="39"/>
      <c r="BX54" s="40" t="str">
        <f aca="false">IF(OR(INDEX(Undirviðmið!$G$6:$G$105,(COLUMN()-7-1)/2+1)&lt;&gt;"Starfsbundið",BW54="",BW$8="",BW$7=""),"",ROUND(BW54/BW$8*BW$7*KVARDI,2))</f>
        <v/>
      </c>
      <c r="BY54" s="39"/>
      <c r="BZ54" s="40" t="str">
        <f aca="false">IF(OR(INDEX(Undirviðmið!$G$6:$G$105,(COLUMN()-7-1)/2+1)&lt;&gt;"Starfsbundið",BY54="",BY$8="",BY$7=""),"",ROUND(BY54/BY$8*BY$7*KVARDI,2))</f>
        <v/>
      </c>
      <c r="CA54" s="39"/>
      <c r="CB54" s="40" t="str">
        <f aca="false">IF(OR(INDEX(Undirviðmið!$G$6:$G$105,(COLUMN()-7-1)/2+1)&lt;&gt;"Starfsbundið",CA54="",CA$8="",CA$7=""),"",ROUND(CA54/CA$8*CA$7*KVARDI,2))</f>
        <v/>
      </c>
      <c r="CC54" s="39"/>
      <c r="CD54" s="40" t="str">
        <f aca="false">IF(OR(INDEX(Undirviðmið!$G$6:$G$105,(COLUMN()-7-1)/2+1)&lt;&gt;"Starfsbundið",CC54="",CC$8="",CC$7=""),"",ROUND(CC54/CC$8*CC$7*KVARDI,2))</f>
        <v/>
      </c>
      <c r="CE54" s="39"/>
      <c r="CF54" s="40" t="str">
        <f aca="false">IF(OR(INDEX(Undirviðmið!$G$6:$G$105,(COLUMN()-7-1)/2+1)&lt;&gt;"Starfsbundið",CE54="",CE$8="",CE$7=""),"",ROUND(CE54/CE$8*CE$7*KVARDI,2))</f>
        <v/>
      </c>
      <c r="CG54" s="39"/>
      <c r="CH54" s="40" t="str">
        <f aca="false">IF(OR(INDEX(Undirviðmið!$G$6:$G$105,(COLUMN()-7-1)/2+1)&lt;&gt;"Starfsbundið",CG54="",CG$8="",CG$7=""),"",ROUND(CG54/CG$8*CG$7*KVARDI,2))</f>
        <v/>
      </c>
      <c r="CI54" s="39"/>
      <c r="CJ54" s="40" t="str">
        <f aca="false">IF(OR(INDEX(Undirviðmið!$G$6:$G$105,(COLUMN()-7-1)/2+1)&lt;&gt;"Starfsbundið",CI54="",CI$8="",CI$7=""),"",ROUND(CI54/CI$8*CI$7*KVARDI,2))</f>
        <v/>
      </c>
      <c r="CK54" s="39"/>
      <c r="CL54" s="40" t="str">
        <f aca="false">IF(OR(INDEX(Undirviðmið!$G$6:$G$105,(COLUMN()-7-1)/2+1)&lt;&gt;"Starfsbundið",CK54="",CK$8="",CK$7=""),"",ROUND(CK54/CK$8*CK$7*KVARDI,2))</f>
        <v/>
      </c>
      <c r="CM54" s="39"/>
      <c r="CN54" s="40" t="str">
        <f aca="false">IF(OR(INDEX(Undirviðmið!$G$6:$G$105,(COLUMN()-7-1)/2+1)&lt;&gt;"Starfsbundið",CM54="",CM$8="",CM$7=""),"",ROUND(CM54/CM$8*CM$7*KVARDI,2))</f>
        <v/>
      </c>
      <c r="CO54" s="39"/>
      <c r="CP54" s="40" t="str">
        <f aca="false">IF(OR(INDEX(Undirviðmið!$G$6:$G$105,(COLUMN()-7-1)/2+1)&lt;&gt;"Starfsbundið",CO54="",CO$8="",CO$7=""),"",ROUND(CO54/CO$8*CO$7*KVARDI,2))</f>
        <v/>
      </c>
      <c r="CQ54" s="39"/>
      <c r="CR54" s="40" t="str">
        <f aca="false">IF(OR(INDEX(Undirviðmið!$G$6:$G$105,(COLUMN()-7-1)/2+1)&lt;&gt;"Starfsbundið",CQ54="",CQ$8="",CQ$7=""),"",ROUND(CQ54/CQ$8*CQ$7*KVARDI,2))</f>
        <v/>
      </c>
      <c r="CS54" s="39"/>
      <c r="CT54" s="40" t="str">
        <f aca="false">IF(OR(INDEX(Undirviðmið!$G$6:$G$105,(COLUMN()-7-1)/2+1)&lt;&gt;"Starfsbundið",CS54="",CS$8="",CS$7=""),"",ROUND(CS54/CS$8*CS$7*KVARDI,2))</f>
        <v/>
      </c>
      <c r="CU54" s="39"/>
      <c r="CV54" s="40" t="str">
        <f aca="false">IF(OR(INDEX(Undirviðmið!$G$6:$G$105,(COLUMN()-7-1)/2+1)&lt;&gt;"Starfsbundið",CU54="",CU$8="",CU$7=""),"",ROUND(CU54/CU$8*CU$7*KVARDI,2))</f>
        <v/>
      </c>
      <c r="CW54" s="39"/>
      <c r="CX54" s="40" t="str">
        <f aca="false">IF(OR(INDEX(Undirviðmið!$G$6:$G$105,(COLUMN()-7-1)/2+1)&lt;&gt;"Starfsbundið",CW54="",CW$8="",CW$7=""),"",ROUND(CW54/CW$8*CW$7*KVARDI,2))</f>
        <v/>
      </c>
      <c r="CY54" s="39"/>
      <c r="CZ54" s="40" t="str">
        <f aca="false">IF(OR(INDEX(Undirviðmið!$G$6:$G$105,(COLUMN()-7-1)/2+1)&lt;&gt;"Starfsbundið",CY54="",CY$8="",CY$7=""),"",ROUND(CY54/CY$8*CY$7*KVARDI,2))</f>
        <v/>
      </c>
      <c r="DA54" s="39"/>
      <c r="DB54" s="40" t="str">
        <f aca="false">IF(OR(INDEX(Undirviðmið!$G$6:$G$105,(COLUMN()-7-1)/2+1)&lt;&gt;"Starfsbundið",DA54="",DA$8="",DA$7=""),"",ROUND(DA54/DA$8*DA$7*KVARDI,2))</f>
        <v/>
      </c>
      <c r="DC54" s="39"/>
      <c r="DD54" s="40" t="str">
        <f aca="false">IF(OR(INDEX(Undirviðmið!$G$6:$G$105,(COLUMN()-7-1)/2+1)&lt;&gt;"Starfsbundið",DC54="",DC$8="",DC$7=""),"",ROUND(DC54/DC$8*DC$7*KVARDI,2))</f>
        <v/>
      </c>
      <c r="DE54" s="39"/>
      <c r="DF54" s="40" t="str">
        <f aca="false">IF(OR(INDEX(Undirviðmið!$G$6:$G$105,(COLUMN()-7-1)/2+1)&lt;&gt;"Starfsbundið",DE54="",DE$8="",DE$7=""),"",ROUND(DE54/DE$8*DE$7*KVARDI,2))</f>
        <v/>
      </c>
      <c r="DG54" s="39"/>
      <c r="DH54" s="40" t="str">
        <f aca="false">IF(OR(INDEX(Undirviðmið!$G$6:$G$105,(COLUMN()-7-1)/2+1)&lt;&gt;"Starfsbundið",DG54="",DG$8="",DG$7=""),"",ROUND(DG54/DG$8*DG$7*KVARDI,2))</f>
        <v/>
      </c>
      <c r="DI54" s="39"/>
      <c r="DJ54" s="40" t="str">
        <f aca="false">IF(OR(INDEX(Undirviðmið!$G$6:$G$105,(COLUMN()-7-1)/2+1)&lt;&gt;"Starfsbundið",DI54="",DI$8="",DI$7=""),"",ROUND(DI54/DI$8*DI$7*KVARDI,2))</f>
        <v/>
      </c>
      <c r="DK54" s="39"/>
      <c r="DL54" s="40" t="str">
        <f aca="false">IF(OR(INDEX(Undirviðmið!$G$6:$G$105,(COLUMN()-7-1)/2+1)&lt;&gt;"Starfsbundið",DK54="",DK$8="",DK$7=""),"",ROUND(DK54/DK$8*DK$7*KVARDI,2))</f>
        <v/>
      </c>
      <c r="DM54" s="39"/>
      <c r="DN54" s="40" t="str">
        <f aca="false">IF(OR(INDEX(Undirviðmið!$G$6:$G$105,(COLUMN()-7-1)/2+1)&lt;&gt;"Starfsbundið",DM54="",DM$8="",DM$7=""),"",ROUND(DM54/DM$8*DM$7*KVARDI,2))</f>
        <v/>
      </c>
      <c r="DO54" s="39"/>
      <c r="DP54" s="40" t="str">
        <f aca="false">IF(OR(INDEX(Undirviðmið!$G$6:$G$105,(COLUMN()-7-1)/2+1)&lt;&gt;"Starfsbundið",DO54="",DO$8="",DO$7=""),"",ROUND(DO54/DO$8*DO$7*KVARDI,2))</f>
        <v/>
      </c>
      <c r="DQ54" s="39"/>
      <c r="DR54" s="40" t="str">
        <f aca="false">IF(OR(INDEX(Undirviðmið!$G$6:$G$105,(COLUMN()-7-1)/2+1)&lt;&gt;"Starfsbundið",DQ54="",DQ$8="",DQ$7=""),"",ROUND(DQ54/DQ$8*DQ$7*KVARDI,2))</f>
        <v/>
      </c>
      <c r="DS54" s="39"/>
      <c r="DT54" s="40" t="str">
        <f aca="false">IF(OR(INDEX(Undirviðmið!$G$6:$G$105,(COLUMN()-7-1)/2+1)&lt;&gt;"Starfsbundið",DS54="",DS$8="",DS$7=""),"",ROUND(DS54/DS$8*DS$7*KVARDI,2))</f>
        <v/>
      </c>
      <c r="DU54" s="39"/>
      <c r="DV54" s="40" t="str">
        <f aca="false">IF(OR(INDEX(Undirviðmið!$G$6:$G$105,(COLUMN()-7-1)/2+1)&lt;&gt;"Starfsbundið",DU54="",DU$8="",DU$7=""),"",ROUND(DU54/DU$8*DU$7*KVARDI,2))</f>
        <v/>
      </c>
      <c r="DW54" s="39"/>
      <c r="DX54" s="40" t="str">
        <f aca="false">IF(OR(INDEX(Undirviðmið!$G$6:$G$105,(COLUMN()-7-1)/2+1)&lt;&gt;"Starfsbundið",DW54="",DW$8="",DW$7=""),"",ROUND(DW54/DW$8*DW$7*KVARDI,2))</f>
        <v/>
      </c>
      <c r="DY54" s="39"/>
      <c r="DZ54" s="40" t="str">
        <f aca="false">IF(OR(INDEX(Undirviðmið!$G$6:$G$105,(COLUMN()-7-1)/2+1)&lt;&gt;"Starfsbundið",DY54="",DY$8="",DY$7=""),"",ROUND(DY54/DY$8*DY$7*KVARDI,2))</f>
        <v/>
      </c>
      <c r="EA54" s="39"/>
      <c r="EB54" s="40" t="str">
        <f aca="false">IF(OR(INDEX(Undirviðmið!$G$6:$G$105,(COLUMN()-7-1)/2+1)&lt;&gt;"Starfsbundið",EA54="",EA$8="",EA$7=""),"",ROUND(EA54/EA$8*EA$7*KVARDI,2))</f>
        <v/>
      </c>
      <c r="EC54" s="39"/>
      <c r="ED54" s="40" t="str">
        <f aca="false">IF(OR(INDEX(Undirviðmið!$G$6:$G$105,(COLUMN()-7-1)/2+1)&lt;&gt;"Starfsbundið",EC54="",EC$8="",EC$7=""),"",ROUND(EC54/EC$8*EC$7*KVARDI,2))</f>
        <v/>
      </c>
      <c r="EE54" s="39"/>
      <c r="EF54" s="40" t="str">
        <f aca="false">IF(OR(INDEX(Undirviðmið!$G$6:$G$105,(COLUMN()-7-1)/2+1)&lt;&gt;"Starfsbundið",EE54="",EE$8="",EE$7=""),"",ROUND(EE54/EE$8*EE$7*KVARDI,2))</f>
        <v/>
      </c>
      <c r="EG54" s="39"/>
      <c r="EH54" s="40" t="str">
        <f aca="false">IF(OR(INDEX(Undirviðmið!$G$6:$G$105,(COLUMN()-7-1)/2+1)&lt;&gt;"Starfsbundið",EG54="",EG$8="",EG$7=""),"",ROUND(EG54/EG$8*EG$7*KVARDI,2))</f>
        <v/>
      </c>
      <c r="EI54" s="39"/>
      <c r="EJ54" s="40" t="str">
        <f aca="false">IF(OR(INDEX(Undirviðmið!$G$6:$G$105,(COLUMN()-7-1)/2+1)&lt;&gt;"Starfsbundið",EI54="",EI$8="",EI$7=""),"",ROUND(EI54/EI$8*EI$7*KVARDI,2))</f>
        <v/>
      </c>
      <c r="EK54" s="39"/>
      <c r="EL54" s="40" t="str">
        <f aca="false">IF(OR(INDEX(Undirviðmið!$G$6:$G$105,(COLUMN()-7-1)/2+1)&lt;&gt;"Starfsbundið",EK54="",EK$8="",EK$7=""),"",ROUND(EK54/EK$8*EK$7*KVARDI,2))</f>
        <v/>
      </c>
      <c r="EM54" s="39"/>
      <c r="EN54" s="40" t="str">
        <f aca="false">IF(OR(INDEX(Undirviðmið!$G$6:$G$105,(COLUMN()-7-1)/2+1)&lt;&gt;"Starfsbundið",EM54="",EM$8="",EM$7=""),"",ROUND(EM54/EM$8*EM$7*KVARDI,2))</f>
        <v/>
      </c>
      <c r="EO54" s="39"/>
      <c r="EP54" s="40" t="str">
        <f aca="false">IF(OR(INDEX(Undirviðmið!$G$6:$G$105,(COLUMN()-7-1)/2+1)&lt;&gt;"Starfsbundið",EO54="",EO$8="",EO$7=""),"",ROUND(EO54/EO$8*EO$7*KVARDI,2))</f>
        <v/>
      </c>
      <c r="EQ54" s="39"/>
      <c r="ER54" s="40" t="str">
        <f aca="false">IF(OR(INDEX(Undirviðmið!$G$6:$G$105,(COLUMN()-7-1)/2+1)&lt;&gt;"Starfsbundið",EQ54="",EQ$8="",EQ$7=""),"",ROUND(EQ54/EQ$8*EQ$7*KVARDI,2))</f>
        <v/>
      </c>
      <c r="ES54" s="39"/>
      <c r="ET54" s="40" t="str">
        <f aca="false">IF(OR(INDEX(Undirviðmið!$G$6:$G$105,(COLUMN()-7-1)/2+1)&lt;&gt;"Starfsbundið",ES54="",ES$8="",ES$7=""),"",ROUND(ES54/ES$8*ES$7*KVARDI,2))</f>
        <v/>
      </c>
      <c r="EU54" s="39"/>
      <c r="EV54" s="40" t="str">
        <f aca="false">IF(OR(INDEX(Undirviðmið!$G$6:$G$105,(COLUMN()-7-1)/2+1)&lt;&gt;"Starfsbundið",EU54="",EU$8="",EU$7=""),"",ROUND(EU54/EU$8*EU$7*KVARDI,2))</f>
        <v/>
      </c>
      <c r="EW54" s="39"/>
      <c r="EX54" s="40" t="str">
        <f aca="false">IF(OR(INDEX(Undirviðmið!$G$6:$G$105,(COLUMN()-7-1)/2+1)&lt;&gt;"Starfsbundið",EW54="",EW$8="",EW$7=""),"",ROUND(EW54/EW$8*EW$7*KVARDI,2))</f>
        <v/>
      </c>
      <c r="EY54" s="39"/>
      <c r="EZ54" s="40" t="str">
        <f aca="false">IF(OR(INDEX(Undirviðmið!$G$6:$G$105,(COLUMN()-7-1)/2+1)&lt;&gt;"Starfsbundið",EY54="",EY$8="",EY$7=""),"",ROUND(EY54/EY$8*EY$7*KVARDI,2))</f>
        <v/>
      </c>
      <c r="FA54" s="39"/>
      <c r="FB54" s="40" t="str">
        <f aca="false">IF(OR(INDEX(Undirviðmið!$G$6:$G$105,(COLUMN()-7-1)/2+1)&lt;&gt;"Starfsbundið",FA54="",FA$8="",FA$7=""),"",ROUND(FA54/FA$8*FA$7*KVARDI,2))</f>
        <v/>
      </c>
      <c r="FC54" s="39"/>
      <c r="FD54" s="40" t="str">
        <f aca="false">IF(OR(INDEX(Undirviðmið!$G$6:$G$105,(COLUMN()-7-1)/2+1)&lt;&gt;"Starfsbundið",FC54="",FC$8="",FC$7=""),"",ROUND(FC54/FC$8*FC$7*KVARDI,2))</f>
        <v/>
      </c>
      <c r="FE54" s="39"/>
      <c r="FF54" s="40" t="str">
        <f aca="false">IF(OR(INDEX(Undirviðmið!$G$6:$G$105,(COLUMN()-7-1)/2+1)&lt;&gt;"Starfsbundið",FE54="",FE$8="",FE$7=""),"",ROUND(FE54/FE$8*FE$7*KVARDI,2))</f>
        <v/>
      </c>
      <c r="FG54" s="39"/>
      <c r="FH54" s="40" t="str">
        <f aca="false">IF(OR(INDEX(Undirviðmið!$G$6:$G$105,(COLUMN()-7-1)/2+1)&lt;&gt;"Starfsbundið",FG54="",FG$8="",FG$7=""),"",ROUND(FG54/FG$8*FG$7*KVARDI,2))</f>
        <v/>
      </c>
      <c r="FI54" s="39"/>
      <c r="FJ54" s="40" t="str">
        <f aca="false">IF(OR(INDEX(Undirviðmið!$G$6:$G$105,(COLUMN()-7-1)/2+1)&lt;&gt;"Starfsbundið",FI54="",FI$8="",FI$7=""),"",ROUND(FI54/FI$8*FI$7*KVARDI,2))</f>
        <v/>
      </c>
      <c r="FK54" s="39"/>
      <c r="FL54" s="40" t="str">
        <f aca="false">IF(OR(INDEX(Undirviðmið!$G$6:$G$105,(COLUMN()-7-1)/2+1)&lt;&gt;"Starfsbundið",FK54="",FK$8="",FK$7=""),"",ROUND(FK54/FK$8*FK$7*KVARDI,2))</f>
        <v/>
      </c>
      <c r="FM54" s="39"/>
      <c r="FN54" s="40" t="str">
        <f aca="false">IF(OR(INDEX(Undirviðmið!$G$6:$G$105,(COLUMN()-7-1)/2+1)&lt;&gt;"Starfsbundið",FM54="",FM$8="",FM$7=""),"",ROUND(FM54/FM$8*FM$7*KVARDI,2))</f>
        <v/>
      </c>
      <c r="FO54" s="39"/>
      <c r="FP54" s="40" t="str">
        <f aca="false">IF(OR(INDEX(Undirviðmið!$G$6:$G$105,(COLUMN()-7-1)/2+1)&lt;&gt;"Starfsbundið",FO54="",FO$8="",FO$7=""),"",ROUND(FO54/FO$8*FO$7*KVARDI,2))</f>
        <v/>
      </c>
      <c r="FQ54" s="39"/>
      <c r="FR54" s="40" t="str">
        <f aca="false">IF(OR(INDEX(Undirviðmið!$G$6:$G$105,(COLUMN()-7-1)/2+1)&lt;&gt;"Starfsbundið",FQ54="",FQ$8="",FQ$7=""),"",ROUND(FQ54/FQ$8*FQ$7*KVARDI,2))</f>
        <v/>
      </c>
      <c r="FS54" s="39"/>
      <c r="FT54" s="40" t="str">
        <f aca="false">IF(OR(INDEX(Undirviðmið!$G$6:$G$105,(COLUMN()-7-1)/2+1)&lt;&gt;"Starfsbundið",FS54="",FS$8="",FS$7=""),"",ROUND(FS54/FS$8*FS$7*KVARDI,2))</f>
        <v/>
      </c>
      <c r="FU54" s="39"/>
      <c r="FV54" s="40" t="str">
        <f aca="false">IF(OR(INDEX(Undirviðmið!$G$6:$G$105,(COLUMN()-7-1)/2+1)&lt;&gt;"Starfsbundið",FU54="",FU$8="",FU$7=""),"",ROUND(FU54/FU$8*FU$7*KVARDI,2))</f>
        <v/>
      </c>
      <c r="FW54" s="39"/>
      <c r="FX54" s="40" t="str">
        <f aca="false">IF(OR(INDEX(Undirviðmið!$G$6:$G$105,(COLUMN()-7-1)/2+1)&lt;&gt;"Starfsbundið",FW54="",FW$8="",FW$7=""),"",ROUND(FW54/FW$8*FW$7*KVARDI,2))</f>
        <v/>
      </c>
      <c r="FY54" s="39"/>
      <c r="FZ54" s="40" t="str">
        <f aca="false">IF(OR(INDEX(Undirviðmið!$G$6:$G$105,(COLUMN()-7-1)/2+1)&lt;&gt;"Starfsbundið",FY54="",FY$8="",FY$7=""),"",ROUND(FY54/FY$8*FY$7*KVARDI,2))</f>
        <v/>
      </c>
      <c r="GA54" s="39"/>
      <c r="GB54" s="40" t="str">
        <f aca="false">IF(OR(INDEX(Undirviðmið!$G$6:$G$105,(COLUMN()-7-1)/2+1)&lt;&gt;"Starfsbundið",GA54="",GA$8="",GA$7=""),"",ROUND(GA54/GA$8*GA$7*KVARDI,2))</f>
        <v/>
      </c>
      <c r="GC54" s="39"/>
      <c r="GD54" s="40" t="str">
        <f aca="false">IF(OR(INDEX(Undirviðmið!$G$6:$G$105,(COLUMN()-7-1)/2+1)&lt;&gt;"Starfsbundið",GC54="",GC$8="",GC$7=""),"",ROUND(GC54/GC$8*GC$7*KVARDI,2))</f>
        <v/>
      </c>
      <c r="GE54" s="39"/>
      <c r="GF54" s="40" t="str">
        <f aca="false">IF(OR(INDEX(Undirviðmið!$G$6:$G$105,(COLUMN()-7-1)/2+1)&lt;&gt;"Starfsbundið",GE54="",GE$8="",GE$7=""),"",ROUND(GE54/GE$8*GE$7*KVARDI,2))</f>
        <v/>
      </c>
      <c r="GG54" s="39"/>
      <c r="GH54" s="40" t="str">
        <f aca="false">IF(OR(INDEX(Undirviðmið!$G$6:$G$105,(COLUMN()-7-1)/2+1)&lt;&gt;"Starfsbundið",GG54="",GG$8="",GG$7=""),"",ROUND(GG54/GG$8*GG$7*KVARDI,2))</f>
        <v/>
      </c>
      <c r="GI54" s="39"/>
      <c r="GJ54" s="40" t="str">
        <f aca="false">IF(OR(INDEX(Undirviðmið!$G$6:$G$105,(COLUMN()-7-1)/2+1)&lt;&gt;"Starfsbundið",GI54="",GI$8="",GI$7=""),"",ROUND(GI54/GI$8*GI$7*KVARDI,2))</f>
        <v/>
      </c>
      <c r="GK54" s="39"/>
      <c r="GL54" s="40" t="str">
        <f aca="false">IF(OR(INDEX(Undirviðmið!$G$6:$G$105,(COLUMN()-7-1)/2+1)&lt;&gt;"Starfsbundið",GK54="",GK$8="",GK$7=""),"",ROUND(GK54/GK$8*GK$7*KVARDI,2))</f>
        <v/>
      </c>
      <c r="GM54" s="39"/>
      <c r="GN54" s="40" t="str">
        <f aca="false">IF(OR(INDEX(Undirviðmið!$G$6:$G$105,(COLUMN()-7-1)/2+1)&lt;&gt;"Starfsbundið",GM54="",GM$8="",GM$7=""),"",ROUND(GM54/GM$8*GM$7*KVARDI,2))</f>
        <v/>
      </c>
      <c r="GO54" s="39"/>
      <c r="GP54" s="40" t="str">
        <f aca="false">IF(OR(INDEX(Undirviðmið!$G$6:$G$105,(COLUMN()-7-1)/2+1)&lt;&gt;"Starfsbundið",GO54="",GO$8="",GO$7=""),"",ROUND(GO54/GO$8*GO$7*KVARDI,2))</f>
        <v/>
      </c>
      <c r="GQ54" s="39"/>
      <c r="GR54" s="40" t="str">
        <f aca="false">IF(OR(INDEX(Undirviðmið!$G$6:$G$105,(COLUMN()-7-1)/2+1)&lt;&gt;"Starfsbundið",GQ54="",GQ$8="",GQ$7=""),"",ROUND(GQ54/GQ$8*GQ$7*KVARDI,2))</f>
        <v/>
      </c>
      <c r="GS54" s="39"/>
      <c r="GT54" s="40" t="str">
        <f aca="false">IF(OR(INDEX(Undirviðmið!$G$6:$G$105,(COLUMN()-7-1)/2+1)&lt;&gt;"Starfsbundið",GS54="",GS$8="",GS$7=""),"",ROUND(GS54/GS$8*GS$7*KVARDI,2))</f>
        <v/>
      </c>
      <c r="GU54" s="39"/>
      <c r="GV54" s="40" t="str">
        <f aca="false">IF(OR(INDEX(Undirviðmið!$G$6:$G$105,(COLUMN()-7-1)/2+1)&lt;&gt;"Starfsbundið",GU54="",GU$8="",GU$7=""),"",ROUND(GU54/GU$8*GU$7*KVARDI,2))</f>
        <v/>
      </c>
      <c r="GW54" s="39"/>
      <c r="GX54" s="40" t="str">
        <f aca="false">IF(OR(INDEX(Undirviðmið!$G$6:$G$105,(COLUMN()-7-1)/2+1)&lt;&gt;"Starfsbundið",GW54="",GW$8="",GW$7=""),"",ROUND(GW54/GW$8*GW$7*KVARDI,2))</f>
        <v/>
      </c>
      <c r="GZ54" s="20"/>
    </row>
    <row r="55" customFormat="false" ht="15" hidden="true" customHeight="true" outlineLevel="1" collapsed="false">
      <c r="B55" s="37" t="str">
        <f aca="false" t="array" ref="B55:B55">IFERROR(INDEX(Starfsmenn!$C$6:$C$10005,MATCH(0,COUNTIF($B$11:B54,Starfsmenn!$C$6:$C$10005)+(Starfsmenn!$C$6:$C$10005=""),0)),"")</f>
        <v/>
      </c>
      <c r="C55" s="38" t="n">
        <f aca="false">IFERROR(SUMIF($G$10:$GX$10,"Stig",$G55:$GX55),0)</f>
        <v>0</v>
      </c>
      <c r="G55" s="39"/>
      <c r="H55" s="40" t="str">
        <f aca="false">IF(OR(INDEX(Undirviðmið!$G$6:$G$105,(COLUMN()-7-1)/2+1)&lt;&gt;"Starfsbundið",G55="",G$8="",G$7=""),"",ROUND(G55/G$8*G$7*KVARDI,2))</f>
        <v/>
      </c>
      <c r="I55" s="39"/>
      <c r="J55" s="40" t="str">
        <f aca="false">IF(OR(INDEX(Undirviðmið!$G$6:$G$105,(COLUMN()-7-1)/2+1)&lt;&gt;"Starfsbundið",I55="",I$8="",I$7=""),"",ROUND(I55/I$8*I$7*KVARDI,2))</f>
        <v/>
      </c>
      <c r="K55" s="39"/>
      <c r="L55" s="40" t="str">
        <f aca="false">IF(OR(INDEX(Undirviðmið!$G$6:$G$105,(COLUMN()-7-1)/2+1)&lt;&gt;"Starfsbundið",K55="",K$8="",K$7=""),"",ROUND(K55/K$8*K$7*KVARDI,2))</f>
        <v/>
      </c>
      <c r="M55" s="39"/>
      <c r="N55" s="40" t="str">
        <f aca="false">IF(OR(INDEX(Undirviðmið!$G$6:$G$105,(COLUMN()-7-1)/2+1)&lt;&gt;"Starfsbundið",M55="",M$8="",M$7=""),"",ROUND(M55/M$8*M$7*KVARDI,2))</f>
        <v/>
      </c>
      <c r="O55" s="39"/>
      <c r="P55" s="40" t="str">
        <f aca="false">IF(OR(INDEX(Undirviðmið!$G$6:$G$105,(COLUMN()-7-1)/2+1)&lt;&gt;"Starfsbundið",O55="",O$8="",O$7=""),"",ROUND(O55/O$8*O$7*KVARDI,2))</f>
        <v/>
      </c>
      <c r="Q55" s="39"/>
      <c r="R55" s="40" t="str">
        <f aca="false">IF(OR(INDEX(Undirviðmið!$G$6:$G$105,(COLUMN()-7-1)/2+1)&lt;&gt;"Starfsbundið",Q55="",Q$8="",Q$7=""),"",ROUND(Q55/Q$8*Q$7*KVARDI,2))</f>
        <v/>
      </c>
      <c r="S55" s="39"/>
      <c r="T55" s="40" t="str">
        <f aca="false">IF(OR(INDEX(Undirviðmið!$G$6:$G$105,(COLUMN()-7-1)/2+1)&lt;&gt;"Starfsbundið",S55="",S$8="",S$7=""),"",ROUND(S55/S$8*S$7*KVARDI,2))</f>
        <v/>
      </c>
      <c r="U55" s="39"/>
      <c r="V55" s="40" t="str">
        <f aca="false">IF(OR(INDEX(Undirviðmið!$G$6:$G$105,(COLUMN()-7-1)/2+1)&lt;&gt;"Starfsbundið",U55="",U$8="",U$7=""),"",ROUND(U55/U$8*U$7*KVARDI,2))</f>
        <v/>
      </c>
      <c r="W55" s="39"/>
      <c r="X55" s="40" t="str">
        <f aca="false">IF(OR(INDEX(Undirviðmið!$G$6:$G$105,(COLUMN()-7-1)/2+1)&lt;&gt;"Starfsbundið",W55="",W$8="",W$7=""),"",ROUND(W55/W$8*W$7*KVARDI,2))</f>
        <v/>
      </c>
      <c r="Y55" s="39"/>
      <c r="Z55" s="40" t="str">
        <f aca="false">IF(OR(INDEX(Undirviðmið!$G$6:$G$105,(COLUMN()-7-1)/2+1)&lt;&gt;"Starfsbundið",Y55="",Y$8="",Y$7=""),"",ROUND(Y55/Y$8*Y$7*KVARDI,2))</f>
        <v/>
      </c>
      <c r="AA55" s="39"/>
      <c r="AB55" s="40" t="str">
        <f aca="false">IF(OR(INDEX(Undirviðmið!$G$6:$G$105,(COLUMN()-7-1)/2+1)&lt;&gt;"Starfsbundið",AA55="",AA$8="",AA$7=""),"",ROUND(AA55/AA$8*AA$7*KVARDI,2))</f>
        <v/>
      </c>
      <c r="AC55" s="39"/>
      <c r="AD55" s="40" t="str">
        <f aca="false">IF(OR(INDEX(Undirviðmið!$G$6:$G$105,(COLUMN()-7-1)/2+1)&lt;&gt;"Starfsbundið",AC55="",AC$8="",AC$7=""),"",ROUND(AC55/AC$8*AC$7*KVARDI,2))</f>
        <v/>
      </c>
      <c r="AE55" s="39"/>
      <c r="AF55" s="40" t="str">
        <f aca="false">IF(OR(INDEX(Undirviðmið!$G$6:$G$105,(COLUMN()-7-1)/2+1)&lt;&gt;"Starfsbundið",AE55="",AE$8="",AE$7=""),"",ROUND(AE55/AE$8*AE$7*KVARDI,2))</f>
        <v/>
      </c>
      <c r="AG55" s="39"/>
      <c r="AH55" s="40" t="str">
        <f aca="false">IF(OR(INDEX(Undirviðmið!$G$6:$G$105,(COLUMN()-7-1)/2+1)&lt;&gt;"Starfsbundið",AG55="",AG$8="",AG$7=""),"",ROUND(AG55/AG$8*AG$7*KVARDI,2))</f>
        <v/>
      </c>
      <c r="AI55" s="39"/>
      <c r="AJ55" s="40" t="str">
        <f aca="false">IF(OR(INDEX(Undirviðmið!$G$6:$G$105,(COLUMN()-7-1)/2+1)&lt;&gt;"Starfsbundið",AI55="",AI$8="",AI$7=""),"",ROUND(AI55/AI$8*AI$7*KVARDI,2))</f>
        <v/>
      </c>
      <c r="AK55" s="39"/>
      <c r="AL55" s="40" t="str">
        <f aca="false">IF(OR(INDEX(Undirviðmið!$G$6:$G$105,(COLUMN()-7-1)/2+1)&lt;&gt;"Starfsbundið",AK55="",AK$8="",AK$7=""),"",ROUND(AK55/AK$8*AK$7*KVARDI,2))</f>
        <v/>
      </c>
      <c r="AM55" s="39"/>
      <c r="AN55" s="40" t="str">
        <f aca="false">IF(OR(INDEX(Undirviðmið!$G$6:$G$105,(COLUMN()-7-1)/2+1)&lt;&gt;"Starfsbundið",AM55="",AM$8="",AM$7=""),"",ROUND(AM55/AM$8*AM$7*KVARDI,2))</f>
        <v/>
      </c>
      <c r="AO55" s="39"/>
      <c r="AP55" s="40" t="str">
        <f aca="false">IF(OR(INDEX(Undirviðmið!$G$6:$G$105,(COLUMN()-7-1)/2+1)&lt;&gt;"Starfsbundið",AO55="",AO$8="",AO$7=""),"",ROUND(AO55/AO$8*AO$7*KVARDI,2))</f>
        <v/>
      </c>
      <c r="AQ55" s="39"/>
      <c r="AR55" s="40" t="str">
        <f aca="false">IF(OR(INDEX(Undirviðmið!$G$6:$G$105,(COLUMN()-7-1)/2+1)&lt;&gt;"Starfsbundið",AQ55="",AQ$8="",AQ$7=""),"",ROUND(AQ55/AQ$8*AQ$7*KVARDI,2))</f>
        <v/>
      </c>
      <c r="AS55" s="39"/>
      <c r="AT55" s="40" t="str">
        <f aca="false">IF(OR(INDEX(Undirviðmið!$G$6:$G$105,(COLUMN()-7-1)/2+1)&lt;&gt;"Starfsbundið",AS55="",AS$8="",AS$7=""),"",ROUND(AS55/AS$8*AS$7*KVARDI,2))</f>
        <v/>
      </c>
      <c r="AU55" s="39"/>
      <c r="AV55" s="40" t="str">
        <f aca="false">IF(OR(INDEX(Undirviðmið!$G$6:$G$105,(COLUMN()-7-1)/2+1)&lt;&gt;"Starfsbundið",AU55="",AU$8="",AU$7=""),"",ROUND(AU55/AU$8*AU$7*KVARDI,2))</f>
        <v/>
      </c>
      <c r="AW55" s="39"/>
      <c r="AX55" s="40" t="str">
        <f aca="false">IF(OR(INDEX(Undirviðmið!$G$6:$G$105,(COLUMN()-7-1)/2+1)&lt;&gt;"Starfsbundið",AW55="",AW$8="",AW$7=""),"",ROUND(AW55/AW$8*AW$7*KVARDI,2))</f>
        <v/>
      </c>
      <c r="AY55" s="39"/>
      <c r="AZ55" s="40" t="str">
        <f aca="false">IF(OR(INDEX(Undirviðmið!$G$6:$G$105,(COLUMN()-7-1)/2+1)&lt;&gt;"Starfsbundið",AY55="",AY$8="",AY$7=""),"",ROUND(AY55/AY$8*AY$7*KVARDI,2))</f>
        <v/>
      </c>
      <c r="BA55" s="39"/>
      <c r="BB55" s="40" t="str">
        <f aca="false">IF(OR(INDEX(Undirviðmið!$G$6:$G$105,(COLUMN()-7-1)/2+1)&lt;&gt;"Starfsbundið",BA55="",BA$8="",BA$7=""),"",ROUND(BA55/BA$8*BA$7*KVARDI,2))</f>
        <v/>
      </c>
      <c r="BC55" s="39"/>
      <c r="BD55" s="40" t="str">
        <f aca="false">IF(OR(INDEX(Undirviðmið!$G$6:$G$105,(COLUMN()-7-1)/2+1)&lt;&gt;"Starfsbundið",BC55="",BC$8="",BC$7=""),"",ROUND(BC55/BC$8*BC$7*KVARDI,2))</f>
        <v/>
      </c>
      <c r="BE55" s="39"/>
      <c r="BF55" s="40" t="str">
        <f aca="false">IF(OR(INDEX(Undirviðmið!$G$6:$G$105,(COLUMN()-7-1)/2+1)&lt;&gt;"Starfsbundið",BE55="",BE$8="",BE$7=""),"",ROUND(BE55/BE$8*BE$7*KVARDI,2))</f>
        <v/>
      </c>
      <c r="BG55" s="39"/>
      <c r="BH55" s="40" t="str">
        <f aca="false">IF(OR(INDEX(Undirviðmið!$G$6:$G$105,(COLUMN()-7-1)/2+1)&lt;&gt;"Starfsbundið",BG55="",BG$8="",BG$7=""),"",ROUND(BG55/BG$8*BG$7*KVARDI,2))</f>
        <v/>
      </c>
      <c r="BI55" s="39"/>
      <c r="BJ55" s="40" t="str">
        <f aca="false">IF(OR(INDEX(Undirviðmið!$G$6:$G$105,(COLUMN()-7-1)/2+1)&lt;&gt;"Starfsbundið",BI55="",BI$8="",BI$7=""),"",ROUND(BI55/BI$8*BI$7*KVARDI,2))</f>
        <v/>
      </c>
      <c r="BK55" s="39"/>
      <c r="BL55" s="40" t="str">
        <f aca="false">IF(OR(INDEX(Undirviðmið!$G$6:$G$105,(COLUMN()-7-1)/2+1)&lt;&gt;"Starfsbundið",BK55="",BK$8="",BK$7=""),"",ROUND(BK55/BK$8*BK$7*KVARDI,2))</f>
        <v/>
      </c>
      <c r="BM55" s="39"/>
      <c r="BN55" s="40" t="str">
        <f aca="false">IF(OR(INDEX(Undirviðmið!$G$6:$G$105,(COLUMN()-7-1)/2+1)&lt;&gt;"Starfsbundið",BM55="",BM$8="",BM$7=""),"",ROUND(BM55/BM$8*BM$7*KVARDI,2))</f>
        <v/>
      </c>
      <c r="BO55" s="39"/>
      <c r="BP55" s="40" t="str">
        <f aca="false">IF(OR(INDEX(Undirviðmið!$G$6:$G$105,(COLUMN()-7-1)/2+1)&lt;&gt;"Starfsbundið",BO55="",BO$8="",BO$7=""),"",ROUND(BO55/BO$8*BO$7*KVARDI,2))</f>
        <v/>
      </c>
      <c r="BQ55" s="39"/>
      <c r="BR55" s="40" t="str">
        <f aca="false">IF(OR(INDEX(Undirviðmið!$G$6:$G$105,(COLUMN()-7-1)/2+1)&lt;&gt;"Starfsbundið",BQ55="",BQ$8="",BQ$7=""),"",ROUND(BQ55/BQ$8*BQ$7*KVARDI,2))</f>
        <v/>
      </c>
      <c r="BS55" s="39"/>
      <c r="BT55" s="40" t="str">
        <f aca="false">IF(OR(INDEX(Undirviðmið!$G$6:$G$105,(COLUMN()-7-1)/2+1)&lt;&gt;"Starfsbundið",BS55="",BS$8="",BS$7=""),"",ROUND(BS55/BS$8*BS$7*KVARDI,2))</f>
        <v/>
      </c>
      <c r="BU55" s="39"/>
      <c r="BV55" s="40" t="str">
        <f aca="false">IF(OR(INDEX(Undirviðmið!$G$6:$G$105,(COLUMN()-7-1)/2+1)&lt;&gt;"Starfsbundið",BU55="",BU$8="",BU$7=""),"",ROUND(BU55/BU$8*BU$7*KVARDI,2))</f>
        <v/>
      </c>
      <c r="BW55" s="39"/>
      <c r="BX55" s="40" t="str">
        <f aca="false">IF(OR(INDEX(Undirviðmið!$G$6:$G$105,(COLUMN()-7-1)/2+1)&lt;&gt;"Starfsbundið",BW55="",BW$8="",BW$7=""),"",ROUND(BW55/BW$8*BW$7*KVARDI,2))</f>
        <v/>
      </c>
      <c r="BY55" s="39"/>
      <c r="BZ55" s="40" t="str">
        <f aca="false">IF(OR(INDEX(Undirviðmið!$G$6:$G$105,(COLUMN()-7-1)/2+1)&lt;&gt;"Starfsbundið",BY55="",BY$8="",BY$7=""),"",ROUND(BY55/BY$8*BY$7*KVARDI,2))</f>
        <v/>
      </c>
      <c r="CA55" s="39"/>
      <c r="CB55" s="40" t="str">
        <f aca="false">IF(OR(INDEX(Undirviðmið!$G$6:$G$105,(COLUMN()-7-1)/2+1)&lt;&gt;"Starfsbundið",CA55="",CA$8="",CA$7=""),"",ROUND(CA55/CA$8*CA$7*KVARDI,2))</f>
        <v/>
      </c>
      <c r="CC55" s="39"/>
      <c r="CD55" s="40" t="str">
        <f aca="false">IF(OR(INDEX(Undirviðmið!$G$6:$G$105,(COLUMN()-7-1)/2+1)&lt;&gt;"Starfsbundið",CC55="",CC$8="",CC$7=""),"",ROUND(CC55/CC$8*CC$7*KVARDI,2))</f>
        <v/>
      </c>
      <c r="CE55" s="39"/>
      <c r="CF55" s="40" t="str">
        <f aca="false">IF(OR(INDEX(Undirviðmið!$G$6:$G$105,(COLUMN()-7-1)/2+1)&lt;&gt;"Starfsbundið",CE55="",CE$8="",CE$7=""),"",ROUND(CE55/CE$8*CE$7*KVARDI,2))</f>
        <v/>
      </c>
      <c r="CG55" s="39"/>
      <c r="CH55" s="40" t="str">
        <f aca="false">IF(OR(INDEX(Undirviðmið!$G$6:$G$105,(COLUMN()-7-1)/2+1)&lt;&gt;"Starfsbundið",CG55="",CG$8="",CG$7=""),"",ROUND(CG55/CG$8*CG$7*KVARDI,2))</f>
        <v/>
      </c>
      <c r="CI55" s="39"/>
      <c r="CJ55" s="40" t="str">
        <f aca="false">IF(OR(INDEX(Undirviðmið!$G$6:$G$105,(COLUMN()-7-1)/2+1)&lt;&gt;"Starfsbundið",CI55="",CI$8="",CI$7=""),"",ROUND(CI55/CI$8*CI$7*KVARDI,2))</f>
        <v/>
      </c>
      <c r="CK55" s="39"/>
      <c r="CL55" s="40" t="str">
        <f aca="false">IF(OR(INDEX(Undirviðmið!$G$6:$G$105,(COLUMN()-7-1)/2+1)&lt;&gt;"Starfsbundið",CK55="",CK$8="",CK$7=""),"",ROUND(CK55/CK$8*CK$7*KVARDI,2))</f>
        <v/>
      </c>
      <c r="CM55" s="39"/>
      <c r="CN55" s="40" t="str">
        <f aca="false">IF(OR(INDEX(Undirviðmið!$G$6:$G$105,(COLUMN()-7-1)/2+1)&lt;&gt;"Starfsbundið",CM55="",CM$8="",CM$7=""),"",ROUND(CM55/CM$8*CM$7*KVARDI,2))</f>
        <v/>
      </c>
      <c r="CO55" s="39"/>
      <c r="CP55" s="40" t="str">
        <f aca="false">IF(OR(INDEX(Undirviðmið!$G$6:$G$105,(COLUMN()-7-1)/2+1)&lt;&gt;"Starfsbundið",CO55="",CO$8="",CO$7=""),"",ROUND(CO55/CO$8*CO$7*KVARDI,2))</f>
        <v/>
      </c>
      <c r="CQ55" s="39"/>
      <c r="CR55" s="40" t="str">
        <f aca="false">IF(OR(INDEX(Undirviðmið!$G$6:$G$105,(COLUMN()-7-1)/2+1)&lt;&gt;"Starfsbundið",CQ55="",CQ$8="",CQ$7=""),"",ROUND(CQ55/CQ$8*CQ$7*KVARDI,2))</f>
        <v/>
      </c>
      <c r="CS55" s="39"/>
      <c r="CT55" s="40" t="str">
        <f aca="false">IF(OR(INDEX(Undirviðmið!$G$6:$G$105,(COLUMN()-7-1)/2+1)&lt;&gt;"Starfsbundið",CS55="",CS$8="",CS$7=""),"",ROUND(CS55/CS$8*CS$7*KVARDI,2))</f>
        <v/>
      </c>
      <c r="CU55" s="39"/>
      <c r="CV55" s="40" t="str">
        <f aca="false">IF(OR(INDEX(Undirviðmið!$G$6:$G$105,(COLUMN()-7-1)/2+1)&lt;&gt;"Starfsbundið",CU55="",CU$8="",CU$7=""),"",ROUND(CU55/CU$8*CU$7*KVARDI,2))</f>
        <v/>
      </c>
      <c r="CW55" s="39"/>
      <c r="CX55" s="40" t="str">
        <f aca="false">IF(OR(INDEX(Undirviðmið!$G$6:$G$105,(COLUMN()-7-1)/2+1)&lt;&gt;"Starfsbundið",CW55="",CW$8="",CW$7=""),"",ROUND(CW55/CW$8*CW$7*KVARDI,2))</f>
        <v/>
      </c>
      <c r="CY55" s="39"/>
      <c r="CZ55" s="40" t="str">
        <f aca="false">IF(OR(INDEX(Undirviðmið!$G$6:$G$105,(COLUMN()-7-1)/2+1)&lt;&gt;"Starfsbundið",CY55="",CY$8="",CY$7=""),"",ROUND(CY55/CY$8*CY$7*KVARDI,2))</f>
        <v/>
      </c>
      <c r="DA55" s="39"/>
      <c r="DB55" s="40" t="str">
        <f aca="false">IF(OR(INDEX(Undirviðmið!$G$6:$G$105,(COLUMN()-7-1)/2+1)&lt;&gt;"Starfsbundið",DA55="",DA$8="",DA$7=""),"",ROUND(DA55/DA$8*DA$7*KVARDI,2))</f>
        <v/>
      </c>
      <c r="DC55" s="39"/>
      <c r="DD55" s="40" t="str">
        <f aca="false">IF(OR(INDEX(Undirviðmið!$G$6:$G$105,(COLUMN()-7-1)/2+1)&lt;&gt;"Starfsbundið",DC55="",DC$8="",DC$7=""),"",ROUND(DC55/DC$8*DC$7*KVARDI,2))</f>
        <v/>
      </c>
      <c r="DE55" s="39"/>
      <c r="DF55" s="40" t="str">
        <f aca="false">IF(OR(INDEX(Undirviðmið!$G$6:$G$105,(COLUMN()-7-1)/2+1)&lt;&gt;"Starfsbundið",DE55="",DE$8="",DE$7=""),"",ROUND(DE55/DE$8*DE$7*KVARDI,2))</f>
        <v/>
      </c>
      <c r="DG55" s="39"/>
      <c r="DH55" s="40" t="str">
        <f aca="false">IF(OR(INDEX(Undirviðmið!$G$6:$G$105,(COLUMN()-7-1)/2+1)&lt;&gt;"Starfsbundið",DG55="",DG$8="",DG$7=""),"",ROUND(DG55/DG$8*DG$7*KVARDI,2))</f>
        <v/>
      </c>
      <c r="DI55" s="39"/>
      <c r="DJ55" s="40" t="str">
        <f aca="false">IF(OR(INDEX(Undirviðmið!$G$6:$G$105,(COLUMN()-7-1)/2+1)&lt;&gt;"Starfsbundið",DI55="",DI$8="",DI$7=""),"",ROUND(DI55/DI$8*DI$7*KVARDI,2))</f>
        <v/>
      </c>
      <c r="DK55" s="39"/>
      <c r="DL55" s="40" t="str">
        <f aca="false">IF(OR(INDEX(Undirviðmið!$G$6:$G$105,(COLUMN()-7-1)/2+1)&lt;&gt;"Starfsbundið",DK55="",DK$8="",DK$7=""),"",ROUND(DK55/DK$8*DK$7*KVARDI,2))</f>
        <v/>
      </c>
      <c r="DM55" s="39"/>
      <c r="DN55" s="40" t="str">
        <f aca="false">IF(OR(INDEX(Undirviðmið!$G$6:$G$105,(COLUMN()-7-1)/2+1)&lt;&gt;"Starfsbundið",DM55="",DM$8="",DM$7=""),"",ROUND(DM55/DM$8*DM$7*KVARDI,2))</f>
        <v/>
      </c>
      <c r="DO55" s="39"/>
      <c r="DP55" s="40" t="str">
        <f aca="false">IF(OR(INDEX(Undirviðmið!$G$6:$G$105,(COLUMN()-7-1)/2+1)&lt;&gt;"Starfsbundið",DO55="",DO$8="",DO$7=""),"",ROUND(DO55/DO$8*DO$7*KVARDI,2))</f>
        <v/>
      </c>
      <c r="DQ55" s="39"/>
      <c r="DR55" s="40" t="str">
        <f aca="false">IF(OR(INDEX(Undirviðmið!$G$6:$G$105,(COLUMN()-7-1)/2+1)&lt;&gt;"Starfsbundið",DQ55="",DQ$8="",DQ$7=""),"",ROUND(DQ55/DQ$8*DQ$7*KVARDI,2))</f>
        <v/>
      </c>
      <c r="DS55" s="39"/>
      <c r="DT55" s="40" t="str">
        <f aca="false">IF(OR(INDEX(Undirviðmið!$G$6:$G$105,(COLUMN()-7-1)/2+1)&lt;&gt;"Starfsbundið",DS55="",DS$8="",DS$7=""),"",ROUND(DS55/DS$8*DS$7*KVARDI,2))</f>
        <v/>
      </c>
      <c r="DU55" s="39"/>
      <c r="DV55" s="40" t="str">
        <f aca="false">IF(OR(INDEX(Undirviðmið!$G$6:$G$105,(COLUMN()-7-1)/2+1)&lt;&gt;"Starfsbundið",DU55="",DU$8="",DU$7=""),"",ROUND(DU55/DU$8*DU$7*KVARDI,2))</f>
        <v/>
      </c>
      <c r="DW55" s="39"/>
      <c r="DX55" s="40" t="str">
        <f aca="false">IF(OR(INDEX(Undirviðmið!$G$6:$G$105,(COLUMN()-7-1)/2+1)&lt;&gt;"Starfsbundið",DW55="",DW$8="",DW$7=""),"",ROUND(DW55/DW$8*DW$7*KVARDI,2))</f>
        <v/>
      </c>
      <c r="DY55" s="39"/>
      <c r="DZ55" s="40" t="str">
        <f aca="false">IF(OR(INDEX(Undirviðmið!$G$6:$G$105,(COLUMN()-7-1)/2+1)&lt;&gt;"Starfsbundið",DY55="",DY$8="",DY$7=""),"",ROUND(DY55/DY$8*DY$7*KVARDI,2))</f>
        <v/>
      </c>
      <c r="EA55" s="39"/>
      <c r="EB55" s="40" t="str">
        <f aca="false">IF(OR(INDEX(Undirviðmið!$G$6:$G$105,(COLUMN()-7-1)/2+1)&lt;&gt;"Starfsbundið",EA55="",EA$8="",EA$7=""),"",ROUND(EA55/EA$8*EA$7*KVARDI,2))</f>
        <v/>
      </c>
      <c r="EC55" s="39"/>
      <c r="ED55" s="40" t="str">
        <f aca="false">IF(OR(INDEX(Undirviðmið!$G$6:$G$105,(COLUMN()-7-1)/2+1)&lt;&gt;"Starfsbundið",EC55="",EC$8="",EC$7=""),"",ROUND(EC55/EC$8*EC$7*KVARDI,2))</f>
        <v/>
      </c>
      <c r="EE55" s="39"/>
      <c r="EF55" s="40" t="str">
        <f aca="false">IF(OR(INDEX(Undirviðmið!$G$6:$G$105,(COLUMN()-7-1)/2+1)&lt;&gt;"Starfsbundið",EE55="",EE$8="",EE$7=""),"",ROUND(EE55/EE$8*EE$7*KVARDI,2))</f>
        <v/>
      </c>
      <c r="EG55" s="39"/>
      <c r="EH55" s="40" t="str">
        <f aca="false">IF(OR(INDEX(Undirviðmið!$G$6:$G$105,(COLUMN()-7-1)/2+1)&lt;&gt;"Starfsbundið",EG55="",EG$8="",EG$7=""),"",ROUND(EG55/EG$8*EG$7*KVARDI,2))</f>
        <v/>
      </c>
      <c r="EI55" s="39"/>
      <c r="EJ55" s="40" t="str">
        <f aca="false">IF(OR(INDEX(Undirviðmið!$G$6:$G$105,(COLUMN()-7-1)/2+1)&lt;&gt;"Starfsbundið",EI55="",EI$8="",EI$7=""),"",ROUND(EI55/EI$8*EI$7*KVARDI,2))</f>
        <v/>
      </c>
      <c r="EK55" s="39"/>
      <c r="EL55" s="40" t="str">
        <f aca="false">IF(OR(INDEX(Undirviðmið!$G$6:$G$105,(COLUMN()-7-1)/2+1)&lt;&gt;"Starfsbundið",EK55="",EK$8="",EK$7=""),"",ROUND(EK55/EK$8*EK$7*KVARDI,2))</f>
        <v/>
      </c>
      <c r="EM55" s="39"/>
      <c r="EN55" s="40" t="str">
        <f aca="false">IF(OR(INDEX(Undirviðmið!$G$6:$G$105,(COLUMN()-7-1)/2+1)&lt;&gt;"Starfsbundið",EM55="",EM$8="",EM$7=""),"",ROUND(EM55/EM$8*EM$7*KVARDI,2))</f>
        <v/>
      </c>
      <c r="EO55" s="39"/>
      <c r="EP55" s="40" t="str">
        <f aca="false">IF(OR(INDEX(Undirviðmið!$G$6:$G$105,(COLUMN()-7-1)/2+1)&lt;&gt;"Starfsbundið",EO55="",EO$8="",EO$7=""),"",ROUND(EO55/EO$8*EO$7*KVARDI,2))</f>
        <v/>
      </c>
      <c r="EQ55" s="39"/>
      <c r="ER55" s="40" t="str">
        <f aca="false">IF(OR(INDEX(Undirviðmið!$G$6:$G$105,(COLUMN()-7-1)/2+1)&lt;&gt;"Starfsbundið",EQ55="",EQ$8="",EQ$7=""),"",ROUND(EQ55/EQ$8*EQ$7*KVARDI,2))</f>
        <v/>
      </c>
      <c r="ES55" s="39"/>
      <c r="ET55" s="40" t="str">
        <f aca="false">IF(OR(INDEX(Undirviðmið!$G$6:$G$105,(COLUMN()-7-1)/2+1)&lt;&gt;"Starfsbundið",ES55="",ES$8="",ES$7=""),"",ROUND(ES55/ES$8*ES$7*KVARDI,2))</f>
        <v/>
      </c>
      <c r="EU55" s="39"/>
      <c r="EV55" s="40" t="str">
        <f aca="false">IF(OR(INDEX(Undirviðmið!$G$6:$G$105,(COLUMN()-7-1)/2+1)&lt;&gt;"Starfsbundið",EU55="",EU$8="",EU$7=""),"",ROUND(EU55/EU$8*EU$7*KVARDI,2))</f>
        <v/>
      </c>
      <c r="EW55" s="39"/>
      <c r="EX55" s="40" t="str">
        <f aca="false">IF(OR(INDEX(Undirviðmið!$G$6:$G$105,(COLUMN()-7-1)/2+1)&lt;&gt;"Starfsbundið",EW55="",EW$8="",EW$7=""),"",ROUND(EW55/EW$8*EW$7*KVARDI,2))</f>
        <v/>
      </c>
      <c r="EY55" s="39"/>
      <c r="EZ55" s="40" t="str">
        <f aca="false">IF(OR(INDEX(Undirviðmið!$G$6:$G$105,(COLUMN()-7-1)/2+1)&lt;&gt;"Starfsbundið",EY55="",EY$8="",EY$7=""),"",ROUND(EY55/EY$8*EY$7*KVARDI,2))</f>
        <v/>
      </c>
      <c r="FA55" s="39"/>
      <c r="FB55" s="40" t="str">
        <f aca="false">IF(OR(INDEX(Undirviðmið!$G$6:$G$105,(COLUMN()-7-1)/2+1)&lt;&gt;"Starfsbundið",FA55="",FA$8="",FA$7=""),"",ROUND(FA55/FA$8*FA$7*KVARDI,2))</f>
        <v/>
      </c>
      <c r="FC55" s="39"/>
      <c r="FD55" s="40" t="str">
        <f aca="false">IF(OR(INDEX(Undirviðmið!$G$6:$G$105,(COLUMN()-7-1)/2+1)&lt;&gt;"Starfsbundið",FC55="",FC$8="",FC$7=""),"",ROUND(FC55/FC$8*FC$7*KVARDI,2))</f>
        <v/>
      </c>
      <c r="FE55" s="39"/>
      <c r="FF55" s="40" t="str">
        <f aca="false">IF(OR(INDEX(Undirviðmið!$G$6:$G$105,(COLUMN()-7-1)/2+1)&lt;&gt;"Starfsbundið",FE55="",FE$8="",FE$7=""),"",ROUND(FE55/FE$8*FE$7*KVARDI,2))</f>
        <v/>
      </c>
      <c r="FG55" s="39"/>
      <c r="FH55" s="40" t="str">
        <f aca="false">IF(OR(INDEX(Undirviðmið!$G$6:$G$105,(COLUMN()-7-1)/2+1)&lt;&gt;"Starfsbundið",FG55="",FG$8="",FG$7=""),"",ROUND(FG55/FG$8*FG$7*KVARDI,2))</f>
        <v/>
      </c>
      <c r="FI55" s="39"/>
      <c r="FJ55" s="40" t="str">
        <f aca="false">IF(OR(INDEX(Undirviðmið!$G$6:$G$105,(COLUMN()-7-1)/2+1)&lt;&gt;"Starfsbundið",FI55="",FI$8="",FI$7=""),"",ROUND(FI55/FI$8*FI$7*KVARDI,2))</f>
        <v/>
      </c>
      <c r="FK55" s="39"/>
      <c r="FL55" s="40" t="str">
        <f aca="false">IF(OR(INDEX(Undirviðmið!$G$6:$G$105,(COLUMN()-7-1)/2+1)&lt;&gt;"Starfsbundið",FK55="",FK$8="",FK$7=""),"",ROUND(FK55/FK$8*FK$7*KVARDI,2))</f>
        <v/>
      </c>
      <c r="FM55" s="39"/>
      <c r="FN55" s="40" t="str">
        <f aca="false">IF(OR(INDEX(Undirviðmið!$G$6:$G$105,(COLUMN()-7-1)/2+1)&lt;&gt;"Starfsbundið",FM55="",FM$8="",FM$7=""),"",ROUND(FM55/FM$8*FM$7*KVARDI,2))</f>
        <v/>
      </c>
      <c r="FO55" s="39"/>
      <c r="FP55" s="40" t="str">
        <f aca="false">IF(OR(INDEX(Undirviðmið!$G$6:$G$105,(COLUMN()-7-1)/2+1)&lt;&gt;"Starfsbundið",FO55="",FO$8="",FO$7=""),"",ROUND(FO55/FO$8*FO$7*KVARDI,2))</f>
        <v/>
      </c>
      <c r="FQ55" s="39"/>
      <c r="FR55" s="40" t="str">
        <f aca="false">IF(OR(INDEX(Undirviðmið!$G$6:$G$105,(COLUMN()-7-1)/2+1)&lt;&gt;"Starfsbundið",FQ55="",FQ$8="",FQ$7=""),"",ROUND(FQ55/FQ$8*FQ$7*KVARDI,2))</f>
        <v/>
      </c>
      <c r="FS55" s="39"/>
      <c r="FT55" s="40" t="str">
        <f aca="false">IF(OR(INDEX(Undirviðmið!$G$6:$G$105,(COLUMN()-7-1)/2+1)&lt;&gt;"Starfsbundið",FS55="",FS$8="",FS$7=""),"",ROUND(FS55/FS$8*FS$7*KVARDI,2))</f>
        <v/>
      </c>
      <c r="FU55" s="39"/>
      <c r="FV55" s="40" t="str">
        <f aca="false">IF(OR(INDEX(Undirviðmið!$G$6:$G$105,(COLUMN()-7-1)/2+1)&lt;&gt;"Starfsbundið",FU55="",FU$8="",FU$7=""),"",ROUND(FU55/FU$8*FU$7*KVARDI,2))</f>
        <v/>
      </c>
      <c r="FW55" s="39"/>
      <c r="FX55" s="40" t="str">
        <f aca="false">IF(OR(INDEX(Undirviðmið!$G$6:$G$105,(COLUMN()-7-1)/2+1)&lt;&gt;"Starfsbundið",FW55="",FW$8="",FW$7=""),"",ROUND(FW55/FW$8*FW$7*KVARDI,2))</f>
        <v/>
      </c>
      <c r="FY55" s="39"/>
      <c r="FZ55" s="40" t="str">
        <f aca="false">IF(OR(INDEX(Undirviðmið!$G$6:$G$105,(COLUMN()-7-1)/2+1)&lt;&gt;"Starfsbundið",FY55="",FY$8="",FY$7=""),"",ROUND(FY55/FY$8*FY$7*KVARDI,2))</f>
        <v/>
      </c>
      <c r="GA55" s="39"/>
      <c r="GB55" s="40" t="str">
        <f aca="false">IF(OR(INDEX(Undirviðmið!$G$6:$G$105,(COLUMN()-7-1)/2+1)&lt;&gt;"Starfsbundið",GA55="",GA$8="",GA$7=""),"",ROUND(GA55/GA$8*GA$7*KVARDI,2))</f>
        <v/>
      </c>
      <c r="GC55" s="39"/>
      <c r="GD55" s="40" t="str">
        <f aca="false">IF(OR(INDEX(Undirviðmið!$G$6:$G$105,(COLUMN()-7-1)/2+1)&lt;&gt;"Starfsbundið",GC55="",GC$8="",GC$7=""),"",ROUND(GC55/GC$8*GC$7*KVARDI,2))</f>
        <v/>
      </c>
      <c r="GE55" s="39"/>
      <c r="GF55" s="40" t="str">
        <f aca="false">IF(OR(INDEX(Undirviðmið!$G$6:$G$105,(COLUMN()-7-1)/2+1)&lt;&gt;"Starfsbundið",GE55="",GE$8="",GE$7=""),"",ROUND(GE55/GE$8*GE$7*KVARDI,2))</f>
        <v/>
      </c>
      <c r="GG55" s="39"/>
      <c r="GH55" s="40" t="str">
        <f aca="false">IF(OR(INDEX(Undirviðmið!$G$6:$G$105,(COLUMN()-7-1)/2+1)&lt;&gt;"Starfsbundið",GG55="",GG$8="",GG$7=""),"",ROUND(GG55/GG$8*GG$7*KVARDI,2))</f>
        <v/>
      </c>
      <c r="GI55" s="39"/>
      <c r="GJ55" s="40" t="str">
        <f aca="false">IF(OR(INDEX(Undirviðmið!$G$6:$G$105,(COLUMN()-7-1)/2+1)&lt;&gt;"Starfsbundið",GI55="",GI$8="",GI$7=""),"",ROUND(GI55/GI$8*GI$7*KVARDI,2))</f>
        <v/>
      </c>
      <c r="GK55" s="39"/>
      <c r="GL55" s="40" t="str">
        <f aca="false">IF(OR(INDEX(Undirviðmið!$G$6:$G$105,(COLUMN()-7-1)/2+1)&lt;&gt;"Starfsbundið",GK55="",GK$8="",GK$7=""),"",ROUND(GK55/GK$8*GK$7*KVARDI,2))</f>
        <v/>
      </c>
      <c r="GM55" s="39"/>
      <c r="GN55" s="40" t="str">
        <f aca="false">IF(OR(INDEX(Undirviðmið!$G$6:$G$105,(COLUMN()-7-1)/2+1)&lt;&gt;"Starfsbundið",GM55="",GM$8="",GM$7=""),"",ROUND(GM55/GM$8*GM$7*KVARDI,2))</f>
        <v/>
      </c>
      <c r="GO55" s="39"/>
      <c r="GP55" s="40" t="str">
        <f aca="false">IF(OR(INDEX(Undirviðmið!$G$6:$G$105,(COLUMN()-7-1)/2+1)&lt;&gt;"Starfsbundið",GO55="",GO$8="",GO$7=""),"",ROUND(GO55/GO$8*GO$7*KVARDI,2))</f>
        <v/>
      </c>
      <c r="GQ55" s="39"/>
      <c r="GR55" s="40" t="str">
        <f aca="false">IF(OR(INDEX(Undirviðmið!$G$6:$G$105,(COLUMN()-7-1)/2+1)&lt;&gt;"Starfsbundið",GQ55="",GQ$8="",GQ$7=""),"",ROUND(GQ55/GQ$8*GQ$7*KVARDI,2))</f>
        <v/>
      </c>
      <c r="GS55" s="39"/>
      <c r="GT55" s="40" t="str">
        <f aca="false">IF(OR(INDEX(Undirviðmið!$G$6:$G$105,(COLUMN()-7-1)/2+1)&lt;&gt;"Starfsbundið",GS55="",GS$8="",GS$7=""),"",ROUND(GS55/GS$8*GS$7*KVARDI,2))</f>
        <v/>
      </c>
      <c r="GU55" s="39"/>
      <c r="GV55" s="40" t="str">
        <f aca="false">IF(OR(INDEX(Undirviðmið!$G$6:$G$105,(COLUMN()-7-1)/2+1)&lt;&gt;"Starfsbundið",GU55="",GU$8="",GU$7=""),"",ROUND(GU55/GU$8*GU$7*KVARDI,2))</f>
        <v/>
      </c>
      <c r="GW55" s="39"/>
      <c r="GX55" s="40" t="str">
        <f aca="false">IF(OR(INDEX(Undirviðmið!$G$6:$G$105,(COLUMN()-7-1)/2+1)&lt;&gt;"Starfsbundið",GW55="",GW$8="",GW$7=""),"",ROUND(GW55/GW$8*GW$7*KVARDI,2))</f>
        <v/>
      </c>
      <c r="GZ55" s="20"/>
    </row>
    <row r="56" customFormat="false" ht="15" hidden="true" customHeight="true" outlineLevel="1" collapsed="false">
      <c r="B56" s="37" t="str">
        <f aca="false" t="array" ref="B56:B56">IFERROR(INDEX(Starfsmenn!$C$6:$C$10005,MATCH(0,COUNTIF($B$11:B55,Starfsmenn!$C$6:$C$10005)+(Starfsmenn!$C$6:$C$10005=""),0)),"")</f>
        <v/>
      </c>
      <c r="C56" s="38" t="n">
        <f aca="false">IFERROR(SUMIF($G$10:$GX$10,"Stig",$G56:$GX56),0)</f>
        <v>0</v>
      </c>
      <c r="G56" s="39"/>
      <c r="H56" s="40" t="str">
        <f aca="false">IF(OR(INDEX(Undirviðmið!$G$6:$G$105,(COLUMN()-7-1)/2+1)&lt;&gt;"Starfsbundið",G56="",G$8="",G$7=""),"",ROUND(G56/G$8*G$7*KVARDI,2))</f>
        <v/>
      </c>
      <c r="I56" s="39"/>
      <c r="J56" s="40" t="str">
        <f aca="false">IF(OR(INDEX(Undirviðmið!$G$6:$G$105,(COLUMN()-7-1)/2+1)&lt;&gt;"Starfsbundið",I56="",I$8="",I$7=""),"",ROUND(I56/I$8*I$7*KVARDI,2))</f>
        <v/>
      </c>
      <c r="K56" s="39"/>
      <c r="L56" s="40" t="str">
        <f aca="false">IF(OR(INDEX(Undirviðmið!$G$6:$G$105,(COLUMN()-7-1)/2+1)&lt;&gt;"Starfsbundið",K56="",K$8="",K$7=""),"",ROUND(K56/K$8*K$7*KVARDI,2))</f>
        <v/>
      </c>
      <c r="M56" s="39"/>
      <c r="N56" s="40" t="str">
        <f aca="false">IF(OR(INDEX(Undirviðmið!$G$6:$G$105,(COLUMN()-7-1)/2+1)&lt;&gt;"Starfsbundið",M56="",M$8="",M$7=""),"",ROUND(M56/M$8*M$7*KVARDI,2))</f>
        <v/>
      </c>
      <c r="O56" s="39"/>
      <c r="P56" s="40" t="str">
        <f aca="false">IF(OR(INDEX(Undirviðmið!$G$6:$G$105,(COLUMN()-7-1)/2+1)&lt;&gt;"Starfsbundið",O56="",O$8="",O$7=""),"",ROUND(O56/O$8*O$7*KVARDI,2))</f>
        <v/>
      </c>
      <c r="Q56" s="39"/>
      <c r="R56" s="40" t="str">
        <f aca="false">IF(OR(INDEX(Undirviðmið!$G$6:$G$105,(COLUMN()-7-1)/2+1)&lt;&gt;"Starfsbundið",Q56="",Q$8="",Q$7=""),"",ROUND(Q56/Q$8*Q$7*KVARDI,2))</f>
        <v/>
      </c>
      <c r="S56" s="39"/>
      <c r="T56" s="40" t="str">
        <f aca="false">IF(OR(INDEX(Undirviðmið!$G$6:$G$105,(COLUMN()-7-1)/2+1)&lt;&gt;"Starfsbundið",S56="",S$8="",S$7=""),"",ROUND(S56/S$8*S$7*KVARDI,2))</f>
        <v/>
      </c>
      <c r="U56" s="39"/>
      <c r="V56" s="40" t="str">
        <f aca="false">IF(OR(INDEX(Undirviðmið!$G$6:$G$105,(COLUMN()-7-1)/2+1)&lt;&gt;"Starfsbundið",U56="",U$8="",U$7=""),"",ROUND(U56/U$8*U$7*KVARDI,2))</f>
        <v/>
      </c>
      <c r="W56" s="39"/>
      <c r="X56" s="40" t="str">
        <f aca="false">IF(OR(INDEX(Undirviðmið!$G$6:$G$105,(COLUMN()-7-1)/2+1)&lt;&gt;"Starfsbundið",W56="",W$8="",W$7=""),"",ROUND(W56/W$8*W$7*KVARDI,2))</f>
        <v/>
      </c>
      <c r="Y56" s="39"/>
      <c r="Z56" s="40" t="str">
        <f aca="false">IF(OR(INDEX(Undirviðmið!$G$6:$G$105,(COLUMN()-7-1)/2+1)&lt;&gt;"Starfsbundið",Y56="",Y$8="",Y$7=""),"",ROUND(Y56/Y$8*Y$7*KVARDI,2))</f>
        <v/>
      </c>
      <c r="AA56" s="39"/>
      <c r="AB56" s="40" t="str">
        <f aca="false">IF(OR(INDEX(Undirviðmið!$G$6:$G$105,(COLUMN()-7-1)/2+1)&lt;&gt;"Starfsbundið",AA56="",AA$8="",AA$7=""),"",ROUND(AA56/AA$8*AA$7*KVARDI,2))</f>
        <v/>
      </c>
      <c r="AC56" s="39"/>
      <c r="AD56" s="40" t="str">
        <f aca="false">IF(OR(INDEX(Undirviðmið!$G$6:$G$105,(COLUMN()-7-1)/2+1)&lt;&gt;"Starfsbundið",AC56="",AC$8="",AC$7=""),"",ROUND(AC56/AC$8*AC$7*KVARDI,2))</f>
        <v/>
      </c>
      <c r="AE56" s="39"/>
      <c r="AF56" s="40" t="str">
        <f aca="false">IF(OR(INDEX(Undirviðmið!$G$6:$G$105,(COLUMN()-7-1)/2+1)&lt;&gt;"Starfsbundið",AE56="",AE$8="",AE$7=""),"",ROUND(AE56/AE$8*AE$7*KVARDI,2))</f>
        <v/>
      </c>
      <c r="AG56" s="39"/>
      <c r="AH56" s="40" t="str">
        <f aca="false">IF(OR(INDEX(Undirviðmið!$G$6:$G$105,(COLUMN()-7-1)/2+1)&lt;&gt;"Starfsbundið",AG56="",AG$8="",AG$7=""),"",ROUND(AG56/AG$8*AG$7*KVARDI,2))</f>
        <v/>
      </c>
      <c r="AI56" s="39"/>
      <c r="AJ56" s="40" t="str">
        <f aca="false">IF(OR(INDEX(Undirviðmið!$G$6:$G$105,(COLUMN()-7-1)/2+1)&lt;&gt;"Starfsbundið",AI56="",AI$8="",AI$7=""),"",ROUND(AI56/AI$8*AI$7*KVARDI,2))</f>
        <v/>
      </c>
      <c r="AK56" s="39"/>
      <c r="AL56" s="40" t="str">
        <f aca="false">IF(OR(INDEX(Undirviðmið!$G$6:$G$105,(COLUMN()-7-1)/2+1)&lt;&gt;"Starfsbundið",AK56="",AK$8="",AK$7=""),"",ROUND(AK56/AK$8*AK$7*KVARDI,2))</f>
        <v/>
      </c>
      <c r="AM56" s="39"/>
      <c r="AN56" s="40" t="str">
        <f aca="false">IF(OR(INDEX(Undirviðmið!$G$6:$G$105,(COLUMN()-7-1)/2+1)&lt;&gt;"Starfsbundið",AM56="",AM$8="",AM$7=""),"",ROUND(AM56/AM$8*AM$7*KVARDI,2))</f>
        <v/>
      </c>
      <c r="AO56" s="39"/>
      <c r="AP56" s="40" t="str">
        <f aca="false">IF(OR(INDEX(Undirviðmið!$G$6:$G$105,(COLUMN()-7-1)/2+1)&lt;&gt;"Starfsbundið",AO56="",AO$8="",AO$7=""),"",ROUND(AO56/AO$8*AO$7*KVARDI,2))</f>
        <v/>
      </c>
      <c r="AQ56" s="39"/>
      <c r="AR56" s="40" t="str">
        <f aca="false">IF(OR(INDEX(Undirviðmið!$G$6:$G$105,(COLUMN()-7-1)/2+1)&lt;&gt;"Starfsbundið",AQ56="",AQ$8="",AQ$7=""),"",ROUND(AQ56/AQ$8*AQ$7*KVARDI,2))</f>
        <v/>
      </c>
      <c r="AS56" s="39"/>
      <c r="AT56" s="40" t="str">
        <f aca="false">IF(OR(INDEX(Undirviðmið!$G$6:$G$105,(COLUMN()-7-1)/2+1)&lt;&gt;"Starfsbundið",AS56="",AS$8="",AS$7=""),"",ROUND(AS56/AS$8*AS$7*KVARDI,2))</f>
        <v/>
      </c>
      <c r="AU56" s="39"/>
      <c r="AV56" s="40" t="str">
        <f aca="false">IF(OR(INDEX(Undirviðmið!$G$6:$G$105,(COLUMN()-7-1)/2+1)&lt;&gt;"Starfsbundið",AU56="",AU$8="",AU$7=""),"",ROUND(AU56/AU$8*AU$7*KVARDI,2))</f>
        <v/>
      </c>
      <c r="AW56" s="39"/>
      <c r="AX56" s="40" t="str">
        <f aca="false">IF(OR(INDEX(Undirviðmið!$G$6:$G$105,(COLUMN()-7-1)/2+1)&lt;&gt;"Starfsbundið",AW56="",AW$8="",AW$7=""),"",ROUND(AW56/AW$8*AW$7*KVARDI,2))</f>
        <v/>
      </c>
      <c r="AY56" s="39"/>
      <c r="AZ56" s="40" t="str">
        <f aca="false">IF(OR(INDEX(Undirviðmið!$G$6:$G$105,(COLUMN()-7-1)/2+1)&lt;&gt;"Starfsbundið",AY56="",AY$8="",AY$7=""),"",ROUND(AY56/AY$8*AY$7*KVARDI,2))</f>
        <v/>
      </c>
      <c r="BA56" s="39"/>
      <c r="BB56" s="40" t="str">
        <f aca="false">IF(OR(INDEX(Undirviðmið!$G$6:$G$105,(COLUMN()-7-1)/2+1)&lt;&gt;"Starfsbundið",BA56="",BA$8="",BA$7=""),"",ROUND(BA56/BA$8*BA$7*KVARDI,2))</f>
        <v/>
      </c>
      <c r="BC56" s="39"/>
      <c r="BD56" s="40" t="str">
        <f aca="false">IF(OR(INDEX(Undirviðmið!$G$6:$G$105,(COLUMN()-7-1)/2+1)&lt;&gt;"Starfsbundið",BC56="",BC$8="",BC$7=""),"",ROUND(BC56/BC$8*BC$7*KVARDI,2))</f>
        <v/>
      </c>
      <c r="BE56" s="39"/>
      <c r="BF56" s="40" t="str">
        <f aca="false">IF(OR(INDEX(Undirviðmið!$G$6:$G$105,(COLUMN()-7-1)/2+1)&lt;&gt;"Starfsbundið",BE56="",BE$8="",BE$7=""),"",ROUND(BE56/BE$8*BE$7*KVARDI,2))</f>
        <v/>
      </c>
      <c r="BG56" s="39"/>
      <c r="BH56" s="40" t="str">
        <f aca="false">IF(OR(INDEX(Undirviðmið!$G$6:$G$105,(COLUMN()-7-1)/2+1)&lt;&gt;"Starfsbundið",BG56="",BG$8="",BG$7=""),"",ROUND(BG56/BG$8*BG$7*KVARDI,2))</f>
        <v/>
      </c>
      <c r="BI56" s="39"/>
      <c r="BJ56" s="40" t="str">
        <f aca="false">IF(OR(INDEX(Undirviðmið!$G$6:$G$105,(COLUMN()-7-1)/2+1)&lt;&gt;"Starfsbundið",BI56="",BI$8="",BI$7=""),"",ROUND(BI56/BI$8*BI$7*KVARDI,2))</f>
        <v/>
      </c>
      <c r="BK56" s="39"/>
      <c r="BL56" s="40" t="str">
        <f aca="false">IF(OR(INDEX(Undirviðmið!$G$6:$G$105,(COLUMN()-7-1)/2+1)&lt;&gt;"Starfsbundið",BK56="",BK$8="",BK$7=""),"",ROUND(BK56/BK$8*BK$7*KVARDI,2))</f>
        <v/>
      </c>
      <c r="BM56" s="39"/>
      <c r="BN56" s="40" t="str">
        <f aca="false">IF(OR(INDEX(Undirviðmið!$G$6:$G$105,(COLUMN()-7-1)/2+1)&lt;&gt;"Starfsbundið",BM56="",BM$8="",BM$7=""),"",ROUND(BM56/BM$8*BM$7*KVARDI,2))</f>
        <v/>
      </c>
      <c r="BO56" s="39"/>
      <c r="BP56" s="40" t="str">
        <f aca="false">IF(OR(INDEX(Undirviðmið!$G$6:$G$105,(COLUMN()-7-1)/2+1)&lt;&gt;"Starfsbundið",BO56="",BO$8="",BO$7=""),"",ROUND(BO56/BO$8*BO$7*KVARDI,2))</f>
        <v/>
      </c>
      <c r="BQ56" s="39"/>
      <c r="BR56" s="40" t="str">
        <f aca="false">IF(OR(INDEX(Undirviðmið!$G$6:$G$105,(COLUMN()-7-1)/2+1)&lt;&gt;"Starfsbundið",BQ56="",BQ$8="",BQ$7=""),"",ROUND(BQ56/BQ$8*BQ$7*KVARDI,2))</f>
        <v/>
      </c>
      <c r="BS56" s="39"/>
      <c r="BT56" s="40" t="str">
        <f aca="false">IF(OR(INDEX(Undirviðmið!$G$6:$G$105,(COLUMN()-7-1)/2+1)&lt;&gt;"Starfsbundið",BS56="",BS$8="",BS$7=""),"",ROUND(BS56/BS$8*BS$7*KVARDI,2))</f>
        <v/>
      </c>
      <c r="BU56" s="39"/>
      <c r="BV56" s="40" t="str">
        <f aca="false">IF(OR(INDEX(Undirviðmið!$G$6:$G$105,(COLUMN()-7-1)/2+1)&lt;&gt;"Starfsbundið",BU56="",BU$8="",BU$7=""),"",ROUND(BU56/BU$8*BU$7*KVARDI,2))</f>
        <v/>
      </c>
      <c r="BW56" s="39"/>
      <c r="BX56" s="40" t="str">
        <f aca="false">IF(OR(INDEX(Undirviðmið!$G$6:$G$105,(COLUMN()-7-1)/2+1)&lt;&gt;"Starfsbundið",BW56="",BW$8="",BW$7=""),"",ROUND(BW56/BW$8*BW$7*KVARDI,2))</f>
        <v/>
      </c>
      <c r="BY56" s="39"/>
      <c r="BZ56" s="40" t="str">
        <f aca="false">IF(OR(INDEX(Undirviðmið!$G$6:$G$105,(COLUMN()-7-1)/2+1)&lt;&gt;"Starfsbundið",BY56="",BY$8="",BY$7=""),"",ROUND(BY56/BY$8*BY$7*KVARDI,2))</f>
        <v/>
      </c>
      <c r="CA56" s="39"/>
      <c r="CB56" s="40" t="str">
        <f aca="false">IF(OR(INDEX(Undirviðmið!$G$6:$G$105,(COLUMN()-7-1)/2+1)&lt;&gt;"Starfsbundið",CA56="",CA$8="",CA$7=""),"",ROUND(CA56/CA$8*CA$7*KVARDI,2))</f>
        <v/>
      </c>
      <c r="CC56" s="39"/>
      <c r="CD56" s="40" t="str">
        <f aca="false">IF(OR(INDEX(Undirviðmið!$G$6:$G$105,(COLUMN()-7-1)/2+1)&lt;&gt;"Starfsbundið",CC56="",CC$8="",CC$7=""),"",ROUND(CC56/CC$8*CC$7*KVARDI,2))</f>
        <v/>
      </c>
      <c r="CE56" s="39"/>
      <c r="CF56" s="40" t="str">
        <f aca="false">IF(OR(INDEX(Undirviðmið!$G$6:$G$105,(COLUMN()-7-1)/2+1)&lt;&gt;"Starfsbundið",CE56="",CE$8="",CE$7=""),"",ROUND(CE56/CE$8*CE$7*KVARDI,2))</f>
        <v/>
      </c>
      <c r="CG56" s="39"/>
      <c r="CH56" s="40" t="str">
        <f aca="false">IF(OR(INDEX(Undirviðmið!$G$6:$G$105,(COLUMN()-7-1)/2+1)&lt;&gt;"Starfsbundið",CG56="",CG$8="",CG$7=""),"",ROUND(CG56/CG$8*CG$7*KVARDI,2))</f>
        <v/>
      </c>
      <c r="CI56" s="39"/>
      <c r="CJ56" s="40" t="str">
        <f aca="false">IF(OR(INDEX(Undirviðmið!$G$6:$G$105,(COLUMN()-7-1)/2+1)&lt;&gt;"Starfsbundið",CI56="",CI$8="",CI$7=""),"",ROUND(CI56/CI$8*CI$7*KVARDI,2))</f>
        <v/>
      </c>
      <c r="CK56" s="39"/>
      <c r="CL56" s="40" t="str">
        <f aca="false">IF(OR(INDEX(Undirviðmið!$G$6:$G$105,(COLUMN()-7-1)/2+1)&lt;&gt;"Starfsbundið",CK56="",CK$8="",CK$7=""),"",ROUND(CK56/CK$8*CK$7*KVARDI,2))</f>
        <v/>
      </c>
      <c r="CM56" s="39"/>
      <c r="CN56" s="40" t="str">
        <f aca="false">IF(OR(INDEX(Undirviðmið!$G$6:$G$105,(COLUMN()-7-1)/2+1)&lt;&gt;"Starfsbundið",CM56="",CM$8="",CM$7=""),"",ROUND(CM56/CM$8*CM$7*KVARDI,2))</f>
        <v/>
      </c>
      <c r="CO56" s="39"/>
      <c r="CP56" s="40" t="str">
        <f aca="false">IF(OR(INDEX(Undirviðmið!$G$6:$G$105,(COLUMN()-7-1)/2+1)&lt;&gt;"Starfsbundið",CO56="",CO$8="",CO$7=""),"",ROUND(CO56/CO$8*CO$7*KVARDI,2))</f>
        <v/>
      </c>
      <c r="CQ56" s="39"/>
      <c r="CR56" s="40" t="str">
        <f aca="false">IF(OR(INDEX(Undirviðmið!$G$6:$G$105,(COLUMN()-7-1)/2+1)&lt;&gt;"Starfsbundið",CQ56="",CQ$8="",CQ$7=""),"",ROUND(CQ56/CQ$8*CQ$7*KVARDI,2))</f>
        <v/>
      </c>
      <c r="CS56" s="39"/>
      <c r="CT56" s="40" t="str">
        <f aca="false">IF(OR(INDEX(Undirviðmið!$G$6:$G$105,(COLUMN()-7-1)/2+1)&lt;&gt;"Starfsbundið",CS56="",CS$8="",CS$7=""),"",ROUND(CS56/CS$8*CS$7*KVARDI,2))</f>
        <v/>
      </c>
      <c r="CU56" s="39"/>
      <c r="CV56" s="40" t="str">
        <f aca="false">IF(OR(INDEX(Undirviðmið!$G$6:$G$105,(COLUMN()-7-1)/2+1)&lt;&gt;"Starfsbundið",CU56="",CU$8="",CU$7=""),"",ROUND(CU56/CU$8*CU$7*KVARDI,2))</f>
        <v/>
      </c>
      <c r="CW56" s="39"/>
      <c r="CX56" s="40" t="str">
        <f aca="false">IF(OR(INDEX(Undirviðmið!$G$6:$G$105,(COLUMN()-7-1)/2+1)&lt;&gt;"Starfsbundið",CW56="",CW$8="",CW$7=""),"",ROUND(CW56/CW$8*CW$7*KVARDI,2))</f>
        <v/>
      </c>
      <c r="CY56" s="39"/>
      <c r="CZ56" s="40" t="str">
        <f aca="false">IF(OR(INDEX(Undirviðmið!$G$6:$G$105,(COLUMN()-7-1)/2+1)&lt;&gt;"Starfsbundið",CY56="",CY$8="",CY$7=""),"",ROUND(CY56/CY$8*CY$7*KVARDI,2))</f>
        <v/>
      </c>
      <c r="DA56" s="39"/>
      <c r="DB56" s="40" t="str">
        <f aca="false">IF(OR(INDEX(Undirviðmið!$G$6:$G$105,(COLUMN()-7-1)/2+1)&lt;&gt;"Starfsbundið",DA56="",DA$8="",DA$7=""),"",ROUND(DA56/DA$8*DA$7*KVARDI,2))</f>
        <v/>
      </c>
      <c r="DC56" s="39"/>
      <c r="DD56" s="40" t="str">
        <f aca="false">IF(OR(INDEX(Undirviðmið!$G$6:$G$105,(COLUMN()-7-1)/2+1)&lt;&gt;"Starfsbundið",DC56="",DC$8="",DC$7=""),"",ROUND(DC56/DC$8*DC$7*KVARDI,2))</f>
        <v/>
      </c>
      <c r="DE56" s="39"/>
      <c r="DF56" s="40" t="str">
        <f aca="false">IF(OR(INDEX(Undirviðmið!$G$6:$G$105,(COLUMN()-7-1)/2+1)&lt;&gt;"Starfsbundið",DE56="",DE$8="",DE$7=""),"",ROUND(DE56/DE$8*DE$7*KVARDI,2))</f>
        <v/>
      </c>
      <c r="DG56" s="39"/>
      <c r="DH56" s="40" t="str">
        <f aca="false">IF(OR(INDEX(Undirviðmið!$G$6:$G$105,(COLUMN()-7-1)/2+1)&lt;&gt;"Starfsbundið",DG56="",DG$8="",DG$7=""),"",ROUND(DG56/DG$8*DG$7*KVARDI,2))</f>
        <v/>
      </c>
      <c r="DI56" s="39"/>
      <c r="DJ56" s="40" t="str">
        <f aca="false">IF(OR(INDEX(Undirviðmið!$G$6:$G$105,(COLUMN()-7-1)/2+1)&lt;&gt;"Starfsbundið",DI56="",DI$8="",DI$7=""),"",ROUND(DI56/DI$8*DI$7*KVARDI,2))</f>
        <v/>
      </c>
      <c r="DK56" s="39"/>
      <c r="DL56" s="40" t="str">
        <f aca="false">IF(OR(INDEX(Undirviðmið!$G$6:$G$105,(COLUMN()-7-1)/2+1)&lt;&gt;"Starfsbundið",DK56="",DK$8="",DK$7=""),"",ROUND(DK56/DK$8*DK$7*KVARDI,2))</f>
        <v/>
      </c>
      <c r="DM56" s="39"/>
      <c r="DN56" s="40" t="str">
        <f aca="false">IF(OR(INDEX(Undirviðmið!$G$6:$G$105,(COLUMN()-7-1)/2+1)&lt;&gt;"Starfsbundið",DM56="",DM$8="",DM$7=""),"",ROUND(DM56/DM$8*DM$7*KVARDI,2))</f>
        <v/>
      </c>
      <c r="DO56" s="39"/>
      <c r="DP56" s="40" t="str">
        <f aca="false">IF(OR(INDEX(Undirviðmið!$G$6:$G$105,(COLUMN()-7-1)/2+1)&lt;&gt;"Starfsbundið",DO56="",DO$8="",DO$7=""),"",ROUND(DO56/DO$8*DO$7*KVARDI,2))</f>
        <v/>
      </c>
      <c r="DQ56" s="39"/>
      <c r="DR56" s="40" t="str">
        <f aca="false">IF(OR(INDEX(Undirviðmið!$G$6:$G$105,(COLUMN()-7-1)/2+1)&lt;&gt;"Starfsbundið",DQ56="",DQ$8="",DQ$7=""),"",ROUND(DQ56/DQ$8*DQ$7*KVARDI,2))</f>
        <v/>
      </c>
      <c r="DS56" s="39"/>
      <c r="DT56" s="40" t="str">
        <f aca="false">IF(OR(INDEX(Undirviðmið!$G$6:$G$105,(COLUMN()-7-1)/2+1)&lt;&gt;"Starfsbundið",DS56="",DS$8="",DS$7=""),"",ROUND(DS56/DS$8*DS$7*KVARDI,2))</f>
        <v/>
      </c>
      <c r="DU56" s="39"/>
      <c r="DV56" s="40" t="str">
        <f aca="false">IF(OR(INDEX(Undirviðmið!$G$6:$G$105,(COLUMN()-7-1)/2+1)&lt;&gt;"Starfsbundið",DU56="",DU$8="",DU$7=""),"",ROUND(DU56/DU$8*DU$7*KVARDI,2))</f>
        <v/>
      </c>
      <c r="DW56" s="39"/>
      <c r="DX56" s="40" t="str">
        <f aca="false">IF(OR(INDEX(Undirviðmið!$G$6:$G$105,(COLUMN()-7-1)/2+1)&lt;&gt;"Starfsbundið",DW56="",DW$8="",DW$7=""),"",ROUND(DW56/DW$8*DW$7*KVARDI,2))</f>
        <v/>
      </c>
      <c r="DY56" s="39"/>
      <c r="DZ56" s="40" t="str">
        <f aca="false">IF(OR(INDEX(Undirviðmið!$G$6:$G$105,(COLUMN()-7-1)/2+1)&lt;&gt;"Starfsbundið",DY56="",DY$8="",DY$7=""),"",ROUND(DY56/DY$8*DY$7*KVARDI,2))</f>
        <v/>
      </c>
      <c r="EA56" s="39"/>
      <c r="EB56" s="40" t="str">
        <f aca="false">IF(OR(INDEX(Undirviðmið!$G$6:$G$105,(COLUMN()-7-1)/2+1)&lt;&gt;"Starfsbundið",EA56="",EA$8="",EA$7=""),"",ROUND(EA56/EA$8*EA$7*KVARDI,2))</f>
        <v/>
      </c>
      <c r="EC56" s="39"/>
      <c r="ED56" s="40" t="str">
        <f aca="false">IF(OR(INDEX(Undirviðmið!$G$6:$G$105,(COLUMN()-7-1)/2+1)&lt;&gt;"Starfsbundið",EC56="",EC$8="",EC$7=""),"",ROUND(EC56/EC$8*EC$7*KVARDI,2))</f>
        <v/>
      </c>
      <c r="EE56" s="39"/>
      <c r="EF56" s="40" t="str">
        <f aca="false">IF(OR(INDEX(Undirviðmið!$G$6:$G$105,(COLUMN()-7-1)/2+1)&lt;&gt;"Starfsbundið",EE56="",EE$8="",EE$7=""),"",ROUND(EE56/EE$8*EE$7*KVARDI,2))</f>
        <v/>
      </c>
      <c r="EG56" s="39"/>
      <c r="EH56" s="40" t="str">
        <f aca="false">IF(OR(INDEX(Undirviðmið!$G$6:$G$105,(COLUMN()-7-1)/2+1)&lt;&gt;"Starfsbundið",EG56="",EG$8="",EG$7=""),"",ROUND(EG56/EG$8*EG$7*KVARDI,2))</f>
        <v/>
      </c>
      <c r="EI56" s="39"/>
      <c r="EJ56" s="40" t="str">
        <f aca="false">IF(OR(INDEX(Undirviðmið!$G$6:$G$105,(COLUMN()-7-1)/2+1)&lt;&gt;"Starfsbundið",EI56="",EI$8="",EI$7=""),"",ROUND(EI56/EI$8*EI$7*KVARDI,2))</f>
        <v/>
      </c>
      <c r="EK56" s="39"/>
      <c r="EL56" s="40" t="str">
        <f aca="false">IF(OR(INDEX(Undirviðmið!$G$6:$G$105,(COLUMN()-7-1)/2+1)&lt;&gt;"Starfsbundið",EK56="",EK$8="",EK$7=""),"",ROUND(EK56/EK$8*EK$7*KVARDI,2))</f>
        <v/>
      </c>
      <c r="EM56" s="39"/>
      <c r="EN56" s="40" t="str">
        <f aca="false">IF(OR(INDEX(Undirviðmið!$G$6:$G$105,(COLUMN()-7-1)/2+1)&lt;&gt;"Starfsbundið",EM56="",EM$8="",EM$7=""),"",ROUND(EM56/EM$8*EM$7*KVARDI,2))</f>
        <v/>
      </c>
      <c r="EO56" s="39"/>
      <c r="EP56" s="40" t="str">
        <f aca="false">IF(OR(INDEX(Undirviðmið!$G$6:$G$105,(COLUMN()-7-1)/2+1)&lt;&gt;"Starfsbundið",EO56="",EO$8="",EO$7=""),"",ROUND(EO56/EO$8*EO$7*KVARDI,2))</f>
        <v/>
      </c>
      <c r="EQ56" s="39"/>
      <c r="ER56" s="40" t="str">
        <f aca="false">IF(OR(INDEX(Undirviðmið!$G$6:$G$105,(COLUMN()-7-1)/2+1)&lt;&gt;"Starfsbundið",EQ56="",EQ$8="",EQ$7=""),"",ROUND(EQ56/EQ$8*EQ$7*KVARDI,2))</f>
        <v/>
      </c>
      <c r="ES56" s="39"/>
      <c r="ET56" s="40" t="str">
        <f aca="false">IF(OR(INDEX(Undirviðmið!$G$6:$G$105,(COLUMN()-7-1)/2+1)&lt;&gt;"Starfsbundið",ES56="",ES$8="",ES$7=""),"",ROUND(ES56/ES$8*ES$7*KVARDI,2))</f>
        <v/>
      </c>
      <c r="EU56" s="39"/>
      <c r="EV56" s="40" t="str">
        <f aca="false">IF(OR(INDEX(Undirviðmið!$G$6:$G$105,(COLUMN()-7-1)/2+1)&lt;&gt;"Starfsbundið",EU56="",EU$8="",EU$7=""),"",ROUND(EU56/EU$8*EU$7*KVARDI,2))</f>
        <v/>
      </c>
      <c r="EW56" s="39"/>
      <c r="EX56" s="40" t="str">
        <f aca="false">IF(OR(INDEX(Undirviðmið!$G$6:$G$105,(COLUMN()-7-1)/2+1)&lt;&gt;"Starfsbundið",EW56="",EW$8="",EW$7=""),"",ROUND(EW56/EW$8*EW$7*KVARDI,2))</f>
        <v/>
      </c>
      <c r="EY56" s="39"/>
      <c r="EZ56" s="40" t="str">
        <f aca="false">IF(OR(INDEX(Undirviðmið!$G$6:$G$105,(COLUMN()-7-1)/2+1)&lt;&gt;"Starfsbundið",EY56="",EY$8="",EY$7=""),"",ROUND(EY56/EY$8*EY$7*KVARDI,2))</f>
        <v/>
      </c>
      <c r="FA56" s="39"/>
      <c r="FB56" s="40" t="str">
        <f aca="false">IF(OR(INDEX(Undirviðmið!$G$6:$G$105,(COLUMN()-7-1)/2+1)&lt;&gt;"Starfsbundið",FA56="",FA$8="",FA$7=""),"",ROUND(FA56/FA$8*FA$7*KVARDI,2))</f>
        <v/>
      </c>
      <c r="FC56" s="39"/>
      <c r="FD56" s="40" t="str">
        <f aca="false">IF(OR(INDEX(Undirviðmið!$G$6:$G$105,(COLUMN()-7-1)/2+1)&lt;&gt;"Starfsbundið",FC56="",FC$8="",FC$7=""),"",ROUND(FC56/FC$8*FC$7*KVARDI,2))</f>
        <v/>
      </c>
      <c r="FE56" s="39"/>
      <c r="FF56" s="40" t="str">
        <f aca="false">IF(OR(INDEX(Undirviðmið!$G$6:$G$105,(COLUMN()-7-1)/2+1)&lt;&gt;"Starfsbundið",FE56="",FE$8="",FE$7=""),"",ROUND(FE56/FE$8*FE$7*KVARDI,2))</f>
        <v/>
      </c>
      <c r="FG56" s="39"/>
      <c r="FH56" s="40" t="str">
        <f aca="false">IF(OR(INDEX(Undirviðmið!$G$6:$G$105,(COLUMN()-7-1)/2+1)&lt;&gt;"Starfsbundið",FG56="",FG$8="",FG$7=""),"",ROUND(FG56/FG$8*FG$7*KVARDI,2))</f>
        <v/>
      </c>
      <c r="FI56" s="39"/>
      <c r="FJ56" s="40" t="str">
        <f aca="false">IF(OR(INDEX(Undirviðmið!$G$6:$G$105,(COLUMN()-7-1)/2+1)&lt;&gt;"Starfsbundið",FI56="",FI$8="",FI$7=""),"",ROUND(FI56/FI$8*FI$7*KVARDI,2))</f>
        <v/>
      </c>
      <c r="FK56" s="39"/>
      <c r="FL56" s="40" t="str">
        <f aca="false">IF(OR(INDEX(Undirviðmið!$G$6:$G$105,(COLUMN()-7-1)/2+1)&lt;&gt;"Starfsbundið",FK56="",FK$8="",FK$7=""),"",ROUND(FK56/FK$8*FK$7*KVARDI,2))</f>
        <v/>
      </c>
      <c r="FM56" s="39"/>
      <c r="FN56" s="40" t="str">
        <f aca="false">IF(OR(INDEX(Undirviðmið!$G$6:$G$105,(COLUMN()-7-1)/2+1)&lt;&gt;"Starfsbundið",FM56="",FM$8="",FM$7=""),"",ROUND(FM56/FM$8*FM$7*KVARDI,2))</f>
        <v/>
      </c>
      <c r="FO56" s="39"/>
      <c r="FP56" s="40" t="str">
        <f aca="false">IF(OR(INDEX(Undirviðmið!$G$6:$G$105,(COLUMN()-7-1)/2+1)&lt;&gt;"Starfsbundið",FO56="",FO$8="",FO$7=""),"",ROUND(FO56/FO$8*FO$7*KVARDI,2))</f>
        <v/>
      </c>
      <c r="FQ56" s="39"/>
      <c r="FR56" s="40" t="str">
        <f aca="false">IF(OR(INDEX(Undirviðmið!$G$6:$G$105,(COLUMN()-7-1)/2+1)&lt;&gt;"Starfsbundið",FQ56="",FQ$8="",FQ$7=""),"",ROUND(FQ56/FQ$8*FQ$7*KVARDI,2))</f>
        <v/>
      </c>
      <c r="FS56" s="39"/>
      <c r="FT56" s="40" t="str">
        <f aca="false">IF(OR(INDEX(Undirviðmið!$G$6:$G$105,(COLUMN()-7-1)/2+1)&lt;&gt;"Starfsbundið",FS56="",FS$8="",FS$7=""),"",ROUND(FS56/FS$8*FS$7*KVARDI,2))</f>
        <v/>
      </c>
      <c r="FU56" s="39"/>
      <c r="FV56" s="40" t="str">
        <f aca="false">IF(OR(INDEX(Undirviðmið!$G$6:$G$105,(COLUMN()-7-1)/2+1)&lt;&gt;"Starfsbundið",FU56="",FU$8="",FU$7=""),"",ROUND(FU56/FU$8*FU$7*KVARDI,2))</f>
        <v/>
      </c>
      <c r="FW56" s="39"/>
      <c r="FX56" s="40" t="str">
        <f aca="false">IF(OR(INDEX(Undirviðmið!$G$6:$G$105,(COLUMN()-7-1)/2+1)&lt;&gt;"Starfsbundið",FW56="",FW$8="",FW$7=""),"",ROUND(FW56/FW$8*FW$7*KVARDI,2))</f>
        <v/>
      </c>
      <c r="FY56" s="39"/>
      <c r="FZ56" s="40" t="str">
        <f aca="false">IF(OR(INDEX(Undirviðmið!$G$6:$G$105,(COLUMN()-7-1)/2+1)&lt;&gt;"Starfsbundið",FY56="",FY$8="",FY$7=""),"",ROUND(FY56/FY$8*FY$7*KVARDI,2))</f>
        <v/>
      </c>
      <c r="GA56" s="39"/>
      <c r="GB56" s="40" t="str">
        <f aca="false">IF(OR(INDEX(Undirviðmið!$G$6:$G$105,(COLUMN()-7-1)/2+1)&lt;&gt;"Starfsbundið",GA56="",GA$8="",GA$7=""),"",ROUND(GA56/GA$8*GA$7*KVARDI,2))</f>
        <v/>
      </c>
      <c r="GC56" s="39"/>
      <c r="GD56" s="40" t="str">
        <f aca="false">IF(OR(INDEX(Undirviðmið!$G$6:$G$105,(COLUMN()-7-1)/2+1)&lt;&gt;"Starfsbundið",GC56="",GC$8="",GC$7=""),"",ROUND(GC56/GC$8*GC$7*KVARDI,2))</f>
        <v/>
      </c>
      <c r="GE56" s="39"/>
      <c r="GF56" s="40" t="str">
        <f aca="false">IF(OR(INDEX(Undirviðmið!$G$6:$G$105,(COLUMN()-7-1)/2+1)&lt;&gt;"Starfsbundið",GE56="",GE$8="",GE$7=""),"",ROUND(GE56/GE$8*GE$7*KVARDI,2))</f>
        <v/>
      </c>
      <c r="GG56" s="39"/>
      <c r="GH56" s="40" t="str">
        <f aca="false">IF(OR(INDEX(Undirviðmið!$G$6:$G$105,(COLUMN()-7-1)/2+1)&lt;&gt;"Starfsbundið",GG56="",GG$8="",GG$7=""),"",ROUND(GG56/GG$8*GG$7*KVARDI,2))</f>
        <v/>
      </c>
      <c r="GI56" s="39"/>
      <c r="GJ56" s="40" t="str">
        <f aca="false">IF(OR(INDEX(Undirviðmið!$G$6:$G$105,(COLUMN()-7-1)/2+1)&lt;&gt;"Starfsbundið",GI56="",GI$8="",GI$7=""),"",ROUND(GI56/GI$8*GI$7*KVARDI,2))</f>
        <v/>
      </c>
      <c r="GK56" s="39"/>
      <c r="GL56" s="40" t="str">
        <f aca="false">IF(OR(INDEX(Undirviðmið!$G$6:$G$105,(COLUMN()-7-1)/2+1)&lt;&gt;"Starfsbundið",GK56="",GK$8="",GK$7=""),"",ROUND(GK56/GK$8*GK$7*KVARDI,2))</f>
        <v/>
      </c>
      <c r="GM56" s="39"/>
      <c r="GN56" s="40" t="str">
        <f aca="false">IF(OR(INDEX(Undirviðmið!$G$6:$G$105,(COLUMN()-7-1)/2+1)&lt;&gt;"Starfsbundið",GM56="",GM$8="",GM$7=""),"",ROUND(GM56/GM$8*GM$7*KVARDI,2))</f>
        <v/>
      </c>
      <c r="GO56" s="39"/>
      <c r="GP56" s="40" t="str">
        <f aca="false">IF(OR(INDEX(Undirviðmið!$G$6:$G$105,(COLUMN()-7-1)/2+1)&lt;&gt;"Starfsbundið",GO56="",GO$8="",GO$7=""),"",ROUND(GO56/GO$8*GO$7*KVARDI,2))</f>
        <v/>
      </c>
      <c r="GQ56" s="39"/>
      <c r="GR56" s="40" t="str">
        <f aca="false">IF(OR(INDEX(Undirviðmið!$G$6:$G$105,(COLUMN()-7-1)/2+1)&lt;&gt;"Starfsbundið",GQ56="",GQ$8="",GQ$7=""),"",ROUND(GQ56/GQ$8*GQ$7*KVARDI,2))</f>
        <v/>
      </c>
      <c r="GS56" s="39"/>
      <c r="GT56" s="40" t="str">
        <f aca="false">IF(OR(INDEX(Undirviðmið!$G$6:$G$105,(COLUMN()-7-1)/2+1)&lt;&gt;"Starfsbundið",GS56="",GS$8="",GS$7=""),"",ROUND(GS56/GS$8*GS$7*KVARDI,2))</f>
        <v/>
      </c>
      <c r="GU56" s="39"/>
      <c r="GV56" s="40" t="str">
        <f aca="false">IF(OR(INDEX(Undirviðmið!$G$6:$G$105,(COLUMN()-7-1)/2+1)&lt;&gt;"Starfsbundið",GU56="",GU$8="",GU$7=""),"",ROUND(GU56/GU$8*GU$7*KVARDI,2))</f>
        <v/>
      </c>
      <c r="GW56" s="39"/>
      <c r="GX56" s="40" t="str">
        <f aca="false">IF(OR(INDEX(Undirviðmið!$G$6:$G$105,(COLUMN()-7-1)/2+1)&lt;&gt;"Starfsbundið",GW56="",GW$8="",GW$7=""),"",ROUND(GW56/GW$8*GW$7*KVARDI,2))</f>
        <v/>
      </c>
      <c r="GZ56" s="20"/>
    </row>
    <row r="57" customFormat="false" ht="15" hidden="true" customHeight="true" outlineLevel="1" collapsed="false">
      <c r="B57" s="37" t="str">
        <f aca="false" t="array" ref="B57:B57">IFERROR(INDEX(Starfsmenn!$C$6:$C$10005,MATCH(0,COUNTIF($B$11:B56,Starfsmenn!$C$6:$C$10005)+(Starfsmenn!$C$6:$C$10005=""),0)),"")</f>
        <v/>
      </c>
      <c r="C57" s="38" t="n">
        <f aca="false">IFERROR(SUMIF($G$10:$GX$10,"Stig",$G57:$GX57),0)</f>
        <v>0</v>
      </c>
      <c r="G57" s="39"/>
      <c r="H57" s="40" t="str">
        <f aca="false">IF(OR(INDEX(Undirviðmið!$G$6:$G$105,(COLUMN()-7-1)/2+1)&lt;&gt;"Starfsbundið",G57="",G$8="",G$7=""),"",ROUND(G57/G$8*G$7*KVARDI,2))</f>
        <v/>
      </c>
      <c r="I57" s="39"/>
      <c r="J57" s="40" t="str">
        <f aca="false">IF(OR(INDEX(Undirviðmið!$G$6:$G$105,(COLUMN()-7-1)/2+1)&lt;&gt;"Starfsbundið",I57="",I$8="",I$7=""),"",ROUND(I57/I$8*I$7*KVARDI,2))</f>
        <v/>
      </c>
      <c r="K57" s="39"/>
      <c r="L57" s="40" t="str">
        <f aca="false">IF(OR(INDEX(Undirviðmið!$G$6:$G$105,(COLUMN()-7-1)/2+1)&lt;&gt;"Starfsbundið",K57="",K$8="",K$7=""),"",ROUND(K57/K$8*K$7*KVARDI,2))</f>
        <v/>
      </c>
      <c r="M57" s="39"/>
      <c r="N57" s="40" t="str">
        <f aca="false">IF(OR(INDEX(Undirviðmið!$G$6:$G$105,(COLUMN()-7-1)/2+1)&lt;&gt;"Starfsbundið",M57="",M$8="",M$7=""),"",ROUND(M57/M$8*M$7*KVARDI,2))</f>
        <v/>
      </c>
      <c r="O57" s="39"/>
      <c r="P57" s="40" t="str">
        <f aca="false">IF(OR(INDEX(Undirviðmið!$G$6:$G$105,(COLUMN()-7-1)/2+1)&lt;&gt;"Starfsbundið",O57="",O$8="",O$7=""),"",ROUND(O57/O$8*O$7*KVARDI,2))</f>
        <v/>
      </c>
      <c r="Q57" s="39"/>
      <c r="R57" s="40" t="str">
        <f aca="false">IF(OR(INDEX(Undirviðmið!$G$6:$G$105,(COLUMN()-7-1)/2+1)&lt;&gt;"Starfsbundið",Q57="",Q$8="",Q$7=""),"",ROUND(Q57/Q$8*Q$7*KVARDI,2))</f>
        <v/>
      </c>
      <c r="S57" s="39"/>
      <c r="T57" s="40" t="str">
        <f aca="false">IF(OR(INDEX(Undirviðmið!$G$6:$G$105,(COLUMN()-7-1)/2+1)&lt;&gt;"Starfsbundið",S57="",S$8="",S$7=""),"",ROUND(S57/S$8*S$7*KVARDI,2))</f>
        <v/>
      </c>
      <c r="U57" s="39"/>
      <c r="V57" s="40" t="str">
        <f aca="false">IF(OR(INDEX(Undirviðmið!$G$6:$G$105,(COLUMN()-7-1)/2+1)&lt;&gt;"Starfsbundið",U57="",U$8="",U$7=""),"",ROUND(U57/U$8*U$7*KVARDI,2))</f>
        <v/>
      </c>
      <c r="W57" s="39"/>
      <c r="X57" s="40" t="str">
        <f aca="false">IF(OR(INDEX(Undirviðmið!$G$6:$G$105,(COLUMN()-7-1)/2+1)&lt;&gt;"Starfsbundið",W57="",W$8="",W$7=""),"",ROUND(W57/W$8*W$7*KVARDI,2))</f>
        <v/>
      </c>
      <c r="Y57" s="39"/>
      <c r="Z57" s="40" t="str">
        <f aca="false">IF(OR(INDEX(Undirviðmið!$G$6:$G$105,(COLUMN()-7-1)/2+1)&lt;&gt;"Starfsbundið",Y57="",Y$8="",Y$7=""),"",ROUND(Y57/Y$8*Y$7*KVARDI,2))</f>
        <v/>
      </c>
      <c r="AA57" s="39"/>
      <c r="AB57" s="40" t="str">
        <f aca="false">IF(OR(INDEX(Undirviðmið!$G$6:$G$105,(COLUMN()-7-1)/2+1)&lt;&gt;"Starfsbundið",AA57="",AA$8="",AA$7=""),"",ROUND(AA57/AA$8*AA$7*KVARDI,2))</f>
        <v/>
      </c>
      <c r="AC57" s="39"/>
      <c r="AD57" s="40" t="str">
        <f aca="false">IF(OR(INDEX(Undirviðmið!$G$6:$G$105,(COLUMN()-7-1)/2+1)&lt;&gt;"Starfsbundið",AC57="",AC$8="",AC$7=""),"",ROUND(AC57/AC$8*AC$7*KVARDI,2))</f>
        <v/>
      </c>
      <c r="AE57" s="39"/>
      <c r="AF57" s="40" t="str">
        <f aca="false">IF(OR(INDEX(Undirviðmið!$G$6:$G$105,(COLUMN()-7-1)/2+1)&lt;&gt;"Starfsbundið",AE57="",AE$8="",AE$7=""),"",ROUND(AE57/AE$8*AE$7*KVARDI,2))</f>
        <v/>
      </c>
      <c r="AG57" s="39"/>
      <c r="AH57" s="40" t="str">
        <f aca="false">IF(OR(INDEX(Undirviðmið!$G$6:$G$105,(COLUMN()-7-1)/2+1)&lt;&gt;"Starfsbundið",AG57="",AG$8="",AG$7=""),"",ROUND(AG57/AG$8*AG$7*KVARDI,2))</f>
        <v/>
      </c>
      <c r="AI57" s="39"/>
      <c r="AJ57" s="40" t="str">
        <f aca="false">IF(OR(INDEX(Undirviðmið!$G$6:$G$105,(COLUMN()-7-1)/2+1)&lt;&gt;"Starfsbundið",AI57="",AI$8="",AI$7=""),"",ROUND(AI57/AI$8*AI$7*KVARDI,2))</f>
        <v/>
      </c>
      <c r="AK57" s="39"/>
      <c r="AL57" s="40" t="str">
        <f aca="false">IF(OR(INDEX(Undirviðmið!$G$6:$G$105,(COLUMN()-7-1)/2+1)&lt;&gt;"Starfsbundið",AK57="",AK$8="",AK$7=""),"",ROUND(AK57/AK$8*AK$7*KVARDI,2))</f>
        <v/>
      </c>
      <c r="AM57" s="39"/>
      <c r="AN57" s="40" t="str">
        <f aca="false">IF(OR(INDEX(Undirviðmið!$G$6:$G$105,(COLUMN()-7-1)/2+1)&lt;&gt;"Starfsbundið",AM57="",AM$8="",AM$7=""),"",ROUND(AM57/AM$8*AM$7*KVARDI,2))</f>
        <v/>
      </c>
      <c r="AO57" s="39"/>
      <c r="AP57" s="40" t="str">
        <f aca="false">IF(OR(INDEX(Undirviðmið!$G$6:$G$105,(COLUMN()-7-1)/2+1)&lt;&gt;"Starfsbundið",AO57="",AO$8="",AO$7=""),"",ROUND(AO57/AO$8*AO$7*KVARDI,2))</f>
        <v/>
      </c>
      <c r="AQ57" s="39"/>
      <c r="AR57" s="40" t="str">
        <f aca="false">IF(OR(INDEX(Undirviðmið!$G$6:$G$105,(COLUMN()-7-1)/2+1)&lt;&gt;"Starfsbundið",AQ57="",AQ$8="",AQ$7=""),"",ROUND(AQ57/AQ$8*AQ$7*KVARDI,2))</f>
        <v/>
      </c>
      <c r="AS57" s="39"/>
      <c r="AT57" s="40" t="str">
        <f aca="false">IF(OR(INDEX(Undirviðmið!$G$6:$G$105,(COLUMN()-7-1)/2+1)&lt;&gt;"Starfsbundið",AS57="",AS$8="",AS$7=""),"",ROUND(AS57/AS$8*AS$7*KVARDI,2))</f>
        <v/>
      </c>
      <c r="AU57" s="39"/>
      <c r="AV57" s="40" t="str">
        <f aca="false">IF(OR(INDEX(Undirviðmið!$G$6:$G$105,(COLUMN()-7-1)/2+1)&lt;&gt;"Starfsbundið",AU57="",AU$8="",AU$7=""),"",ROUND(AU57/AU$8*AU$7*KVARDI,2))</f>
        <v/>
      </c>
      <c r="AW57" s="39"/>
      <c r="AX57" s="40" t="str">
        <f aca="false">IF(OR(INDEX(Undirviðmið!$G$6:$G$105,(COLUMN()-7-1)/2+1)&lt;&gt;"Starfsbundið",AW57="",AW$8="",AW$7=""),"",ROUND(AW57/AW$8*AW$7*KVARDI,2))</f>
        <v/>
      </c>
      <c r="AY57" s="39"/>
      <c r="AZ57" s="40" t="str">
        <f aca="false">IF(OR(INDEX(Undirviðmið!$G$6:$G$105,(COLUMN()-7-1)/2+1)&lt;&gt;"Starfsbundið",AY57="",AY$8="",AY$7=""),"",ROUND(AY57/AY$8*AY$7*KVARDI,2))</f>
        <v/>
      </c>
      <c r="BA57" s="39"/>
      <c r="BB57" s="40" t="str">
        <f aca="false">IF(OR(INDEX(Undirviðmið!$G$6:$G$105,(COLUMN()-7-1)/2+1)&lt;&gt;"Starfsbundið",BA57="",BA$8="",BA$7=""),"",ROUND(BA57/BA$8*BA$7*KVARDI,2))</f>
        <v/>
      </c>
      <c r="BC57" s="39"/>
      <c r="BD57" s="40" t="str">
        <f aca="false">IF(OR(INDEX(Undirviðmið!$G$6:$G$105,(COLUMN()-7-1)/2+1)&lt;&gt;"Starfsbundið",BC57="",BC$8="",BC$7=""),"",ROUND(BC57/BC$8*BC$7*KVARDI,2))</f>
        <v/>
      </c>
      <c r="BE57" s="39"/>
      <c r="BF57" s="40" t="str">
        <f aca="false">IF(OR(INDEX(Undirviðmið!$G$6:$G$105,(COLUMN()-7-1)/2+1)&lt;&gt;"Starfsbundið",BE57="",BE$8="",BE$7=""),"",ROUND(BE57/BE$8*BE$7*KVARDI,2))</f>
        <v/>
      </c>
      <c r="BG57" s="39"/>
      <c r="BH57" s="40" t="str">
        <f aca="false">IF(OR(INDEX(Undirviðmið!$G$6:$G$105,(COLUMN()-7-1)/2+1)&lt;&gt;"Starfsbundið",BG57="",BG$8="",BG$7=""),"",ROUND(BG57/BG$8*BG$7*KVARDI,2))</f>
        <v/>
      </c>
      <c r="BI57" s="39"/>
      <c r="BJ57" s="40" t="str">
        <f aca="false">IF(OR(INDEX(Undirviðmið!$G$6:$G$105,(COLUMN()-7-1)/2+1)&lt;&gt;"Starfsbundið",BI57="",BI$8="",BI$7=""),"",ROUND(BI57/BI$8*BI$7*KVARDI,2))</f>
        <v/>
      </c>
      <c r="BK57" s="39"/>
      <c r="BL57" s="40" t="str">
        <f aca="false">IF(OR(INDEX(Undirviðmið!$G$6:$G$105,(COLUMN()-7-1)/2+1)&lt;&gt;"Starfsbundið",BK57="",BK$8="",BK$7=""),"",ROUND(BK57/BK$8*BK$7*KVARDI,2))</f>
        <v/>
      </c>
      <c r="BM57" s="39"/>
      <c r="BN57" s="40" t="str">
        <f aca="false">IF(OR(INDEX(Undirviðmið!$G$6:$G$105,(COLUMN()-7-1)/2+1)&lt;&gt;"Starfsbundið",BM57="",BM$8="",BM$7=""),"",ROUND(BM57/BM$8*BM$7*KVARDI,2))</f>
        <v/>
      </c>
      <c r="BO57" s="39"/>
      <c r="BP57" s="40" t="str">
        <f aca="false">IF(OR(INDEX(Undirviðmið!$G$6:$G$105,(COLUMN()-7-1)/2+1)&lt;&gt;"Starfsbundið",BO57="",BO$8="",BO$7=""),"",ROUND(BO57/BO$8*BO$7*KVARDI,2))</f>
        <v/>
      </c>
      <c r="BQ57" s="39"/>
      <c r="BR57" s="40" t="str">
        <f aca="false">IF(OR(INDEX(Undirviðmið!$G$6:$G$105,(COLUMN()-7-1)/2+1)&lt;&gt;"Starfsbundið",BQ57="",BQ$8="",BQ$7=""),"",ROUND(BQ57/BQ$8*BQ$7*KVARDI,2))</f>
        <v/>
      </c>
      <c r="BS57" s="39"/>
      <c r="BT57" s="40" t="str">
        <f aca="false">IF(OR(INDEX(Undirviðmið!$G$6:$G$105,(COLUMN()-7-1)/2+1)&lt;&gt;"Starfsbundið",BS57="",BS$8="",BS$7=""),"",ROUND(BS57/BS$8*BS$7*KVARDI,2))</f>
        <v/>
      </c>
      <c r="BU57" s="39"/>
      <c r="BV57" s="40" t="str">
        <f aca="false">IF(OR(INDEX(Undirviðmið!$G$6:$G$105,(COLUMN()-7-1)/2+1)&lt;&gt;"Starfsbundið",BU57="",BU$8="",BU$7=""),"",ROUND(BU57/BU$8*BU$7*KVARDI,2))</f>
        <v/>
      </c>
      <c r="BW57" s="39"/>
      <c r="BX57" s="40" t="str">
        <f aca="false">IF(OR(INDEX(Undirviðmið!$G$6:$G$105,(COLUMN()-7-1)/2+1)&lt;&gt;"Starfsbundið",BW57="",BW$8="",BW$7=""),"",ROUND(BW57/BW$8*BW$7*KVARDI,2))</f>
        <v/>
      </c>
      <c r="BY57" s="39"/>
      <c r="BZ57" s="40" t="str">
        <f aca="false">IF(OR(INDEX(Undirviðmið!$G$6:$G$105,(COLUMN()-7-1)/2+1)&lt;&gt;"Starfsbundið",BY57="",BY$8="",BY$7=""),"",ROUND(BY57/BY$8*BY$7*KVARDI,2))</f>
        <v/>
      </c>
      <c r="CA57" s="39"/>
      <c r="CB57" s="40" t="str">
        <f aca="false">IF(OR(INDEX(Undirviðmið!$G$6:$G$105,(COLUMN()-7-1)/2+1)&lt;&gt;"Starfsbundið",CA57="",CA$8="",CA$7=""),"",ROUND(CA57/CA$8*CA$7*KVARDI,2))</f>
        <v/>
      </c>
      <c r="CC57" s="39"/>
      <c r="CD57" s="40" t="str">
        <f aca="false">IF(OR(INDEX(Undirviðmið!$G$6:$G$105,(COLUMN()-7-1)/2+1)&lt;&gt;"Starfsbundið",CC57="",CC$8="",CC$7=""),"",ROUND(CC57/CC$8*CC$7*KVARDI,2))</f>
        <v/>
      </c>
      <c r="CE57" s="39"/>
      <c r="CF57" s="40" t="str">
        <f aca="false">IF(OR(INDEX(Undirviðmið!$G$6:$G$105,(COLUMN()-7-1)/2+1)&lt;&gt;"Starfsbundið",CE57="",CE$8="",CE$7=""),"",ROUND(CE57/CE$8*CE$7*KVARDI,2))</f>
        <v/>
      </c>
      <c r="CG57" s="39"/>
      <c r="CH57" s="40" t="str">
        <f aca="false">IF(OR(INDEX(Undirviðmið!$G$6:$G$105,(COLUMN()-7-1)/2+1)&lt;&gt;"Starfsbundið",CG57="",CG$8="",CG$7=""),"",ROUND(CG57/CG$8*CG$7*KVARDI,2))</f>
        <v/>
      </c>
      <c r="CI57" s="39"/>
      <c r="CJ57" s="40" t="str">
        <f aca="false">IF(OR(INDEX(Undirviðmið!$G$6:$G$105,(COLUMN()-7-1)/2+1)&lt;&gt;"Starfsbundið",CI57="",CI$8="",CI$7=""),"",ROUND(CI57/CI$8*CI$7*KVARDI,2))</f>
        <v/>
      </c>
      <c r="CK57" s="39"/>
      <c r="CL57" s="40" t="str">
        <f aca="false">IF(OR(INDEX(Undirviðmið!$G$6:$G$105,(COLUMN()-7-1)/2+1)&lt;&gt;"Starfsbundið",CK57="",CK$8="",CK$7=""),"",ROUND(CK57/CK$8*CK$7*KVARDI,2))</f>
        <v/>
      </c>
      <c r="CM57" s="39"/>
      <c r="CN57" s="40" t="str">
        <f aca="false">IF(OR(INDEX(Undirviðmið!$G$6:$G$105,(COLUMN()-7-1)/2+1)&lt;&gt;"Starfsbundið",CM57="",CM$8="",CM$7=""),"",ROUND(CM57/CM$8*CM$7*KVARDI,2))</f>
        <v/>
      </c>
      <c r="CO57" s="39"/>
      <c r="CP57" s="40" t="str">
        <f aca="false">IF(OR(INDEX(Undirviðmið!$G$6:$G$105,(COLUMN()-7-1)/2+1)&lt;&gt;"Starfsbundið",CO57="",CO$8="",CO$7=""),"",ROUND(CO57/CO$8*CO$7*KVARDI,2))</f>
        <v/>
      </c>
      <c r="CQ57" s="39"/>
      <c r="CR57" s="40" t="str">
        <f aca="false">IF(OR(INDEX(Undirviðmið!$G$6:$G$105,(COLUMN()-7-1)/2+1)&lt;&gt;"Starfsbundið",CQ57="",CQ$8="",CQ$7=""),"",ROUND(CQ57/CQ$8*CQ$7*KVARDI,2))</f>
        <v/>
      </c>
      <c r="CS57" s="39"/>
      <c r="CT57" s="40" t="str">
        <f aca="false">IF(OR(INDEX(Undirviðmið!$G$6:$G$105,(COLUMN()-7-1)/2+1)&lt;&gt;"Starfsbundið",CS57="",CS$8="",CS$7=""),"",ROUND(CS57/CS$8*CS$7*KVARDI,2))</f>
        <v/>
      </c>
      <c r="CU57" s="39"/>
      <c r="CV57" s="40" t="str">
        <f aca="false">IF(OR(INDEX(Undirviðmið!$G$6:$G$105,(COLUMN()-7-1)/2+1)&lt;&gt;"Starfsbundið",CU57="",CU$8="",CU$7=""),"",ROUND(CU57/CU$8*CU$7*KVARDI,2))</f>
        <v/>
      </c>
      <c r="CW57" s="39"/>
      <c r="CX57" s="40" t="str">
        <f aca="false">IF(OR(INDEX(Undirviðmið!$G$6:$G$105,(COLUMN()-7-1)/2+1)&lt;&gt;"Starfsbundið",CW57="",CW$8="",CW$7=""),"",ROUND(CW57/CW$8*CW$7*KVARDI,2))</f>
        <v/>
      </c>
      <c r="CY57" s="39"/>
      <c r="CZ57" s="40" t="str">
        <f aca="false">IF(OR(INDEX(Undirviðmið!$G$6:$G$105,(COLUMN()-7-1)/2+1)&lt;&gt;"Starfsbundið",CY57="",CY$8="",CY$7=""),"",ROUND(CY57/CY$8*CY$7*KVARDI,2))</f>
        <v/>
      </c>
      <c r="DA57" s="39"/>
      <c r="DB57" s="40" t="str">
        <f aca="false">IF(OR(INDEX(Undirviðmið!$G$6:$G$105,(COLUMN()-7-1)/2+1)&lt;&gt;"Starfsbundið",DA57="",DA$8="",DA$7=""),"",ROUND(DA57/DA$8*DA$7*KVARDI,2))</f>
        <v/>
      </c>
      <c r="DC57" s="39"/>
      <c r="DD57" s="40" t="str">
        <f aca="false">IF(OR(INDEX(Undirviðmið!$G$6:$G$105,(COLUMN()-7-1)/2+1)&lt;&gt;"Starfsbundið",DC57="",DC$8="",DC$7=""),"",ROUND(DC57/DC$8*DC$7*KVARDI,2))</f>
        <v/>
      </c>
      <c r="DE57" s="39"/>
      <c r="DF57" s="40" t="str">
        <f aca="false">IF(OR(INDEX(Undirviðmið!$G$6:$G$105,(COLUMN()-7-1)/2+1)&lt;&gt;"Starfsbundið",DE57="",DE$8="",DE$7=""),"",ROUND(DE57/DE$8*DE$7*KVARDI,2))</f>
        <v/>
      </c>
      <c r="DG57" s="39"/>
      <c r="DH57" s="40" t="str">
        <f aca="false">IF(OR(INDEX(Undirviðmið!$G$6:$G$105,(COLUMN()-7-1)/2+1)&lt;&gt;"Starfsbundið",DG57="",DG$8="",DG$7=""),"",ROUND(DG57/DG$8*DG$7*KVARDI,2))</f>
        <v/>
      </c>
      <c r="DI57" s="39"/>
      <c r="DJ57" s="40" t="str">
        <f aca="false">IF(OR(INDEX(Undirviðmið!$G$6:$G$105,(COLUMN()-7-1)/2+1)&lt;&gt;"Starfsbundið",DI57="",DI$8="",DI$7=""),"",ROUND(DI57/DI$8*DI$7*KVARDI,2))</f>
        <v/>
      </c>
      <c r="DK57" s="39"/>
      <c r="DL57" s="40" t="str">
        <f aca="false">IF(OR(INDEX(Undirviðmið!$G$6:$G$105,(COLUMN()-7-1)/2+1)&lt;&gt;"Starfsbundið",DK57="",DK$8="",DK$7=""),"",ROUND(DK57/DK$8*DK$7*KVARDI,2))</f>
        <v/>
      </c>
      <c r="DM57" s="39"/>
      <c r="DN57" s="40" t="str">
        <f aca="false">IF(OR(INDEX(Undirviðmið!$G$6:$G$105,(COLUMN()-7-1)/2+1)&lt;&gt;"Starfsbundið",DM57="",DM$8="",DM$7=""),"",ROUND(DM57/DM$8*DM$7*KVARDI,2))</f>
        <v/>
      </c>
      <c r="DO57" s="39"/>
      <c r="DP57" s="40" t="str">
        <f aca="false">IF(OR(INDEX(Undirviðmið!$G$6:$G$105,(COLUMN()-7-1)/2+1)&lt;&gt;"Starfsbundið",DO57="",DO$8="",DO$7=""),"",ROUND(DO57/DO$8*DO$7*KVARDI,2))</f>
        <v/>
      </c>
      <c r="DQ57" s="39"/>
      <c r="DR57" s="40" t="str">
        <f aca="false">IF(OR(INDEX(Undirviðmið!$G$6:$G$105,(COLUMN()-7-1)/2+1)&lt;&gt;"Starfsbundið",DQ57="",DQ$8="",DQ$7=""),"",ROUND(DQ57/DQ$8*DQ$7*KVARDI,2))</f>
        <v/>
      </c>
      <c r="DS57" s="39"/>
      <c r="DT57" s="40" t="str">
        <f aca="false">IF(OR(INDEX(Undirviðmið!$G$6:$G$105,(COLUMN()-7-1)/2+1)&lt;&gt;"Starfsbundið",DS57="",DS$8="",DS$7=""),"",ROUND(DS57/DS$8*DS$7*KVARDI,2))</f>
        <v/>
      </c>
      <c r="DU57" s="39"/>
      <c r="DV57" s="40" t="str">
        <f aca="false">IF(OR(INDEX(Undirviðmið!$G$6:$G$105,(COLUMN()-7-1)/2+1)&lt;&gt;"Starfsbundið",DU57="",DU$8="",DU$7=""),"",ROUND(DU57/DU$8*DU$7*KVARDI,2))</f>
        <v/>
      </c>
      <c r="DW57" s="39"/>
      <c r="DX57" s="40" t="str">
        <f aca="false">IF(OR(INDEX(Undirviðmið!$G$6:$G$105,(COLUMN()-7-1)/2+1)&lt;&gt;"Starfsbundið",DW57="",DW$8="",DW$7=""),"",ROUND(DW57/DW$8*DW$7*KVARDI,2))</f>
        <v/>
      </c>
      <c r="DY57" s="39"/>
      <c r="DZ57" s="40" t="str">
        <f aca="false">IF(OR(INDEX(Undirviðmið!$G$6:$G$105,(COLUMN()-7-1)/2+1)&lt;&gt;"Starfsbundið",DY57="",DY$8="",DY$7=""),"",ROUND(DY57/DY$8*DY$7*KVARDI,2))</f>
        <v/>
      </c>
      <c r="EA57" s="39"/>
      <c r="EB57" s="40" t="str">
        <f aca="false">IF(OR(INDEX(Undirviðmið!$G$6:$G$105,(COLUMN()-7-1)/2+1)&lt;&gt;"Starfsbundið",EA57="",EA$8="",EA$7=""),"",ROUND(EA57/EA$8*EA$7*KVARDI,2))</f>
        <v/>
      </c>
      <c r="EC57" s="39"/>
      <c r="ED57" s="40" t="str">
        <f aca="false">IF(OR(INDEX(Undirviðmið!$G$6:$G$105,(COLUMN()-7-1)/2+1)&lt;&gt;"Starfsbundið",EC57="",EC$8="",EC$7=""),"",ROUND(EC57/EC$8*EC$7*KVARDI,2))</f>
        <v/>
      </c>
      <c r="EE57" s="39"/>
      <c r="EF57" s="40" t="str">
        <f aca="false">IF(OR(INDEX(Undirviðmið!$G$6:$G$105,(COLUMN()-7-1)/2+1)&lt;&gt;"Starfsbundið",EE57="",EE$8="",EE$7=""),"",ROUND(EE57/EE$8*EE$7*KVARDI,2))</f>
        <v/>
      </c>
      <c r="EG57" s="39"/>
      <c r="EH57" s="40" t="str">
        <f aca="false">IF(OR(INDEX(Undirviðmið!$G$6:$G$105,(COLUMN()-7-1)/2+1)&lt;&gt;"Starfsbundið",EG57="",EG$8="",EG$7=""),"",ROUND(EG57/EG$8*EG$7*KVARDI,2))</f>
        <v/>
      </c>
      <c r="EI57" s="39"/>
      <c r="EJ57" s="40" t="str">
        <f aca="false">IF(OR(INDEX(Undirviðmið!$G$6:$G$105,(COLUMN()-7-1)/2+1)&lt;&gt;"Starfsbundið",EI57="",EI$8="",EI$7=""),"",ROUND(EI57/EI$8*EI$7*KVARDI,2))</f>
        <v/>
      </c>
      <c r="EK57" s="39"/>
      <c r="EL57" s="40" t="str">
        <f aca="false">IF(OR(INDEX(Undirviðmið!$G$6:$G$105,(COLUMN()-7-1)/2+1)&lt;&gt;"Starfsbundið",EK57="",EK$8="",EK$7=""),"",ROUND(EK57/EK$8*EK$7*KVARDI,2))</f>
        <v/>
      </c>
      <c r="EM57" s="39"/>
      <c r="EN57" s="40" t="str">
        <f aca="false">IF(OR(INDEX(Undirviðmið!$G$6:$G$105,(COLUMN()-7-1)/2+1)&lt;&gt;"Starfsbundið",EM57="",EM$8="",EM$7=""),"",ROUND(EM57/EM$8*EM$7*KVARDI,2))</f>
        <v/>
      </c>
      <c r="EO57" s="39"/>
      <c r="EP57" s="40" t="str">
        <f aca="false">IF(OR(INDEX(Undirviðmið!$G$6:$G$105,(COLUMN()-7-1)/2+1)&lt;&gt;"Starfsbundið",EO57="",EO$8="",EO$7=""),"",ROUND(EO57/EO$8*EO$7*KVARDI,2))</f>
        <v/>
      </c>
      <c r="EQ57" s="39"/>
      <c r="ER57" s="40" t="str">
        <f aca="false">IF(OR(INDEX(Undirviðmið!$G$6:$G$105,(COLUMN()-7-1)/2+1)&lt;&gt;"Starfsbundið",EQ57="",EQ$8="",EQ$7=""),"",ROUND(EQ57/EQ$8*EQ$7*KVARDI,2))</f>
        <v/>
      </c>
      <c r="ES57" s="39"/>
      <c r="ET57" s="40" t="str">
        <f aca="false">IF(OR(INDEX(Undirviðmið!$G$6:$G$105,(COLUMN()-7-1)/2+1)&lt;&gt;"Starfsbundið",ES57="",ES$8="",ES$7=""),"",ROUND(ES57/ES$8*ES$7*KVARDI,2))</f>
        <v/>
      </c>
      <c r="EU57" s="39"/>
      <c r="EV57" s="40" t="str">
        <f aca="false">IF(OR(INDEX(Undirviðmið!$G$6:$G$105,(COLUMN()-7-1)/2+1)&lt;&gt;"Starfsbundið",EU57="",EU$8="",EU$7=""),"",ROUND(EU57/EU$8*EU$7*KVARDI,2))</f>
        <v/>
      </c>
      <c r="EW57" s="39"/>
      <c r="EX57" s="40" t="str">
        <f aca="false">IF(OR(INDEX(Undirviðmið!$G$6:$G$105,(COLUMN()-7-1)/2+1)&lt;&gt;"Starfsbundið",EW57="",EW$8="",EW$7=""),"",ROUND(EW57/EW$8*EW$7*KVARDI,2))</f>
        <v/>
      </c>
      <c r="EY57" s="39"/>
      <c r="EZ57" s="40" t="str">
        <f aca="false">IF(OR(INDEX(Undirviðmið!$G$6:$G$105,(COLUMN()-7-1)/2+1)&lt;&gt;"Starfsbundið",EY57="",EY$8="",EY$7=""),"",ROUND(EY57/EY$8*EY$7*KVARDI,2))</f>
        <v/>
      </c>
      <c r="FA57" s="39"/>
      <c r="FB57" s="40" t="str">
        <f aca="false">IF(OR(INDEX(Undirviðmið!$G$6:$G$105,(COLUMN()-7-1)/2+1)&lt;&gt;"Starfsbundið",FA57="",FA$8="",FA$7=""),"",ROUND(FA57/FA$8*FA$7*KVARDI,2))</f>
        <v/>
      </c>
      <c r="FC57" s="39"/>
      <c r="FD57" s="40" t="str">
        <f aca="false">IF(OR(INDEX(Undirviðmið!$G$6:$G$105,(COLUMN()-7-1)/2+1)&lt;&gt;"Starfsbundið",FC57="",FC$8="",FC$7=""),"",ROUND(FC57/FC$8*FC$7*KVARDI,2))</f>
        <v/>
      </c>
      <c r="FE57" s="39"/>
      <c r="FF57" s="40" t="str">
        <f aca="false">IF(OR(INDEX(Undirviðmið!$G$6:$G$105,(COLUMN()-7-1)/2+1)&lt;&gt;"Starfsbundið",FE57="",FE$8="",FE$7=""),"",ROUND(FE57/FE$8*FE$7*KVARDI,2))</f>
        <v/>
      </c>
      <c r="FG57" s="39"/>
      <c r="FH57" s="40" t="str">
        <f aca="false">IF(OR(INDEX(Undirviðmið!$G$6:$G$105,(COLUMN()-7-1)/2+1)&lt;&gt;"Starfsbundið",FG57="",FG$8="",FG$7=""),"",ROUND(FG57/FG$8*FG$7*KVARDI,2))</f>
        <v/>
      </c>
      <c r="FI57" s="39"/>
      <c r="FJ57" s="40" t="str">
        <f aca="false">IF(OR(INDEX(Undirviðmið!$G$6:$G$105,(COLUMN()-7-1)/2+1)&lt;&gt;"Starfsbundið",FI57="",FI$8="",FI$7=""),"",ROUND(FI57/FI$8*FI$7*KVARDI,2))</f>
        <v/>
      </c>
      <c r="FK57" s="39"/>
      <c r="FL57" s="40" t="str">
        <f aca="false">IF(OR(INDEX(Undirviðmið!$G$6:$G$105,(COLUMN()-7-1)/2+1)&lt;&gt;"Starfsbundið",FK57="",FK$8="",FK$7=""),"",ROUND(FK57/FK$8*FK$7*KVARDI,2))</f>
        <v/>
      </c>
      <c r="FM57" s="39"/>
      <c r="FN57" s="40" t="str">
        <f aca="false">IF(OR(INDEX(Undirviðmið!$G$6:$G$105,(COLUMN()-7-1)/2+1)&lt;&gt;"Starfsbundið",FM57="",FM$8="",FM$7=""),"",ROUND(FM57/FM$8*FM$7*KVARDI,2))</f>
        <v/>
      </c>
      <c r="FO57" s="39"/>
      <c r="FP57" s="40" t="str">
        <f aca="false">IF(OR(INDEX(Undirviðmið!$G$6:$G$105,(COLUMN()-7-1)/2+1)&lt;&gt;"Starfsbundið",FO57="",FO$8="",FO$7=""),"",ROUND(FO57/FO$8*FO$7*KVARDI,2))</f>
        <v/>
      </c>
      <c r="FQ57" s="39"/>
      <c r="FR57" s="40" t="str">
        <f aca="false">IF(OR(INDEX(Undirviðmið!$G$6:$G$105,(COLUMN()-7-1)/2+1)&lt;&gt;"Starfsbundið",FQ57="",FQ$8="",FQ$7=""),"",ROUND(FQ57/FQ$8*FQ$7*KVARDI,2))</f>
        <v/>
      </c>
      <c r="FS57" s="39"/>
      <c r="FT57" s="40" t="str">
        <f aca="false">IF(OR(INDEX(Undirviðmið!$G$6:$G$105,(COLUMN()-7-1)/2+1)&lt;&gt;"Starfsbundið",FS57="",FS$8="",FS$7=""),"",ROUND(FS57/FS$8*FS$7*KVARDI,2))</f>
        <v/>
      </c>
      <c r="FU57" s="39"/>
      <c r="FV57" s="40" t="str">
        <f aca="false">IF(OR(INDEX(Undirviðmið!$G$6:$G$105,(COLUMN()-7-1)/2+1)&lt;&gt;"Starfsbundið",FU57="",FU$8="",FU$7=""),"",ROUND(FU57/FU$8*FU$7*KVARDI,2))</f>
        <v/>
      </c>
      <c r="FW57" s="39"/>
      <c r="FX57" s="40" t="str">
        <f aca="false">IF(OR(INDEX(Undirviðmið!$G$6:$G$105,(COLUMN()-7-1)/2+1)&lt;&gt;"Starfsbundið",FW57="",FW$8="",FW$7=""),"",ROUND(FW57/FW$8*FW$7*KVARDI,2))</f>
        <v/>
      </c>
      <c r="FY57" s="39"/>
      <c r="FZ57" s="40" t="str">
        <f aca="false">IF(OR(INDEX(Undirviðmið!$G$6:$G$105,(COLUMN()-7-1)/2+1)&lt;&gt;"Starfsbundið",FY57="",FY$8="",FY$7=""),"",ROUND(FY57/FY$8*FY$7*KVARDI,2))</f>
        <v/>
      </c>
      <c r="GA57" s="39"/>
      <c r="GB57" s="40" t="str">
        <f aca="false">IF(OR(INDEX(Undirviðmið!$G$6:$G$105,(COLUMN()-7-1)/2+1)&lt;&gt;"Starfsbundið",GA57="",GA$8="",GA$7=""),"",ROUND(GA57/GA$8*GA$7*KVARDI,2))</f>
        <v/>
      </c>
      <c r="GC57" s="39"/>
      <c r="GD57" s="40" t="str">
        <f aca="false">IF(OR(INDEX(Undirviðmið!$G$6:$G$105,(COLUMN()-7-1)/2+1)&lt;&gt;"Starfsbundið",GC57="",GC$8="",GC$7=""),"",ROUND(GC57/GC$8*GC$7*KVARDI,2))</f>
        <v/>
      </c>
      <c r="GE57" s="39"/>
      <c r="GF57" s="40" t="str">
        <f aca="false">IF(OR(INDEX(Undirviðmið!$G$6:$G$105,(COLUMN()-7-1)/2+1)&lt;&gt;"Starfsbundið",GE57="",GE$8="",GE$7=""),"",ROUND(GE57/GE$8*GE$7*KVARDI,2))</f>
        <v/>
      </c>
      <c r="GG57" s="39"/>
      <c r="GH57" s="40" t="str">
        <f aca="false">IF(OR(INDEX(Undirviðmið!$G$6:$G$105,(COLUMN()-7-1)/2+1)&lt;&gt;"Starfsbundið",GG57="",GG$8="",GG$7=""),"",ROUND(GG57/GG$8*GG$7*KVARDI,2))</f>
        <v/>
      </c>
      <c r="GI57" s="39"/>
      <c r="GJ57" s="40" t="str">
        <f aca="false">IF(OR(INDEX(Undirviðmið!$G$6:$G$105,(COLUMN()-7-1)/2+1)&lt;&gt;"Starfsbundið",GI57="",GI$8="",GI$7=""),"",ROUND(GI57/GI$8*GI$7*KVARDI,2))</f>
        <v/>
      </c>
      <c r="GK57" s="39"/>
      <c r="GL57" s="40" t="str">
        <f aca="false">IF(OR(INDEX(Undirviðmið!$G$6:$G$105,(COLUMN()-7-1)/2+1)&lt;&gt;"Starfsbundið",GK57="",GK$8="",GK$7=""),"",ROUND(GK57/GK$8*GK$7*KVARDI,2))</f>
        <v/>
      </c>
      <c r="GM57" s="39"/>
      <c r="GN57" s="40" t="str">
        <f aca="false">IF(OR(INDEX(Undirviðmið!$G$6:$G$105,(COLUMN()-7-1)/2+1)&lt;&gt;"Starfsbundið",GM57="",GM$8="",GM$7=""),"",ROUND(GM57/GM$8*GM$7*KVARDI,2))</f>
        <v/>
      </c>
      <c r="GO57" s="39"/>
      <c r="GP57" s="40" t="str">
        <f aca="false">IF(OR(INDEX(Undirviðmið!$G$6:$G$105,(COLUMN()-7-1)/2+1)&lt;&gt;"Starfsbundið",GO57="",GO$8="",GO$7=""),"",ROUND(GO57/GO$8*GO$7*KVARDI,2))</f>
        <v/>
      </c>
      <c r="GQ57" s="39"/>
      <c r="GR57" s="40" t="str">
        <f aca="false">IF(OR(INDEX(Undirviðmið!$G$6:$G$105,(COLUMN()-7-1)/2+1)&lt;&gt;"Starfsbundið",GQ57="",GQ$8="",GQ$7=""),"",ROUND(GQ57/GQ$8*GQ$7*KVARDI,2))</f>
        <v/>
      </c>
      <c r="GS57" s="39"/>
      <c r="GT57" s="40" t="str">
        <f aca="false">IF(OR(INDEX(Undirviðmið!$G$6:$G$105,(COLUMN()-7-1)/2+1)&lt;&gt;"Starfsbundið",GS57="",GS$8="",GS$7=""),"",ROUND(GS57/GS$8*GS$7*KVARDI,2))</f>
        <v/>
      </c>
      <c r="GU57" s="39"/>
      <c r="GV57" s="40" t="str">
        <f aca="false">IF(OR(INDEX(Undirviðmið!$G$6:$G$105,(COLUMN()-7-1)/2+1)&lt;&gt;"Starfsbundið",GU57="",GU$8="",GU$7=""),"",ROUND(GU57/GU$8*GU$7*KVARDI,2))</f>
        <v/>
      </c>
      <c r="GW57" s="39"/>
      <c r="GX57" s="40" t="str">
        <f aca="false">IF(OR(INDEX(Undirviðmið!$G$6:$G$105,(COLUMN()-7-1)/2+1)&lt;&gt;"Starfsbundið",GW57="",GW$8="",GW$7=""),"",ROUND(GW57/GW$8*GW$7*KVARDI,2))</f>
        <v/>
      </c>
      <c r="GZ57" s="20"/>
    </row>
    <row r="58" customFormat="false" ht="15" hidden="true" customHeight="true" outlineLevel="1" collapsed="false">
      <c r="B58" s="37" t="str">
        <f aca="false" t="array" ref="B58:B58">IFERROR(INDEX(Starfsmenn!$C$6:$C$10005,MATCH(0,COUNTIF($B$11:B57,Starfsmenn!$C$6:$C$10005)+(Starfsmenn!$C$6:$C$10005=""),0)),"")</f>
        <v/>
      </c>
      <c r="C58" s="38" t="n">
        <f aca="false">IFERROR(SUMIF($G$10:$GX$10,"Stig",$G58:$GX58),0)</f>
        <v>0</v>
      </c>
      <c r="G58" s="39"/>
      <c r="H58" s="40" t="str">
        <f aca="false">IF(OR(INDEX(Undirviðmið!$G$6:$G$105,(COLUMN()-7-1)/2+1)&lt;&gt;"Starfsbundið",G58="",G$8="",G$7=""),"",ROUND(G58/G$8*G$7*KVARDI,2))</f>
        <v/>
      </c>
      <c r="I58" s="39"/>
      <c r="J58" s="40" t="str">
        <f aca="false">IF(OR(INDEX(Undirviðmið!$G$6:$G$105,(COLUMN()-7-1)/2+1)&lt;&gt;"Starfsbundið",I58="",I$8="",I$7=""),"",ROUND(I58/I$8*I$7*KVARDI,2))</f>
        <v/>
      </c>
      <c r="K58" s="39"/>
      <c r="L58" s="40" t="str">
        <f aca="false">IF(OR(INDEX(Undirviðmið!$G$6:$G$105,(COLUMN()-7-1)/2+1)&lt;&gt;"Starfsbundið",K58="",K$8="",K$7=""),"",ROUND(K58/K$8*K$7*KVARDI,2))</f>
        <v/>
      </c>
      <c r="M58" s="39"/>
      <c r="N58" s="40" t="str">
        <f aca="false">IF(OR(INDEX(Undirviðmið!$G$6:$G$105,(COLUMN()-7-1)/2+1)&lt;&gt;"Starfsbundið",M58="",M$8="",M$7=""),"",ROUND(M58/M$8*M$7*KVARDI,2))</f>
        <v/>
      </c>
      <c r="O58" s="39"/>
      <c r="P58" s="40" t="str">
        <f aca="false">IF(OR(INDEX(Undirviðmið!$G$6:$G$105,(COLUMN()-7-1)/2+1)&lt;&gt;"Starfsbundið",O58="",O$8="",O$7=""),"",ROUND(O58/O$8*O$7*KVARDI,2))</f>
        <v/>
      </c>
      <c r="Q58" s="39"/>
      <c r="R58" s="40" t="str">
        <f aca="false">IF(OR(INDEX(Undirviðmið!$G$6:$G$105,(COLUMN()-7-1)/2+1)&lt;&gt;"Starfsbundið",Q58="",Q$8="",Q$7=""),"",ROUND(Q58/Q$8*Q$7*KVARDI,2))</f>
        <v/>
      </c>
      <c r="S58" s="39"/>
      <c r="T58" s="40" t="str">
        <f aca="false">IF(OR(INDEX(Undirviðmið!$G$6:$G$105,(COLUMN()-7-1)/2+1)&lt;&gt;"Starfsbundið",S58="",S$8="",S$7=""),"",ROUND(S58/S$8*S$7*KVARDI,2))</f>
        <v/>
      </c>
      <c r="U58" s="39"/>
      <c r="V58" s="40" t="str">
        <f aca="false">IF(OR(INDEX(Undirviðmið!$G$6:$G$105,(COLUMN()-7-1)/2+1)&lt;&gt;"Starfsbundið",U58="",U$8="",U$7=""),"",ROUND(U58/U$8*U$7*KVARDI,2))</f>
        <v/>
      </c>
      <c r="W58" s="39"/>
      <c r="X58" s="40" t="str">
        <f aca="false">IF(OR(INDEX(Undirviðmið!$G$6:$G$105,(COLUMN()-7-1)/2+1)&lt;&gt;"Starfsbundið",W58="",W$8="",W$7=""),"",ROUND(W58/W$8*W$7*KVARDI,2))</f>
        <v/>
      </c>
      <c r="Y58" s="39"/>
      <c r="Z58" s="40" t="str">
        <f aca="false">IF(OR(INDEX(Undirviðmið!$G$6:$G$105,(COLUMN()-7-1)/2+1)&lt;&gt;"Starfsbundið",Y58="",Y$8="",Y$7=""),"",ROUND(Y58/Y$8*Y$7*KVARDI,2))</f>
        <v/>
      </c>
      <c r="AA58" s="39"/>
      <c r="AB58" s="40" t="str">
        <f aca="false">IF(OR(INDEX(Undirviðmið!$G$6:$G$105,(COLUMN()-7-1)/2+1)&lt;&gt;"Starfsbundið",AA58="",AA$8="",AA$7=""),"",ROUND(AA58/AA$8*AA$7*KVARDI,2))</f>
        <v/>
      </c>
      <c r="AC58" s="39"/>
      <c r="AD58" s="40" t="str">
        <f aca="false">IF(OR(INDEX(Undirviðmið!$G$6:$G$105,(COLUMN()-7-1)/2+1)&lt;&gt;"Starfsbundið",AC58="",AC$8="",AC$7=""),"",ROUND(AC58/AC$8*AC$7*KVARDI,2))</f>
        <v/>
      </c>
      <c r="AE58" s="39"/>
      <c r="AF58" s="40" t="str">
        <f aca="false">IF(OR(INDEX(Undirviðmið!$G$6:$G$105,(COLUMN()-7-1)/2+1)&lt;&gt;"Starfsbundið",AE58="",AE$8="",AE$7=""),"",ROUND(AE58/AE$8*AE$7*KVARDI,2))</f>
        <v/>
      </c>
      <c r="AG58" s="39"/>
      <c r="AH58" s="40" t="str">
        <f aca="false">IF(OR(INDEX(Undirviðmið!$G$6:$G$105,(COLUMN()-7-1)/2+1)&lt;&gt;"Starfsbundið",AG58="",AG$8="",AG$7=""),"",ROUND(AG58/AG$8*AG$7*KVARDI,2))</f>
        <v/>
      </c>
      <c r="AI58" s="39"/>
      <c r="AJ58" s="40" t="str">
        <f aca="false">IF(OR(INDEX(Undirviðmið!$G$6:$G$105,(COLUMN()-7-1)/2+1)&lt;&gt;"Starfsbundið",AI58="",AI$8="",AI$7=""),"",ROUND(AI58/AI$8*AI$7*KVARDI,2))</f>
        <v/>
      </c>
      <c r="AK58" s="39"/>
      <c r="AL58" s="40" t="str">
        <f aca="false">IF(OR(INDEX(Undirviðmið!$G$6:$G$105,(COLUMN()-7-1)/2+1)&lt;&gt;"Starfsbundið",AK58="",AK$8="",AK$7=""),"",ROUND(AK58/AK$8*AK$7*KVARDI,2))</f>
        <v/>
      </c>
      <c r="AM58" s="39"/>
      <c r="AN58" s="40" t="str">
        <f aca="false">IF(OR(INDEX(Undirviðmið!$G$6:$G$105,(COLUMN()-7-1)/2+1)&lt;&gt;"Starfsbundið",AM58="",AM$8="",AM$7=""),"",ROUND(AM58/AM$8*AM$7*KVARDI,2))</f>
        <v/>
      </c>
      <c r="AO58" s="39"/>
      <c r="AP58" s="40" t="str">
        <f aca="false">IF(OR(INDEX(Undirviðmið!$G$6:$G$105,(COLUMN()-7-1)/2+1)&lt;&gt;"Starfsbundið",AO58="",AO$8="",AO$7=""),"",ROUND(AO58/AO$8*AO$7*KVARDI,2))</f>
        <v/>
      </c>
      <c r="AQ58" s="39"/>
      <c r="AR58" s="40" t="str">
        <f aca="false">IF(OR(INDEX(Undirviðmið!$G$6:$G$105,(COLUMN()-7-1)/2+1)&lt;&gt;"Starfsbundið",AQ58="",AQ$8="",AQ$7=""),"",ROUND(AQ58/AQ$8*AQ$7*KVARDI,2))</f>
        <v/>
      </c>
      <c r="AS58" s="39"/>
      <c r="AT58" s="40" t="str">
        <f aca="false">IF(OR(INDEX(Undirviðmið!$G$6:$G$105,(COLUMN()-7-1)/2+1)&lt;&gt;"Starfsbundið",AS58="",AS$8="",AS$7=""),"",ROUND(AS58/AS$8*AS$7*KVARDI,2))</f>
        <v/>
      </c>
      <c r="AU58" s="39"/>
      <c r="AV58" s="40" t="str">
        <f aca="false">IF(OR(INDEX(Undirviðmið!$G$6:$G$105,(COLUMN()-7-1)/2+1)&lt;&gt;"Starfsbundið",AU58="",AU$8="",AU$7=""),"",ROUND(AU58/AU$8*AU$7*KVARDI,2))</f>
        <v/>
      </c>
      <c r="AW58" s="39"/>
      <c r="AX58" s="40" t="str">
        <f aca="false">IF(OR(INDEX(Undirviðmið!$G$6:$G$105,(COLUMN()-7-1)/2+1)&lt;&gt;"Starfsbundið",AW58="",AW$8="",AW$7=""),"",ROUND(AW58/AW$8*AW$7*KVARDI,2))</f>
        <v/>
      </c>
      <c r="AY58" s="39"/>
      <c r="AZ58" s="40" t="str">
        <f aca="false">IF(OR(INDEX(Undirviðmið!$G$6:$G$105,(COLUMN()-7-1)/2+1)&lt;&gt;"Starfsbundið",AY58="",AY$8="",AY$7=""),"",ROUND(AY58/AY$8*AY$7*KVARDI,2))</f>
        <v/>
      </c>
      <c r="BA58" s="39"/>
      <c r="BB58" s="40" t="str">
        <f aca="false">IF(OR(INDEX(Undirviðmið!$G$6:$G$105,(COLUMN()-7-1)/2+1)&lt;&gt;"Starfsbundið",BA58="",BA$8="",BA$7=""),"",ROUND(BA58/BA$8*BA$7*KVARDI,2))</f>
        <v/>
      </c>
      <c r="BC58" s="39"/>
      <c r="BD58" s="40" t="str">
        <f aca="false">IF(OR(INDEX(Undirviðmið!$G$6:$G$105,(COLUMN()-7-1)/2+1)&lt;&gt;"Starfsbundið",BC58="",BC$8="",BC$7=""),"",ROUND(BC58/BC$8*BC$7*KVARDI,2))</f>
        <v/>
      </c>
      <c r="BE58" s="39"/>
      <c r="BF58" s="40" t="str">
        <f aca="false">IF(OR(INDEX(Undirviðmið!$G$6:$G$105,(COLUMN()-7-1)/2+1)&lt;&gt;"Starfsbundið",BE58="",BE$8="",BE$7=""),"",ROUND(BE58/BE$8*BE$7*KVARDI,2))</f>
        <v/>
      </c>
      <c r="BG58" s="39"/>
      <c r="BH58" s="40" t="str">
        <f aca="false">IF(OR(INDEX(Undirviðmið!$G$6:$G$105,(COLUMN()-7-1)/2+1)&lt;&gt;"Starfsbundið",BG58="",BG$8="",BG$7=""),"",ROUND(BG58/BG$8*BG$7*KVARDI,2))</f>
        <v/>
      </c>
      <c r="BI58" s="39"/>
      <c r="BJ58" s="40" t="str">
        <f aca="false">IF(OR(INDEX(Undirviðmið!$G$6:$G$105,(COLUMN()-7-1)/2+1)&lt;&gt;"Starfsbundið",BI58="",BI$8="",BI$7=""),"",ROUND(BI58/BI$8*BI$7*KVARDI,2))</f>
        <v/>
      </c>
      <c r="BK58" s="39"/>
      <c r="BL58" s="40" t="str">
        <f aca="false">IF(OR(INDEX(Undirviðmið!$G$6:$G$105,(COLUMN()-7-1)/2+1)&lt;&gt;"Starfsbundið",BK58="",BK$8="",BK$7=""),"",ROUND(BK58/BK$8*BK$7*KVARDI,2))</f>
        <v/>
      </c>
      <c r="BM58" s="39"/>
      <c r="BN58" s="40" t="str">
        <f aca="false">IF(OR(INDEX(Undirviðmið!$G$6:$G$105,(COLUMN()-7-1)/2+1)&lt;&gt;"Starfsbundið",BM58="",BM$8="",BM$7=""),"",ROUND(BM58/BM$8*BM$7*KVARDI,2))</f>
        <v/>
      </c>
      <c r="BO58" s="39"/>
      <c r="BP58" s="40" t="str">
        <f aca="false">IF(OR(INDEX(Undirviðmið!$G$6:$G$105,(COLUMN()-7-1)/2+1)&lt;&gt;"Starfsbundið",BO58="",BO$8="",BO$7=""),"",ROUND(BO58/BO$8*BO$7*KVARDI,2))</f>
        <v/>
      </c>
      <c r="BQ58" s="39"/>
      <c r="BR58" s="40" t="str">
        <f aca="false">IF(OR(INDEX(Undirviðmið!$G$6:$G$105,(COLUMN()-7-1)/2+1)&lt;&gt;"Starfsbundið",BQ58="",BQ$8="",BQ$7=""),"",ROUND(BQ58/BQ$8*BQ$7*KVARDI,2))</f>
        <v/>
      </c>
      <c r="BS58" s="39"/>
      <c r="BT58" s="40" t="str">
        <f aca="false">IF(OR(INDEX(Undirviðmið!$G$6:$G$105,(COLUMN()-7-1)/2+1)&lt;&gt;"Starfsbundið",BS58="",BS$8="",BS$7=""),"",ROUND(BS58/BS$8*BS$7*KVARDI,2))</f>
        <v/>
      </c>
      <c r="BU58" s="39"/>
      <c r="BV58" s="40" t="str">
        <f aca="false">IF(OR(INDEX(Undirviðmið!$G$6:$G$105,(COLUMN()-7-1)/2+1)&lt;&gt;"Starfsbundið",BU58="",BU$8="",BU$7=""),"",ROUND(BU58/BU$8*BU$7*KVARDI,2))</f>
        <v/>
      </c>
      <c r="BW58" s="39"/>
      <c r="BX58" s="40" t="str">
        <f aca="false">IF(OR(INDEX(Undirviðmið!$G$6:$G$105,(COLUMN()-7-1)/2+1)&lt;&gt;"Starfsbundið",BW58="",BW$8="",BW$7=""),"",ROUND(BW58/BW$8*BW$7*KVARDI,2))</f>
        <v/>
      </c>
      <c r="BY58" s="39"/>
      <c r="BZ58" s="40" t="str">
        <f aca="false">IF(OR(INDEX(Undirviðmið!$G$6:$G$105,(COLUMN()-7-1)/2+1)&lt;&gt;"Starfsbundið",BY58="",BY$8="",BY$7=""),"",ROUND(BY58/BY$8*BY$7*KVARDI,2))</f>
        <v/>
      </c>
      <c r="CA58" s="39"/>
      <c r="CB58" s="40" t="str">
        <f aca="false">IF(OR(INDEX(Undirviðmið!$G$6:$G$105,(COLUMN()-7-1)/2+1)&lt;&gt;"Starfsbundið",CA58="",CA$8="",CA$7=""),"",ROUND(CA58/CA$8*CA$7*KVARDI,2))</f>
        <v/>
      </c>
      <c r="CC58" s="39"/>
      <c r="CD58" s="40" t="str">
        <f aca="false">IF(OR(INDEX(Undirviðmið!$G$6:$G$105,(COLUMN()-7-1)/2+1)&lt;&gt;"Starfsbundið",CC58="",CC$8="",CC$7=""),"",ROUND(CC58/CC$8*CC$7*KVARDI,2))</f>
        <v/>
      </c>
      <c r="CE58" s="39"/>
      <c r="CF58" s="40" t="str">
        <f aca="false">IF(OR(INDEX(Undirviðmið!$G$6:$G$105,(COLUMN()-7-1)/2+1)&lt;&gt;"Starfsbundið",CE58="",CE$8="",CE$7=""),"",ROUND(CE58/CE$8*CE$7*KVARDI,2))</f>
        <v/>
      </c>
      <c r="CG58" s="39"/>
      <c r="CH58" s="40" t="str">
        <f aca="false">IF(OR(INDEX(Undirviðmið!$G$6:$G$105,(COLUMN()-7-1)/2+1)&lt;&gt;"Starfsbundið",CG58="",CG$8="",CG$7=""),"",ROUND(CG58/CG$8*CG$7*KVARDI,2))</f>
        <v/>
      </c>
      <c r="CI58" s="39"/>
      <c r="CJ58" s="40" t="str">
        <f aca="false">IF(OR(INDEX(Undirviðmið!$G$6:$G$105,(COLUMN()-7-1)/2+1)&lt;&gt;"Starfsbundið",CI58="",CI$8="",CI$7=""),"",ROUND(CI58/CI$8*CI$7*KVARDI,2))</f>
        <v/>
      </c>
      <c r="CK58" s="39"/>
      <c r="CL58" s="40" t="str">
        <f aca="false">IF(OR(INDEX(Undirviðmið!$G$6:$G$105,(COLUMN()-7-1)/2+1)&lt;&gt;"Starfsbundið",CK58="",CK$8="",CK$7=""),"",ROUND(CK58/CK$8*CK$7*KVARDI,2))</f>
        <v/>
      </c>
      <c r="CM58" s="39"/>
      <c r="CN58" s="40" t="str">
        <f aca="false">IF(OR(INDEX(Undirviðmið!$G$6:$G$105,(COLUMN()-7-1)/2+1)&lt;&gt;"Starfsbundið",CM58="",CM$8="",CM$7=""),"",ROUND(CM58/CM$8*CM$7*KVARDI,2))</f>
        <v/>
      </c>
      <c r="CO58" s="39"/>
      <c r="CP58" s="40" t="str">
        <f aca="false">IF(OR(INDEX(Undirviðmið!$G$6:$G$105,(COLUMN()-7-1)/2+1)&lt;&gt;"Starfsbundið",CO58="",CO$8="",CO$7=""),"",ROUND(CO58/CO$8*CO$7*KVARDI,2))</f>
        <v/>
      </c>
      <c r="CQ58" s="39"/>
      <c r="CR58" s="40" t="str">
        <f aca="false">IF(OR(INDEX(Undirviðmið!$G$6:$G$105,(COLUMN()-7-1)/2+1)&lt;&gt;"Starfsbundið",CQ58="",CQ$8="",CQ$7=""),"",ROUND(CQ58/CQ$8*CQ$7*KVARDI,2))</f>
        <v/>
      </c>
      <c r="CS58" s="39"/>
      <c r="CT58" s="40" t="str">
        <f aca="false">IF(OR(INDEX(Undirviðmið!$G$6:$G$105,(COLUMN()-7-1)/2+1)&lt;&gt;"Starfsbundið",CS58="",CS$8="",CS$7=""),"",ROUND(CS58/CS$8*CS$7*KVARDI,2))</f>
        <v/>
      </c>
      <c r="CU58" s="39"/>
      <c r="CV58" s="40" t="str">
        <f aca="false">IF(OR(INDEX(Undirviðmið!$G$6:$G$105,(COLUMN()-7-1)/2+1)&lt;&gt;"Starfsbundið",CU58="",CU$8="",CU$7=""),"",ROUND(CU58/CU$8*CU$7*KVARDI,2))</f>
        <v/>
      </c>
      <c r="CW58" s="39"/>
      <c r="CX58" s="40" t="str">
        <f aca="false">IF(OR(INDEX(Undirviðmið!$G$6:$G$105,(COLUMN()-7-1)/2+1)&lt;&gt;"Starfsbundið",CW58="",CW$8="",CW$7=""),"",ROUND(CW58/CW$8*CW$7*KVARDI,2))</f>
        <v/>
      </c>
      <c r="CY58" s="39"/>
      <c r="CZ58" s="40" t="str">
        <f aca="false">IF(OR(INDEX(Undirviðmið!$G$6:$G$105,(COLUMN()-7-1)/2+1)&lt;&gt;"Starfsbundið",CY58="",CY$8="",CY$7=""),"",ROUND(CY58/CY$8*CY$7*KVARDI,2))</f>
        <v/>
      </c>
      <c r="DA58" s="39"/>
      <c r="DB58" s="40" t="str">
        <f aca="false">IF(OR(INDEX(Undirviðmið!$G$6:$G$105,(COLUMN()-7-1)/2+1)&lt;&gt;"Starfsbundið",DA58="",DA$8="",DA$7=""),"",ROUND(DA58/DA$8*DA$7*KVARDI,2))</f>
        <v/>
      </c>
      <c r="DC58" s="39"/>
      <c r="DD58" s="40" t="str">
        <f aca="false">IF(OR(INDEX(Undirviðmið!$G$6:$G$105,(COLUMN()-7-1)/2+1)&lt;&gt;"Starfsbundið",DC58="",DC$8="",DC$7=""),"",ROUND(DC58/DC$8*DC$7*KVARDI,2))</f>
        <v/>
      </c>
      <c r="DE58" s="39"/>
      <c r="DF58" s="40" t="str">
        <f aca="false">IF(OR(INDEX(Undirviðmið!$G$6:$G$105,(COLUMN()-7-1)/2+1)&lt;&gt;"Starfsbundið",DE58="",DE$8="",DE$7=""),"",ROUND(DE58/DE$8*DE$7*KVARDI,2))</f>
        <v/>
      </c>
      <c r="DG58" s="39"/>
      <c r="DH58" s="40" t="str">
        <f aca="false">IF(OR(INDEX(Undirviðmið!$G$6:$G$105,(COLUMN()-7-1)/2+1)&lt;&gt;"Starfsbundið",DG58="",DG$8="",DG$7=""),"",ROUND(DG58/DG$8*DG$7*KVARDI,2))</f>
        <v/>
      </c>
      <c r="DI58" s="39"/>
      <c r="DJ58" s="40" t="str">
        <f aca="false">IF(OR(INDEX(Undirviðmið!$G$6:$G$105,(COLUMN()-7-1)/2+1)&lt;&gt;"Starfsbundið",DI58="",DI$8="",DI$7=""),"",ROUND(DI58/DI$8*DI$7*KVARDI,2))</f>
        <v/>
      </c>
      <c r="DK58" s="39"/>
      <c r="DL58" s="40" t="str">
        <f aca="false">IF(OR(INDEX(Undirviðmið!$G$6:$G$105,(COLUMN()-7-1)/2+1)&lt;&gt;"Starfsbundið",DK58="",DK$8="",DK$7=""),"",ROUND(DK58/DK$8*DK$7*KVARDI,2))</f>
        <v/>
      </c>
      <c r="DM58" s="39"/>
      <c r="DN58" s="40" t="str">
        <f aca="false">IF(OR(INDEX(Undirviðmið!$G$6:$G$105,(COLUMN()-7-1)/2+1)&lt;&gt;"Starfsbundið",DM58="",DM$8="",DM$7=""),"",ROUND(DM58/DM$8*DM$7*KVARDI,2))</f>
        <v/>
      </c>
      <c r="DO58" s="39"/>
      <c r="DP58" s="40" t="str">
        <f aca="false">IF(OR(INDEX(Undirviðmið!$G$6:$G$105,(COLUMN()-7-1)/2+1)&lt;&gt;"Starfsbundið",DO58="",DO$8="",DO$7=""),"",ROUND(DO58/DO$8*DO$7*KVARDI,2))</f>
        <v/>
      </c>
      <c r="DQ58" s="39"/>
      <c r="DR58" s="40" t="str">
        <f aca="false">IF(OR(INDEX(Undirviðmið!$G$6:$G$105,(COLUMN()-7-1)/2+1)&lt;&gt;"Starfsbundið",DQ58="",DQ$8="",DQ$7=""),"",ROUND(DQ58/DQ$8*DQ$7*KVARDI,2))</f>
        <v/>
      </c>
      <c r="DS58" s="39"/>
      <c r="DT58" s="40" t="str">
        <f aca="false">IF(OR(INDEX(Undirviðmið!$G$6:$G$105,(COLUMN()-7-1)/2+1)&lt;&gt;"Starfsbundið",DS58="",DS$8="",DS$7=""),"",ROUND(DS58/DS$8*DS$7*KVARDI,2))</f>
        <v/>
      </c>
      <c r="DU58" s="39"/>
      <c r="DV58" s="40" t="str">
        <f aca="false">IF(OR(INDEX(Undirviðmið!$G$6:$G$105,(COLUMN()-7-1)/2+1)&lt;&gt;"Starfsbundið",DU58="",DU$8="",DU$7=""),"",ROUND(DU58/DU$8*DU$7*KVARDI,2))</f>
        <v/>
      </c>
      <c r="DW58" s="39"/>
      <c r="DX58" s="40" t="str">
        <f aca="false">IF(OR(INDEX(Undirviðmið!$G$6:$G$105,(COLUMN()-7-1)/2+1)&lt;&gt;"Starfsbundið",DW58="",DW$8="",DW$7=""),"",ROUND(DW58/DW$8*DW$7*KVARDI,2))</f>
        <v/>
      </c>
      <c r="DY58" s="39"/>
      <c r="DZ58" s="40" t="str">
        <f aca="false">IF(OR(INDEX(Undirviðmið!$G$6:$G$105,(COLUMN()-7-1)/2+1)&lt;&gt;"Starfsbundið",DY58="",DY$8="",DY$7=""),"",ROUND(DY58/DY$8*DY$7*KVARDI,2))</f>
        <v/>
      </c>
      <c r="EA58" s="39"/>
      <c r="EB58" s="40" t="str">
        <f aca="false">IF(OR(INDEX(Undirviðmið!$G$6:$G$105,(COLUMN()-7-1)/2+1)&lt;&gt;"Starfsbundið",EA58="",EA$8="",EA$7=""),"",ROUND(EA58/EA$8*EA$7*KVARDI,2))</f>
        <v/>
      </c>
      <c r="EC58" s="39"/>
      <c r="ED58" s="40" t="str">
        <f aca="false">IF(OR(INDEX(Undirviðmið!$G$6:$G$105,(COLUMN()-7-1)/2+1)&lt;&gt;"Starfsbundið",EC58="",EC$8="",EC$7=""),"",ROUND(EC58/EC$8*EC$7*KVARDI,2))</f>
        <v/>
      </c>
      <c r="EE58" s="39"/>
      <c r="EF58" s="40" t="str">
        <f aca="false">IF(OR(INDEX(Undirviðmið!$G$6:$G$105,(COLUMN()-7-1)/2+1)&lt;&gt;"Starfsbundið",EE58="",EE$8="",EE$7=""),"",ROUND(EE58/EE$8*EE$7*KVARDI,2))</f>
        <v/>
      </c>
      <c r="EG58" s="39"/>
      <c r="EH58" s="40" t="str">
        <f aca="false">IF(OR(INDEX(Undirviðmið!$G$6:$G$105,(COLUMN()-7-1)/2+1)&lt;&gt;"Starfsbundið",EG58="",EG$8="",EG$7=""),"",ROUND(EG58/EG$8*EG$7*KVARDI,2))</f>
        <v/>
      </c>
      <c r="EI58" s="39"/>
      <c r="EJ58" s="40" t="str">
        <f aca="false">IF(OR(INDEX(Undirviðmið!$G$6:$G$105,(COLUMN()-7-1)/2+1)&lt;&gt;"Starfsbundið",EI58="",EI$8="",EI$7=""),"",ROUND(EI58/EI$8*EI$7*KVARDI,2))</f>
        <v/>
      </c>
      <c r="EK58" s="39"/>
      <c r="EL58" s="40" t="str">
        <f aca="false">IF(OR(INDEX(Undirviðmið!$G$6:$G$105,(COLUMN()-7-1)/2+1)&lt;&gt;"Starfsbundið",EK58="",EK$8="",EK$7=""),"",ROUND(EK58/EK$8*EK$7*KVARDI,2))</f>
        <v/>
      </c>
      <c r="EM58" s="39"/>
      <c r="EN58" s="40" t="str">
        <f aca="false">IF(OR(INDEX(Undirviðmið!$G$6:$G$105,(COLUMN()-7-1)/2+1)&lt;&gt;"Starfsbundið",EM58="",EM$8="",EM$7=""),"",ROUND(EM58/EM$8*EM$7*KVARDI,2))</f>
        <v/>
      </c>
      <c r="EO58" s="39"/>
      <c r="EP58" s="40" t="str">
        <f aca="false">IF(OR(INDEX(Undirviðmið!$G$6:$G$105,(COLUMN()-7-1)/2+1)&lt;&gt;"Starfsbundið",EO58="",EO$8="",EO$7=""),"",ROUND(EO58/EO$8*EO$7*KVARDI,2))</f>
        <v/>
      </c>
      <c r="EQ58" s="39"/>
      <c r="ER58" s="40" t="str">
        <f aca="false">IF(OR(INDEX(Undirviðmið!$G$6:$G$105,(COLUMN()-7-1)/2+1)&lt;&gt;"Starfsbundið",EQ58="",EQ$8="",EQ$7=""),"",ROUND(EQ58/EQ$8*EQ$7*KVARDI,2))</f>
        <v/>
      </c>
      <c r="ES58" s="39"/>
      <c r="ET58" s="40" t="str">
        <f aca="false">IF(OR(INDEX(Undirviðmið!$G$6:$G$105,(COLUMN()-7-1)/2+1)&lt;&gt;"Starfsbundið",ES58="",ES$8="",ES$7=""),"",ROUND(ES58/ES$8*ES$7*KVARDI,2))</f>
        <v/>
      </c>
      <c r="EU58" s="39"/>
      <c r="EV58" s="40" t="str">
        <f aca="false">IF(OR(INDEX(Undirviðmið!$G$6:$G$105,(COLUMN()-7-1)/2+1)&lt;&gt;"Starfsbundið",EU58="",EU$8="",EU$7=""),"",ROUND(EU58/EU$8*EU$7*KVARDI,2))</f>
        <v/>
      </c>
      <c r="EW58" s="39"/>
      <c r="EX58" s="40" t="str">
        <f aca="false">IF(OR(INDEX(Undirviðmið!$G$6:$G$105,(COLUMN()-7-1)/2+1)&lt;&gt;"Starfsbundið",EW58="",EW$8="",EW$7=""),"",ROUND(EW58/EW$8*EW$7*KVARDI,2))</f>
        <v/>
      </c>
      <c r="EY58" s="39"/>
      <c r="EZ58" s="40" t="str">
        <f aca="false">IF(OR(INDEX(Undirviðmið!$G$6:$G$105,(COLUMN()-7-1)/2+1)&lt;&gt;"Starfsbundið",EY58="",EY$8="",EY$7=""),"",ROUND(EY58/EY$8*EY$7*KVARDI,2))</f>
        <v/>
      </c>
      <c r="FA58" s="39"/>
      <c r="FB58" s="40" t="str">
        <f aca="false">IF(OR(INDEX(Undirviðmið!$G$6:$G$105,(COLUMN()-7-1)/2+1)&lt;&gt;"Starfsbundið",FA58="",FA$8="",FA$7=""),"",ROUND(FA58/FA$8*FA$7*KVARDI,2))</f>
        <v/>
      </c>
      <c r="FC58" s="39"/>
      <c r="FD58" s="40" t="str">
        <f aca="false">IF(OR(INDEX(Undirviðmið!$G$6:$G$105,(COLUMN()-7-1)/2+1)&lt;&gt;"Starfsbundið",FC58="",FC$8="",FC$7=""),"",ROUND(FC58/FC$8*FC$7*KVARDI,2))</f>
        <v/>
      </c>
      <c r="FE58" s="39"/>
      <c r="FF58" s="40" t="str">
        <f aca="false">IF(OR(INDEX(Undirviðmið!$G$6:$G$105,(COLUMN()-7-1)/2+1)&lt;&gt;"Starfsbundið",FE58="",FE$8="",FE$7=""),"",ROUND(FE58/FE$8*FE$7*KVARDI,2))</f>
        <v/>
      </c>
      <c r="FG58" s="39"/>
      <c r="FH58" s="40" t="str">
        <f aca="false">IF(OR(INDEX(Undirviðmið!$G$6:$G$105,(COLUMN()-7-1)/2+1)&lt;&gt;"Starfsbundið",FG58="",FG$8="",FG$7=""),"",ROUND(FG58/FG$8*FG$7*KVARDI,2))</f>
        <v/>
      </c>
      <c r="FI58" s="39"/>
      <c r="FJ58" s="40" t="str">
        <f aca="false">IF(OR(INDEX(Undirviðmið!$G$6:$G$105,(COLUMN()-7-1)/2+1)&lt;&gt;"Starfsbundið",FI58="",FI$8="",FI$7=""),"",ROUND(FI58/FI$8*FI$7*KVARDI,2))</f>
        <v/>
      </c>
      <c r="FK58" s="39"/>
      <c r="FL58" s="40" t="str">
        <f aca="false">IF(OR(INDEX(Undirviðmið!$G$6:$G$105,(COLUMN()-7-1)/2+1)&lt;&gt;"Starfsbundið",FK58="",FK$8="",FK$7=""),"",ROUND(FK58/FK$8*FK$7*KVARDI,2))</f>
        <v/>
      </c>
      <c r="FM58" s="39"/>
      <c r="FN58" s="40" t="str">
        <f aca="false">IF(OR(INDEX(Undirviðmið!$G$6:$G$105,(COLUMN()-7-1)/2+1)&lt;&gt;"Starfsbundið",FM58="",FM$8="",FM$7=""),"",ROUND(FM58/FM$8*FM$7*KVARDI,2))</f>
        <v/>
      </c>
      <c r="FO58" s="39"/>
      <c r="FP58" s="40" t="str">
        <f aca="false">IF(OR(INDEX(Undirviðmið!$G$6:$G$105,(COLUMN()-7-1)/2+1)&lt;&gt;"Starfsbundið",FO58="",FO$8="",FO$7=""),"",ROUND(FO58/FO$8*FO$7*KVARDI,2))</f>
        <v/>
      </c>
      <c r="FQ58" s="39"/>
      <c r="FR58" s="40" t="str">
        <f aca="false">IF(OR(INDEX(Undirviðmið!$G$6:$G$105,(COLUMN()-7-1)/2+1)&lt;&gt;"Starfsbundið",FQ58="",FQ$8="",FQ$7=""),"",ROUND(FQ58/FQ$8*FQ$7*KVARDI,2))</f>
        <v/>
      </c>
      <c r="FS58" s="39"/>
      <c r="FT58" s="40" t="str">
        <f aca="false">IF(OR(INDEX(Undirviðmið!$G$6:$G$105,(COLUMN()-7-1)/2+1)&lt;&gt;"Starfsbundið",FS58="",FS$8="",FS$7=""),"",ROUND(FS58/FS$8*FS$7*KVARDI,2))</f>
        <v/>
      </c>
      <c r="FU58" s="39"/>
      <c r="FV58" s="40" t="str">
        <f aca="false">IF(OR(INDEX(Undirviðmið!$G$6:$G$105,(COLUMN()-7-1)/2+1)&lt;&gt;"Starfsbundið",FU58="",FU$8="",FU$7=""),"",ROUND(FU58/FU$8*FU$7*KVARDI,2))</f>
        <v/>
      </c>
      <c r="FW58" s="39"/>
      <c r="FX58" s="40" t="str">
        <f aca="false">IF(OR(INDEX(Undirviðmið!$G$6:$G$105,(COLUMN()-7-1)/2+1)&lt;&gt;"Starfsbundið",FW58="",FW$8="",FW$7=""),"",ROUND(FW58/FW$8*FW$7*KVARDI,2))</f>
        <v/>
      </c>
      <c r="FY58" s="39"/>
      <c r="FZ58" s="40" t="str">
        <f aca="false">IF(OR(INDEX(Undirviðmið!$G$6:$G$105,(COLUMN()-7-1)/2+1)&lt;&gt;"Starfsbundið",FY58="",FY$8="",FY$7=""),"",ROUND(FY58/FY$8*FY$7*KVARDI,2))</f>
        <v/>
      </c>
      <c r="GA58" s="39"/>
      <c r="GB58" s="40" t="str">
        <f aca="false">IF(OR(INDEX(Undirviðmið!$G$6:$G$105,(COLUMN()-7-1)/2+1)&lt;&gt;"Starfsbundið",GA58="",GA$8="",GA$7=""),"",ROUND(GA58/GA$8*GA$7*KVARDI,2))</f>
        <v/>
      </c>
      <c r="GC58" s="39"/>
      <c r="GD58" s="40" t="str">
        <f aca="false">IF(OR(INDEX(Undirviðmið!$G$6:$G$105,(COLUMN()-7-1)/2+1)&lt;&gt;"Starfsbundið",GC58="",GC$8="",GC$7=""),"",ROUND(GC58/GC$8*GC$7*KVARDI,2))</f>
        <v/>
      </c>
      <c r="GE58" s="39"/>
      <c r="GF58" s="40" t="str">
        <f aca="false">IF(OR(INDEX(Undirviðmið!$G$6:$G$105,(COLUMN()-7-1)/2+1)&lt;&gt;"Starfsbundið",GE58="",GE$8="",GE$7=""),"",ROUND(GE58/GE$8*GE$7*KVARDI,2))</f>
        <v/>
      </c>
      <c r="GG58" s="39"/>
      <c r="GH58" s="40" t="str">
        <f aca="false">IF(OR(INDEX(Undirviðmið!$G$6:$G$105,(COLUMN()-7-1)/2+1)&lt;&gt;"Starfsbundið",GG58="",GG$8="",GG$7=""),"",ROUND(GG58/GG$8*GG$7*KVARDI,2))</f>
        <v/>
      </c>
      <c r="GI58" s="39"/>
      <c r="GJ58" s="40" t="str">
        <f aca="false">IF(OR(INDEX(Undirviðmið!$G$6:$G$105,(COLUMN()-7-1)/2+1)&lt;&gt;"Starfsbundið",GI58="",GI$8="",GI$7=""),"",ROUND(GI58/GI$8*GI$7*KVARDI,2))</f>
        <v/>
      </c>
      <c r="GK58" s="39"/>
      <c r="GL58" s="40" t="str">
        <f aca="false">IF(OR(INDEX(Undirviðmið!$G$6:$G$105,(COLUMN()-7-1)/2+1)&lt;&gt;"Starfsbundið",GK58="",GK$8="",GK$7=""),"",ROUND(GK58/GK$8*GK$7*KVARDI,2))</f>
        <v/>
      </c>
      <c r="GM58" s="39"/>
      <c r="GN58" s="40" t="str">
        <f aca="false">IF(OR(INDEX(Undirviðmið!$G$6:$G$105,(COLUMN()-7-1)/2+1)&lt;&gt;"Starfsbundið",GM58="",GM$8="",GM$7=""),"",ROUND(GM58/GM$8*GM$7*KVARDI,2))</f>
        <v/>
      </c>
      <c r="GO58" s="39"/>
      <c r="GP58" s="40" t="str">
        <f aca="false">IF(OR(INDEX(Undirviðmið!$G$6:$G$105,(COLUMN()-7-1)/2+1)&lt;&gt;"Starfsbundið",GO58="",GO$8="",GO$7=""),"",ROUND(GO58/GO$8*GO$7*KVARDI,2))</f>
        <v/>
      </c>
      <c r="GQ58" s="39"/>
      <c r="GR58" s="40" t="str">
        <f aca="false">IF(OR(INDEX(Undirviðmið!$G$6:$G$105,(COLUMN()-7-1)/2+1)&lt;&gt;"Starfsbundið",GQ58="",GQ$8="",GQ$7=""),"",ROUND(GQ58/GQ$8*GQ$7*KVARDI,2))</f>
        <v/>
      </c>
      <c r="GS58" s="39"/>
      <c r="GT58" s="40" t="str">
        <f aca="false">IF(OR(INDEX(Undirviðmið!$G$6:$G$105,(COLUMN()-7-1)/2+1)&lt;&gt;"Starfsbundið",GS58="",GS$8="",GS$7=""),"",ROUND(GS58/GS$8*GS$7*KVARDI,2))</f>
        <v/>
      </c>
      <c r="GU58" s="39"/>
      <c r="GV58" s="40" t="str">
        <f aca="false">IF(OR(INDEX(Undirviðmið!$G$6:$G$105,(COLUMN()-7-1)/2+1)&lt;&gt;"Starfsbundið",GU58="",GU$8="",GU$7=""),"",ROUND(GU58/GU$8*GU$7*KVARDI,2))</f>
        <v/>
      </c>
      <c r="GW58" s="39"/>
      <c r="GX58" s="40" t="str">
        <f aca="false">IF(OR(INDEX(Undirviðmið!$G$6:$G$105,(COLUMN()-7-1)/2+1)&lt;&gt;"Starfsbundið",GW58="",GW$8="",GW$7=""),"",ROUND(GW58/GW$8*GW$7*KVARDI,2))</f>
        <v/>
      </c>
      <c r="GZ58" s="20"/>
    </row>
    <row r="59" customFormat="false" ht="15" hidden="true" customHeight="true" outlineLevel="1" collapsed="false">
      <c r="B59" s="37" t="str">
        <f aca="false" t="array" ref="B59:B59">IFERROR(INDEX(Starfsmenn!$C$6:$C$10005,MATCH(0,COUNTIF($B$11:B58,Starfsmenn!$C$6:$C$10005)+(Starfsmenn!$C$6:$C$10005=""),0)),"")</f>
        <v/>
      </c>
      <c r="C59" s="38" t="n">
        <f aca="false">IFERROR(SUMIF($G$10:$GX$10,"Stig",$G59:$GX59),0)</f>
        <v>0</v>
      </c>
      <c r="G59" s="39"/>
      <c r="H59" s="40" t="str">
        <f aca="false">IF(OR(INDEX(Undirviðmið!$G$6:$G$105,(COLUMN()-7-1)/2+1)&lt;&gt;"Starfsbundið",G59="",G$8="",G$7=""),"",ROUND(G59/G$8*G$7*KVARDI,2))</f>
        <v/>
      </c>
      <c r="I59" s="39"/>
      <c r="J59" s="40" t="str">
        <f aca="false">IF(OR(INDEX(Undirviðmið!$G$6:$G$105,(COLUMN()-7-1)/2+1)&lt;&gt;"Starfsbundið",I59="",I$8="",I$7=""),"",ROUND(I59/I$8*I$7*KVARDI,2))</f>
        <v/>
      </c>
      <c r="K59" s="39"/>
      <c r="L59" s="40" t="str">
        <f aca="false">IF(OR(INDEX(Undirviðmið!$G$6:$G$105,(COLUMN()-7-1)/2+1)&lt;&gt;"Starfsbundið",K59="",K$8="",K$7=""),"",ROUND(K59/K$8*K$7*KVARDI,2))</f>
        <v/>
      </c>
      <c r="M59" s="39"/>
      <c r="N59" s="40" t="str">
        <f aca="false">IF(OR(INDEX(Undirviðmið!$G$6:$G$105,(COLUMN()-7-1)/2+1)&lt;&gt;"Starfsbundið",M59="",M$8="",M$7=""),"",ROUND(M59/M$8*M$7*KVARDI,2))</f>
        <v/>
      </c>
      <c r="O59" s="39"/>
      <c r="P59" s="40" t="str">
        <f aca="false">IF(OR(INDEX(Undirviðmið!$G$6:$G$105,(COLUMN()-7-1)/2+1)&lt;&gt;"Starfsbundið",O59="",O$8="",O$7=""),"",ROUND(O59/O$8*O$7*KVARDI,2))</f>
        <v/>
      </c>
      <c r="Q59" s="39"/>
      <c r="R59" s="40" t="str">
        <f aca="false">IF(OR(INDEX(Undirviðmið!$G$6:$G$105,(COLUMN()-7-1)/2+1)&lt;&gt;"Starfsbundið",Q59="",Q$8="",Q$7=""),"",ROUND(Q59/Q$8*Q$7*KVARDI,2))</f>
        <v/>
      </c>
      <c r="S59" s="39"/>
      <c r="T59" s="40" t="str">
        <f aca="false">IF(OR(INDEX(Undirviðmið!$G$6:$G$105,(COLUMN()-7-1)/2+1)&lt;&gt;"Starfsbundið",S59="",S$8="",S$7=""),"",ROUND(S59/S$8*S$7*KVARDI,2))</f>
        <v/>
      </c>
      <c r="U59" s="39"/>
      <c r="V59" s="40" t="str">
        <f aca="false">IF(OR(INDEX(Undirviðmið!$G$6:$G$105,(COLUMN()-7-1)/2+1)&lt;&gt;"Starfsbundið",U59="",U$8="",U$7=""),"",ROUND(U59/U$8*U$7*KVARDI,2))</f>
        <v/>
      </c>
      <c r="W59" s="39"/>
      <c r="X59" s="40" t="str">
        <f aca="false">IF(OR(INDEX(Undirviðmið!$G$6:$G$105,(COLUMN()-7-1)/2+1)&lt;&gt;"Starfsbundið",W59="",W$8="",W$7=""),"",ROUND(W59/W$8*W$7*KVARDI,2))</f>
        <v/>
      </c>
      <c r="Y59" s="39"/>
      <c r="Z59" s="40" t="str">
        <f aca="false">IF(OR(INDEX(Undirviðmið!$G$6:$G$105,(COLUMN()-7-1)/2+1)&lt;&gt;"Starfsbundið",Y59="",Y$8="",Y$7=""),"",ROUND(Y59/Y$8*Y$7*KVARDI,2))</f>
        <v/>
      </c>
      <c r="AA59" s="39"/>
      <c r="AB59" s="40" t="str">
        <f aca="false">IF(OR(INDEX(Undirviðmið!$G$6:$G$105,(COLUMN()-7-1)/2+1)&lt;&gt;"Starfsbundið",AA59="",AA$8="",AA$7=""),"",ROUND(AA59/AA$8*AA$7*KVARDI,2))</f>
        <v/>
      </c>
      <c r="AC59" s="39"/>
      <c r="AD59" s="40" t="str">
        <f aca="false">IF(OR(INDEX(Undirviðmið!$G$6:$G$105,(COLUMN()-7-1)/2+1)&lt;&gt;"Starfsbundið",AC59="",AC$8="",AC$7=""),"",ROUND(AC59/AC$8*AC$7*KVARDI,2))</f>
        <v/>
      </c>
      <c r="AE59" s="39"/>
      <c r="AF59" s="40" t="str">
        <f aca="false">IF(OR(INDEX(Undirviðmið!$G$6:$G$105,(COLUMN()-7-1)/2+1)&lt;&gt;"Starfsbundið",AE59="",AE$8="",AE$7=""),"",ROUND(AE59/AE$8*AE$7*KVARDI,2))</f>
        <v/>
      </c>
      <c r="AG59" s="39"/>
      <c r="AH59" s="40" t="str">
        <f aca="false">IF(OR(INDEX(Undirviðmið!$G$6:$G$105,(COLUMN()-7-1)/2+1)&lt;&gt;"Starfsbundið",AG59="",AG$8="",AG$7=""),"",ROUND(AG59/AG$8*AG$7*KVARDI,2))</f>
        <v/>
      </c>
      <c r="AI59" s="39"/>
      <c r="AJ59" s="40" t="str">
        <f aca="false">IF(OR(INDEX(Undirviðmið!$G$6:$G$105,(COLUMN()-7-1)/2+1)&lt;&gt;"Starfsbundið",AI59="",AI$8="",AI$7=""),"",ROUND(AI59/AI$8*AI$7*KVARDI,2))</f>
        <v/>
      </c>
      <c r="AK59" s="39"/>
      <c r="AL59" s="40" t="str">
        <f aca="false">IF(OR(INDEX(Undirviðmið!$G$6:$G$105,(COLUMN()-7-1)/2+1)&lt;&gt;"Starfsbundið",AK59="",AK$8="",AK$7=""),"",ROUND(AK59/AK$8*AK$7*KVARDI,2))</f>
        <v/>
      </c>
      <c r="AM59" s="39"/>
      <c r="AN59" s="40" t="str">
        <f aca="false">IF(OR(INDEX(Undirviðmið!$G$6:$G$105,(COLUMN()-7-1)/2+1)&lt;&gt;"Starfsbundið",AM59="",AM$8="",AM$7=""),"",ROUND(AM59/AM$8*AM$7*KVARDI,2))</f>
        <v/>
      </c>
      <c r="AO59" s="39"/>
      <c r="AP59" s="40" t="str">
        <f aca="false">IF(OR(INDEX(Undirviðmið!$G$6:$G$105,(COLUMN()-7-1)/2+1)&lt;&gt;"Starfsbundið",AO59="",AO$8="",AO$7=""),"",ROUND(AO59/AO$8*AO$7*KVARDI,2))</f>
        <v/>
      </c>
      <c r="AQ59" s="39"/>
      <c r="AR59" s="40" t="str">
        <f aca="false">IF(OR(INDEX(Undirviðmið!$G$6:$G$105,(COLUMN()-7-1)/2+1)&lt;&gt;"Starfsbundið",AQ59="",AQ$8="",AQ$7=""),"",ROUND(AQ59/AQ$8*AQ$7*KVARDI,2))</f>
        <v/>
      </c>
      <c r="AS59" s="39"/>
      <c r="AT59" s="40" t="str">
        <f aca="false">IF(OR(INDEX(Undirviðmið!$G$6:$G$105,(COLUMN()-7-1)/2+1)&lt;&gt;"Starfsbundið",AS59="",AS$8="",AS$7=""),"",ROUND(AS59/AS$8*AS$7*KVARDI,2))</f>
        <v/>
      </c>
      <c r="AU59" s="39"/>
      <c r="AV59" s="40" t="str">
        <f aca="false">IF(OR(INDEX(Undirviðmið!$G$6:$G$105,(COLUMN()-7-1)/2+1)&lt;&gt;"Starfsbundið",AU59="",AU$8="",AU$7=""),"",ROUND(AU59/AU$8*AU$7*KVARDI,2))</f>
        <v/>
      </c>
      <c r="AW59" s="39"/>
      <c r="AX59" s="40" t="str">
        <f aca="false">IF(OR(INDEX(Undirviðmið!$G$6:$G$105,(COLUMN()-7-1)/2+1)&lt;&gt;"Starfsbundið",AW59="",AW$8="",AW$7=""),"",ROUND(AW59/AW$8*AW$7*KVARDI,2))</f>
        <v/>
      </c>
      <c r="AY59" s="39"/>
      <c r="AZ59" s="40" t="str">
        <f aca="false">IF(OR(INDEX(Undirviðmið!$G$6:$G$105,(COLUMN()-7-1)/2+1)&lt;&gt;"Starfsbundið",AY59="",AY$8="",AY$7=""),"",ROUND(AY59/AY$8*AY$7*KVARDI,2))</f>
        <v/>
      </c>
      <c r="BA59" s="39"/>
      <c r="BB59" s="40" t="str">
        <f aca="false">IF(OR(INDEX(Undirviðmið!$G$6:$G$105,(COLUMN()-7-1)/2+1)&lt;&gt;"Starfsbundið",BA59="",BA$8="",BA$7=""),"",ROUND(BA59/BA$8*BA$7*KVARDI,2))</f>
        <v/>
      </c>
      <c r="BC59" s="39"/>
      <c r="BD59" s="40" t="str">
        <f aca="false">IF(OR(INDEX(Undirviðmið!$G$6:$G$105,(COLUMN()-7-1)/2+1)&lt;&gt;"Starfsbundið",BC59="",BC$8="",BC$7=""),"",ROUND(BC59/BC$8*BC$7*KVARDI,2))</f>
        <v/>
      </c>
      <c r="BE59" s="39"/>
      <c r="BF59" s="40" t="str">
        <f aca="false">IF(OR(INDEX(Undirviðmið!$G$6:$G$105,(COLUMN()-7-1)/2+1)&lt;&gt;"Starfsbundið",BE59="",BE$8="",BE$7=""),"",ROUND(BE59/BE$8*BE$7*KVARDI,2))</f>
        <v/>
      </c>
      <c r="BG59" s="39"/>
      <c r="BH59" s="40" t="str">
        <f aca="false">IF(OR(INDEX(Undirviðmið!$G$6:$G$105,(COLUMN()-7-1)/2+1)&lt;&gt;"Starfsbundið",BG59="",BG$8="",BG$7=""),"",ROUND(BG59/BG$8*BG$7*KVARDI,2))</f>
        <v/>
      </c>
      <c r="BI59" s="39"/>
      <c r="BJ59" s="40" t="str">
        <f aca="false">IF(OR(INDEX(Undirviðmið!$G$6:$G$105,(COLUMN()-7-1)/2+1)&lt;&gt;"Starfsbundið",BI59="",BI$8="",BI$7=""),"",ROUND(BI59/BI$8*BI$7*KVARDI,2))</f>
        <v/>
      </c>
      <c r="BK59" s="39"/>
      <c r="BL59" s="40" t="str">
        <f aca="false">IF(OR(INDEX(Undirviðmið!$G$6:$G$105,(COLUMN()-7-1)/2+1)&lt;&gt;"Starfsbundið",BK59="",BK$8="",BK$7=""),"",ROUND(BK59/BK$8*BK$7*KVARDI,2))</f>
        <v/>
      </c>
      <c r="BM59" s="39"/>
      <c r="BN59" s="40" t="str">
        <f aca="false">IF(OR(INDEX(Undirviðmið!$G$6:$G$105,(COLUMN()-7-1)/2+1)&lt;&gt;"Starfsbundið",BM59="",BM$8="",BM$7=""),"",ROUND(BM59/BM$8*BM$7*KVARDI,2))</f>
        <v/>
      </c>
      <c r="BO59" s="39"/>
      <c r="BP59" s="40" t="str">
        <f aca="false">IF(OR(INDEX(Undirviðmið!$G$6:$G$105,(COLUMN()-7-1)/2+1)&lt;&gt;"Starfsbundið",BO59="",BO$8="",BO$7=""),"",ROUND(BO59/BO$8*BO$7*KVARDI,2))</f>
        <v/>
      </c>
      <c r="BQ59" s="39"/>
      <c r="BR59" s="40" t="str">
        <f aca="false">IF(OR(INDEX(Undirviðmið!$G$6:$G$105,(COLUMN()-7-1)/2+1)&lt;&gt;"Starfsbundið",BQ59="",BQ$8="",BQ$7=""),"",ROUND(BQ59/BQ$8*BQ$7*KVARDI,2))</f>
        <v/>
      </c>
      <c r="BS59" s="39"/>
      <c r="BT59" s="40" t="str">
        <f aca="false">IF(OR(INDEX(Undirviðmið!$G$6:$G$105,(COLUMN()-7-1)/2+1)&lt;&gt;"Starfsbundið",BS59="",BS$8="",BS$7=""),"",ROUND(BS59/BS$8*BS$7*KVARDI,2))</f>
        <v/>
      </c>
      <c r="BU59" s="39"/>
      <c r="BV59" s="40" t="str">
        <f aca="false">IF(OR(INDEX(Undirviðmið!$G$6:$G$105,(COLUMN()-7-1)/2+1)&lt;&gt;"Starfsbundið",BU59="",BU$8="",BU$7=""),"",ROUND(BU59/BU$8*BU$7*KVARDI,2))</f>
        <v/>
      </c>
      <c r="BW59" s="39"/>
      <c r="BX59" s="40" t="str">
        <f aca="false">IF(OR(INDEX(Undirviðmið!$G$6:$G$105,(COLUMN()-7-1)/2+1)&lt;&gt;"Starfsbundið",BW59="",BW$8="",BW$7=""),"",ROUND(BW59/BW$8*BW$7*KVARDI,2))</f>
        <v/>
      </c>
      <c r="BY59" s="39"/>
      <c r="BZ59" s="40" t="str">
        <f aca="false">IF(OR(INDEX(Undirviðmið!$G$6:$G$105,(COLUMN()-7-1)/2+1)&lt;&gt;"Starfsbundið",BY59="",BY$8="",BY$7=""),"",ROUND(BY59/BY$8*BY$7*KVARDI,2))</f>
        <v/>
      </c>
      <c r="CA59" s="39"/>
      <c r="CB59" s="40" t="str">
        <f aca="false">IF(OR(INDEX(Undirviðmið!$G$6:$G$105,(COLUMN()-7-1)/2+1)&lt;&gt;"Starfsbundið",CA59="",CA$8="",CA$7=""),"",ROUND(CA59/CA$8*CA$7*KVARDI,2))</f>
        <v/>
      </c>
      <c r="CC59" s="39"/>
      <c r="CD59" s="40" t="str">
        <f aca="false">IF(OR(INDEX(Undirviðmið!$G$6:$G$105,(COLUMN()-7-1)/2+1)&lt;&gt;"Starfsbundið",CC59="",CC$8="",CC$7=""),"",ROUND(CC59/CC$8*CC$7*KVARDI,2))</f>
        <v/>
      </c>
      <c r="CE59" s="39"/>
      <c r="CF59" s="40" t="str">
        <f aca="false">IF(OR(INDEX(Undirviðmið!$G$6:$G$105,(COLUMN()-7-1)/2+1)&lt;&gt;"Starfsbundið",CE59="",CE$8="",CE$7=""),"",ROUND(CE59/CE$8*CE$7*KVARDI,2))</f>
        <v/>
      </c>
      <c r="CG59" s="39"/>
      <c r="CH59" s="40" t="str">
        <f aca="false">IF(OR(INDEX(Undirviðmið!$G$6:$G$105,(COLUMN()-7-1)/2+1)&lt;&gt;"Starfsbundið",CG59="",CG$8="",CG$7=""),"",ROUND(CG59/CG$8*CG$7*KVARDI,2))</f>
        <v/>
      </c>
      <c r="CI59" s="39"/>
      <c r="CJ59" s="40" t="str">
        <f aca="false">IF(OR(INDEX(Undirviðmið!$G$6:$G$105,(COLUMN()-7-1)/2+1)&lt;&gt;"Starfsbundið",CI59="",CI$8="",CI$7=""),"",ROUND(CI59/CI$8*CI$7*KVARDI,2))</f>
        <v/>
      </c>
      <c r="CK59" s="39"/>
      <c r="CL59" s="40" t="str">
        <f aca="false">IF(OR(INDEX(Undirviðmið!$G$6:$G$105,(COLUMN()-7-1)/2+1)&lt;&gt;"Starfsbundið",CK59="",CK$8="",CK$7=""),"",ROUND(CK59/CK$8*CK$7*KVARDI,2))</f>
        <v/>
      </c>
      <c r="CM59" s="39"/>
      <c r="CN59" s="40" t="str">
        <f aca="false">IF(OR(INDEX(Undirviðmið!$G$6:$G$105,(COLUMN()-7-1)/2+1)&lt;&gt;"Starfsbundið",CM59="",CM$8="",CM$7=""),"",ROUND(CM59/CM$8*CM$7*KVARDI,2))</f>
        <v/>
      </c>
      <c r="CO59" s="39"/>
      <c r="CP59" s="40" t="str">
        <f aca="false">IF(OR(INDEX(Undirviðmið!$G$6:$G$105,(COLUMN()-7-1)/2+1)&lt;&gt;"Starfsbundið",CO59="",CO$8="",CO$7=""),"",ROUND(CO59/CO$8*CO$7*KVARDI,2))</f>
        <v/>
      </c>
      <c r="CQ59" s="39"/>
      <c r="CR59" s="40" t="str">
        <f aca="false">IF(OR(INDEX(Undirviðmið!$G$6:$G$105,(COLUMN()-7-1)/2+1)&lt;&gt;"Starfsbundið",CQ59="",CQ$8="",CQ$7=""),"",ROUND(CQ59/CQ$8*CQ$7*KVARDI,2))</f>
        <v/>
      </c>
      <c r="CS59" s="39"/>
      <c r="CT59" s="40" t="str">
        <f aca="false">IF(OR(INDEX(Undirviðmið!$G$6:$G$105,(COLUMN()-7-1)/2+1)&lt;&gt;"Starfsbundið",CS59="",CS$8="",CS$7=""),"",ROUND(CS59/CS$8*CS$7*KVARDI,2))</f>
        <v/>
      </c>
      <c r="CU59" s="39"/>
      <c r="CV59" s="40" t="str">
        <f aca="false">IF(OR(INDEX(Undirviðmið!$G$6:$G$105,(COLUMN()-7-1)/2+1)&lt;&gt;"Starfsbundið",CU59="",CU$8="",CU$7=""),"",ROUND(CU59/CU$8*CU$7*KVARDI,2))</f>
        <v/>
      </c>
      <c r="CW59" s="39"/>
      <c r="CX59" s="40" t="str">
        <f aca="false">IF(OR(INDEX(Undirviðmið!$G$6:$G$105,(COLUMN()-7-1)/2+1)&lt;&gt;"Starfsbundið",CW59="",CW$8="",CW$7=""),"",ROUND(CW59/CW$8*CW$7*KVARDI,2))</f>
        <v/>
      </c>
      <c r="CY59" s="39"/>
      <c r="CZ59" s="40" t="str">
        <f aca="false">IF(OR(INDEX(Undirviðmið!$G$6:$G$105,(COLUMN()-7-1)/2+1)&lt;&gt;"Starfsbundið",CY59="",CY$8="",CY$7=""),"",ROUND(CY59/CY$8*CY$7*KVARDI,2))</f>
        <v/>
      </c>
      <c r="DA59" s="39"/>
      <c r="DB59" s="40" t="str">
        <f aca="false">IF(OR(INDEX(Undirviðmið!$G$6:$G$105,(COLUMN()-7-1)/2+1)&lt;&gt;"Starfsbundið",DA59="",DA$8="",DA$7=""),"",ROUND(DA59/DA$8*DA$7*KVARDI,2))</f>
        <v/>
      </c>
      <c r="DC59" s="39"/>
      <c r="DD59" s="40" t="str">
        <f aca="false">IF(OR(INDEX(Undirviðmið!$G$6:$G$105,(COLUMN()-7-1)/2+1)&lt;&gt;"Starfsbundið",DC59="",DC$8="",DC$7=""),"",ROUND(DC59/DC$8*DC$7*KVARDI,2))</f>
        <v/>
      </c>
      <c r="DE59" s="39"/>
      <c r="DF59" s="40" t="str">
        <f aca="false">IF(OR(INDEX(Undirviðmið!$G$6:$G$105,(COLUMN()-7-1)/2+1)&lt;&gt;"Starfsbundið",DE59="",DE$8="",DE$7=""),"",ROUND(DE59/DE$8*DE$7*KVARDI,2))</f>
        <v/>
      </c>
      <c r="DG59" s="39"/>
      <c r="DH59" s="40" t="str">
        <f aca="false">IF(OR(INDEX(Undirviðmið!$G$6:$G$105,(COLUMN()-7-1)/2+1)&lt;&gt;"Starfsbundið",DG59="",DG$8="",DG$7=""),"",ROUND(DG59/DG$8*DG$7*KVARDI,2))</f>
        <v/>
      </c>
      <c r="DI59" s="39"/>
      <c r="DJ59" s="40" t="str">
        <f aca="false">IF(OR(INDEX(Undirviðmið!$G$6:$G$105,(COLUMN()-7-1)/2+1)&lt;&gt;"Starfsbundið",DI59="",DI$8="",DI$7=""),"",ROUND(DI59/DI$8*DI$7*KVARDI,2))</f>
        <v/>
      </c>
      <c r="DK59" s="39"/>
      <c r="DL59" s="40" t="str">
        <f aca="false">IF(OR(INDEX(Undirviðmið!$G$6:$G$105,(COLUMN()-7-1)/2+1)&lt;&gt;"Starfsbundið",DK59="",DK$8="",DK$7=""),"",ROUND(DK59/DK$8*DK$7*KVARDI,2))</f>
        <v/>
      </c>
      <c r="DM59" s="39"/>
      <c r="DN59" s="40" t="str">
        <f aca="false">IF(OR(INDEX(Undirviðmið!$G$6:$G$105,(COLUMN()-7-1)/2+1)&lt;&gt;"Starfsbundið",DM59="",DM$8="",DM$7=""),"",ROUND(DM59/DM$8*DM$7*KVARDI,2))</f>
        <v/>
      </c>
      <c r="DO59" s="39"/>
      <c r="DP59" s="40" t="str">
        <f aca="false">IF(OR(INDEX(Undirviðmið!$G$6:$G$105,(COLUMN()-7-1)/2+1)&lt;&gt;"Starfsbundið",DO59="",DO$8="",DO$7=""),"",ROUND(DO59/DO$8*DO$7*KVARDI,2))</f>
        <v/>
      </c>
      <c r="DQ59" s="39"/>
      <c r="DR59" s="40" t="str">
        <f aca="false">IF(OR(INDEX(Undirviðmið!$G$6:$G$105,(COLUMN()-7-1)/2+1)&lt;&gt;"Starfsbundið",DQ59="",DQ$8="",DQ$7=""),"",ROUND(DQ59/DQ$8*DQ$7*KVARDI,2))</f>
        <v/>
      </c>
      <c r="DS59" s="39"/>
      <c r="DT59" s="40" t="str">
        <f aca="false">IF(OR(INDEX(Undirviðmið!$G$6:$G$105,(COLUMN()-7-1)/2+1)&lt;&gt;"Starfsbundið",DS59="",DS$8="",DS$7=""),"",ROUND(DS59/DS$8*DS$7*KVARDI,2))</f>
        <v/>
      </c>
      <c r="DU59" s="39"/>
      <c r="DV59" s="40" t="str">
        <f aca="false">IF(OR(INDEX(Undirviðmið!$G$6:$G$105,(COLUMN()-7-1)/2+1)&lt;&gt;"Starfsbundið",DU59="",DU$8="",DU$7=""),"",ROUND(DU59/DU$8*DU$7*KVARDI,2))</f>
        <v/>
      </c>
      <c r="DW59" s="39"/>
      <c r="DX59" s="40" t="str">
        <f aca="false">IF(OR(INDEX(Undirviðmið!$G$6:$G$105,(COLUMN()-7-1)/2+1)&lt;&gt;"Starfsbundið",DW59="",DW$8="",DW$7=""),"",ROUND(DW59/DW$8*DW$7*KVARDI,2))</f>
        <v/>
      </c>
      <c r="DY59" s="39"/>
      <c r="DZ59" s="40" t="str">
        <f aca="false">IF(OR(INDEX(Undirviðmið!$G$6:$G$105,(COLUMN()-7-1)/2+1)&lt;&gt;"Starfsbundið",DY59="",DY$8="",DY$7=""),"",ROUND(DY59/DY$8*DY$7*KVARDI,2))</f>
        <v/>
      </c>
      <c r="EA59" s="39"/>
      <c r="EB59" s="40" t="str">
        <f aca="false">IF(OR(INDEX(Undirviðmið!$G$6:$G$105,(COLUMN()-7-1)/2+1)&lt;&gt;"Starfsbundið",EA59="",EA$8="",EA$7=""),"",ROUND(EA59/EA$8*EA$7*KVARDI,2))</f>
        <v/>
      </c>
      <c r="EC59" s="39"/>
      <c r="ED59" s="40" t="str">
        <f aca="false">IF(OR(INDEX(Undirviðmið!$G$6:$G$105,(COLUMN()-7-1)/2+1)&lt;&gt;"Starfsbundið",EC59="",EC$8="",EC$7=""),"",ROUND(EC59/EC$8*EC$7*KVARDI,2))</f>
        <v/>
      </c>
      <c r="EE59" s="39"/>
      <c r="EF59" s="40" t="str">
        <f aca="false">IF(OR(INDEX(Undirviðmið!$G$6:$G$105,(COLUMN()-7-1)/2+1)&lt;&gt;"Starfsbundið",EE59="",EE$8="",EE$7=""),"",ROUND(EE59/EE$8*EE$7*KVARDI,2))</f>
        <v/>
      </c>
      <c r="EG59" s="39"/>
      <c r="EH59" s="40" t="str">
        <f aca="false">IF(OR(INDEX(Undirviðmið!$G$6:$G$105,(COLUMN()-7-1)/2+1)&lt;&gt;"Starfsbundið",EG59="",EG$8="",EG$7=""),"",ROUND(EG59/EG$8*EG$7*KVARDI,2))</f>
        <v/>
      </c>
      <c r="EI59" s="39"/>
      <c r="EJ59" s="40" t="str">
        <f aca="false">IF(OR(INDEX(Undirviðmið!$G$6:$G$105,(COLUMN()-7-1)/2+1)&lt;&gt;"Starfsbundið",EI59="",EI$8="",EI$7=""),"",ROUND(EI59/EI$8*EI$7*KVARDI,2))</f>
        <v/>
      </c>
      <c r="EK59" s="39"/>
      <c r="EL59" s="40" t="str">
        <f aca="false">IF(OR(INDEX(Undirviðmið!$G$6:$G$105,(COLUMN()-7-1)/2+1)&lt;&gt;"Starfsbundið",EK59="",EK$8="",EK$7=""),"",ROUND(EK59/EK$8*EK$7*KVARDI,2))</f>
        <v/>
      </c>
      <c r="EM59" s="39"/>
      <c r="EN59" s="40" t="str">
        <f aca="false">IF(OR(INDEX(Undirviðmið!$G$6:$G$105,(COLUMN()-7-1)/2+1)&lt;&gt;"Starfsbundið",EM59="",EM$8="",EM$7=""),"",ROUND(EM59/EM$8*EM$7*KVARDI,2))</f>
        <v/>
      </c>
      <c r="EO59" s="39"/>
      <c r="EP59" s="40" t="str">
        <f aca="false">IF(OR(INDEX(Undirviðmið!$G$6:$G$105,(COLUMN()-7-1)/2+1)&lt;&gt;"Starfsbundið",EO59="",EO$8="",EO$7=""),"",ROUND(EO59/EO$8*EO$7*KVARDI,2))</f>
        <v/>
      </c>
      <c r="EQ59" s="39"/>
      <c r="ER59" s="40" t="str">
        <f aca="false">IF(OR(INDEX(Undirviðmið!$G$6:$G$105,(COLUMN()-7-1)/2+1)&lt;&gt;"Starfsbundið",EQ59="",EQ$8="",EQ$7=""),"",ROUND(EQ59/EQ$8*EQ$7*KVARDI,2))</f>
        <v/>
      </c>
      <c r="ES59" s="39"/>
      <c r="ET59" s="40" t="str">
        <f aca="false">IF(OR(INDEX(Undirviðmið!$G$6:$G$105,(COLUMN()-7-1)/2+1)&lt;&gt;"Starfsbundið",ES59="",ES$8="",ES$7=""),"",ROUND(ES59/ES$8*ES$7*KVARDI,2))</f>
        <v/>
      </c>
      <c r="EU59" s="39"/>
      <c r="EV59" s="40" t="str">
        <f aca="false">IF(OR(INDEX(Undirviðmið!$G$6:$G$105,(COLUMN()-7-1)/2+1)&lt;&gt;"Starfsbundið",EU59="",EU$8="",EU$7=""),"",ROUND(EU59/EU$8*EU$7*KVARDI,2))</f>
        <v/>
      </c>
      <c r="EW59" s="39"/>
      <c r="EX59" s="40" t="str">
        <f aca="false">IF(OR(INDEX(Undirviðmið!$G$6:$G$105,(COLUMN()-7-1)/2+1)&lt;&gt;"Starfsbundið",EW59="",EW$8="",EW$7=""),"",ROUND(EW59/EW$8*EW$7*KVARDI,2))</f>
        <v/>
      </c>
      <c r="EY59" s="39"/>
      <c r="EZ59" s="40" t="str">
        <f aca="false">IF(OR(INDEX(Undirviðmið!$G$6:$G$105,(COLUMN()-7-1)/2+1)&lt;&gt;"Starfsbundið",EY59="",EY$8="",EY$7=""),"",ROUND(EY59/EY$8*EY$7*KVARDI,2))</f>
        <v/>
      </c>
      <c r="FA59" s="39"/>
      <c r="FB59" s="40" t="str">
        <f aca="false">IF(OR(INDEX(Undirviðmið!$G$6:$G$105,(COLUMN()-7-1)/2+1)&lt;&gt;"Starfsbundið",FA59="",FA$8="",FA$7=""),"",ROUND(FA59/FA$8*FA$7*KVARDI,2))</f>
        <v/>
      </c>
      <c r="FC59" s="39"/>
      <c r="FD59" s="40" t="str">
        <f aca="false">IF(OR(INDEX(Undirviðmið!$G$6:$G$105,(COLUMN()-7-1)/2+1)&lt;&gt;"Starfsbundið",FC59="",FC$8="",FC$7=""),"",ROUND(FC59/FC$8*FC$7*KVARDI,2))</f>
        <v/>
      </c>
      <c r="FE59" s="39"/>
      <c r="FF59" s="40" t="str">
        <f aca="false">IF(OR(INDEX(Undirviðmið!$G$6:$G$105,(COLUMN()-7-1)/2+1)&lt;&gt;"Starfsbundið",FE59="",FE$8="",FE$7=""),"",ROUND(FE59/FE$8*FE$7*KVARDI,2))</f>
        <v/>
      </c>
      <c r="FG59" s="39"/>
      <c r="FH59" s="40" t="str">
        <f aca="false">IF(OR(INDEX(Undirviðmið!$G$6:$G$105,(COLUMN()-7-1)/2+1)&lt;&gt;"Starfsbundið",FG59="",FG$8="",FG$7=""),"",ROUND(FG59/FG$8*FG$7*KVARDI,2))</f>
        <v/>
      </c>
      <c r="FI59" s="39"/>
      <c r="FJ59" s="40" t="str">
        <f aca="false">IF(OR(INDEX(Undirviðmið!$G$6:$G$105,(COLUMN()-7-1)/2+1)&lt;&gt;"Starfsbundið",FI59="",FI$8="",FI$7=""),"",ROUND(FI59/FI$8*FI$7*KVARDI,2))</f>
        <v/>
      </c>
      <c r="FK59" s="39"/>
      <c r="FL59" s="40" t="str">
        <f aca="false">IF(OR(INDEX(Undirviðmið!$G$6:$G$105,(COLUMN()-7-1)/2+1)&lt;&gt;"Starfsbundið",FK59="",FK$8="",FK$7=""),"",ROUND(FK59/FK$8*FK$7*KVARDI,2))</f>
        <v/>
      </c>
      <c r="FM59" s="39"/>
      <c r="FN59" s="40" t="str">
        <f aca="false">IF(OR(INDEX(Undirviðmið!$G$6:$G$105,(COLUMN()-7-1)/2+1)&lt;&gt;"Starfsbundið",FM59="",FM$8="",FM$7=""),"",ROUND(FM59/FM$8*FM$7*KVARDI,2))</f>
        <v/>
      </c>
      <c r="FO59" s="39"/>
      <c r="FP59" s="40" t="str">
        <f aca="false">IF(OR(INDEX(Undirviðmið!$G$6:$G$105,(COLUMN()-7-1)/2+1)&lt;&gt;"Starfsbundið",FO59="",FO$8="",FO$7=""),"",ROUND(FO59/FO$8*FO$7*KVARDI,2))</f>
        <v/>
      </c>
      <c r="FQ59" s="39"/>
      <c r="FR59" s="40" t="str">
        <f aca="false">IF(OR(INDEX(Undirviðmið!$G$6:$G$105,(COLUMN()-7-1)/2+1)&lt;&gt;"Starfsbundið",FQ59="",FQ$8="",FQ$7=""),"",ROUND(FQ59/FQ$8*FQ$7*KVARDI,2))</f>
        <v/>
      </c>
      <c r="FS59" s="39"/>
      <c r="FT59" s="40" t="str">
        <f aca="false">IF(OR(INDEX(Undirviðmið!$G$6:$G$105,(COLUMN()-7-1)/2+1)&lt;&gt;"Starfsbundið",FS59="",FS$8="",FS$7=""),"",ROUND(FS59/FS$8*FS$7*KVARDI,2))</f>
        <v/>
      </c>
      <c r="FU59" s="39"/>
      <c r="FV59" s="40" t="str">
        <f aca="false">IF(OR(INDEX(Undirviðmið!$G$6:$G$105,(COLUMN()-7-1)/2+1)&lt;&gt;"Starfsbundið",FU59="",FU$8="",FU$7=""),"",ROUND(FU59/FU$8*FU$7*KVARDI,2))</f>
        <v/>
      </c>
      <c r="FW59" s="39"/>
      <c r="FX59" s="40" t="str">
        <f aca="false">IF(OR(INDEX(Undirviðmið!$G$6:$G$105,(COLUMN()-7-1)/2+1)&lt;&gt;"Starfsbundið",FW59="",FW$8="",FW$7=""),"",ROUND(FW59/FW$8*FW$7*KVARDI,2))</f>
        <v/>
      </c>
      <c r="FY59" s="39"/>
      <c r="FZ59" s="40" t="str">
        <f aca="false">IF(OR(INDEX(Undirviðmið!$G$6:$G$105,(COLUMN()-7-1)/2+1)&lt;&gt;"Starfsbundið",FY59="",FY$8="",FY$7=""),"",ROUND(FY59/FY$8*FY$7*KVARDI,2))</f>
        <v/>
      </c>
      <c r="GA59" s="39"/>
      <c r="GB59" s="40" t="str">
        <f aca="false">IF(OR(INDEX(Undirviðmið!$G$6:$G$105,(COLUMN()-7-1)/2+1)&lt;&gt;"Starfsbundið",GA59="",GA$8="",GA$7=""),"",ROUND(GA59/GA$8*GA$7*KVARDI,2))</f>
        <v/>
      </c>
      <c r="GC59" s="39"/>
      <c r="GD59" s="40" t="str">
        <f aca="false">IF(OR(INDEX(Undirviðmið!$G$6:$G$105,(COLUMN()-7-1)/2+1)&lt;&gt;"Starfsbundið",GC59="",GC$8="",GC$7=""),"",ROUND(GC59/GC$8*GC$7*KVARDI,2))</f>
        <v/>
      </c>
      <c r="GE59" s="39"/>
      <c r="GF59" s="40" t="str">
        <f aca="false">IF(OR(INDEX(Undirviðmið!$G$6:$G$105,(COLUMN()-7-1)/2+1)&lt;&gt;"Starfsbundið",GE59="",GE$8="",GE$7=""),"",ROUND(GE59/GE$8*GE$7*KVARDI,2))</f>
        <v/>
      </c>
      <c r="GG59" s="39"/>
      <c r="GH59" s="40" t="str">
        <f aca="false">IF(OR(INDEX(Undirviðmið!$G$6:$G$105,(COLUMN()-7-1)/2+1)&lt;&gt;"Starfsbundið",GG59="",GG$8="",GG$7=""),"",ROUND(GG59/GG$8*GG$7*KVARDI,2))</f>
        <v/>
      </c>
      <c r="GI59" s="39"/>
      <c r="GJ59" s="40" t="str">
        <f aca="false">IF(OR(INDEX(Undirviðmið!$G$6:$G$105,(COLUMN()-7-1)/2+1)&lt;&gt;"Starfsbundið",GI59="",GI$8="",GI$7=""),"",ROUND(GI59/GI$8*GI$7*KVARDI,2))</f>
        <v/>
      </c>
      <c r="GK59" s="39"/>
      <c r="GL59" s="40" t="str">
        <f aca="false">IF(OR(INDEX(Undirviðmið!$G$6:$G$105,(COLUMN()-7-1)/2+1)&lt;&gt;"Starfsbundið",GK59="",GK$8="",GK$7=""),"",ROUND(GK59/GK$8*GK$7*KVARDI,2))</f>
        <v/>
      </c>
      <c r="GM59" s="39"/>
      <c r="GN59" s="40" t="str">
        <f aca="false">IF(OR(INDEX(Undirviðmið!$G$6:$G$105,(COLUMN()-7-1)/2+1)&lt;&gt;"Starfsbundið",GM59="",GM$8="",GM$7=""),"",ROUND(GM59/GM$8*GM$7*KVARDI,2))</f>
        <v/>
      </c>
      <c r="GO59" s="39"/>
      <c r="GP59" s="40" t="str">
        <f aca="false">IF(OR(INDEX(Undirviðmið!$G$6:$G$105,(COLUMN()-7-1)/2+1)&lt;&gt;"Starfsbundið",GO59="",GO$8="",GO$7=""),"",ROUND(GO59/GO$8*GO$7*KVARDI,2))</f>
        <v/>
      </c>
      <c r="GQ59" s="39"/>
      <c r="GR59" s="40" t="str">
        <f aca="false">IF(OR(INDEX(Undirviðmið!$G$6:$G$105,(COLUMN()-7-1)/2+1)&lt;&gt;"Starfsbundið",GQ59="",GQ$8="",GQ$7=""),"",ROUND(GQ59/GQ$8*GQ$7*KVARDI,2))</f>
        <v/>
      </c>
      <c r="GS59" s="39"/>
      <c r="GT59" s="40" t="str">
        <f aca="false">IF(OR(INDEX(Undirviðmið!$G$6:$G$105,(COLUMN()-7-1)/2+1)&lt;&gt;"Starfsbundið",GS59="",GS$8="",GS$7=""),"",ROUND(GS59/GS$8*GS$7*KVARDI,2))</f>
        <v/>
      </c>
      <c r="GU59" s="39"/>
      <c r="GV59" s="40" t="str">
        <f aca="false">IF(OR(INDEX(Undirviðmið!$G$6:$G$105,(COLUMN()-7-1)/2+1)&lt;&gt;"Starfsbundið",GU59="",GU$8="",GU$7=""),"",ROUND(GU59/GU$8*GU$7*KVARDI,2))</f>
        <v/>
      </c>
      <c r="GW59" s="39"/>
      <c r="GX59" s="40" t="str">
        <f aca="false">IF(OR(INDEX(Undirviðmið!$G$6:$G$105,(COLUMN()-7-1)/2+1)&lt;&gt;"Starfsbundið",GW59="",GW$8="",GW$7=""),"",ROUND(GW59/GW$8*GW$7*KVARDI,2))</f>
        <v/>
      </c>
      <c r="GZ59" s="20"/>
    </row>
    <row r="60" customFormat="false" ht="15" hidden="true" customHeight="true" outlineLevel="1" collapsed="false">
      <c r="B60" s="37" t="str">
        <f aca="false" t="array" ref="B60:B60">IFERROR(INDEX(Starfsmenn!$C$6:$C$10005,MATCH(0,COUNTIF($B$11:B59,Starfsmenn!$C$6:$C$10005)+(Starfsmenn!$C$6:$C$10005=""),0)),"")</f>
        <v/>
      </c>
      <c r="C60" s="38" t="n">
        <f aca="false">IFERROR(SUMIF($G$10:$GX$10,"Stig",$G60:$GX60),0)</f>
        <v>0</v>
      </c>
      <c r="G60" s="39"/>
      <c r="H60" s="40" t="str">
        <f aca="false">IF(OR(INDEX(Undirviðmið!$G$6:$G$105,(COLUMN()-7-1)/2+1)&lt;&gt;"Starfsbundið",G60="",G$8="",G$7=""),"",ROUND(G60/G$8*G$7*KVARDI,2))</f>
        <v/>
      </c>
      <c r="I60" s="39"/>
      <c r="J60" s="40" t="str">
        <f aca="false">IF(OR(INDEX(Undirviðmið!$G$6:$G$105,(COLUMN()-7-1)/2+1)&lt;&gt;"Starfsbundið",I60="",I$8="",I$7=""),"",ROUND(I60/I$8*I$7*KVARDI,2))</f>
        <v/>
      </c>
      <c r="K60" s="39"/>
      <c r="L60" s="40" t="str">
        <f aca="false">IF(OR(INDEX(Undirviðmið!$G$6:$G$105,(COLUMN()-7-1)/2+1)&lt;&gt;"Starfsbundið",K60="",K$8="",K$7=""),"",ROUND(K60/K$8*K$7*KVARDI,2))</f>
        <v/>
      </c>
      <c r="M60" s="39"/>
      <c r="N60" s="40" t="str">
        <f aca="false">IF(OR(INDEX(Undirviðmið!$G$6:$G$105,(COLUMN()-7-1)/2+1)&lt;&gt;"Starfsbundið",M60="",M$8="",M$7=""),"",ROUND(M60/M$8*M$7*KVARDI,2))</f>
        <v/>
      </c>
      <c r="O60" s="39"/>
      <c r="P60" s="40" t="str">
        <f aca="false">IF(OR(INDEX(Undirviðmið!$G$6:$G$105,(COLUMN()-7-1)/2+1)&lt;&gt;"Starfsbundið",O60="",O$8="",O$7=""),"",ROUND(O60/O$8*O$7*KVARDI,2))</f>
        <v/>
      </c>
      <c r="Q60" s="39"/>
      <c r="R60" s="40" t="str">
        <f aca="false">IF(OR(INDEX(Undirviðmið!$G$6:$G$105,(COLUMN()-7-1)/2+1)&lt;&gt;"Starfsbundið",Q60="",Q$8="",Q$7=""),"",ROUND(Q60/Q$8*Q$7*KVARDI,2))</f>
        <v/>
      </c>
      <c r="S60" s="39"/>
      <c r="T60" s="40" t="str">
        <f aca="false">IF(OR(INDEX(Undirviðmið!$G$6:$G$105,(COLUMN()-7-1)/2+1)&lt;&gt;"Starfsbundið",S60="",S$8="",S$7=""),"",ROUND(S60/S$8*S$7*KVARDI,2))</f>
        <v/>
      </c>
      <c r="U60" s="39"/>
      <c r="V60" s="40" t="str">
        <f aca="false">IF(OR(INDEX(Undirviðmið!$G$6:$G$105,(COLUMN()-7-1)/2+1)&lt;&gt;"Starfsbundið",U60="",U$8="",U$7=""),"",ROUND(U60/U$8*U$7*KVARDI,2))</f>
        <v/>
      </c>
      <c r="W60" s="39"/>
      <c r="X60" s="40" t="str">
        <f aca="false">IF(OR(INDEX(Undirviðmið!$G$6:$G$105,(COLUMN()-7-1)/2+1)&lt;&gt;"Starfsbundið",W60="",W$8="",W$7=""),"",ROUND(W60/W$8*W$7*KVARDI,2))</f>
        <v/>
      </c>
      <c r="Y60" s="39"/>
      <c r="Z60" s="40" t="str">
        <f aca="false">IF(OR(INDEX(Undirviðmið!$G$6:$G$105,(COLUMN()-7-1)/2+1)&lt;&gt;"Starfsbundið",Y60="",Y$8="",Y$7=""),"",ROUND(Y60/Y$8*Y$7*KVARDI,2))</f>
        <v/>
      </c>
      <c r="AA60" s="39"/>
      <c r="AB60" s="40" t="str">
        <f aca="false">IF(OR(INDEX(Undirviðmið!$G$6:$G$105,(COLUMN()-7-1)/2+1)&lt;&gt;"Starfsbundið",AA60="",AA$8="",AA$7=""),"",ROUND(AA60/AA$8*AA$7*KVARDI,2))</f>
        <v/>
      </c>
      <c r="AC60" s="39"/>
      <c r="AD60" s="40" t="str">
        <f aca="false">IF(OR(INDEX(Undirviðmið!$G$6:$G$105,(COLUMN()-7-1)/2+1)&lt;&gt;"Starfsbundið",AC60="",AC$8="",AC$7=""),"",ROUND(AC60/AC$8*AC$7*KVARDI,2))</f>
        <v/>
      </c>
      <c r="AE60" s="39"/>
      <c r="AF60" s="40" t="str">
        <f aca="false">IF(OR(INDEX(Undirviðmið!$G$6:$G$105,(COLUMN()-7-1)/2+1)&lt;&gt;"Starfsbundið",AE60="",AE$8="",AE$7=""),"",ROUND(AE60/AE$8*AE$7*KVARDI,2))</f>
        <v/>
      </c>
      <c r="AG60" s="39"/>
      <c r="AH60" s="40" t="str">
        <f aca="false">IF(OR(INDEX(Undirviðmið!$G$6:$G$105,(COLUMN()-7-1)/2+1)&lt;&gt;"Starfsbundið",AG60="",AG$8="",AG$7=""),"",ROUND(AG60/AG$8*AG$7*KVARDI,2))</f>
        <v/>
      </c>
      <c r="AI60" s="39"/>
      <c r="AJ60" s="40" t="str">
        <f aca="false">IF(OR(INDEX(Undirviðmið!$G$6:$G$105,(COLUMN()-7-1)/2+1)&lt;&gt;"Starfsbundið",AI60="",AI$8="",AI$7=""),"",ROUND(AI60/AI$8*AI$7*KVARDI,2))</f>
        <v/>
      </c>
      <c r="AK60" s="39"/>
      <c r="AL60" s="40" t="str">
        <f aca="false">IF(OR(INDEX(Undirviðmið!$G$6:$G$105,(COLUMN()-7-1)/2+1)&lt;&gt;"Starfsbundið",AK60="",AK$8="",AK$7=""),"",ROUND(AK60/AK$8*AK$7*KVARDI,2))</f>
        <v/>
      </c>
      <c r="AM60" s="39"/>
      <c r="AN60" s="40" t="str">
        <f aca="false">IF(OR(INDEX(Undirviðmið!$G$6:$G$105,(COLUMN()-7-1)/2+1)&lt;&gt;"Starfsbundið",AM60="",AM$8="",AM$7=""),"",ROUND(AM60/AM$8*AM$7*KVARDI,2))</f>
        <v/>
      </c>
      <c r="AO60" s="39"/>
      <c r="AP60" s="40" t="str">
        <f aca="false">IF(OR(INDEX(Undirviðmið!$G$6:$G$105,(COLUMN()-7-1)/2+1)&lt;&gt;"Starfsbundið",AO60="",AO$8="",AO$7=""),"",ROUND(AO60/AO$8*AO$7*KVARDI,2))</f>
        <v/>
      </c>
      <c r="AQ60" s="39"/>
      <c r="AR60" s="40" t="str">
        <f aca="false">IF(OR(INDEX(Undirviðmið!$G$6:$G$105,(COLUMN()-7-1)/2+1)&lt;&gt;"Starfsbundið",AQ60="",AQ$8="",AQ$7=""),"",ROUND(AQ60/AQ$8*AQ$7*KVARDI,2))</f>
        <v/>
      </c>
      <c r="AS60" s="39"/>
      <c r="AT60" s="40" t="str">
        <f aca="false">IF(OR(INDEX(Undirviðmið!$G$6:$G$105,(COLUMN()-7-1)/2+1)&lt;&gt;"Starfsbundið",AS60="",AS$8="",AS$7=""),"",ROUND(AS60/AS$8*AS$7*KVARDI,2))</f>
        <v/>
      </c>
      <c r="AU60" s="39"/>
      <c r="AV60" s="40" t="str">
        <f aca="false">IF(OR(INDEX(Undirviðmið!$G$6:$G$105,(COLUMN()-7-1)/2+1)&lt;&gt;"Starfsbundið",AU60="",AU$8="",AU$7=""),"",ROUND(AU60/AU$8*AU$7*KVARDI,2))</f>
        <v/>
      </c>
      <c r="AW60" s="39"/>
      <c r="AX60" s="40" t="str">
        <f aca="false">IF(OR(INDEX(Undirviðmið!$G$6:$G$105,(COLUMN()-7-1)/2+1)&lt;&gt;"Starfsbundið",AW60="",AW$8="",AW$7=""),"",ROUND(AW60/AW$8*AW$7*KVARDI,2))</f>
        <v/>
      </c>
      <c r="AY60" s="39"/>
      <c r="AZ60" s="40" t="str">
        <f aca="false">IF(OR(INDEX(Undirviðmið!$G$6:$G$105,(COLUMN()-7-1)/2+1)&lt;&gt;"Starfsbundið",AY60="",AY$8="",AY$7=""),"",ROUND(AY60/AY$8*AY$7*KVARDI,2))</f>
        <v/>
      </c>
      <c r="BA60" s="39"/>
      <c r="BB60" s="40" t="str">
        <f aca="false">IF(OR(INDEX(Undirviðmið!$G$6:$G$105,(COLUMN()-7-1)/2+1)&lt;&gt;"Starfsbundið",BA60="",BA$8="",BA$7=""),"",ROUND(BA60/BA$8*BA$7*KVARDI,2))</f>
        <v/>
      </c>
      <c r="BC60" s="39"/>
      <c r="BD60" s="40" t="str">
        <f aca="false">IF(OR(INDEX(Undirviðmið!$G$6:$G$105,(COLUMN()-7-1)/2+1)&lt;&gt;"Starfsbundið",BC60="",BC$8="",BC$7=""),"",ROUND(BC60/BC$8*BC$7*KVARDI,2))</f>
        <v/>
      </c>
      <c r="BE60" s="39"/>
      <c r="BF60" s="40" t="str">
        <f aca="false">IF(OR(INDEX(Undirviðmið!$G$6:$G$105,(COLUMN()-7-1)/2+1)&lt;&gt;"Starfsbundið",BE60="",BE$8="",BE$7=""),"",ROUND(BE60/BE$8*BE$7*KVARDI,2))</f>
        <v/>
      </c>
      <c r="BG60" s="39"/>
      <c r="BH60" s="40" t="str">
        <f aca="false">IF(OR(INDEX(Undirviðmið!$G$6:$G$105,(COLUMN()-7-1)/2+1)&lt;&gt;"Starfsbundið",BG60="",BG$8="",BG$7=""),"",ROUND(BG60/BG$8*BG$7*KVARDI,2))</f>
        <v/>
      </c>
      <c r="BI60" s="39"/>
      <c r="BJ60" s="40" t="str">
        <f aca="false">IF(OR(INDEX(Undirviðmið!$G$6:$G$105,(COLUMN()-7-1)/2+1)&lt;&gt;"Starfsbundið",BI60="",BI$8="",BI$7=""),"",ROUND(BI60/BI$8*BI$7*KVARDI,2))</f>
        <v/>
      </c>
      <c r="BK60" s="39"/>
      <c r="BL60" s="40" t="str">
        <f aca="false">IF(OR(INDEX(Undirviðmið!$G$6:$G$105,(COLUMN()-7-1)/2+1)&lt;&gt;"Starfsbundið",BK60="",BK$8="",BK$7=""),"",ROUND(BK60/BK$8*BK$7*KVARDI,2))</f>
        <v/>
      </c>
      <c r="BM60" s="39"/>
      <c r="BN60" s="40" t="str">
        <f aca="false">IF(OR(INDEX(Undirviðmið!$G$6:$G$105,(COLUMN()-7-1)/2+1)&lt;&gt;"Starfsbundið",BM60="",BM$8="",BM$7=""),"",ROUND(BM60/BM$8*BM$7*KVARDI,2))</f>
        <v/>
      </c>
      <c r="BO60" s="39"/>
      <c r="BP60" s="40" t="str">
        <f aca="false">IF(OR(INDEX(Undirviðmið!$G$6:$G$105,(COLUMN()-7-1)/2+1)&lt;&gt;"Starfsbundið",BO60="",BO$8="",BO$7=""),"",ROUND(BO60/BO$8*BO$7*KVARDI,2))</f>
        <v/>
      </c>
      <c r="BQ60" s="39"/>
      <c r="BR60" s="40" t="str">
        <f aca="false">IF(OR(INDEX(Undirviðmið!$G$6:$G$105,(COLUMN()-7-1)/2+1)&lt;&gt;"Starfsbundið",BQ60="",BQ$8="",BQ$7=""),"",ROUND(BQ60/BQ$8*BQ$7*KVARDI,2))</f>
        <v/>
      </c>
      <c r="BS60" s="39"/>
      <c r="BT60" s="40" t="str">
        <f aca="false">IF(OR(INDEX(Undirviðmið!$G$6:$G$105,(COLUMN()-7-1)/2+1)&lt;&gt;"Starfsbundið",BS60="",BS$8="",BS$7=""),"",ROUND(BS60/BS$8*BS$7*KVARDI,2))</f>
        <v/>
      </c>
      <c r="BU60" s="39"/>
      <c r="BV60" s="40" t="str">
        <f aca="false">IF(OR(INDEX(Undirviðmið!$G$6:$G$105,(COLUMN()-7-1)/2+1)&lt;&gt;"Starfsbundið",BU60="",BU$8="",BU$7=""),"",ROUND(BU60/BU$8*BU$7*KVARDI,2))</f>
        <v/>
      </c>
      <c r="BW60" s="39"/>
      <c r="BX60" s="40" t="str">
        <f aca="false">IF(OR(INDEX(Undirviðmið!$G$6:$G$105,(COLUMN()-7-1)/2+1)&lt;&gt;"Starfsbundið",BW60="",BW$8="",BW$7=""),"",ROUND(BW60/BW$8*BW$7*KVARDI,2))</f>
        <v/>
      </c>
      <c r="BY60" s="39"/>
      <c r="BZ60" s="40" t="str">
        <f aca="false">IF(OR(INDEX(Undirviðmið!$G$6:$G$105,(COLUMN()-7-1)/2+1)&lt;&gt;"Starfsbundið",BY60="",BY$8="",BY$7=""),"",ROUND(BY60/BY$8*BY$7*KVARDI,2))</f>
        <v/>
      </c>
      <c r="CA60" s="39"/>
      <c r="CB60" s="40" t="str">
        <f aca="false">IF(OR(INDEX(Undirviðmið!$G$6:$G$105,(COLUMN()-7-1)/2+1)&lt;&gt;"Starfsbundið",CA60="",CA$8="",CA$7=""),"",ROUND(CA60/CA$8*CA$7*KVARDI,2))</f>
        <v/>
      </c>
      <c r="CC60" s="39"/>
      <c r="CD60" s="40" t="str">
        <f aca="false">IF(OR(INDEX(Undirviðmið!$G$6:$G$105,(COLUMN()-7-1)/2+1)&lt;&gt;"Starfsbundið",CC60="",CC$8="",CC$7=""),"",ROUND(CC60/CC$8*CC$7*KVARDI,2))</f>
        <v/>
      </c>
      <c r="CE60" s="39"/>
      <c r="CF60" s="40" t="str">
        <f aca="false">IF(OR(INDEX(Undirviðmið!$G$6:$G$105,(COLUMN()-7-1)/2+1)&lt;&gt;"Starfsbundið",CE60="",CE$8="",CE$7=""),"",ROUND(CE60/CE$8*CE$7*KVARDI,2))</f>
        <v/>
      </c>
      <c r="CG60" s="39"/>
      <c r="CH60" s="40" t="str">
        <f aca="false">IF(OR(INDEX(Undirviðmið!$G$6:$G$105,(COLUMN()-7-1)/2+1)&lt;&gt;"Starfsbundið",CG60="",CG$8="",CG$7=""),"",ROUND(CG60/CG$8*CG$7*KVARDI,2))</f>
        <v/>
      </c>
      <c r="CI60" s="39"/>
      <c r="CJ60" s="40" t="str">
        <f aca="false">IF(OR(INDEX(Undirviðmið!$G$6:$G$105,(COLUMN()-7-1)/2+1)&lt;&gt;"Starfsbundið",CI60="",CI$8="",CI$7=""),"",ROUND(CI60/CI$8*CI$7*KVARDI,2))</f>
        <v/>
      </c>
      <c r="CK60" s="39"/>
      <c r="CL60" s="40" t="str">
        <f aca="false">IF(OR(INDEX(Undirviðmið!$G$6:$G$105,(COLUMN()-7-1)/2+1)&lt;&gt;"Starfsbundið",CK60="",CK$8="",CK$7=""),"",ROUND(CK60/CK$8*CK$7*KVARDI,2))</f>
        <v/>
      </c>
      <c r="CM60" s="39"/>
      <c r="CN60" s="40" t="str">
        <f aca="false">IF(OR(INDEX(Undirviðmið!$G$6:$G$105,(COLUMN()-7-1)/2+1)&lt;&gt;"Starfsbundið",CM60="",CM$8="",CM$7=""),"",ROUND(CM60/CM$8*CM$7*KVARDI,2))</f>
        <v/>
      </c>
      <c r="CO60" s="39"/>
      <c r="CP60" s="40" t="str">
        <f aca="false">IF(OR(INDEX(Undirviðmið!$G$6:$G$105,(COLUMN()-7-1)/2+1)&lt;&gt;"Starfsbundið",CO60="",CO$8="",CO$7=""),"",ROUND(CO60/CO$8*CO$7*KVARDI,2))</f>
        <v/>
      </c>
      <c r="CQ60" s="39"/>
      <c r="CR60" s="40" t="str">
        <f aca="false">IF(OR(INDEX(Undirviðmið!$G$6:$G$105,(COLUMN()-7-1)/2+1)&lt;&gt;"Starfsbundið",CQ60="",CQ$8="",CQ$7=""),"",ROUND(CQ60/CQ$8*CQ$7*KVARDI,2))</f>
        <v/>
      </c>
      <c r="CS60" s="39"/>
      <c r="CT60" s="40" t="str">
        <f aca="false">IF(OR(INDEX(Undirviðmið!$G$6:$G$105,(COLUMN()-7-1)/2+1)&lt;&gt;"Starfsbundið",CS60="",CS$8="",CS$7=""),"",ROUND(CS60/CS$8*CS$7*KVARDI,2))</f>
        <v/>
      </c>
      <c r="CU60" s="39"/>
      <c r="CV60" s="40" t="str">
        <f aca="false">IF(OR(INDEX(Undirviðmið!$G$6:$G$105,(COLUMN()-7-1)/2+1)&lt;&gt;"Starfsbundið",CU60="",CU$8="",CU$7=""),"",ROUND(CU60/CU$8*CU$7*KVARDI,2))</f>
        <v/>
      </c>
      <c r="CW60" s="39"/>
      <c r="CX60" s="40" t="str">
        <f aca="false">IF(OR(INDEX(Undirviðmið!$G$6:$G$105,(COLUMN()-7-1)/2+1)&lt;&gt;"Starfsbundið",CW60="",CW$8="",CW$7=""),"",ROUND(CW60/CW$8*CW$7*KVARDI,2))</f>
        <v/>
      </c>
      <c r="CY60" s="39"/>
      <c r="CZ60" s="40" t="str">
        <f aca="false">IF(OR(INDEX(Undirviðmið!$G$6:$G$105,(COLUMN()-7-1)/2+1)&lt;&gt;"Starfsbundið",CY60="",CY$8="",CY$7=""),"",ROUND(CY60/CY$8*CY$7*KVARDI,2))</f>
        <v/>
      </c>
      <c r="DA60" s="39"/>
      <c r="DB60" s="40" t="str">
        <f aca="false">IF(OR(INDEX(Undirviðmið!$G$6:$G$105,(COLUMN()-7-1)/2+1)&lt;&gt;"Starfsbundið",DA60="",DA$8="",DA$7=""),"",ROUND(DA60/DA$8*DA$7*KVARDI,2))</f>
        <v/>
      </c>
      <c r="DC60" s="39"/>
      <c r="DD60" s="40" t="str">
        <f aca="false">IF(OR(INDEX(Undirviðmið!$G$6:$G$105,(COLUMN()-7-1)/2+1)&lt;&gt;"Starfsbundið",DC60="",DC$8="",DC$7=""),"",ROUND(DC60/DC$8*DC$7*KVARDI,2))</f>
        <v/>
      </c>
      <c r="DE60" s="39"/>
      <c r="DF60" s="40" t="str">
        <f aca="false">IF(OR(INDEX(Undirviðmið!$G$6:$G$105,(COLUMN()-7-1)/2+1)&lt;&gt;"Starfsbundið",DE60="",DE$8="",DE$7=""),"",ROUND(DE60/DE$8*DE$7*KVARDI,2))</f>
        <v/>
      </c>
      <c r="DG60" s="39"/>
      <c r="DH60" s="40" t="str">
        <f aca="false">IF(OR(INDEX(Undirviðmið!$G$6:$G$105,(COLUMN()-7-1)/2+1)&lt;&gt;"Starfsbundið",DG60="",DG$8="",DG$7=""),"",ROUND(DG60/DG$8*DG$7*KVARDI,2))</f>
        <v/>
      </c>
      <c r="DI60" s="39"/>
      <c r="DJ60" s="40" t="str">
        <f aca="false">IF(OR(INDEX(Undirviðmið!$G$6:$G$105,(COLUMN()-7-1)/2+1)&lt;&gt;"Starfsbundið",DI60="",DI$8="",DI$7=""),"",ROUND(DI60/DI$8*DI$7*KVARDI,2))</f>
        <v/>
      </c>
      <c r="DK60" s="39"/>
      <c r="DL60" s="40" t="str">
        <f aca="false">IF(OR(INDEX(Undirviðmið!$G$6:$G$105,(COLUMN()-7-1)/2+1)&lt;&gt;"Starfsbundið",DK60="",DK$8="",DK$7=""),"",ROUND(DK60/DK$8*DK$7*KVARDI,2))</f>
        <v/>
      </c>
      <c r="DM60" s="39"/>
      <c r="DN60" s="40" t="str">
        <f aca="false">IF(OR(INDEX(Undirviðmið!$G$6:$G$105,(COLUMN()-7-1)/2+1)&lt;&gt;"Starfsbundið",DM60="",DM$8="",DM$7=""),"",ROUND(DM60/DM$8*DM$7*KVARDI,2))</f>
        <v/>
      </c>
      <c r="DO60" s="39"/>
      <c r="DP60" s="40" t="str">
        <f aca="false">IF(OR(INDEX(Undirviðmið!$G$6:$G$105,(COLUMN()-7-1)/2+1)&lt;&gt;"Starfsbundið",DO60="",DO$8="",DO$7=""),"",ROUND(DO60/DO$8*DO$7*KVARDI,2))</f>
        <v/>
      </c>
      <c r="DQ60" s="39"/>
      <c r="DR60" s="40" t="str">
        <f aca="false">IF(OR(INDEX(Undirviðmið!$G$6:$G$105,(COLUMN()-7-1)/2+1)&lt;&gt;"Starfsbundið",DQ60="",DQ$8="",DQ$7=""),"",ROUND(DQ60/DQ$8*DQ$7*KVARDI,2))</f>
        <v/>
      </c>
      <c r="DS60" s="39"/>
      <c r="DT60" s="40" t="str">
        <f aca="false">IF(OR(INDEX(Undirviðmið!$G$6:$G$105,(COLUMN()-7-1)/2+1)&lt;&gt;"Starfsbundið",DS60="",DS$8="",DS$7=""),"",ROUND(DS60/DS$8*DS$7*KVARDI,2))</f>
        <v/>
      </c>
      <c r="DU60" s="39"/>
      <c r="DV60" s="40" t="str">
        <f aca="false">IF(OR(INDEX(Undirviðmið!$G$6:$G$105,(COLUMN()-7-1)/2+1)&lt;&gt;"Starfsbundið",DU60="",DU$8="",DU$7=""),"",ROUND(DU60/DU$8*DU$7*KVARDI,2))</f>
        <v/>
      </c>
      <c r="DW60" s="39"/>
      <c r="DX60" s="40" t="str">
        <f aca="false">IF(OR(INDEX(Undirviðmið!$G$6:$G$105,(COLUMN()-7-1)/2+1)&lt;&gt;"Starfsbundið",DW60="",DW$8="",DW$7=""),"",ROUND(DW60/DW$8*DW$7*KVARDI,2))</f>
        <v/>
      </c>
      <c r="DY60" s="39"/>
      <c r="DZ60" s="40" t="str">
        <f aca="false">IF(OR(INDEX(Undirviðmið!$G$6:$G$105,(COLUMN()-7-1)/2+1)&lt;&gt;"Starfsbundið",DY60="",DY$8="",DY$7=""),"",ROUND(DY60/DY$8*DY$7*KVARDI,2))</f>
        <v/>
      </c>
      <c r="EA60" s="39"/>
      <c r="EB60" s="40" t="str">
        <f aca="false">IF(OR(INDEX(Undirviðmið!$G$6:$G$105,(COLUMN()-7-1)/2+1)&lt;&gt;"Starfsbundið",EA60="",EA$8="",EA$7=""),"",ROUND(EA60/EA$8*EA$7*KVARDI,2))</f>
        <v/>
      </c>
      <c r="EC60" s="39"/>
      <c r="ED60" s="40" t="str">
        <f aca="false">IF(OR(INDEX(Undirviðmið!$G$6:$G$105,(COLUMN()-7-1)/2+1)&lt;&gt;"Starfsbundið",EC60="",EC$8="",EC$7=""),"",ROUND(EC60/EC$8*EC$7*KVARDI,2))</f>
        <v/>
      </c>
      <c r="EE60" s="39"/>
      <c r="EF60" s="40" t="str">
        <f aca="false">IF(OR(INDEX(Undirviðmið!$G$6:$G$105,(COLUMN()-7-1)/2+1)&lt;&gt;"Starfsbundið",EE60="",EE$8="",EE$7=""),"",ROUND(EE60/EE$8*EE$7*KVARDI,2))</f>
        <v/>
      </c>
      <c r="EG60" s="39"/>
      <c r="EH60" s="40" t="str">
        <f aca="false">IF(OR(INDEX(Undirviðmið!$G$6:$G$105,(COLUMN()-7-1)/2+1)&lt;&gt;"Starfsbundið",EG60="",EG$8="",EG$7=""),"",ROUND(EG60/EG$8*EG$7*KVARDI,2))</f>
        <v/>
      </c>
      <c r="EI60" s="39"/>
      <c r="EJ60" s="40" t="str">
        <f aca="false">IF(OR(INDEX(Undirviðmið!$G$6:$G$105,(COLUMN()-7-1)/2+1)&lt;&gt;"Starfsbundið",EI60="",EI$8="",EI$7=""),"",ROUND(EI60/EI$8*EI$7*KVARDI,2))</f>
        <v/>
      </c>
      <c r="EK60" s="39"/>
      <c r="EL60" s="40" t="str">
        <f aca="false">IF(OR(INDEX(Undirviðmið!$G$6:$G$105,(COLUMN()-7-1)/2+1)&lt;&gt;"Starfsbundið",EK60="",EK$8="",EK$7=""),"",ROUND(EK60/EK$8*EK$7*KVARDI,2))</f>
        <v/>
      </c>
      <c r="EM60" s="39"/>
      <c r="EN60" s="40" t="str">
        <f aca="false">IF(OR(INDEX(Undirviðmið!$G$6:$G$105,(COLUMN()-7-1)/2+1)&lt;&gt;"Starfsbundið",EM60="",EM$8="",EM$7=""),"",ROUND(EM60/EM$8*EM$7*KVARDI,2))</f>
        <v/>
      </c>
      <c r="EO60" s="39"/>
      <c r="EP60" s="40" t="str">
        <f aca="false">IF(OR(INDEX(Undirviðmið!$G$6:$G$105,(COLUMN()-7-1)/2+1)&lt;&gt;"Starfsbundið",EO60="",EO$8="",EO$7=""),"",ROUND(EO60/EO$8*EO$7*KVARDI,2))</f>
        <v/>
      </c>
      <c r="EQ60" s="39"/>
      <c r="ER60" s="40" t="str">
        <f aca="false">IF(OR(INDEX(Undirviðmið!$G$6:$G$105,(COLUMN()-7-1)/2+1)&lt;&gt;"Starfsbundið",EQ60="",EQ$8="",EQ$7=""),"",ROUND(EQ60/EQ$8*EQ$7*KVARDI,2))</f>
        <v/>
      </c>
      <c r="ES60" s="39"/>
      <c r="ET60" s="40" t="str">
        <f aca="false">IF(OR(INDEX(Undirviðmið!$G$6:$G$105,(COLUMN()-7-1)/2+1)&lt;&gt;"Starfsbundið",ES60="",ES$8="",ES$7=""),"",ROUND(ES60/ES$8*ES$7*KVARDI,2))</f>
        <v/>
      </c>
      <c r="EU60" s="39"/>
      <c r="EV60" s="40" t="str">
        <f aca="false">IF(OR(INDEX(Undirviðmið!$G$6:$G$105,(COLUMN()-7-1)/2+1)&lt;&gt;"Starfsbundið",EU60="",EU$8="",EU$7=""),"",ROUND(EU60/EU$8*EU$7*KVARDI,2))</f>
        <v/>
      </c>
      <c r="EW60" s="39"/>
      <c r="EX60" s="40" t="str">
        <f aca="false">IF(OR(INDEX(Undirviðmið!$G$6:$G$105,(COLUMN()-7-1)/2+1)&lt;&gt;"Starfsbundið",EW60="",EW$8="",EW$7=""),"",ROUND(EW60/EW$8*EW$7*KVARDI,2))</f>
        <v/>
      </c>
      <c r="EY60" s="39"/>
      <c r="EZ60" s="40" t="str">
        <f aca="false">IF(OR(INDEX(Undirviðmið!$G$6:$G$105,(COLUMN()-7-1)/2+1)&lt;&gt;"Starfsbundið",EY60="",EY$8="",EY$7=""),"",ROUND(EY60/EY$8*EY$7*KVARDI,2))</f>
        <v/>
      </c>
      <c r="FA60" s="39"/>
      <c r="FB60" s="40" t="str">
        <f aca="false">IF(OR(INDEX(Undirviðmið!$G$6:$G$105,(COLUMN()-7-1)/2+1)&lt;&gt;"Starfsbundið",FA60="",FA$8="",FA$7=""),"",ROUND(FA60/FA$8*FA$7*KVARDI,2))</f>
        <v/>
      </c>
      <c r="FC60" s="39"/>
      <c r="FD60" s="40" t="str">
        <f aca="false">IF(OR(INDEX(Undirviðmið!$G$6:$G$105,(COLUMN()-7-1)/2+1)&lt;&gt;"Starfsbundið",FC60="",FC$8="",FC$7=""),"",ROUND(FC60/FC$8*FC$7*KVARDI,2))</f>
        <v/>
      </c>
      <c r="FE60" s="39"/>
      <c r="FF60" s="40" t="str">
        <f aca="false">IF(OR(INDEX(Undirviðmið!$G$6:$G$105,(COLUMN()-7-1)/2+1)&lt;&gt;"Starfsbundið",FE60="",FE$8="",FE$7=""),"",ROUND(FE60/FE$8*FE$7*KVARDI,2))</f>
        <v/>
      </c>
      <c r="FG60" s="39"/>
      <c r="FH60" s="40" t="str">
        <f aca="false">IF(OR(INDEX(Undirviðmið!$G$6:$G$105,(COLUMN()-7-1)/2+1)&lt;&gt;"Starfsbundið",FG60="",FG$8="",FG$7=""),"",ROUND(FG60/FG$8*FG$7*KVARDI,2))</f>
        <v/>
      </c>
      <c r="FI60" s="39"/>
      <c r="FJ60" s="40" t="str">
        <f aca="false">IF(OR(INDEX(Undirviðmið!$G$6:$G$105,(COLUMN()-7-1)/2+1)&lt;&gt;"Starfsbundið",FI60="",FI$8="",FI$7=""),"",ROUND(FI60/FI$8*FI$7*KVARDI,2))</f>
        <v/>
      </c>
      <c r="FK60" s="39"/>
      <c r="FL60" s="40" t="str">
        <f aca="false">IF(OR(INDEX(Undirviðmið!$G$6:$G$105,(COLUMN()-7-1)/2+1)&lt;&gt;"Starfsbundið",FK60="",FK$8="",FK$7=""),"",ROUND(FK60/FK$8*FK$7*KVARDI,2))</f>
        <v/>
      </c>
      <c r="FM60" s="39"/>
      <c r="FN60" s="40" t="str">
        <f aca="false">IF(OR(INDEX(Undirviðmið!$G$6:$G$105,(COLUMN()-7-1)/2+1)&lt;&gt;"Starfsbundið",FM60="",FM$8="",FM$7=""),"",ROUND(FM60/FM$8*FM$7*KVARDI,2))</f>
        <v/>
      </c>
      <c r="FO60" s="39"/>
      <c r="FP60" s="40" t="str">
        <f aca="false">IF(OR(INDEX(Undirviðmið!$G$6:$G$105,(COLUMN()-7-1)/2+1)&lt;&gt;"Starfsbundið",FO60="",FO$8="",FO$7=""),"",ROUND(FO60/FO$8*FO$7*KVARDI,2))</f>
        <v/>
      </c>
      <c r="FQ60" s="39"/>
      <c r="FR60" s="40" t="str">
        <f aca="false">IF(OR(INDEX(Undirviðmið!$G$6:$G$105,(COLUMN()-7-1)/2+1)&lt;&gt;"Starfsbundið",FQ60="",FQ$8="",FQ$7=""),"",ROUND(FQ60/FQ$8*FQ$7*KVARDI,2))</f>
        <v/>
      </c>
      <c r="FS60" s="39"/>
      <c r="FT60" s="40" t="str">
        <f aca="false">IF(OR(INDEX(Undirviðmið!$G$6:$G$105,(COLUMN()-7-1)/2+1)&lt;&gt;"Starfsbundið",FS60="",FS$8="",FS$7=""),"",ROUND(FS60/FS$8*FS$7*KVARDI,2))</f>
        <v/>
      </c>
      <c r="FU60" s="39"/>
      <c r="FV60" s="40" t="str">
        <f aca="false">IF(OR(INDEX(Undirviðmið!$G$6:$G$105,(COLUMN()-7-1)/2+1)&lt;&gt;"Starfsbundið",FU60="",FU$8="",FU$7=""),"",ROUND(FU60/FU$8*FU$7*KVARDI,2))</f>
        <v/>
      </c>
      <c r="FW60" s="39"/>
      <c r="FX60" s="40" t="str">
        <f aca="false">IF(OR(INDEX(Undirviðmið!$G$6:$G$105,(COLUMN()-7-1)/2+1)&lt;&gt;"Starfsbundið",FW60="",FW$8="",FW$7=""),"",ROUND(FW60/FW$8*FW$7*KVARDI,2))</f>
        <v/>
      </c>
      <c r="FY60" s="39"/>
      <c r="FZ60" s="40" t="str">
        <f aca="false">IF(OR(INDEX(Undirviðmið!$G$6:$G$105,(COLUMN()-7-1)/2+1)&lt;&gt;"Starfsbundið",FY60="",FY$8="",FY$7=""),"",ROUND(FY60/FY$8*FY$7*KVARDI,2))</f>
        <v/>
      </c>
      <c r="GA60" s="39"/>
      <c r="GB60" s="40" t="str">
        <f aca="false">IF(OR(INDEX(Undirviðmið!$G$6:$G$105,(COLUMN()-7-1)/2+1)&lt;&gt;"Starfsbundið",GA60="",GA$8="",GA$7=""),"",ROUND(GA60/GA$8*GA$7*KVARDI,2))</f>
        <v/>
      </c>
      <c r="GC60" s="39"/>
      <c r="GD60" s="40" t="str">
        <f aca="false">IF(OR(INDEX(Undirviðmið!$G$6:$G$105,(COLUMN()-7-1)/2+1)&lt;&gt;"Starfsbundið",GC60="",GC$8="",GC$7=""),"",ROUND(GC60/GC$8*GC$7*KVARDI,2))</f>
        <v/>
      </c>
      <c r="GE60" s="39"/>
      <c r="GF60" s="40" t="str">
        <f aca="false">IF(OR(INDEX(Undirviðmið!$G$6:$G$105,(COLUMN()-7-1)/2+1)&lt;&gt;"Starfsbundið",GE60="",GE$8="",GE$7=""),"",ROUND(GE60/GE$8*GE$7*KVARDI,2))</f>
        <v/>
      </c>
      <c r="GG60" s="39"/>
      <c r="GH60" s="40" t="str">
        <f aca="false">IF(OR(INDEX(Undirviðmið!$G$6:$G$105,(COLUMN()-7-1)/2+1)&lt;&gt;"Starfsbundið",GG60="",GG$8="",GG$7=""),"",ROUND(GG60/GG$8*GG$7*KVARDI,2))</f>
        <v/>
      </c>
      <c r="GI60" s="39"/>
      <c r="GJ60" s="40" t="str">
        <f aca="false">IF(OR(INDEX(Undirviðmið!$G$6:$G$105,(COLUMN()-7-1)/2+1)&lt;&gt;"Starfsbundið",GI60="",GI$8="",GI$7=""),"",ROUND(GI60/GI$8*GI$7*KVARDI,2))</f>
        <v/>
      </c>
      <c r="GK60" s="39"/>
      <c r="GL60" s="40" t="str">
        <f aca="false">IF(OR(INDEX(Undirviðmið!$G$6:$G$105,(COLUMN()-7-1)/2+1)&lt;&gt;"Starfsbundið",GK60="",GK$8="",GK$7=""),"",ROUND(GK60/GK$8*GK$7*KVARDI,2))</f>
        <v/>
      </c>
      <c r="GM60" s="39"/>
      <c r="GN60" s="40" t="str">
        <f aca="false">IF(OR(INDEX(Undirviðmið!$G$6:$G$105,(COLUMN()-7-1)/2+1)&lt;&gt;"Starfsbundið",GM60="",GM$8="",GM$7=""),"",ROUND(GM60/GM$8*GM$7*KVARDI,2))</f>
        <v/>
      </c>
      <c r="GO60" s="39"/>
      <c r="GP60" s="40" t="str">
        <f aca="false">IF(OR(INDEX(Undirviðmið!$G$6:$G$105,(COLUMN()-7-1)/2+1)&lt;&gt;"Starfsbundið",GO60="",GO$8="",GO$7=""),"",ROUND(GO60/GO$8*GO$7*KVARDI,2))</f>
        <v/>
      </c>
      <c r="GQ60" s="39"/>
      <c r="GR60" s="40" t="str">
        <f aca="false">IF(OR(INDEX(Undirviðmið!$G$6:$G$105,(COLUMN()-7-1)/2+1)&lt;&gt;"Starfsbundið",GQ60="",GQ$8="",GQ$7=""),"",ROUND(GQ60/GQ$8*GQ$7*KVARDI,2))</f>
        <v/>
      </c>
      <c r="GS60" s="39"/>
      <c r="GT60" s="40" t="str">
        <f aca="false">IF(OR(INDEX(Undirviðmið!$G$6:$G$105,(COLUMN()-7-1)/2+1)&lt;&gt;"Starfsbundið",GS60="",GS$8="",GS$7=""),"",ROUND(GS60/GS$8*GS$7*KVARDI,2))</f>
        <v/>
      </c>
      <c r="GU60" s="39"/>
      <c r="GV60" s="40" t="str">
        <f aca="false">IF(OR(INDEX(Undirviðmið!$G$6:$G$105,(COLUMN()-7-1)/2+1)&lt;&gt;"Starfsbundið",GU60="",GU$8="",GU$7=""),"",ROUND(GU60/GU$8*GU$7*KVARDI,2))</f>
        <v/>
      </c>
      <c r="GW60" s="39"/>
      <c r="GX60" s="40" t="str">
        <f aca="false">IF(OR(INDEX(Undirviðmið!$G$6:$G$105,(COLUMN()-7-1)/2+1)&lt;&gt;"Starfsbundið",GW60="",GW$8="",GW$7=""),"",ROUND(GW60/GW$8*GW$7*KVARDI,2))</f>
        <v/>
      </c>
      <c r="GZ60" s="20"/>
    </row>
    <row r="61" customFormat="false" ht="15" hidden="true" customHeight="true" outlineLevel="1" collapsed="false">
      <c r="B61" s="37" t="str">
        <f aca="false" t="array" ref="B61:B61">IFERROR(INDEX(Starfsmenn!$C$6:$C$10005,MATCH(0,COUNTIF($B$11:B60,Starfsmenn!$C$6:$C$10005)+(Starfsmenn!$C$6:$C$10005=""),0)),"")</f>
        <v/>
      </c>
      <c r="C61" s="38" t="n">
        <f aca="false">IFERROR(SUMIF($G$10:$GX$10,"Stig",$G61:$GX61),0)</f>
        <v>0</v>
      </c>
      <c r="G61" s="39"/>
      <c r="H61" s="40" t="str">
        <f aca="false">IF(OR(INDEX(Undirviðmið!$G$6:$G$105,(COLUMN()-7-1)/2+1)&lt;&gt;"Starfsbundið",G61="",G$8="",G$7=""),"",ROUND(G61/G$8*G$7*KVARDI,2))</f>
        <v/>
      </c>
      <c r="I61" s="39"/>
      <c r="J61" s="40" t="str">
        <f aca="false">IF(OR(INDEX(Undirviðmið!$G$6:$G$105,(COLUMN()-7-1)/2+1)&lt;&gt;"Starfsbundið",I61="",I$8="",I$7=""),"",ROUND(I61/I$8*I$7*KVARDI,2))</f>
        <v/>
      </c>
      <c r="K61" s="39"/>
      <c r="L61" s="40" t="str">
        <f aca="false">IF(OR(INDEX(Undirviðmið!$G$6:$G$105,(COLUMN()-7-1)/2+1)&lt;&gt;"Starfsbundið",K61="",K$8="",K$7=""),"",ROUND(K61/K$8*K$7*KVARDI,2))</f>
        <v/>
      </c>
      <c r="M61" s="39"/>
      <c r="N61" s="40" t="str">
        <f aca="false">IF(OR(INDEX(Undirviðmið!$G$6:$G$105,(COLUMN()-7-1)/2+1)&lt;&gt;"Starfsbundið",M61="",M$8="",M$7=""),"",ROUND(M61/M$8*M$7*KVARDI,2))</f>
        <v/>
      </c>
      <c r="O61" s="39"/>
      <c r="P61" s="40" t="str">
        <f aca="false">IF(OR(INDEX(Undirviðmið!$G$6:$G$105,(COLUMN()-7-1)/2+1)&lt;&gt;"Starfsbundið",O61="",O$8="",O$7=""),"",ROUND(O61/O$8*O$7*KVARDI,2))</f>
        <v/>
      </c>
      <c r="Q61" s="39"/>
      <c r="R61" s="40" t="str">
        <f aca="false">IF(OR(INDEX(Undirviðmið!$G$6:$G$105,(COLUMN()-7-1)/2+1)&lt;&gt;"Starfsbundið",Q61="",Q$8="",Q$7=""),"",ROUND(Q61/Q$8*Q$7*KVARDI,2))</f>
        <v/>
      </c>
      <c r="S61" s="39"/>
      <c r="T61" s="40" t="str">
        <f aca="false">IF(OR(INDEX(Undirviðmið!$G$6:$G$105,(COLUMN()-7-1)/2+1)&lt;&gt;"Starfsbundið",S61="",S$8="",S$7=""),"",ROUND(S61/S$8*S$7*KVARDI,2))</f>
        <v/>
      </c>
      <c r="U61" s="39"/>
      <c r="V61" s="40" t="str">
        <f aca="false">IF(OR(INDEX(Undirviðmið!$G$6:$G$105,(COLUMN()-7-1)/2+1)&lt;&gt;"Starfsbundið",U61="",U$8="",U$7=""),"",ROUND(U61/U$8*U$7*KVARDI,2))</f>
        <v/>
      </c>
      <c r="W61" s="39"/>
      <c r="X61" s="40" t="str">
        <f aca="false">IF(OR(INDEX(Undirviðmið!$G$6:$G$105,(COLUMN()-7-1)/2+1)&lt;&gt;"Starfsbundið",W61="",W$8="",W$7=""),"",ROUND(W61/W$8*W$7*KVARDI,2))</f>
        <v/>
      </c>
      <c r="Y61" s="39"/>
      <c r="Z61" s="40" t="str">
        <f aca="false">IF(OR(INDEX(Undirviðmið!$G$6:$G$105,(COLUMN()-7-1)/2+1)&lt;&gt;"Starfsbundið",Y61="",Y$8="",Y$7=""),"",ROUND(Y61/Y$8*Y$7*KVARDI,2))</f>
        <v/>
      </c>
      <c r="AA61" s="39"/>
      <c r="AB61" s="40" t="str">
        <f aca="false">IF(OR(INDEX(Undirviðmið!$G$6:$G$105,(COLUMN()-7-1)/2+1)&lt;&gt;"Starfsbundið",AA61="",AA$8="",AA$7=""),"",ROUND(AA61/AA$8*AA$7*KVARDI,2))</f>
        <v/>
      </c>
      <c r="AC61" s="39"/>
      <c r="AD61" s="40" t="str">
        <f aca="false">IF(OR(INDEX(Undirviðmið!$G$6:$G$105,(COLUMN()-7-1)/2+1)&lt;&gt;"Starfsbundið",AC61="",AC$8="",AC$7=""),"",ROUND(AC61/AC$8*AC$7*KVARDI,2))</f>
        <v/>
      </c>
      <c r="AE61" s="39"/>
      <c r="AF61" s="40" t="str">
        <f aca="false">IF(OR(INDEX(Undirviðmið!$G$6:$G$105,(COLUMN()-7-1)/2+1)&lt;&gt;"Starfsbundið",AE61="",AE$8="",AE$7=""),"",ROUND(AE61/AE$8*AE$7*KVARDI,2))</f>
        <v/>
      </c>
      <c r="AG61" s="39"/>
      <c r="AH61" s="40" t="str">
        <f aca="false">IF(OR(INDEX(Undirviðmið!$G$6:$G$105,(COLUMN()-7-1)/2+1)&lt;&gt;"Starfsbundið",AG61="",AG$8="",AG$7=""),"",ROUND(AG61/AG$8*AG$7*KVARDI,2))</f>
        <v/>
      </c>
      <c r="AI61" s="39"/>
      <c r="AJ61" s="40" t="str">
        <f aca="false">IF(OR(INDEX(Undirviðmið!$G$6:$G$105,(COLUMN()-7-1)/2+1)&lt;&gt;"Starfsbundið",AI61="",AI$8="",AI$7=""),"",ROUND(AI61/AI$8*AI$7*KVARDI,2))</f>
        <v/>
      </c>
      <c r="AK61" s="39"/>
      <c r="AL61" s="40" t="str">
        <f aca="false">IF(OR(INDEX(Undirviðmið!$G$6:$G$105,(COLUMN()-7-1)/2+1)&lt;&gt;"Starfsbundið",AK61="",AK$8="",AK$7=""),"",ROUND(AK61/AK$8*AK$7*KVARDI,2))</f>
        <v/>
      </c>
      <c r="AM61" s="39"/>
      <c r="AN61" s="40" t="str">
        <f aca="false">IF(OR(INDEX(Undirviðmið!$G$6:$G$105,(COLUMN()-7-1)/2+1)&lt;&gt;"Starfsbundið",AM61="",AM$8="",AM$7=""),"",ROUND(AM61/AM$8*AM$7*KVARDI,2))</f>
        <v/>
      </c>
      <c r="AO61" s="39"/>
      <c r="AP61" s="40" t="str">
        <f aca="false">IF(OR(INDEX(Undirviðmið!$G$6:$G$105,(COLUMN()-7-1)/2+1)&lt;&gt;"Starfsbundið",AO61="",AO$8="",AO$7=""),"",ROUND(AO61/AO$8*AO$7*KVARDI,2))</f>
        <v/>
      </c>
      <c r="AQ61" s="39"/>
      <c r="AR61" s="40" t="str">
        <f aca="false">IF(OR(INDEX(Undirviðmið!$G$6:$G$105,(COLUMN()-7-1)/2+1)&lt;&gt;"Starfsbundið",AQ61="",AQ$8="",AQ$7=""),"",ROUND(AQ61/AQ$8*AQ$7*KVARDI,2))</f>
        <v/>
      </c>
      <c r="AS61" s="39"/>
      <c r="AT61" s="40" t="str">
        <f aca="false">IF(OR(INDEX(Undirviðmið!$G$6:$G$105,(COLUMN()-7-1)/2+1)&lt;&gt;"Starfsbundið",AS61="",AS$8="",AS$7=""),"",ROUND(AS61/AS$8*AS$7*KVARDI,2))</f>
        <v/>
      </c>
      <c r="AU61" s="39"/>
      <c r="AV61" s="40" t="str">
        <f aca="false">IF(OR(INDEX(Undirviðmið!$G$6:$G$105,(COLUMN()-7-1)/2+1)&lt;&gt;"Starfsbundið",AU61="",AU$8="",AU$7=""),"",ROUND(AU61/AU$8*AU$7*KVARDI,2))</f>
        <v/>
      </c>
      <c r="AW61" s="39"/>
      <c r="AX61" s="40" t="str">
        <f aca="false">IF(OR(INDEX(Undirviðmið!$G$6:$G$105,(COLUMN()-7-1)/2+1)&lt;&gt;"Starfsbundið",AW61="",AW$8="",AW$7=""),"",ROUND(AW61/AW$8*AW$7*KVARDI,2))</f>
        <v/>
      </c>
      <c r="AY61" s="39"/>
      <c r="AZ61" s="40" t="str">
        <f aca="false">IF(OR(INDEX(Undirviðmið!$G$6:$G$105,(COLUMN()-7-1)/2+1)&lt;&gt;"Starfsbundið",AY61="",AY$8="",AY$7=""),"",ROUND(AY61/AY$8*AY$7*KVARDI,2))</f>
        <v/>
      </c>
      <c r="BA61" s="39"/>
      <c r="BB61" s="40" t="str">
        <f aca="false">IF(OR(INDEX(Undirviðmið!$G$6:$G$105,(COLUMN()-7-1)/2+1)&lt;&gt;"Starfsbundið",BA61="",BA$8="",BA$7=""),"",ROUND(BA61/BA$8*BA$7*KVARDI,2))</f>
        <v/>
      </c>
      <c r="BC61" s="39"/>
      <c r="BD61" s="40" t="str">
        <f aca="false">IF(OR(INDEX(Undirviðmið!$G$6:$G$105,(COLUMN()-7-1)/2+1)&lt;&gt;"Starfsbundið",BC61="",BC$8="",BC$7=""),"",ROUND(BC61/BC$8*BC$7*KVARDI,2))</f>
        <v/>
      </c>
      <c r="BE61" s="39"/>
      <c r="BF61" s="40" t="str">
        <f aca="false">IF(OR(INDEX(Undirviðmið!$G$6:$G$105,(COLUMN()-7-1)/2+1)&lt;&gt;"Starfsbundið",BE61="",BE$8="",BE$7=""),"",ROUND(BE61/BE$8*BE$7*KVARDI,2))</f>
        <v/>
      </c>
      <c r="BG61" s="39"/>
      <c r="BH61" s="40" t="str">
        <f aca="false">IF(OR(INDEX(Undirviðmið!$G$6:$G$105,(COLUMN()-7-1)/2+1)&lt;&gt;"Starfsbundið",BG61="",BG$8="",BG$7=""),"",ROUND(BG61/BG$8*BG$7*KVARDI,2))</f>
        <v/>
      </c>
      <c r="BI61" s="39"/>
      <c r="BJ61" s="40" t="str">
        <f aca="false">IF(OR(INDEX(Undirviðmið!$G$6:$G$105,(COLUMN()-7-1)/2+1)&lt;&gt;"Starfsbundið",BI61="",BI$8="",BI$7=""),"",ROUND(BI61/BI$8*BI$7*KVARDI,2))</f>
        <v/>
      </c>
      <c r="BK61" s="39"/>
      <c r="BL61" s="40" t="str">
        <f aca="false">IF(OR(INDEX(Undirviðmið!$G$6:$G$105,(COLUMN()-7-1)/2+1)&lt;&gt;"Starfsbundið",BK61="",BK$8="",BK$7=""),"",ROUND(BK61/BK$8*BK$7*KVARDI,2))</f>
        <v/>
      </c>
      <c r="BM61" s="39"/>
      <c r="BN61" s="40" t="str">
        <f aca="false">IF(OR(INDEX(Undirviðmið!$G$6:$G$105,(COLUMN()-7-1)/2+1)&lt;&gt;"Starfsbundið",BM61="",BM$8="",BM$7=""),"",ROUND(BM61/BM$8*BM$7*KVARDI,2))</f>
        <v/>
      </c>
      <c r="BO61" s="39"/>
      <c r="BP61" s="40" t="str">
        <f aca="false">IF(OR(INDEX(Undirviðmið!$G$6:$G$105,(COLUMN()-7-1)/2+1)&lt;&gt;"Starfsbundið",BO61="",BO$8="",BO$7=""),"",ROUND(BO61/BO$8*BO$7*KVARDI,2))</f>
        <v/>
      </c>
      <c r="BQ61" s="39"/>
      <c r="BR61" s="40" t="str">
        <f aca="false">IF(OR(INDEX(Undirviðmið!$G$6:$G$105,(COLUMN()-7-1)/2+1)&lt;&gt;"Starfsbundið",BQ61="",BQ$8="",BQ$7=""),"",ROUND(BQ61/BQ$8*BQ$7*KVARDI,2))</f>
        <v/>
      </c>
      <c r="BS61" s="39"/>
      <c r="BT61" s="40" t="str">
        <f aca="false">IF(OR(INDEX(Undirviðmið!$G$6:$G$105,(COLUMN()-7-1)/2+1)&lt;&gt;"Starfsbundið",BS61="",BS$8="",BS$7=""),"",ROUND(BS61/BS$8*BS$7*KVARDI,2))</f>
        <v/>
      </c>
      <c r="BU61" s="39"/>
      <c r="BV61" s="40" t="str">
        <f aca="false">IF(OR(INDEX(Undirviðmið!$G$6:$G$105,(COLUMN()-7-1)/2+1)&lt;&gt;"Starfsbundið",BU61="",BU$8="",BU$7=""),"",ROUND(BU61/BU$8*BU$7*KVARDI,2))</f>
        <v/>
      </c>
      <c r="BW61" s="39"/>
      <c r="BX61" s="40" t="str">
        <f aca="false">IF(OR(INDEX(Undirviðmið!$G$6:$G$105,(COLUMN()-7-1)/2+1)&lt;&gt;"Starfsbundið",BW61="",BW$8="",BW$7=""),"",ROUND(BW61/BW$8*BW$7*KVARDI,2))</f>
        <v/>
      </c>
      <c r="BY61" s="39"/>
      <c r="BZ61" s="40" t="str">
        <f aca="false">IF(OR(INDEX(Undirviðmið!$G$6:$G$105,(COLUMN()-7-1)/2+1)&lt;&gt;"Starfsbundið",BY61="",BY$8="",BY$7=""),"",ROUND(BY61/BY$8*BY$7*KVARDI,2))</f>
        <v/>
      </c>
      <c r="CA61" s="39"/>
      <c r="CB61" s="40" t="str">
        <f aca="false">IF(OR(INDEX(Undirviðmið!$G$6:$G$105,(COLUMN()-7-1)/2+1)&lt;&gt;"Starfsbundið",CA61="",CA$8="",CA$7=""),"",ROUND(CA61/CA$8*CA$7*KVARDI,2))</f>
        <v/>
      </c>
      <c r="CC61" s="39"/>
      <c r="CD61" s="40" t="str">
        <f aca="false">IF(OR(INDEX(Undirviðmið!$G$6:$G$105,(COLUMN()-7-1)/2+1)&lt;&gt;"Starfsbundið",CC61="",CC$8="",CC$7=""),"",ROUND(CC61/CC$8*CC$7*KVARDI,2))</f>
        <v/>
      </c>
      <c r="CE61" s="39"/>
      <c r="CF61" s="40" t="str">
        <f aca="false">IF(OR(INDEX(Undirviðmið!$G$6:$G$105,(COLUMN()-7-1)/2+1)&lt;&gt;"Starfsbundið",CE61="",CE$8="",CE$7=""),"",ROUND(CE61/CE$8*CE$7*KVARDI,2))</f>
        <v/>
      </c>
      <c r="CG61" s="39"/>
      <c r="CH61" s="40" t="str">
        <f aca="false">IF(OR(INDEX(Undirviðmið!$G$6:$G$105,(COLUMN()-7-1)/2+1)&lt;&gt;"Starfsbundið",CG61="",CG$8="",CG$7=""),"",ROUND(CG61/CG$8*CG$7*KVARDI,2))</f>
        <v/>
      </c>
      <c r="CI61" s="39"/>
      <c r="CJ61" s="40" t="str">
        <f aca="false">IF(OR(INDEX(Undirviðmið!$G$6:$G$105,(COLUMN()-7-1)/2+1)&lt;&gt;"Starfsbundið",CI61="",CI$8="",CI$7=""),"",ROUND(CI61/CI$8*CI$7*KVARDI,2))</f>
        <v/>
      </c>
      <c r="CK61" s="39"/>
      <c r="CL61" s="40" t="str">
        <f aca="false">IF(OR(INDEX(Undirviðmið!$G$6:$G$105,(COLUMN()-7-1)/2+1)&lt;&gt;"Starfsbundið",CK61="",CK$8="",CK$7=""),"",ROUND(CK61/CK$8*CK$7*KVARDI,2))</f>
        <v/>
      </c>
      <c r="CM61" s="39"/>
      <c r="CN61" s="40" t="str">
        <f aca="false">IF(OR(INDEX(Undirviðmið!$G$6:$G$105,(COLUMN()-7-1)/2+1)&lt;&gt;"Starfsbundið",CM61="",CM$8="",CM$7=""),"",ROUND(CM61/CM$8*CM$7*KVARDI,2))</f>
        <v/>
      </c>
      <c r="CO61" s="39"/>
      <c r="CP61" s="40" t="str">
        <f aca="false">IF(OR(INDEX(Undirviðmið!$G$6:$G$105,(COLUMN()-7-1)/2+1)&lt;&gt;"Starfsbundið",CO61="",CO$8="",CO$7=""),"",ROUND(CO61/CO$8*CO$7*KVARDI,2))</f>
        <v/>
      </c>
      <c r="CQ61" s="39"/>
      <c r="CR61" s="40" t="str">
        <f aca="false">IF(OR(INDEX(Undirviðmið!$G$6:$G$105,(COLUMN()-7-1)/2+1)&lt;&gt;"Starfsbundið",CQ61="",CQ$8="",CQ$7=""),"",ROUND(CQ61/CQ$8*CQ$7*KVARDI,2))</f>
        <v/>
      </c>
      <c r="CS61" s="39"/>
      <c r="CT61" s="40" t="str">
        <f aca="false">IF(OR(INDEX(Undirviðmið!$G$6:$G$105,(COLUMN()-7-1)/2+1)&lt;&gt;"Starfsbundið",CS61="",CS$8="",CS$7=""),"",ROUND(CS61/CS$8*CS$7*KVARDI,2))</f>
        <v/>
      </c>
      <c r="CU61" s="39"/>
      <c r="CV61" s="40" t="str">
        <f aca="false">IF(OR(INDEX(Undirviðmið!$G$6:$G$105,(COLUMN()-7-1)/2+1)&lt;&gt;"Starfsbundið",CU61="",CU$8="",CU$7=""),"",ROUND(CU61/CU$8*CU$7*KVARDI,2))</f>
        <v/>
      </c>
      <c r="CW61" s="39"/>
      <c r="CX61" s="40" t="str">
        <f aca="false">IF(OR(INDEX(Undirviðmið!$G$6:$G$105,(COLUMN()-7-1)/2+1)&lt;&gt;"Starfsbundið",CW61="",CW$8="",CW$7=""),"",ROUND(CW61/CW$8*CW$7*KVARDI,2))</f>
        <v/>
      </c>
      <c r="CY61" s="39"/>
      <c r="CZ61" s="40" t="str">
        <f aca="false">IF(OR(INDEX(Undirviðmið!$G$6:$G$105,(COLUMN()-7-1)/2+1)&lt;&gt;"Starfsbundið",CY61="",CY$8="",CY$7=""),"",ROUND(CY61/CY$8*CY$7*KVARDI,2))</f>
        <v/>
      </c>
      <c r="DA61" s="39"/>
      <c r="DB61" s="40" t="str">
        <f aca="false">IF(OR(INDEX(Undirviðmið!$G$6:$G$105,(COLUMN()-7-1)/2+1)&lt;&gt;"Starfsbundið",DA61="",DA$8="",DA$7=""),"",ROUND(DA61/DA$8*DA$7*KVARDI,2))</f>
        <v/>
      </c>
      <c r="DC61" s="39"/>
      <c r="DD61" s="40" t="str">
        <f aca="false">IF(OR(INDEX(Undirviðmið!$G$6:$G$105,(COLUMN()-7-1)/2+1)&lt;&gt;"Starfsbundið",DC61="",DC$8="",DC$7=""),"",ROUND(DC61/DC$8*DC$7*KVARDI,2))</f>
        <v/>
      </c>
      <c r="DE61" s="39"/>
      <c r="DF61" s="40" t="str">
        <f aca="false">IF(OR(INDEX(Undirviðmið!$G$6:$G$105,(COLUMN()-7-1)/2+1)&lt;&gt;"Starfsbundið",DE61="",DE$8="",DE$7=""),"",ROUND(DE61/DE$8*DE$7*KVARDI,2))</f>
        <v/>
      </c>
      <c r="DG61" s="39"/>
      <c r="DH61" s="40" t="str">
        <f aca="false">IF(OR(INDEX(Undirviðmið!$G$6:$G$105,(COLUMN()-7-1)/2+1)&lt;&gt;"Starfsbundið",DG61="",DG$8="",DG$7=""),"",ROUND(DG61/DG$8*DG$7*KVARDI,2))</f>
        <v/>
      </c>
      <c r="DI61" s="39"/>
      <c r="DJ61" s="40" t="str">
        <f aca="false">IF(OR(INDEX(Undirviðmið!$G$6:$G$105,(COLUMN()-7-1)/2+1)&lt;&gt;"Starfsbundið",DI61="",DI$8="",DI$7=""),"",ROUND(DI61/DI$8*DI$7*KVARDI,2))</f>
        <v/>
      </c>
      <c r="DK61" s="39"/>
      <c r="DL61" s="40" t="str">
        <f aca="false">IF(OR(INDEX(Undirviðmið!$G$6:$G$105,(COLUMN()-7-1)/2+1)&lt;&gt;"Starfsbundið",DK61="",DK$8="",DK$7=""),"",ROUND(DK61/DK$8*DK$7*KVARDI,2))</f>
        <v/>
      </c>
      <c r="DM61" s="39"/>
      <c r="DN61" s="40" t="str">
        <f aca="false">IF(OR(INDEX(Undirviðmið!$G$6:$G$105,(COLUMN()-7-1)/2+1)&lt;&gt;"Starfsbundið",DM61="",DM$8="",DM$7=""),"",ROUND(DM61/DM$8*DM$7*KVARDI,2))</f>
        <v/>
      </c>
      <c r="DO61" s="39"/>
      <c r="DP61" s="40" t="str">
        <f aca="false">IF(OR(INDEX(Undirviðmið!$G$6:$G$105,(COLUMN()-7-1)/2+1)&lt;&gt;"Starfsbundið",DO61="",DO$8="",DO$7=""),"",ROUND(DO61/DO$8*DO$7*KVARDI,2))</f>
        <v/>
      </c>
      <c r="DQ61" s="39"/>
      <c r="DR61" s="40" t="str">
        <f aca="false">IF(OR(INDEX(Undirviðmið!$G$6:$G$105,(COLUMN()-7-1)/2+1)&lt;&gt;"Starfsbundið",DQ61="",DQ$8="",DQ$7=""),"",ROUND(DQ61/DQ$8*DQ$7*KVARDI,2))</f>
        <v/>
      </c>
      <c r="DS61" s="39"/>
      <c r="DT61" s="40" t="str">
        <f aca="false">IF(OR(INDEX(Undirviðmið!$G$6:$G$105,(COLUMN()-7-1)/2+1)&lt;&gt;"Starfsbundið",DS61="",DS$8="",DS$7=""),"",ROUND(DS61/DS$8*DS$7*KVARDI,2))</f>
        <v/>
      </c>
      <c r="DU61" s="39"/>
      <c r="DV61" s="40" t="str">
        <f aca="false">IF(OR(INDEX(Undirviðmið!$G$6:$G$105,(COLUMN()-7-1)/2+1)&lt;&gt;"Starfsbundið",DU61="",DU$8="",DU$7=""),"",ROUND(DU61/DU$8*DU$7*KVARDI,2))</f>
        <v/>
      </c>
      <c r="DW61" s="39"/>
      <c r="DX61" s="40" t="str">
        <f aca="false">IF(OR(INDEX(Undirviðmið!$G$6:$G$105,(COLUMN()-7-1)/2+1)&lt;&gt;"Starfsbundið",DW61="",DW$8="",DW$7=""),"",ROUND(DW61/DW$8*DW$7*KVARDI,2))</f>
        <v/>
      </c>
      <c r="DY61" s="39"/>
      <c r="DZ61" s="40" t="str">
        <f aca="false">IF(OR(INDEX(Undirviðmið!$G$6:$G$105,(COLUMN()-7-1)/2+1)&lt;&gt;"Starfsbundið",DY61="",DY$8="",DY$7=""),"",ROUND(DY61/DY$8*DY$7*KVARDI,2))</f>
        <v/>
      </c>
      <c r="EA61" s="39"/>
      <c r="EB61" s="40" t="str">
        <f aca="false">IF(OR(INDEX(Undirviðmið!$G$6:$G$105,(COLUMN()-7-1)/2+1)&lt;&gt;"Starfsbundið",EA61="",EA$8="",EA$7=""),"",ROUND(EA61/EA$8*EA$7*KVARDI,2))</f>
        <v/>
      </c>
      <c r="EC61" s="39"/>
      <c r="ED61" s="40" t="str">
        <f aca="false">IF(OR(INDEX(Undirviðmið!$G$6:$G$105,(COLUMN()-7-1)/2+1)&lt;&gt;"Starfsbundið",EC61="",EC$8="",EC$7=""),"",ROUND(EC61/EC$8*EC$7*KVARDI,2))</f>
        <v/>
      </c>
      <c r="EE61" s="39"/>
      <c r="EF61" s="40" t="str">
        <f aca="false">IF(OR(INDEX(Undirviðmið!$G$6:$G$105,(COLUMN()-7-1)/2+1)&lt;&gt;"Starfsbundið",EE61="",EE$8="",EE$7=""),"",ROUND(EE61/EE$8*EE$7*KVARDI,2))</f>
        <v/>
      </c>
      <c r="EG61" s="39"/>
      <c r="EH61" s="40" t="str">
        <f aca="false">IF(OR(INDEX(Undirviðmið!$G$6:$G$105,(COLUMN()-7-1)/2+1)&lt;&gt;"Starfsbundið",EG61="",EG$8="",EG$7=""),"",ROUND(EG61/EG$8*EG$7*KVARDI,2))</f>
        <v/>
      </c>
      <c r="EI61" s="39"/>
      <c r="EJ61" s="40" t="str">
        <f aca="false">IF(OR(INDEX(Undirviðmið!$G$6:$G$105,(COLUMN()-7-1)/2+1)&lt;&gt;"Starfsbundið",EI61="",EI$8="",EI$7=""),"",ROUND(EI61/EI$8*EI$7*KVARDI,2))</f>
        <v/>
      </c>
      <c r="EK61" s="39"/>
      <c r="EL61" s="40" t="str">
        <f aca="false">IF(OR(INDEX(Undirviðmið!$G$6:$G$105,(COLUMN()-7-1)/2+1)&lt;&gt;"Starfsbundið",EK61="",EK$8="",EK$7=""),"",ROUND(EK61/EK$8*EK$7*KVARDI,2))</f>
        <v/>
      </c>
      <c r="EM61" s="39"/>
      <c r="EN61" s="40" t="str">
        <f aca="false">IF(OR(INDEX(Undirviðmið!$G$6:$G$105,(COLUMN()-7-1)/2+1)&lt;&gt;"Starfsbundið",EM61="",EM$8="",EM$7=""),"",ROUND(EM61/EM$8*EM$7*KVARDI,2))</f>
        <v/>
      </c>
      <c r="EO61" s="39"/>
      <c r="EP61" s="40" t="str">
        <f aca="false">IF(OR(INDEX(Undirviðmið!$G$6:$G$105,(COLUMN()-7-1)/2+1)&lt;&gt;"Starfsbundið",EO61="",EO$8="",EO$7=""),"",ROUND(EO61/EO$8*EO$7*KVARDI,2))</f>
        <v/>
      </c>
      <c r="EQ61" s="39"/>
      <c r="ER61" s="40" t="str">
        <f aca="false">IF(OR(INDEX(Undirviðmið!$G$6:$G$105,(COLUMN()-7-1)/2+1)&lt;&gt;"Starfsbundið",EQ61="",EQ$8="",EQ$7=""),"",ROUND(EQ61/EQ$8*EQ$7*KVARDI,2))</f>
        <v/>
      </c>
      <c r="ES61" s="39"/>
      <c r="ET61" s="40" t="str">
        <f aca="false">IF(OR(INDEX(Undirviðmið!$G$6:$G$105,(COLUMN()-7-1)/2+1)&lt;&gt;"Starfsbundið",ES61="",ES$8="",ES$7=""),"",ROUND(ES61/ES$8*ES$7*KVARDI,2))</f>
        <v/>
      </c>
      <c r="EU61" s="39"/>
      <c r="EV61" s="40" t="str">
        <f aca="false">IF(OR(INDEX(Undirviðmið!$G$6:$G$105,(COLUMN()-7-1)/2+1)&lt;&gt;"Starfsbundið",EU61="",EU$8="",EU$7=""),"",ROUND(EU61/EU$8*EU$7*KVARDI,2))</f>
        <v/>
      </c>
      <c r="EW61" s="39"/>
      <c r="EX61" s="40" t="str">
        <f aca="false">IF(OR(INDEX(Undirviðmið!$G$6:$G$105,(COLUMN()-7-1)/2+1)&lt;&gt;"Starfsbundið",EW61="",EW$8="",EW$7=""),"",ROUND(EW61/EW$8*EW$7*KVARDI,2))</f>
        <v/>
      </c>
      <c r="EY61" s="39"/>
      <c r="EZ61" s="40" t="str">
        <f aca="false">IF(OR(INDEX(Undirviðmið!$G$6:$G$105,(COLUMN()-7-1)/2+1)&lt;&gt;"Starfsbundið",EY61="",EY$8="",EY$7=""),"",ROUND(EY61/EY$8*EY$7*KVARDI,2))</f>
        <v/>
      </c>
      <c r="FA61" s="39"/>
      <c r="FB61" s="40" t="str">
        <f aca="false">IF(OR(INDEX(Undirviðmið!$G$6:$G$105,(COLUMN()-7-1)/2+1)&lt;&gt;"Starfsbundið",FA61="",FA$8="",FA$7=""),"",ROUND(FA61/FA$8*FA$7*KVARDI,2))</f>
        <v/>
      </c>
      <c r="FC61" s="39"/>
      <c r="FD61" s="40" t="str">
        <f aca="false">IF(OR(INDEX(Undirviðmið!$G$6:$G$105,(COLUMN()-7-1)/2+1)&lt;&gt;"Starfsbundið",FC61="",FC$8="",FC$7=""),"",ROUND(FC61/FC$8*FC$7*KVARDI,2))</f>
        <v/>
      </c>
      <c r="FE61" s="39"/>
      <c r="FF61" s="40" t="str">
        <f aca="false">IF(OR(INDEX(Undirviðmið!$G$6:$G$105,(COLUMN()-7-1)/2+1)&lt;&gt;"Starfsbundið",FE61="",FE$8="",FE$7=""),"",ROUND(FE61/FE$8*FE$7*KVARDI,2))</f>
        <v/>
      </c>
      <c r="FG61" s="39"/>
      <c r="FH61" s="40" t="str">
        <f aca="false">IF(OR(INDEX(Undirviðmið!$G$6:$G$105,(COLUMN()-7-1)/2+1)&lt;&gt;"Starfsbundið",FG61="",FG$8="",FG$7=""),"",ROUND(FG61/FG$8*FG$7*KVARDI,2))</f>
        <v/>
      </c>
      <c r="FI61" s="39"/>
      <c r="FJ61" s="40" t="str">
        <f aca="false">IF(OR(INDEX(Undirviðmið!$G$6:$G$105,(COLUMN()-7-1)/2+1)&lt;&gt;"Starfsbundið",FI61="",FI$8="",FI$7=""),"",ROUND(FI61/FI$8*FI$7*KVARDI,2))</f>
        <v/>
      </c>
      <c r="FK61" s="39"/>
      <c r="FL61" s="40" t="str">
        <f aca="false">IF(OR(INDEX(Undirviðmið!$G$6:$G$105,(COLUMN()-7-1)/2+1)&lt;&gt;"Starfsbundið",FK61="",FK$8="",FK$7=""),"",ROUND(FK61/FK$8*FK$7*KVARDI,2))</f>
        <v/>
      </c>
      <c r="FM61" s="39"/>
      <c r="FN61" s="40" t="str">
        <f aca="false">IF(OR(INDEX(Undirviðmið!$G$6:$G$105,(COLUMN()-7-1)/2+1)&lt;&gt;"Starfsbundið",FM61="",FM$8="",FM$7=""),"",ROUND(FM61/FM$8*FM$7*KVARDI,2))</f>
        <v/>
      </c>
      <c r="FO61" s="39"/>
      <c r="FP61" s="40" t="str">
        <f aca="false">IF(OR(INDEX(Undirviðmið!$G$6:$G$105,(COLUMN()-7-1)/2+1)&lt;&gt;"Starfsbundið",FO61="",FO$8="",FO$7=""),"",ROUND(FO61/FO$8*FO$7*KVARDI,2))</f>
        <v/>
      </c>
      <c r="FQ61" s="39"/>
      <c r="FR61" s="40" t="str">
        <f aca="false">IF(OR(INDEX(Undirviðmið!$G$6:$G$105,(COLUMN()-7-1)/2+1)&lt;&gt;"Starfsbundið",FQ61="",FQ$8="",FQ$7=""),"",ROUND(FQ61/FQ$8*FQ$7*KVARDI,2))</f>
        <v/>
      </c>
      <c r="FS61" s="39"/>
      <c r="FT61" s="40" t="str">
        <f aca="false">IF(OR(INDEX(Undirviðmið!$G$6:$G$105,(COLUMN()-7-1)/2+1)&lt;&gt;"Starfsbundið",FS61="",FS$8="",FS$7=""),"",ROUND(FS61/FS$8*FS$7*KVARDI,2))</f>
        <v/>
      </c>
      <c r="FU61" s="39"/>
      <c r="FV61" s="40" t="str">
        <f aca="false">IF(OR(INDEX(Undirviðmið!$G$6:$G$105,(COLUMN()-7-1)/2+1)&lt;&gt;"Starfsbundið",FU61="",FU$8="",FU$7=""),"",ROUND(FU61/FU$8*FU$7*KVARDI,2))</f>
        <v/>
      </c>
      <c r="FW61" s="39"/>
      <c r="FX61" s="40" t="str">
        <f aca="false">IF(OR(INDEX(Undirviðmið!$G$6:$G$105,(COLUMN()-7-1)/2+1)&lt;&gt;"Starfsbundið",FW61="",FW$8="",FW$7=""),"",ROUND(FW61/FW$8*FW$7*KVARDI,2))</f>
        <v/>
      </c>
      <c r="FY61" s="39"/>
      <c r="FZ61" s="40" t="str">
        <f aca="false">IF(OR(INDEX(Undirviðmið!$G$6:$G$105,(COLUMN()-7-1)/2+1)&lt;&gt;"Starfsbundið",FY61="",FY$8="",FY$7=""),"",ROUND(FY61/FY$8*FY$7*KVARDI,2))</f>
        <v/>
      </c>
      <c r="GA61" s="39"/>
      <c r="GB61" s="40" t="str">
        <f aca="false">IF(OR(INDEX(Undirviðmið!$G$6:$G$105,(COLUMN()-7-1)/2+1)&lt;&gt;"Starfsbundið",GA61="",GA$8="",GA$7=""),"",ROUND(GA61/GA$8*GA$7*KVARDI,2))</f>
        <v/>
      </c>
      <c r="GC61" s="39"/>
      <c r="GD61" s="40" t="str">
        <f aca="false">IF(OR(INDEX(Undirviðmið!$G$6:$G$105,(COLUMN()-7-1)/2+1)&lt;&gt;"Starfsbundið",GC61="",GC$8="",GC$7=""),"",ROUND(GC61/GC$8*GC$7*KVARDI,2))</f>
        <v/>
      </c>
      <c r="GE61" s="39"/>
      <c r="GF61" s="40" t="str">
        <f aca="false">IF(OR(INDEX(Undirviðmið!$G$6:$G$105,(COLUMN()-7-1)/2+1)&lt;&gt;"Starfsbundið",GE61="",GE$8="",GE$7=""),"",ROUND(GE61/GE$8*GE$7*KVARDI,2))</f>
        <v/>
      </c>
      <c r="GG61" s="39"/>
      <c r="GH61" s="40" t="str">
        <f aca="false">IF(OR(INDEX(Undirviðmið!$G$6:$G$105,(COLUMN()-7-1)/2+1)&lt;&gt;"Starfsbundið",GG61="",GG$8="",GG$7=""),"",ROUND(GG61/GG$8*GG$7*KVARDI,2))</f>
        <v/>
      </c>
      <c r="GI61" s="39"/>
      <c r="GJ61" s="40" t="str">
        <f aca="false">IF(OR(INDEX(Undirviðmið!$G$6:$G$105,(COLUMN()-7-1)/2+1)&lt;&gt;"Starfsbundið",GI61="",GI$8="",GI$7=""),"",ROUND(GI61/GI$8*GI$7*KVARDI,2))</f>
        <v/>
      </c>
      <c r="GK61" s="39"/>
      <c r="GL61" s="40" t="str">
        <f aca="false">IF(OR(INDEX(Undirviðmið!$G$6:$G$105,(COLUMN()-7-1)/2+1)&lt;&gt;"Starfsbundið",GK61="",GK$8="",GK$7=""),"",ROUND(GK61/GK$8*GK$7*KVARDI,2))</f>
        <v/>
      </c>
      <c r="GM61" s="39"/>
      <c r="GN61" s="40" t="str">
        <f aca="false">IF(OR(INDEX(Undirviðmið!$G$6:$G$105,(COLUMN()-7-1)/2+1)&lt;&gt;"Starfsbundið",GM61="",GM$8="",GM$7=""),"",ROUND(GM61/GM$8*GM$7*KVARDI,2))</f>
        <v/>
      </c>
      <c r="GO61" s="39"/>
      <c r="GP61" s="40" t="str">
        <f aca="false">IF(OR(INDEX(Undirviðmið!$G$6:$G$105,(COLUMN()-7-1)/2+1)&lt;&gt;"Starfsbundið",GO61="",GO$8="",GO$7=""),"",ROUND(GO61/GO$8*GO$7*KVARDI,2))</f>
        <v/>
      </c>
      <c r="GQ61" s="39"/>
      <c r="GR61" s="40" t="str">
        <f aca="false">IF(OR(INDEX(Undirviðmið!$G$6:$G$105,(COLUMN()-7-1)/2+1)&lt;&gt;"Starfsbundið",GQ61="",GQ$8="",GQ$7=""),"",ROUND(GQ61/GQ$8*GQ$7*KVARDI,2))</f>
        <v/>
      </c>
      <c r="GS61" s="39"/>
      <c r="GT61" s="40" t="str">
        <f aca="false">IF(OR(INDEX(Undirviðmið!$G$6:$G$105,(COLUMN()-7-1)/2+1)&lt;&gt;"Starfsbundið",GS61="",GS$8="",GS$7=""),"",ROUND(GS61/GS$8*GS$7*KVARDI,2))</f>
        <v/>
      </c>
      <c r="GU61" s="39"/>
      <c r="GV61" s="40" t="str">
        <f aca="false">IF(OR(INDEX(Undirviðmið!$G$6:$G$105,(COLUMN()-7-1)/2+1)&lt;&gt;"Starfsbundið",GU61="",GU$8="",GU$7=""),"",ROUND(GU61/GU$8*GU$7*KVARDI,2))</f>
        <v/>
      </c>
      <c r="GW61" s="39"/>
      <c r="GX61" s="40" t="str">
        <f aca="false">IF(OR(INDEX(Undirviðmið!$G$6:$G$105,(COLUMN()-7-1)/2+1)&lt;&gt;"Starfsbundið",GW61="",GW$8="",GW$7=""),"",ROUND(GW61/GW$8*GW$7*KVARDI,2))</f>
        <v/>
      </c>
      <c r="GZ61" s="20"/>
    </row>
    <row r="62" customFormat="false" ht="15" hidden="true" customHeight="true" outlineLevel="1" collapsed="false">
      <c r="B62" s="37" t="str">
        <f aca="false" t="array" ref="B62:B62">IFERROR(INDEX(Starfsmenn!$C$6:$C$10005,MATCH(0,COUNTIF($B$11:B61,Starfsmenn!$C$6:$C$10005)+(Starfsmenn!$C$6:$C$10005=""),0)),"")</f>
        <v/>
      </c>
      <c r="C62" s="38" t="n">
        <f aca="false">IFERROR(SUMIF($G$10:$GX$10,"Stig",$G62:$GX62),0)</f>
        <v>0</v>
      </c>
      <c r="G62" s="39"/>
      <c r="H62" s="40" t="str">
        <f aca="false">IF(OR(INDEX(Undirviðmið!$G$6:$G$105,(COLUMN()-7-1)/2+1)&lt;&gt;"Starfsbundið",G62="",G$8="",G$7=""),"",ROUND(G62/G$8*G$7*KVARDI,2))</f>
        <v/>
      </c>
      <c r="I62" s="39"/>
      <c r="J62" s="40" t="str">
        <f aca="false">IF(OR(INDEX(Undirviðmið!$G$6:$G$105,(COLUMN()-7-1)/2+1)&lt;&gt;"Starfsbundið",I62="",I$8="",I$7=""),"",ROUND(I62/I$8*I$7*KVARDI,2))</f>
        <v/>
      </c>
      <c r="K62" s="39"/>
      <c r="L62" s="40" t="str">
        <f aca="false">IF(OR(INDEX(Undirviðmið!$G$6:$G$105,(COLUMN()-7-1)/2+1)&lt;&gt;"Starfsbundið",K62="",K$8="",K$7=""),"",ROUND(K62/K$8*K$7*KVARDI,2))</f>
        <v/>
      </c>
      <c r="M62" s="39"/>
      <c r="N62" s="40" t="str">
        <f aca="false">IF(OR(INDEX(Undirviðmið!$G$6:$G$105,(COLUMN()-7-1)/2+1)&lt;&gt;"Starfsbundið",M62="",M$8="",M$7=""),"",ROUND(M62/M$8*M$7*KVARDI,2))</f>
        <v/>
      </c>
      <c r="O62" s="39"/>
      <c r="P62" s="40" t="str">
        <f aca="false">IF(OR(INDEX(Undirviðmið!$G$6:$G$105,(COLUMN()-7-1)/2+1)&lt;&gt;"Starfsbundið",O62="",O$8="",O$7=""),"",ROUND(O62/O$8*O$7*KVARDI,2))</f>
        <v/>
      </c>
      <c r="Q62" s="39"/>
      <c r="R62" s="40" t="str">
        <f aca="false">IF(OR(INDEX(Undirviðmið!$G$6:$G$105,(COLUMN()-7-1)/2+1)&lt;&gt;"Starfsbundið",Q62="",Q$8="",Q$7=""),"",ROUND(Q62/Q$8*Q$7*KVARDI,2))</f>
        <v/>
      </c>
      <c r="S62" s="39"/>
      <c r="T62" s="40" t="str">
        <f aca="false">IF(OR(INDEX(Undirviðmið!$G$6:$G$105,(COLUMN()-7-1)/2+1)&lt;&gt;"Starfsbundið",S62="",S$8="",S$7=""),"",ROUND(S62/S$8*S$7*KVARDI,2))</f>
        <v/>
      </c>
      <c r="U62" s="39"/>
      <c r="V62" s="40" t="str">
        <f aca="false">IF(OR(INDEX(Undirviðmið!$G$6:$G$105,(COLUMN()-7-1)/2+1)&lt;&gt;"Starfsbundið",U62="",U$8="",U$7=""),"",ROUND(U62/U$8*U$7*KVARDI,2))</f>
        <v/>
      </c>
      <c r="W62" s="39"/>
      <c r="X62" s="40" t="str">
        <f aca="false">IF(OR(INDEX(Undirviðmið!$G$6:$G$105,(COLUMN()-7-1)/2+1)&lt;&gt;"Starfsbundið",W62="",W$8="",W$7=""),"",ROUND(W62/W$8*W$7*KVARDI,2))</f>
        <v/>
      </c>
      <c r="Y62" s="39"/>
      <c r="Z62" s="40" t="str">
        <f aca="false">IF(OR(INDEX(Undirviðmið!$G$6:$G$105,(COLUMN()-7-1)/2+1)&lt;&gt;"Starfsbundið",Y62="",Y$8="",Y$7=""),"",ROUND(Y62/Y$8*Y$7*KVARDI,2))</f>
        <v/>
      </c>
      <c r="AA62" s="39"/>
      <c r="AB62" s="40" t="str">
        <f aca="false">IF(OR(INDEX(Undirviðmið!$G$6:$G$105,(COLUMN()-7-1)/2+1)&lt;&gt;"Starfsbundið",AA62="",AA$8="",AA$7=""),"",ROUND(AA62/AA$8*AA$7*KVARDI,2))</f>
        <v/>
      </c>
      <c r="AC62" s="39"/>
      <c r="AD62" s="40" t="str">
        <f aca="false">IF(OR(INDEX(Undirviðmið!$G$6:$G$105,(COLUMN()-7-1)/2+1)&lt;&gt;"Starfsbundið",AC62="",AC$8="",AC$7=""),"",ROUND(AC62/AC$8*AC$7*KVARDI,2))</f>
        <v/>
      </c>
      <c r="AE62" s="39"/>
      <c r="AF62" s="40" t="str">
        <f aca="false">IF(OR(INDEX(Undirviðmið!$G$6:$G$105,(COLUMN()-7-1)/2+1)&lt;&gt;"Starfsbundið",AE62="",AE$8="",AE$7=""),"",ROUND(AE62/AE$8*AE$7*KVARDI,2))</f>
        <v/>
      </c>
      <c r="AG62" s="39"/>
      <c r="AH62" s="40" t="str">
        <f aca="false">IF(OR(INDEX(Undirviðmið!$G$6:$G$105,(COLUMN()-7-1)/2+1)&lt;&gt;"Starfsbundið",AG62="",AG$8="",AG$7=""),"",ROUND(AG62/AG$8*AG$7*KVARDI,2))</f>
        <v/>
      </c>
      <c r="AI62" s="39"/>
      <c r="AJ62" s="40" t="str">
        <f aca="false">IF(OR(INDEX(Undirviðmið!$G$6:$G$105,(COLUMN()-7-1)/2+1)&lt;&gt;"Starfsbundið",AI62="",AI$8="",AI$7=""),"",ROUND(AI62/AI$8*AI$7*KVARDI,2))</f>
        <v/>
      </c>
      <c r="AK62" s="39"/>
      <c r="AL62" s="40" t="str">
        <f aca="false">IF(OR(INDEX(Undirviðmið!$G$6:$G$105,(COLUMN()-7-1)/2+1)&lt;&gt;"Starfsbundið",AK62="",AK$8="",AK$7=""),"",ROUND(AK62/AK$8*AK$7*KVARDI,2))</f>
        <v/>
      </c>
      <c r="AM62" s="39"/>
      <c r="AN62" s="40" t="str">
        <f aca="false">IF(OR(INDEX(Undirviðmið!$G$6:$G$105,(COLUMN()-7-1)/2+1)&lt;&gt;"Starfsbundið",AM62="",AM$8="",AM$7=""),"",ROUND(AM62/AM$8*AM$7*KVARDI,2))</f>
        <v/>
      </c>
      <c r="AO62" s="39"/>
      <c r="AP62" s="40" t="str">
        <f aca="false">IF(OR(INDEX(Undirviðmið!$G$6:$G$105,(COLUMN()-7-1)/2+1)&lt;&gt;"Starfsbundið",AO62="",AO$8="",AO$7=""),"",ROUND(AO62/AO$8*AO$7*KVARDI,2))</f>
        <v/>
      </c>
      <c r="AQ62" s="39"/>
      <c r="AR62" s="40" t="str">
        <f aca="false">IF(OR(INDEX(Undirviðmið!$G$6:$G$105,(COLUMN()-7-1)/2+1)&lt;&gt;"Starfsbundið",AQ62="",AQ$8="",AQ$7=""),"",ROUND(AQ62/AQ$8*AQ$7*KVARDI,2))</f>
        <v/>
      </c>
      <c r="AS62" s="39"/>
      <c r="AT62" s="40" t="str">
        <f aca="false">IF(OR(INDEX(Undirviðmið!$G$6:$G$105,(COLUMN()-7-1)/2+1)&lt;&gt;"Starfsbundið",AS62="",AS$8="",AS$7=""),"",ROUND(AS62/AS$8*AS$7*KVARDI,2))</f>
        <v/>
      </c>
      <c r="AU62" s="39"/>
      <c r="AV62" s="40" t="str">
        <f aca="false">IF(OR(INDEX(Undirviðmið!$G$6:$G$105,(COLUMN()-7-1)/2+1)&lt;&gt;"Starfsbundið",AU62="",AU$8="",AU$7=""),"",ROUND(AU62/AU$8*AU$7*KVARDI,2))</f>
        <v/>
      </c>
      <c r="AW62" s="39"/>
      <c r="AX62" s="40" t="str">
        <f aca="false">IF(OR(INDEX(Undirviðmið!$G$6:$G$105,(COLUMN()-7-1)/2+1)&lt;&gt;"Starfsbundið",AW62="",AW$8="",AW$7=""),"",ROUND(AW62/AW$8*AW$7*KVARDI,2))</f>
        <v/>
      </c>
      <c r="AY62" s="39"/>
      <c r="AZ62" s="40" t="str">
        <f aca="false">IF(OR(INDEX(Undirviðmið!$G$6:$G$105,(COLUMN()-7-1)/2+1)&lt;&gt;"Starfsbundið",AY62="",AY$8="",AY$7=""),"",ROUND(AY62/AY$8*AY$7*KVARDI,2))</f>
        <v/>
      </c>
      <c r="BA62" s="39"/>
      <c r="BB62" s="40" t="str">
        <f aca="false">IF(OR(INDEX(Undirviðmið!$G$6:$G$105,(COLUMN()-7-1)/2+1)&lt;&gt;"Starfsbundið",BA62="",BA$8="",BA$7=""),"",ROUND(BA62/BA$8*BA$7*KVARDI,2))</f>
        <v/>
      </c>
      <c r="BC62" s="39"/>
      <c r="BD62" s="40" t="str">
        <f aca="false">IF(OR(INDEX(Undirviðmið!$G$6:$G$105,(COLUMN()-7-1)/2+1)&lt;&gt;"Starfsbundið",BC62="",BC$8="",BC$7=""),"",ROUND(BC62/BC$8*BC$7*KVARDI,2))</f>
        <v/>
      </c>
      <c r="BE62" s="39"/>
      <c r="BF62" s="40" t="str">
        <f aca="false">IF(OR(INDEX(Undirviðmið!$G$6:$G$105,(COLUMN()-7-1)/2+1)&lt;&gt;"Starfsbundið",BE62="",BE$8="",BE$7=""),"",ROUND(BE62/BE$8*BE$7*KVARDI,2))</f>
        <v/>
      </c>
      <c r="BG62" s="39"/>
      <c r="BH62" s="40" t="str">
        <f aca="false">IF(OR(INDEX(Undirviðmið!$G$6:$G$105,(COLUMN()-7-1)/2+1)&lt;&gt;"Starfsbundið",BG62="",BG$8="",BG$7=""),"",ROUND(BG62/BG$8*BG$7*KVARDI,2))</f>
        <v/>
      </c>
      <c r="BI62" s="39"/>
      <c r="BJ62" s="40" t="str">
        <f aca="false">IF(OR(INDEX(Undirviðmið!$G$6:$G$105,(COLUMN()-7-1)/2+1)&lt;&gt;"Starfsbundið",BI62="",BI$8="",BI$7=""),"",ROUND(BI62/BI$8*BI$7*KVARDI,2))</f>
        <v/>
      </c>
      <c r="BK62" s="39"/>
      <c r="BL62" s="40" t="str">
        <f aca="false">IF(OR(INDEX(Undirviðmið!$G$6:$G$105,(COLUMN()-7-1)/2+1)&lt;&gt;"Starfsbundið",BK62="",BK$8="",BK$7=""),"",ROUND(BK62/BK$8*BK$7*KVARDI,2))</f>
        <v/>
      </c>
      <c r="BM62" s="39"/>
      <c r="BN62" s="40" t="str">
        <f aca="false">IF(OR(INDEX(Undirviðmið!$G$6:$G$105,(COLUMN()-7-1)/2+1)&lt;&gt;"Starfsbundið",BM62="",BM$8="",BM$7=""),"",ROUND(BM62/BM$8*BM$7*KVARDI,2))</f>
        <v/>
      </c>
      <c r="BO62" s="39"/>
      <c r="BP62" s="40" t="str">
        <f aca="false">IF(OR(INDEX(Undirviðmið!$G$6:$G$105,(COLUMN()-7-1)/2+1)&lt;&gt;"Starfsbundið",BO62="",BO$8="",BO$7=""),"",ROUND(BO62/BO$8*BO$7*KVARDI,2))</f>
        <v/>
      </c>
      <c r="BQ62" s="39"/>
      <c r="BR62" s="40" t="str">
        <f aca="false">IF(OR(INDEX(Undirviðmið!$G$6:$G$105,(COLUMN()-7-1)/2+1)&lt;&gt;"Starfsbundið",BQ62="",BQ$8="",BQ$7=""),"",ROUND(BQ62/BQ$8*BQ$7*KVARDI,2))</f>
        <v/>
      </c>
      <c r="BS62" s="39"/>
      <c r="BT62" s="40" t="str">
        <f aca="false">IF(OR(INDEX(Undirviðmið!$G$6:$G$105,(COLUMN()-7-1)/2+1)&lt;&gt;"Starfsbundið",BS62="",BS$8="",BS$7=""),"",ROUND(BS62/BS$8*BS$7*KVARDI,2))</f>
        <v/>
      </c>
      <c r="BU62" s="39"/>
      <c r="BV62" s="40" t="str">
        <f aca="false">IF(OR(INDEX(Undirviðmið!$G$6:$G$105,(COLUMN()-7-1)/2+1)&lt;&gt;"Starfsbundið",BU62="",BU$8="",BU$7=""),"",ROUND(BU62/BU$8*BU$7*KVARDI,2))</f>
        <v/>
      </c>
      <c r="BW62" s="39"/>
      <c r="BX62" s="40" t="str">
        <f aca="false">IF(OR(INDEX(Undirviðmið!$G$6:$G$105,(COLUMN()-7-1)/2+1)&lt;&gt;"Starfsbundið",BW62="",BW$8="",BW$7=""),"",ROUND(BW62/BW$8*BW$7*KVARDI,2))</f>
        <v/>
      </c>
      <c r="BY62" s="39"/>
      <c r="BZ62" s="40" t="str">
        <f aca="false">IF(OR(INDEX(Undirviðmið!$G$6:$G$105,(COLUMN()-7-1)/2+1)&lt;&gt;"Starfsbundið",BY62="",BY$8="",BY$7=""),"",ROUND(BY62/BY$8*BY$7*KVARDI,2))</f>
        <v/>
      </c>
      <c r="CA62" s="39"/>
      <c r="CB62" s="40" t="str">
        <f aca="false">IF(OR(INDEX(Undirviðmið!$G$6:$G$105,(COLUMN()-7-1)/2+1)&lt;&gt;"Starfsbundið",CA62="",CA$8="",CA$7=""),"",ROUND(CA62/CA$8*CA$7*KVARDI,2))</f>
        <v/>
      </c>
      <c r="CC62" s="39"/>
      <c r="CD62" s="40" t="str">
        <f aca="false">IF(OR(INDEX(Undirviðmið!$G$6:$G$105,(COLUMN()-7-1)/2+1)&lt;&gt;"Starfsbundið",CC62="",CC$8="",CC$7=""),"",ROUND(CC62/CC$8*CC$7*KVARDI,2))</f>
        <v/>
      </c>
      <c r="CE62" s="39"/>
      <c r="CF62" s="40" t="str">
        <f aca="false">IF(OR(INDEX(Undirviðmið!$G$6:$G$105,(COLUMN()-7-1)/2+1)&lt;&gt;"Starfsbundið",CE62="",CE$8="",CE$7=""),"",ROUND(CE62/CE$8*CE$7*KVARDI,2))</f>
        <v/>
      </c>
      <c r="CG62" s="39"/>
      <c r="CH62" s="40" t="str">
        <f aca="false">IF(OR(INDEX(Undirviðmið!$G$6:$G$105,(COLUMN()-7-1)/2+1)&lt;&gt;"Starfsbundið",CG62="",CG$8="",CG$7=""),"",ROUND(CG62/CG$8*CG$7*KVARDI,2))</f>
        <v/>
      </c>
      <c r="CI62" s="39"/>
      <c r="CJ62" s="40" t="str">
        <f aca="false">IF(OR(INDEX(Undirviðmið!$G$6:$G$105,(COLUMN()-7-1)/2+1)&lt;&gt;"Starfsbundið",CI62="",CI$8="",CI$7=""),"",ROUND(CI62/CI$8*CI$7*KVARDI,2))</f>
        <v/>
      </c>
      <c r="CK62" s="39"/>
      <c r="CL62" s="40" t="str">
        <f aca="false">IF(OR(INDEX(Undirviðmið!$G$6:$G$105,(COLUMN()-7-1)/2+1)&lt;&gt;"Starfsbundið",CK62="",CK$8="",CK$7=""),"",ROUND(CK62/CK$8*CK$7*KVARDI,2))</f>
        <v/>
      </c>
      <c r="CM62" s="39"/>
      <c r="CN62" s="40" t="str">
        <f aca="false">IF(OR(INDEX(Undirviðmið!$G$6:$G$105,(COLUMN()-7-1)/2+1)&lt;&gt;"Starfsbundið",CM62="",CM$8="",CM$7=""),"",ROUND(CM62/CM$8*CM$7*KVARDI,2))</f>
        <v/>
      </c>
      <c r="CO62" s="39"/>
      <c r="CP62" s="40" t="str">
        <f aca="false">IF(OR(INDEX(Undirviðmið!$G$6:$G$105,(COLUMN()-7-1)/2+1)&lt;&gt;"Starfsbundið",CO62="",CO$8="",CO$7=""),"",ROUND(CO62/CO$8*CO$7*KVARDI,2))</f>
        <v/>
      </c>
      <c r="CQ62" s="39"/>
      <c r="CR62" s="40" t="str">
        <f aca="false">IF(OR(INDEX(Undirviðmið!$G$6:$G$105,(COLUMN()-7-1)/2+1)&lt;&gt;"Starfsbundið",CQ62="",CQ$8="",CQ$7=""),"",ROUND(CQ62/CQ$8*CQ$7*KVARDI,2))</f>
        <v/>
      </c>
      <c r="CS62" s="39"/>
      <c r="CT62" s="40" t="str">
        <f aca="false">IF(OR(INDEX(Undirviðmið!$G$6:$G$105,(COLUMN()-7-1)/2+1)&lt;&gt;"Starfsbundið",CS62="",CS$8="",CS$7=""),"",ROUND(CS62/CS$8*CS$7*KVARDI,2))</f>
        <v/>
      </c>
      <c r="CU62" s="39"/>
      <c r="CV62" s="40" t="str">
        <f aca="false">IF(OR(INDEX(Undirviðmið!$G$6:$G$105,(COLUMN()-7-1)/2+1)&lt;&gt;"Starfsbundið",CU62="",CU$8="",CU$7=""),"",ROUND(CU62/CU$8*CU$7*KVARDI,2))</f>
        <v/>
      </c>
      <c r="CW62" s="39"/>
      <c r="CX62" s="40" t="str">
        <f aca="false">IF(OR(INDEX(Undirviðmið!$G$6:$G$105,(COLUMN()-7-1)/2+1)&lt;&gt;"Starfsbundið",CW62="",CW$8="",CW$7=""),"",ROUND(CW62/CW$8*CW$7*KVARDI,2))</f>
        <v/>
      </c>
      <c r="CY62" s="39"/>
      <c r="CZ62" s="40" t="str">
        <f aca="false">IF(OR(INDEX(Undirviðmið!$G$6:$G$105,(COLUMN()-7-1)/2+1)&lt;&gt;"Starfsbundið",CY62="",CY$8="",CY$7=""),"",ROUND(CY62/CY$8*CY$7*KVARDI,2))</f>
        <v/>
      </c>
      <c r="DA62" s="39"/>
      <c r="DB62" s="40" t="str">
        <f aca="false">IF(OR(INDEX(Undirviðmið!$G$6:$G$105,(COLUMN()-7-1)/2+1)&lt;&gt;"Starfsbundið",DA62="",DA$8="",DA$7=""),"",ROUND(DA62/DA$8*DA$7*KVARDI,2))</f>
        <v/>
      </c>
      <c r="DC62" s="39"/>
      <c r="DD62" s="40" t="str">
        <f aca="false">IF(OR(INDEX(Undirviðmið!$G$6:$G$105,(COLUMN()-7-1)/2+1)&lt;&gt;"Starfsbundið",DC62="",DC$8="",DC$7=""),"",ROUND(DC62/DC$8*DC$7*KVARDI,2))</f>
        <v/>
      </c>
      <c r="DE62" s="39"/>
      <c r="DF62" s="40" t="str">
        <f aca="false">IF(OR(INDEX(Undirviðmið!$G$6:$G$105,(COLUMN()-7-1)/2+1)&lt;&gt;"Starfsbundið",DE62="",DE$8="",DE$7=""),"",ROUND(DE62/DE$8*DE$7*KVARDI,2))</f>
        <v/>
      </c>
      <c r="DG62" s="39"/>
      <c r="DH62" s="40" t="str">
        <f aca="false">IF(OR(INDEX(Undirviðmið!$G$6:$G$105,(COLUMN()-7-1)/2+1)&lt;&gt;"Starfsbundið",DG62="",DG$8="",DG$7=""),"",ROUND(DG62/DG$8*DG$7*KVARDI,2))</f>
        <v/>
      </c>
      <c r="DI62" s="39"/>
      <c r="DJ62" s="40" t="str">
        <f aca="false">IF(OR(INDEX(Undirviðmið!$G$6:$G$105,(COLUMN()-7-1)/2+1)&lt;&gt;"Starfsbundið",DI62="",DI$8="",DI$7=""),"",ROUND(DI62/DI$8*DI$7*KVARDI,2))</f>
        <v/>
      </c>
      <c r="DK62" s="39"/>
      <c r="DL62" s="40" t="str">
        <f aca="false">IF(OR(INDEX(Undirviðmið!$G$6:$G$105,(COLUMN()-7-1)/2+1)&lt;&gt;"Starfsbundið",DK62="",DK$8="",DK$7=""),"",ROUND(DK62/DK$8*DK$7*KVARDI,2))</f>
        <v/>
      </c>
      <c r="DM62" s="39"/>
      <c r="DN62" s="40" t="str">
        <f aca="false">IF(OR(INDEX(Undirviðmið!$G$6:$G$105,(COLUMN()-7-1)/2+1)&lt;&gt;"Starfsbundið",DM62="",DM$8="",DM$7=""),"",ROUND(DM62/DM$8*DM$7*KVARDI,2))</f>
        <v/>
      </c>
      <c r="DO62" s="39"/>
      <c r="DP62" s="40" t="str">
        <f aca="false">IF(OR(INDEX(Undirviðmið!$G$6:$G$105,(COLUMN()-7-1)/2+1)&lt;&gt;"Starfsbundið",DO62="",DO$8="",DO$7=""),"",ROUND(DO62/DO$8*DO$7*KVARDI,2))</f>
        <v/>
      </c>
      <c r="DQ62" s="39"/>
      <c r="DR62" s="40" t="str">
        <f aca="false">IF(OR(INDEX(Undirviðmið!$G$6:$G$105,(COLUMN()-7-1)/2+1)&lt;&gt;"Starfsbundið",DQ62="",DQ$8="",DQ$7=""),"",ROUND(DQ62/DQ$8*DQ$7*KVARDI,2))</f>
        <v/>
      </c>
      <c r="DS62" s="39"/>
      <c r="DT62" s="40" t="str">
        <f aca="false">IF(OR(INDEX(Undirviðmið!$G$6:$G$105,(COLUMN()-7-1)/2+1)&lt;&gt;"Starfsbundið",DS62="",DS$8="",DS$7=""),"",ROUND(DS62/DS$8*DS$7*KVARDI,2))</f>
        <v/>
      </c>
      <c r="DU62" s="39"/>
      <c r="DV62" s="40" t="str">
        <f aca="false">IF(OR(INDEX(Undirviðmið!$G$6:$G$105,(COLUMN()-7-1)/2+1)&lt;&gt;"Starfsbundið",DU62="",DU$8="",DU$7=""),"",ROUND(DU62/DU$8*DU$7*KVARDI,2))</f>
        <v/>
      </c>
      <c r="DW62" s="39"/>
      <c r="DX62" s="40" t="str">
        <f aca="false">IF(OR(INDEX(Undirviðmið!$G$6:$G$105,(COLUMN()-7-1)/2+1)&lt;&gt;"Starfsbundið",DW62="",DW$8="",DW$7=""),"",ROUND(DW62/DW$8*DW$7*KVARDI,2))</f>
        <v/>
      </c>
      <c r="DY62" s="39"/>
      <c r="DZ62" s="40" t="str">
        <f aca="false">IF(OR(INDEX(Undirviðmið!$G$6:$G$105,(COLUMN()-7-1)/2+1)&lt;&gt;"Starfsbundið",DY62="",DY$8="",DY$7=""),"",ROUND(DY62/DY$8*DY$7*KVARDI,2))</f>
        <v/>
      </c>
      <c r="EA62" s="39"/>
      <c r="EB62" s="40" t="str">
        <f aca="false">IF(OR(INDEX(Undirviðmið!$G$6:$G$105,(COLUMN()-7-1)/2+1)&lt;&gt;"Starfsbundið",EA62="",EA$8="",EA$7=""),"",ROUND(EA62/EA$8*EA$7*KVARDI,2))</f>
        <v/>
      </c>
      <c r="EC62" s="39"/>
      <c r="ED62" s="40" t="str">
        <f aca="false">IF(OR(INDEX(Undirviðmið!$G$6:$G$105,(COLUMN()-7-1)/2+1)&lt;&gt;"Starfsbundið",EC62="",EC$8="",EC$7=""),"",ROUND(EC62/EC$8*EC$7*KVARDI,2))</f>
        <v/>
      </c>
      <c r="EE62" s="39"/>
      <c r="EF62" s="40" t="str">
        <f aca="false">IF(OR(INDEX(Undirviðmið!$G$6:$G$105,(COLUMN()-7-1)/2+1)&lt;&gt;"Starfsbundið",EE62="",EE$8="",EE$7=""),"",ROUND(EE62/EE$8*EE$7*KVARDI,2))</f>
        <v/>
      </c>
      <c r="EG62" s="39"/>
      <c r="EH62" s="40" t="str">
        <f aca="false">IF(OR(INDEX(Undirviðmið!$G$6:$G$105,(COLUMN()-7-1)/2+1)&lt;&gt;"Starfsbundið",EG62="",EG$8="",EG$7=""),"",ROUND(EG62/EG$8*EG$7*KVARDI,2))</f>
        <v/>
      </c>
      <c r="EI62" s="39"/>
      <c r="EJ62" s="40" t="str">
        <f aca="false">IF(OR(INDEX(Undirviðmið!$G$6:$G$105,(COLUMN()-7-1)/2+1)&lt;&gt;"Starfsbundið",EI62="",EI$8="",EI$7=""),"",ROUND(EI62/EI$8*EI$7*KVARDI,2))</f>
        <v/>
      </c>
      <c r="EK62" s="39"/>
      <c r="EL62" s="40" t="str">
        <f aca="false">IF(OR(INDEX(Undirviðmið!$G$6:$G$105,(COLUMN()-7-1)/2+1)&lt;&gt;"Starfsbundið",EK62="",EK$8="",EK$7=""),"",ROUND(EK62/EK$8*EK$7*KVARDI,2))</f>
        <v/>
      </c>
      <c r="EM62" s="39"/>
      <c r="EN62" s="40" t="str">
        <f aca="false">IF(OR(INDEX(Undirviðmið!$G$6:$G$105,(COLUMN()-7-1)/2+1)&lt;&gt;"Starfsbundið",EM62="",EM$8="",EM$7=""),"",ROUND(EM62/EM$8*EM$7*KVARDI,2))</f>
        <v/>
      </c>
      <c r="EO62" s="39"/>
      <c r="EP62" s="40" t="str">
        <f aca="false">IF(OR(INDEX(Undirviðmið!$G$6:$G$105,(COLUMN()-7-1)/2+1)&lt;&gt;"Starfsbundið",EO62="",EO$8="",EO$7=""),"",ROUND(EO62/EO$8*EO$7*KVARDI,2))</f>
        <v/>
      </c>
      <c r="EQ62" s="39"/>
      <c r="ER62" s="40" t="str">
        <f aca="false">IF(OR(INDEX(Undirviðmið!$G$6:$G$105,(COLUMN()-7-1)/2+1)&lt;&gt;"Starfsbundið",EQ62="",EQ$8="",EQ$7=""),"",ROUND(EQ62/EQ$8*EQ$7*KVARDI,2))</f>
        <v/>
      </c>
      <c r="ES62" s="39"/>
      <c r="ET62" s="40" t="str">
        <f aca="false">IF(OR(INDEX(Undirviðmið!$G$6:$G$105,(COLUMN()-7-1)/2+1)&lt;&gt;"Starfsbundið",ES62="",ES$8="",ES$7=""),"",ROUND(ES62/ES$8*ES$7*KVARDI,2))</f>
        <v/>
      </c>
      <c r="EU62" s="39"/>
      <c r="EV62" s="40" t="str">
        <f aca="false">IF(OR(INDEX(Undirviðmið!$G$6:$G$105,(COLUMN()-7-1)/2+1)&lt;&gt;"Starfsbundið",EU62="",EU$8="",EU$7=""),"",ROUND(EU62/EU$8*EU$7*KVARDI,2))</f>
        <v/>
      </c>
      <c r="EW62" s="39"/>
      <c r="EX62" s="40" t="str">
        <f aca="false">IF(OR(INDEX(Undirviðmið!$G$6:$G$105,(COLUMN()-7-1)/2+1)&lt;&gt;"Starfsbundið",EW62="",EW$8="",EW$7=""),"",ROUND(EW62/EW$8*EW$7*KVARDI,2))</f>
        <v/>
      </c>
      <c r="EY62" s="39"/>
      <c r="EZ62" s="40" t="str">
        <f aca="false">IF(OR(INDEX(Undirviðmið!$G$6:$G$105,(COLUMN()-7-1)/2+1)&lt;&gt;"Starfsbundið",EY62="",EY$8="",EY$7=""),"",ROUND(EY62/EY$8*EY$7*KVARDI,2))</f>
        <v/>
      </c>
      <c r="FA62" s="39"/>
      <c r="FB62" s="40" t="str">
        <f aca="false">IF(OR(INDEX(Undirviðmið!$G$6:$G$105,(COLUMN()-7-1)/2+1)&lt;&gt;"Starfsbundið",FA62="",FA$8="",FA$7=""),"",ROUND(FA62/FA$8*FA$7*KVARDI,2))</f>
        <v/>
      </c>
      <c r="FC62" s="39"/>
      <c r="FD62" s="40" t="str">
        <f aca="false">IF(OR(INDEX(Undirviðmið!$G$6:$G$105,(COLUMN()-7-1)/2+1)&lt;&gt;"Starfsbundið",FC62="",FC$8="",FC$7=""),"",ROUND(FC62/FC$8*FC$7*KVARDI,2))</f>
        <v/>
      </c>
      <c r="FE62" s="39"/>
      <c r="FF62" s="40" t="str">
        <f aca="false">IF(OR(INDEX(Undirviðmið!$G$6:$G$105,(COLUMN()-7-1)/2+1)&lt;&gt;"Starfsbundið",FE62="",FE$8="",FE$7=""),"",ROUND(FE62/FE$8*FE$7*KVARDI,2))</f>
        <v/>
      </c>
      <c r="FG62" s="39"/>
      <c r="FH62" s="40" t="str">
        <f aca="false">IF(OR(INDEX(Undirviðmið!$G$6:$G$105,(COLUMN()-7-1)/2+1)&lt;&gt;"Starfsbundið",FG62="",FG$8="",FG$7=""),"",ROUND(FG62/FG$8*FG$7*KVARDI,2))</f>
        <v/>
      </c>
      <c r="FI62" s="39"/>
      <c r="FJ62" s="40" t="str">
        <f aca="false">IF(OR(INDEX(Undirviðmið!$G$6:$G$105,(COLUMN()-7-1)/2+1)&lt;&gt;"Starfsbundið",FI62="",FI$8="",FI$7=""),"",ROUND(FI62/FI$8*FI$7*KVARDI,2))</f>
        <v/>
      </c>
      <c r="FK62" s="39"/>
      <c r="FL62" s="40" t="str">
        <f aca="false">IF(OR(INDEX(Undirviðmið!$G$6:$G$105,(COLUMN()-7-1)/2+1)&lt;&gt;"Starfsbundið",FK62="",FK$8="",FK$7=""),"",ROUND(FK62/FK$8*FK$7*KVARDI,2))</f>
        <v/>
      </c>
      <c r="FM62" s="39"/>
      <c r="FN62" s="40" t="str">
        <f aca="false">IF(OR(INDEX(Undirviðmið!$G$6:$G$105,(COLUMN()-7-1)/2+1)&lt;&gt;"Starfsbundið",FM62="",FM$8="",FM$7=""),"",ROUND(FM62/FM$8*FM$7*KVARDI,2))</f>
        <v/>
      </c>
      <c r="FO62" s="39"/>
      <c r="FP62" s="40" t="str">
        <f aca="false">IF(OR(INDEX(Undirviðmið!$G$6:$G$105,(COLUMN()-7-1)/2+1)&lt;&gt;"Starfsbundið",FO62="",FO$8="",FO$7=""),"",ROUND(FO62/FO$8*FO$7*KVARDI,2))</f>
        <v/>
      </c>
      <c r="FQ62" s="39"/>
      <c r="FR62" s="40" t="str">
        <f aca="false">IF(OR(INDEX(Undirviðmið!$G$6:$G$105,(COLUMN()-7-1)/2+1)&lt;&gt;"Starfsbundið",FQ62="",FQ$8="",FQ$7=""),"",ROUND(FQ62/FQ$8*FQ$7*KVARDI,2))</f>
        <v/>
      </c>
      <c r="FS62" s="39"/>
      <c r="FT62" s="40" t="str">
        <f aca="false">IF(OR(INDEX(Undirviðmið!$G$6:$G$105,(COLUMN()-7-1)/2+1)&lt;&gt;"Starfsbundið",FS62="",FS$8="",FS$7=""),"",ROUND(FS62/FS$8*FS$7*KVARDI,2))</f>
        <v/>
      </c>
      <c r="FU62" s="39"/>
      <c r="FV62" s="40" t="str">
        <f aca="false">IF(OR(INDEX(Undirviðmið!$G$6:$G$105,(COLUMN()-7-1)/2+1)&lt;&gt;"Starfsbundið",FU62="",FU$8="",FU$7=""),"",ROUND(FU62/FU$8*FU$7*KVARDI,2))</f>
        <v/>
      </c>
      <c r="FW62" s="39"/>
      <c r="FX62" s="40" t="str">
        <f aca="false">IF(OR(INDEX(Undirviðmið!$G$6:$G$105,(COLUMN()-7-1)/2+1)&lt;&gt;"Starfsbundið",FW62="",FW$8="",FW$7=""),"",ROUND(FW62/FW$8*FW$7*KVARDI,2))</f>
        <v/>
      </c>
      <c r="FY62" s="39"/>
      <c r="FZ62" s="40" t="str">
        <f aca="false">IF(OR(INDEX(Undirviðmið!$G$6:$G$105,(COLUMN()-7-1)/2+1)&lt;&gt;"Starfsbundið",FY62="",FY$8="",FY$7=""),"",ROUND(FY62/FY$8*FY$7*KVARDI,2))</f>
        <v/>
      </c>
      <c r="GA62" s="39"/>
      <c r="GB62" s="40" t="str">
        <f aca="false">IF(OR(INDEX(Undirviðmið!$G$6:$G$105,(COLUMN()-7-1)/2+1)&lt;&gt;"Starfsbundið",GA62="",GA$8="",GA$7=""),"",ROUND(GA62/GA$8*GA$7*KVARDI,2))</f>
        <v/>
      </c>
      <c r="GC62" s="39"/>
      <c r="GD62" s="40" t="str">
        <f aca="false">IF(OR(INDEX(Undirviðmið!$G$6:$G$105,(COLUMN()-7-1)/2+1)&lt;&gt;"Starfsbundið",GC62="",GC$8="",GC$7=""),"",ROUND(GC62/GC$8*GC$7*KVARDI,2))</f>
        <v/>
      </c>
      <c r="GE62" s="39"/>
      <c r="GF62" s="40" t="str">
        <f aca="false">IF(OR(INDEX(Undirviðmið!$G$6:$G$105,(COLUMN()-7-1)/2+1)&lt;&gt;"Starfsbundið",GE62="",GE$8="",GE$7=""),"",ROUND(GE62/GE$8*GE$7*KVARDI,2))</f>
        <v/>
      </c>
      <c r="GG62" s="39"/>
      <c r="GH62" s="40" t="str">
        <f aca="false">IF(OR(INDEX(Undirviðmið!$G$6:$G$105,(COLUMN()-7-1)/2+1)&lt;&gt;"Starfsbundið",GG62="",GG$8="",GG$7=""),"",ROUND(GG62/GG$8*GG$7*KVARDI,2))</f>
        <v/>
      </c>
      <c r="GI62" s="39"/>
      <c r="GJ62" s="40" t="str">
        <f aca="false">IF(OR(INDEX(Undirviðmið!$G$6:$G$105,(COLUMN()-7-1)/2+1)&lt;&gt;"Starfsbundið",GI62="",GI$8="",GI$7=""),"",ROUND(GI62/GI$8*GI$7*KVARDI,2))</f>
        <v/>
      </c>
      <c r="GK62" s="39"/>
      <c r="GL62" s="40" t="str">
        <f aca="false">IF(OR(INDEX(Undirviðmið!$G$6:$G$105,(COLUMN()-7-1)/2+1)&lt;&gt;"Starfsbundið",GK62="",GK$8="",GK$7=""),"",ROUND(GK62/GK$8*GK$7*KVARDI,2))</f>
        <v/>
      </c>
      <c r="GM62" s="39"/>
      <c r="GN62" s="40" t="str">
        <f aca="false">IF(OR(INDEX(Undirviðmið!$G$6:$G$105,(COLUMN()-7-1)/2+1)&lt;&gt;"Starfsbundið",GM62="",GM$8="",GM$7=""),"",ROUND(GM62/GM$8*GM$7*KVARDI,2))</f>
        <v/>
      </c>
      <c r="GO62" s="39"/>
      <c r="GP62" s="40" t="str">
        <f aca="false">IF(OR(INDEX(Undirviðmið!$G$6:$G$105,(COLUMN()-7-1)/2+1)&lt;&gt;"Starfsbundið",GO62="",GO$8="",GO$7=""),"",ROUND(GO62/GO$8*GO$7*KVARDI,2))</f>
        <v/>
      </c>
      <c r="GQ62" s="39"/>
      <c r="GR62" s="40" t="str">
        <f aca="false">IF(OR(INDEX(Undirviðmið!$G$6:$G$105,(COLUMN()-7-1)/2+1)&lt;&gt;"Starfsbundið",GQ62="",GQ$8="",GQ$7=""),"",ROUND(GQ62/GQ$8*GQ$7*KVARDI,2))</f>
        <v/>
      </c>
      <c r="GS62" s="39"/>
      <c r="GT62" s="40" t="str">
        <f aca="false">IF(OR(INDEX(Undirviðmið!$G$6:$G$105,(COLUMN()-7-1)/2+1)&lt;&gt;"Starfsbundið",GS62="",GS$8="",GS$7=""),"",ROUND(GS62/GS$8*GS$7*KVARDI,2))</f>
        <v/>
      </c>
      <c r="GU62" s="39"/>
      <c r="GV62" s="40" t="str">
        <f aca="false">IF(OR(INDEX(Undirviðmið!$G$6:$G$105,(COLUMN()-7-1)/2+1)&lt;&gt;"Starfsbundið",GU62="",GU$8="",GU$7=""),"",ROUND(GU62/GU$8*GU$7*KVARDI,2))</f>
        <v/>
      </c>
      <c r="GW62" s="39"/>
      <c r="GX62" s="40" t="str">
        <f aca="false">IF(OR(INDEX(Undirviðmið!$G$6:$G$105,(COLUMN()-7-1)/2+1)&lt;&gt;"Starfsbundið",GW62="",GW$8="",GW$7=""),"",ROUND(GW62/GW$8*GW$7*KVARDI,2))</f>
        <v/>
      </c>
      <c r="GZ62" s="20"/>
    </row>
    <row r="63" customFormat="false" ht="15" hidden="true" customHeight="true" outlineLevel="1" collapsed="false">
      <c r="B63" s="37" t="str">
        <f aca="false" t="array" ref="B63:B63">IFERROR(INDEX(Starfsmenn!$C$6:$C$10005,MATCH(0,COUNTIF($B$11:B62,Starfsmenn!$C$6:$C$10005)+(Starfsmenn!$C$6:$C$10005=""),0)),"")</f>
        <v/>
      </c>
      <c r="C63" s="38" t="n">
        <f aca="false">IFERROR(SUMIF($G$10:$GX$10,"Stig",$G63:$GX63),0)</f>
        <v>0</v>
      </c>
      <c r="G63" s="39"/>
      <c r="H63" s="40" t="str">
        <f aca="false">IF(OR(INDEX(Undirviðmið!$G$6:$G$105,(COLUMN()-7-1)/2+1)&lt;&gt;"Starfsbundið",G63="",G$8="",G$7=""),"",ROUND(G63/G$8*G$7*KVARDI,2))</f>
        <v/>
      </c>
      <c r="I63" s="39"/>
      <c r="J63" s="40" t="str">
        <f aca="false">IF(OR(INDEX(Undirviðmið!$G$6:$G$105,(COLUMN()-7-1)/2+1)&lt;&gt;"Starfsbundið",I63="",I$8="",I$7=""),"",ROUND(I63/I$8*I$7*KVARDI,2))</f>
        <v/>
      </c>
      <c r="K63" s="39"/>
      <c r="L63" s="40" t="str">
        <f aca="false">IF(OR(INDEX(Undirviðmið!$G$6:$G$105,(COLUMN()-7-1)/2+1)&lt;&gt;"Starfsbundið",K63="",K$8="",K$7=""),"",ROUND(K63/K$8*K$7*KVARDI,2))</f>
        <v/>
      </c>
      <c r="M63" s="39"/>
      <c r="N63" s="40" t="str">
        <f aca="false">IF(OR(INDEX(Undirviðmið!$G$6:$G$105,(COLUMN()-7-1)/2+1)&lt;&gt;"Starfsbundið",M63="",M$8="",M$7=""),"",ROUND(M63/M$8*M$7*KVARDI,2))</f>
        <v/>
      </c>
      <c r="O63" s="39"/>
      <c r="P63" s="40" t="str">
        <f aca="false">IF(OR(INDEX(Undirviðmið!$G$6:$G$105,(COLUMN()-7-1)/2+1)&lt;&gt;"Starfsbundið",O63="",O$8="",O$7=""),"",ROUND(O63/O$8*O$7*KVARDI,2))</f>
        <v/>
      </c>
      <c r="Q63" s="39"/>
      <c r="R63" s="40" t="str">
        <f aca="false">IF(OR(INDEX(Undirviðmið!$G$6:$G$105,(COLUMN()-7-1)/2+1)&lt;&gt;"Starfsbundið",Q63="",Q$8="",Q$7=""),"",ROUND(Q63/Q$8*Q$7*KVARDI,2))</f>
        <v/>
      </c>
      <c r="S63" s="39"/>
      <c r="T63" s="40" t="str">
        <f aca="false">IF(OR(INDEX(Undirviðmið!$G$6:$G$105,(COLUMN()-7-1)/2+1)&lt;&gt;"Starfsbundið",S63="",S$8="",S$7=""),"",ROUND(S63/S$8*S$7*KVARDI,2))</f>
        <v/>
      </c>
      <c r="U63" s="39"/>
      <c r="V63" s="40" t="str">
        <f aca="false">IF(OR(INDEX(Undirviðmið!$G$6:$G$105,(COLUMN()-7-1)/2+1)&lt;&gt;"Starfsbundið",U63="",U$8="",U$7=""),"",ROUND(U63/U$8*U$7*KVARDI,2))</f>
        <v/>
      </c>
      <c r="W63" s="39"/>
      <c r="X63" s="40" t="str">
        <f aca="false">IF(OR(INDEX(Undirviðmið!$G$6:$G$105,(COLUMN()-7-1)/2+1)&lt;&gt;"Starfsbundið",W63="",W$8="",W$7=""),"",ROUND(W63/W$8*W$7*KVARDI,2))</f>
        <v/>
      </c>
      <c r="Y63" s="39"/>
      <c r="Z63" s="40" t="str">
        <f aca="false">IF(OR(INDEX(Undirviðmið!$G$6:$G$105,(COLUMN()-7-1)/2+1)&lt;&gt;"Starfsbundið",Y63="",Y$8="",Y$7=""),"",ROUND(Y63/Y$8*Y$7*KVARDI,2))</f>
        <v/>
      </c>
      <c r="AA63" s="39"/>
      <c r="AB63" s="40" t="str">
        <f aca="false">IF(OR(INDEX(Undirviðmið!$G$6:$G$105,(COLUMN()-7-1)/2+1)&lt;&gt;"Starfsbundið",AA63="",AA$8="",AA$7=""),"",ROUND(AA63/AA$8*AA$7*KVARDI,2))</f>
        <v/>
      </c>
      <c r="AC63" s="39"/>
      <c r="AD63" s="40" t="str">
        <f aca="false">IF(OR(INDEX(Undirviðmið!$G$6:$G$105,(COLUMN()-7-1)/2+1)&lt;&gt;"Starfsbundið",AC63="",AC$8="",AC$7=""),"",ROUND(AC63/AC$8*AC$7*KVARDI,2))</f>
        <v/>
      </c>
      <c r="AE63" s="39"/>
      <c r="AF63" s="40" t="str">
        <f aca="false">IF(OR(INDEX(Undirviðmið!$G$6:$G$105,(COLUMN()-7-1)/2+1)&lt;&gt;"Starfsbundið",AE63="",AE$8="",AE$7=""),"",ROUND(AE63/AE$8*AE$7*KVARDI,2))</f>
        <v/>
      </c>
      <c r="AG63" s="39"/>
      <c r="AH63" s="40" t="str">
        <f aca="false">IF(OR(INDEX(Undirviðmið!$G$6:$G$105,(COLUMN()-7-1)/2+1)&lt;&gt;"Starfsbundið",AG63="",AG$8="",AG$7=""),"",ROUND(AG63/AG$8*AG$7*KVARDI,2))</f>
        <v/>
      </c>
      <c r="AI63" s="39"/>
      <c r="AJ63" s="40" t="str">
        <f aca="false">IF(OR(INDEX(Undirviðmið!$G$6:$G$105,(COLUMN()-7-1)/2+1)&lt;&gt;"Starfsbundið",AI63="",AI$8="",AI$7=""),"",ROUND(AI63/AI$8*AI$7*KVARDI,2))</f>
        <v/>
      </c>
      <c r="AK63" s="39"/>
      <c r="AL63" s="40" t="str">
        <f aca="false">IF(OR(INDEX(Undirviðmið!$G$6:$G$105,(COLUMN()-7-1)/2+1)&lt;&gt;"Starfsbundið",AK63="",AK$8="",AK$7=""),"",ROUND(AK63/AK$8*AK$7*KVARDI,2))</f>
        <v/>
      </c>
      <c r="AM63" s="39"/>
      <c r="AN63" s="40" t="str">
        <f aca="false">IF(OR(INDEX(Undirviðmið!$G$6:$G$105,(COLUMN()-7-1)/2+1)&lt;&gt;"Starfsbundið",AM63="",AM$8="",AM$7=""),"",ROUND(AM63/AM$8*AM$7*KVARDI,2))</f>
        <v/>
      </c>
      <c r="AO63" s="39"/>
      <c r="AP63" s="40" t="str">
        <f aca="false">IF(OR(INDEX(Undirviðmið!$G$6:$G$105,(COLUMN()-7-1)/2+1)&lt;&gt;"Starfsbundið",AO63="",AO$8="",AO$7=""),"",ROUND(AO63/AO$8*AO$7*KVARDI,2))</f>
        <v/>
      </c>
      <c r="AQ63" s="39"/>
      <c r="AR63" s="40" t="str">
        <f aca="false">IF(OR(INDEX(Undirviðmið!$G$6:$G$105,(COLUMN()-7-1)/2+1)&lt;&gt;"Starfsbundið",AQ63="",AQ$8="",AQ$7=""),"",ROUND(AQ63/AQ$8*AQ$7*KVARDI,2))</f>
        <v/>
      </c>
      <c r="AS63" s="39"/>
      <c r="AT63" s="40" t="str">
        <f aca="false">IF(OR(INDEX(Undirviðmið!$G$6:$G$105,(COLUMN()-7-1)/2+1)&lt;&gt;"Starfsbundið",AS63="",AS$8="",AS$7=""),"",ROUND(AS63/AS$8*AS$7*KVARDI,2))</f>
        <v/>
      </c>
      <c r="AU63" s="39"/>
      <c r="AV63" s="40" t="str">
        <f aca="false">IF(OR(INDEX(Undirviðmið!$G$6:$G$105,(COLUMN()-7-1)/2+1)&lt;&gt;"Starfsbundið",AU63="",AU$8="",AU$7=""),"",ROUND(AU63/AU$8*AU$7*KVARDI,2))</f>
        <v/>
      </c>
      <c r="AW63" s="39"/>
      <c r="AX63" s="40" t="str">
        <f aca="false">IF(OR(INDEX(Undirviðmið!$G$6:$G$105,(COLUMN()-7-1)/2+1)&lt;&gt;"Starfsbundið",AW63="",AW$8="",AW$7=""),"",ROUND(AW63/AW$8*AW$7*KVARDI,2))</f>
        <v/>
      </c>
      <c r="AY63" s="39"/>
      <c r="AZ63" s="40" t="str">
        <f aca="false">IF(OR(INDEX(Undirviðmið!$G$6:$G$105,(COLUMN()-7-1)/2+1)&lt;&gt;"Starfsbundið",AY63="",AY$8="",AY$7=""),"",ROUND(AY63/AY$8*AY$7*KVARDI,2))</f>
        <v/>
      </c>
      <c r="BA63" s="39"/>
      <c r="BB63" s="40" t="str">
        <f aca="false">IF(OR(INDEX(Undirviðmið!$G$6:$G$105,(COLUMN()-7-1)/2+1)&lt;&gt;"Starfsbundið",BA63="",BA$8="",BA$7=""),"",ROUND(BA63/BA$8*BA$7*KVARDI,2))</f>
        <v/>
      </c>
      <c r="BC63" s="39"/>
      <c r="BD63" s="40" t="str">
        <f aca="false">IF(OR(INDEX(Undirviðmið!$G$6:$G$105,(COLUMN()-7-1)/2+1)&lt;&gt;"Starfsbundið",BC63="",BC$8="",BC$7=""),"",ROUND(BC63/BC$8*BC$7*KVARDI,2))</f>
        <v/>
      </c>
      <c r="BE63" s="39"/>
      <c r="BF63" s="40" t="str">
        <f aca="false">IF(OR(INDEX(Undirviðmið!$G$6:$G$105,(COLUMN()-7-1)/2+1)&lt;&gt;"Starfsbundið",BE63="",BE$8="",BE$7=""),"",ROUND(BE63/BE$8*BE$7*KVARDI,2))</f>
        <v/>
      </c>
      <c r="BG63" s="39"/>
      <c r="BH63" s="40" t="str">
        <f aca="false">IF(OR(INDEX(Undirviðmið!$G$6:$G$105,(COLUMN()-7-1)/2+1)&lt;&gt;"Starfsbundið",BG63="",BG$8="",BG$7=""),"",ROUND(BG63/BG$8*BG$7*KVARDI,2))</f>
        <v/>
      </c>
      <c r="BI63" s="39"/>
      <c r="BJ63" s="40" t="str">
        <f aca="false">IF(OR(INDEX(Undirviðmið!$G$6:$G$105,(COLUMN()-7-1)/2+1)&lt;&gt;"Starfsbundið",BI63="",BI$8="",BI$7=""),"",ROUND(BI63/BI$8*BI$7*KVARDI,2))</f>
        <v/>
      </c>
      <c r="BK63" s="39"/>
      <c r="BL63" s="40" t="str">
        <f aca="false">IF(OR(INDEX(Undirviðmið!$G$6:$G$105,(COLUMN()-7-1)/2+1)&lt;&gt;"Starfsbundið",BK63="",BK$8="",BK$7=""),"",ROUND(BK63/BK$8*BK$7*KVARDI,2))</f>
        <v/>
      </c>
      <c r="BM63" s="39"/>
      <c r="BN63" s="40" t="str">
        <f aca="false">IF(OR(INDEX(Undirviðmið!$G$6:$G$105,(COLUMN()-7-1)/2+1)&lt;&gt;"Starfsbundið",BM63="",BM$8="",BM$7=""),"",ROUND(BM63/BM$8*BM$7*KVARDI,2))</f>
        <v/>
      </c>
      <c r="BO63" s="39"/>
      <c r="BP63" s="40" t="str">
        <f aca="false">IF(OR(INDEX(Undirviðmið!$G$6:$G$105,(COLUMN()-7-1)/2+1)&lt;&gt;"Starfsbundið",BO63="",BO$8="",BO$7=""),"",ROUND(BO63/BO$8*BO$7*KVARDI,2))</f>
        <v/>
      </c>
      <c r="BQ63" s="39"/>
      <c r="BR63" s="40" t="str">
        <f aca="false">IF(OR(INDEX(Undirviðmið!$G$6:$G$105,(COLUMN()-7-1)/2+1)&lt;&gt;"Starfsbundið",BQ63="",BQ$8="",BQ$7=""),"",ROUND(BQ63/BQ$8*BQ$7*KVARDI,2))</f>
        <v/>
      </c>
      <c r="BS63" s="39"/>
      <c r="BT63" s="40" t="str">
        <f aca="false">IF(OR(INDEX(Undirviðmið!$G$6:$G$105,(COLUMN()-7-1)/2+1)&lt;&gt;"Starfsbundið",BS63="",BS$8="",BS$7=""),"",ROUND(BS63/BS$8*BS$7*KVARDI,2))</f>
        <v/>
      </c>
      <c r="BU63" s="39"/>
      <c r="BV63" s="40" t="str">
        <f aca="false">IF(OR(INDEX(Undirviðmið!$G$6:$G$105,(COLUMN()-7-1)/2+1)&lt;&gt;"Starfsbundið",BU63="",BU$8="",BU$7=""),"",ROUND(BU63/BU$8*BU$7*KVARDI,2))</f>
        <v/>
      </c>
      <c r="BW63" s="39"/>
      <c r="BX63" s="40" t="str">
        <f aca="false">IF(OR(INDEX(Undirviðmið!$G$6:$G$105,(COLUMN()-7-1)/2+1)&lt;&gt;"Starfsbundið",BW63="",BW$8="",BW$7=""),"",ROUND(BW63/BW$8*BW$7*KVARDI,2))</f>
        <v/>
      </c>
      <c r="BY63" s="39"/>
      <c r="BZ63" s="40" t="str">
        <f aca="false">IF(OR(INDEX(Undirviðmið!$G$6:$G$105,(COLUMN()-7-1)/2+1)&lt;&gt;"Starfsbundið",BY63="",BY$8="",BY$7=""),"",ROUND(BY63/BY$8*BY$7*KVARDI,2))</f>
        <v/>
      </c>
      <c r="CA63" s="39"/>
      <c r="CB63" s="40" t="str">
        <f aca="false">IF(OR(INDEX(Undirviðmið!$G$6:$G$105,(COLUMN()-7-1)/2+1)&lt;&gt;"Starfsbundið",CA63="",CA$8="",CA$7=""),"",ROUND(CA63/CA$8*CA$7*KVARDI,2))</f>
        <v/>
      </c>
      <c r="CC63" s="39"/>
      <c r="CD63" s="40" t="str">
        <f aca="false">IF(OR(INDEX(Undirviðmið!$G$6:$G$105,(COLUMN()-7-1)/2+1)&lt;&gt;"Starfsbundið",CC63="",CC$8="",CC$7=""),"",ROUND(CC63/CC$8*CC$7*KVARDI,2))</f>
        <v/>
      </c>
      <c r="CE63" s="39"/>
      <c r="CF63" s="40" t="str">
        <f aca="false">IF(OR(INDEX(Undirviðmið!$G$6:$G$105,(COLUMN()-7-1)/2+1)&lt;&gt;"Starfsbundið",CE63="",CE$8="",CE$7=""),"",ROUND(CE63/CE$8*CE$7*KVARDI,2))</f>
        <v/>
      </c>
      <c r="CG63" s="39"/>
      <c r="CH63" s="40" t="str">
        <f aca="false">IF(OR(INDEX(Undirviðmið!$G$6:$G$105,(COLUMN()-7-1)/2+1)&lt;&gt;"Starfsbundið",CG63="",CG$8="",CG$7=""),"",ROUND(CG63/CG$8*CG$7*KVARDI,2))</f>
        <v/>
      </c>
      <c r="CI63" s="39"/>
      <c r="CJ63" s="40" t="str">
        <f aca="false">IF(OR(INDEX(Undirviðmið!$G$6:$G$105,(COLUMN()-7-1)/2+1)&lt;&gt;"Starfsbundið",CI63="",CI$8="",CI$7=""),"",ROUND(CI63/CI$8*CI$7*KVARDI,2))</f>
        <v/>
      </c>
      <c r="CK63" s="39"/>
      <c r="CL63" s="40" t="str">
        <f aca="false">IF(OR(INDEX(Undirviðmið!$G$6:$G$105,(COLUMN()-7-1)/2+1)&lt;&gt;"Starfsbundið",CK63="",CK$8="",CK$7=""),"",ROUND(CK63/CK$8*CK$7*KVARDI,2))</f>
        <v/>
      </c>
      <c r="CM63" s="39"/>
      <c r="CN63" s="40" t="str">
        <f aca="false">IF(OR(INDEX(Undirviðmið!$G$6:$G$105,(COLUMN()-7-1)/2+1)&lt;&gt;"Starfsbundið",CM63="",CM$8="",CM$7=""),"",ROUND(CM63/CM$8*CM$7*KVARDI,2))</f>
        <v/>
      </c>
      <c r="CO63" s="39"/>
      <c r="CP63" s="40" t="str">
        <f aca="false">IF(OR(INDEX(Undirviðmið!$G$6:$G$105,(COLUMN()-7-1)/2+1)&lt;&gt;"Starfsbundið",CO63="",CO$8="",CO$7=""),"",ROUND(CO63/CO$8*CO$7*KVARDI,2))</f>
        <v/>
      </c>
      <c r="CQ63" s="39"/>
      <c r="CR63" s="40" t="str">
        <f aca="false">IF(OR(INDEX(Undirviðmið!$G$6:$G$105,(COLUMN()-7-1)/2+1)&lt;&gt;"Starfsbundið",CQ63="",CQ$8="",CQ$7=""),"",ROUND(CQ63/CQ$8*CQ$7*KVARDI,2))</f>
        <v/>
      </c>
      <c r="CS63" s="39"/>
      <c r="CT63" s="40" t="str">
        <f aca="false">IF(OR(INDEX(Undirviðmið!$G$6:$G$105,(COLUMN()-7-1)/2+1)&lt;&gt;"Starfsbundið",CS63="",CS$8="",CS$7=""),"",ROUND(CS63/CS$8*CS$7*KVARDI,2))</f>
        <v/>
      </c>
      <c r="CU63" s="39"/>
      <c r="CV63" s="40" t="str">
        <f aca="false">IF(OR(INDEX(Undirviðmið!$G$6:$G$105,(COLUMN()-7-1)/2+1)&lt;&gt;"Starfsbundið",CU63="",CU$8="",CU$7=""),"",ROUND(CU63/CU$8*CU$7*KVARDI,2))</f>
        <v/>
      </c>
      <c r="CW63" s="39"/>
      <c r="CX63" s="40" t="str">
        <f aca="false">IF(OR(INDEX(Undirviðmið!$G$6:$G$105,(COLUMN()-7-1)/2+1)&lt;&gt;"Starfsbundið",CW63="",CW$8="",CW$7=""),"",ROUND(CW63/CW$8*CW$7*KVARDI,2))</f>
        <v/>
      </c>
      <c r="CY63" s="39"/>
      <c r="CZ63" s="40" t="str">
        <f aca="false">IF(OR(INDEX(Undirviðmið!$G$6:$G$105,(COLUMN()-7-1)/2+1)&lt;&gt;"Starfsbundið",CY63="",CY$8="",CY$7=""),"",ROUND(CY63/CY$8*CY$7*KVARDI,2))</f>
        <v/>
      </c>
      <c r="DA63" s="39"/>
      <c r="DB63" s="40" t="str">
        <f aca="false">IF(OR(INDEX(Undirviðmið!$G$6:$G$105,(COLUMN()-7-1)/2+1)&lt;&gt;"Starfsbundið",DA63="",DA$8="",DA$7=""),"",ROUND(DA63/DA$8*DA$7*KVARDI,2))</f>
        <v/>
      </c>
      <c r="DC63" s="39"/>
      <c r="DD63" s="40" t="str">
        <f aca="false">IF(OR(INDEX(Undirviðmið!$G$6:$G$105,(COLUMN()-7-1)/2+1)&lt;&gt;"Starfsbundið",DC63="",DC$8="",DC$7=""),"",ROUND(DC63/DC$8*DC$7*KVARDI,2))</f>
        <v/>
      </c>
      <c r="DE63" s="39"/>
      <c r="DF63" s="40" t="str">
        <f aca="false">IF(OR(INDEX(Undirviðmið!$G$6:$G$105,(COLUMN()-7-1)/2+1)&lt;&gt;"Starfsbundið",DE63="",DE$8="",DE$7=""),"",ROUND(DE63/DE$8*DE$7*KVARDI,2))</f>
        <v/>
      </c>
      <c r="DG63" s="39"/>
      <c r="DH63" s="40" t="str">
        <f aca="false">IF(OR(INDEX(Undirviðmið!$G$6:$G$105,(COLUMN()-7-1)/2+1)&lt;&gt;"Starfsbundið",DG63="",DG$8="",DG$7=""),"",ROUND(DG63/DG$8*DG$7*KVARDI,2))</f>
        <v/>
      </c>
      <c r="DI63" s="39"/>
      <c r="DJ63" s="40" t="str">
        <f aca="false">IF(OR(INDEX(Undirviðmið!$G$6:$G$105,(COLUMN()-7-1)/2+1)&lt;&gt;"Starfsbundið",DI63="",DI$8="",DI$7=""),"",ROUND(DI63/DI$8*DI$7*KVARDI,2))</f>
        <v/>
      </c>
      <c r="DK63" s="39"/>
      <c r="DL63" s="40" t="str">
        <f aca="false">IF(OR(INDEX(Undirviðmið!$G$6:$G$105,(COLUMN()-7-1)/2+1)&lt;&gt;"Starfsbundið",DK63="",DK$8="",DK$7=""),"",ROUND(DK63/DK$8*DK$7*KVARDI,2))</f>
        <v/>
      </c>
      <c r="DM63" s="39"/>
      <c r="DN63" s="40" t="str">
        <f aca="false">IF(OR(INDEX(Undirviðmið!$G$6:$G$105,(COLUMN()-7-1)/2+1)&lt;&gt;"Starfsbundið",DM63="",DM$8="",DM$7=""),"",ROUND(DM63/DM$8*DM$7*KVARDI,2))</f>
        <v/>
      </c>
      <c r="DO63" s="39"/>
      <c r="DP63" s="40" t="str">
        <f aca="false">IF(OR(INDEX(Undirviðmið!$G$6:$G$105,(COLUMN()-7-1)/2+1)&lt;&gt;"Starfsbundið",DO63="",DO$8="",DO$7=""),"",ROUND(DO63/DO$8*DO$7*KVARDI,2))</f>
        <v/>
      </c>
      <c r="DQ63" s="39"/>
      <c r="DR63" s="40" t="str">
        <f aca="false">IF(OR(INDEX(Undirviðmið!$G$6:$G$105,(COLUMN()-7-1)/2+1)&lt;&gt;"Starfsbundið",DQ63="",DQ$8="",DQ$7=""),"",ROUND(DQ63/DQ$8*DQ$7*KVARDI,2))</f>
        <v/>
      </c>
      <c r="DS63" s="39"/>
      <c r="DT63" s="40" t="str">
        <f aca="false">IF(OR(INDEX(Undirviðmið!$G$6:$G$105,(COLUMN()-7-1)/2+1)&lt;&gt;"Starfsbundið",DS63="",DS$8="",DS$7=""),"",ROUND(DS63/DS$8*DS$7*KVARDI,2))</f>
        <v/>
      </c>
      <c r="DU63" s="39"/>
      <c r="DV63" s="40" t="str">
        <f aca="false">IF(OR(INDEX(Undirviðmið!$G$6:$G$105,(COLUMN()-7-1)/2+1)&lt;&gt;"Starfsbundið",DU63="",DU$8="",DU$7=""),"",ROUND(DU63/DU$8*DU$7*KVARDI,2))</f>
        <v/>
      </c>
      <c r="DW63" s="39"/>
      <c r="DX63" s="40" t="str">
        <f aca="false">IF(OR(INDEX(Undirviðmið!$G$6:$G$105,(COLUMN()-7-1)/2+1)&lt;&gt;"Starfsbundið",DW63="",DW$8="",DW$7=""),"",ROUND(DW63/DW$8*DW$7*KVARDI,2))</f>
        <v/>
      </c>
      <c r="DY63" s="39"/>
      <c r="DZ63" s="40" t="str">
        <f aca="false">IF(OR(INDEX(Undirviðmið!$G$6:$G$105,(COLUMN()-7-1)/2+1)&lt;&gt;"Starfsbundið",DY63="",DY$8="",DY$7=""),"",ROUND(DY63/DY$8*DY$7*KVARDI,2))</f>
        <v/>
      </c>
      <c r="EA63" s="39"/>
      <c r="EB63" s="40" t="str">
        <f aca="false">IF(OR(INDEX(Undirviðmið!$G$6:$G$105,(COLUMN()-7-1)/2+1)&lt;&gt;"Starfsbundið",EA63="",EA$8="",EA$7=""),"",ROUND(EA63/EA$8*EA$7*KVARDI,2))</f>
        <v/>
      </c>
      <c r="EC63" s="39"/>
      <c r="ED63" s="40" t="str">
        <f aca="false">IF(OR(INDEX(Undirviðmið!$G$6:$G$105,(COLUMN()-7-1)/2+1)&lt;&gt;"Starfsbundið",EC63="",EC$8="",EC$7=""),"",ROUND(EC63/EC$8*EC$7*KVARDI,2))</f>
        <v/>
      </c>
      <c r="EE63" s="39"/>
      <c r="EF63" s="40" t="str">
        <f aca="false">IF(OR(INDEX(Undirviðmið!$G$6:$G$105,(COLUMN()-7-1)/2+1)&lt;&gt;"Starfsbundið",EE63="",EE$8="",EE$7=""),"",ROUND(EE63/EE$8*EE$7*KVARDI,2))</f>
        <v/>
      </c>
      <c r="EG63" s="39"/>
      <c r="EH63" s="40" t="str">
        <f aca="false">IF(OR(INDEX(Undirviðmið!$G$6:$G$105,(COLUMN()-7-1)/2+1)&lt;&gt;"Starfsbundið",EG63="",EG$8="",EG$7=""),"",ROUND(EG63/EG$8*EG$7*KVARDI,2))</f>
        <v/>
      </c>
      <c r="EI63" s="39"/>
      <c r="EJ63" s="40" t="str">
        <f aca="false">IF(OR(INDEX(Undirviðmið!$G$6:$G$105,(COLUMN()-7-1)/2+1)&lt;&gt;"Starfsbundið",EI63="",EI$8="",EI$7=""),"",ROUND(EI63/EI$8*EI$7*KVARDI,2))</f>
        <v/>
      </c>
      <c r="EK63" s="39"/>
      <c r="EL63" s="40" t="str">
        <f aca="false">IF(OR(INDEX(Undirviðmið!$G$6:$G$105,(COLUMN()-7-1)/2+1)&lt;&gt;"Starfsbundið",EK63="",EK$8="",EK$7=""),"",ROUND(EK63/EK$8*EK$7*KVARDI,2))</f>
        <v/>
      </c>
      <c r="EM63" s="39"/>
      <c r="EN63" s="40" t="str">
        <f aca="false">IF(OR(INDEX(Undirviðmið!$G$6:$G$105,(COLUMN()-7-1)/2+1)&lt;&gt;"Starfsbundið",EM63="",EM$8="",EM$7=""),"",ROUND(EM63/EM$8*EM$7*KVARDI,2))</f>
        <v/>
      </c>
      <c r="EO63" s="39"/>
      <c r="EP63" s="40" t="str">
        <f aca="false">IF(OR(INDEX(Undirviðmið!$G$6:$G$105,(COLUMN()-7-1)/2+1)&lt;&gt;"Starfsbundið",EO63="",EO$8="",EO$7=""),"",ROUND(EO63/EO$8*EO$7*KVARDI,2))</f>
        <v/>
      </c>
      <c r="EQ63" s="39"/>
      <c r="ER63" s="40" t="str">
        <f aca="false">IF(OR(INDEX(Undirviðmið!$G$6:$G$105,(COLUMN()-7-1)/2+1)&lt;&gt;"Starfsbundið",EQ63="",EQ$8="",EQ$7=""),"",ROUND(EQ63/EQ$8*EQ$7*KVARDI,2))</f>
        <v/>
      </c>
      <c r="ES63" s="39"/>
      <c r="ET63" s="40" t="str">
        <f aca="false">IF(OR(INDEX(Undirviðmið!$G$6:$G$105,(COLUMN()-7-1)/2+1)&lt;&gt;"Starfsbundið",ES63="",ES$8="",ES$7=""),"",ROUND(ES63/ES$8*ES$7*KVARDI,2))</f>
        <v/>
      </c>
      <c r="EU63" s="39"/>
      <c r="EV63" s="40" t="str">
        <f aca="false">IF(OR(INDEX(Undirviðmið!$G$6:$G$105,(COLUMN()-7-1)/2+1)&lt;&gt;"Starfsbundið",EU63="",EU$8="",EU$7=""),"",ROUND(EU63/EU$8*EU$7*KVARDI,2))</f>
        <v/>
      </c>
      <c r="EW63" s="39"/>
      <c r="EX63" s="40" t="str">
        <f aca="false">IF(OR(INDEX(Undirviðmið!$G$6:$G$105,(COLUMN()-7-1)/2+1)&lt;&gt;"Starfsbundið",EW63="",EW$8="",EW$7=""),"",ROUND(EW63/EW$8*EW$7*KVARDI,2))</f>
        <v/>
      </c>
      <c r="EY63" s="39"/>
      <c r="EZ63" s="40" t="str">
        <f aca="false">IF(OR(INDEX(Undirviðmið!$G$6:$G$105,(COLUMN()-7-1)/2+1)&lt;&gt;"Starfsbundið",EY63="",EY$8="",EY$7=""),"",ROUND(EY63/EY$8*EY$7*KVARDI,2))</f>
        <v/>
      </c>
      <c r="FA63" s="39"/>
      <c r="FB63" s="40" t="str">
        <f aca="false">IF(OR(INDEX(Undirviðmið!$G$6:$G$105,(COLUMN()-7-1)/2+1)&lt;&gt;"Starfsbundið",FA63="",FA$8="",FA$7=""),"",ROUND(FA63/FA$8*FA$7*KVARDI,2))</f>
        <v/>
      </c>
      <c r="FC63" s="39"/>
      <c r="FD63" s="40" t="str">
        <f aca="false">IF(OR(INDEX(Undirviðmið!$G$6:$G$105,(COLUMN()-7-1)/2+1)&lt;&gt;"Starfsbundið",FC63="",FC$8="",FC$7=""),"",ROUND(FC63/FC$8*FC$7*KVARDI,2))</f>
        <v/>
      </c>
      <c r="FE63" s="39"/>
      <c r="FF63" s="40" t="str">
        <f aca="false">IF(OR(INDEX(Undirviðmið!$G$6:$G$105,(COLUMN()-7-1)/2+1)&lt;&gt;"Starfsbundið",FE63="",FE$8="",FE$7=""),"",ROUND(FE63/FE$8*FE$7*KVARDI,2))</f>
        <v/>
      </c>
      <c r="FG63" s="39"/>
      <c r="FH63" s="40" t="str">
        <f aca="false">IF(OR(INDEX(Undirviðmið!$G$6:$G$105,(COLUMN()-7-1)/2+1)&lt;&gt;"Starfsbundið",FG63="",FG$8="",FG$7=""),"",ROUND(FG63/FG$8*FG$7*KVARDI,2))</f>
        <v/>
      </c>
      <c r="FI63" s="39"/>
      <c r="FJ63" s="40" t="str">
        <f aca="false">IF(OR(INDEX(Undirviðmið!$G$6:$G$105,(COLUMN()-7-1)/2+1)&lt;&gt;"Starfsbundið",FI63="",FI$8="",FI$7=""),"",ROUND(FI63/FI$8*FI$7*KVARDI,2))</f>
        <v/>
      </c>
      <c r="FK63" s="39"/>
      <c r="FL63" s="40" t="str">
        <f aca="false">IF(OR(INDEX(Undirviðmið!$G$6:$G$105,(COLUMN()-7-1)/2+1)&lt;&gt;"Starfsbundið",FK63="",FK$8="",FK$7=""),"",ROUND(FK63/FK$8*FK$7*KVARDI,2))</f>
        <v/>
      </c>
      <c r="FM63" s="39"/>
      <c r="FN63" s="40" t="str">
        <f aca="false">IF(OR(INDEX(Undirviðmið!$G$6:$G$105,(COLUMN()-7-1)/2+1)&lt;&gt;"Starfsbundið",FM63="",FM$8="",FM$7=""),"",ROUND(FM63/FM$8*FM$7*KVARDI,2))</f>
        <v/>
      </c>
      <c r="FO63" s="39"/>
      <c r="FP63" s="40" t="str">
        <f aca="false">IF(OR(INDEX(Undirviðmið!$G$6:$G$105,(COLUMN()-7-1)/2+1)&lt;&gt;"Starfsbundið",FO63="",FO$8="",FO$7=""),"",ROUND(FO63/FO$8*FO$7*KVARDI,2))</f>
        <v/>
      </c>
      <c r="FQ63" s="39"/>
      <c r="FR63" s="40" t="str">
        <f aca="false">IF(OR(INDEX(Undirviðmið!$G$6:$G$105,(COLUMN()-7-1)/2+1)&lt;&gt;"Starfsbundið",FQ63="",FQ$8="",FQ$7=""),"",ROUND(FQ63/FQ$8*FQ$7*KVARDI,2))</f>
        <v/>
      </c>
      <c r="FS63" s="39"/>
      <c r="FT63" s="40" t="str">
        <f aca="false">IF(OR(INDEX(Undirviðmið!$G$6:$G$105,(COLUMN()-7-1)/2+1)&lt;&gt;"Starfsbundið",FS63="",FS$8="",FS$7=""),"",ROUND(FS63/FS$8*FS$7*KVARDI,2))</f>
        <v/>
      </c>
      <c r="FU63" s="39"/>
      <c r="FV63" s="40" t="str">
        <f aca="false">IF(OR(INDEX(Undirviðmið!$G$6:$G$105,(COLUMN()-7-1)/2+1)&lt;&gt;"Starfsbundið",FU63="",FU$8="",FU$7=""),"",ROUND(FU63/FU$8*FU$7*KVARDI,2))</f>
        <v/>
      </c>
      <c r="FW63" s="39"/>
      <c r="FX63" s="40" t="str">
        <f aca="false">IF(OR(INDEX(Undirviðmið!$G$6:$G$105,(COLUMN()-7-1)/2+1)&lt;&gt;"Starfsbundið",FW63="",FW$8="",FW$7=""),"",ROUND(FW63/FW$8*FW$7*KVARDI,2))</f>
        <v/>
      </c>
      <c r="FY63" s="39"/>
      <c r="FZ63" s="40" t="str">
        <f aca="false">IF(OR(INDEX(Undirviðmið!$G$6:$G$105,(COLUMN()-7-1)/2+1)&lt;&gt;"Starfsbundið",FY63="",FY$8="",FY$7=""),"",ROUND(FY63/FY$8*FY$7*KVARDI,2))</f>
        <v/>
      </c>
      <c r="GA63" s="39"/>
      <c r="GB63" s="40" t="str">
        <f aca="false">IF(OR(INDEX(Undirviðmið!$G$6:$G$105,(COLUMN()-7-1)/2+1)&lt;&gt;"Starfsbundið",GA63="",GA$8="",GA$7=""),"",ROUND(GA63/GA$8*GA$7*KVARDI,2))</f>
        <v/>
      </c>
      <c r="GC63" s="39"/>
      <c r="GD63" s="40" t="str">
        <f aca="false">IF(OR(INDEX(Undirviðmið!$G$6:$G$105,(COLUMN()-7-1)/2+1)&lt;&gt;"Starfsbundið",GC63="",GC$8="",GC$7=""),"",ROUND(GC63/GC$8*GC$7*KVARDI,2))</f>
        <v/>
      </c>
      <c r="GE63" s="39"/>
      <c r="GF63" s="40" t="str">
        <f aca="false">IF(OR(INDEX(Undirviðmið!$G$6:$G$105,(COLUMN()-7-1)/2+1)&lt;&gt;"Starfsbundið",GE63="",GE$8="",GE$7=""),"",ROUND(GE63/GE$8*GE$7*KVARDI,2))</f>
        <v/>
      </c>
      <c r="GG63" s="39"/>
      <c r="GH63" s="40" t="str">
        <f aca="false">IF(OR(INDEX(Undirviðmið!$G$6:$G$105,(COLUMN()-7-1)/2+1)&lt;&gt;"Starfsbundið",GG63="",GG$8="",GG$7=""),"",ROUND(GG63/GG$8*GG$7*KVARDI,2))</f>
        <v/>
      </c>
      <c r="GI63" s="39"/>
      <c r="GJ63" s="40" t="str">
        <f aca="false">IF(OR(INDEX(Undirviðmið!$G$6:$G$105,(COLUMN()-7-1)/2+1)&lt;&gt;"Starfsbundið",GI63="",GI$8="",GI$7=""),"",ROUND(GI63/GI$8*GI$7*KVARDI,2))</f>
        <v/>
      </c>
      <c r="GK63" s="39"/>
      <c r="GL63" s="40" t="str">
        <f aca="false">IF(OR(INDEX(Undirviðmið!$G$6:$G$105,(COLUMN()-7-1)/2+1)&lt;&gt;"Starfsbundið",GK63="",GK$8="",GK$7=""),"",ROUND(GK63/GK$8*GK$7*KVARDI,2))</f>
        <v/>
      </c>
      <c r="GM63" s="39"/>
      <c r="GN63" s="40" t="str">
        <f aca="false">IF(OR(INDEX(Undirviðmið!$G$6:$G$105,(COLUMN()-7-1)/2+1)&lt;&gt;"Starfsbundið",GM63="",GM$8="",GM$7=""),"",ROUND(GM63/GM$8*GM$7*KVARDI,2))</f>
        <v/>
      </c>
      <c r="GO63" s="39"/>
      <c r="GP63" s="40" t="str">
        <f aca="false">IF(OR(INDEX(Undirviðmið!$G$6:$G$105,(COLUMN()-7-1)/2+1)&lt;&gt;"Starfsbundið",GO63="",GO$8="",GO$7=""),"",ROUND(GO63/GO$8*GO$7*KVARDI,2))</f>
        <v/>
      </c>
      <c r="GQ63" s="39"/>
      <c r="GR63" s="40" t="str">
        <f aca="false">IF(OR(INDEX(Undirviðmið!$G$6:$G$105,(COLUMN()-7-1)/2+1)&lt;&gt;"Starfsbundið",GQ63="",GQ$8="",GQ$7=""),"",ROUND(GQ63/GQ$8*GQ$7*KVARDI,2))</f>
        <v/>
      </c>
      <c r="GS63" s="39"/>
      <c r="GT63" s="40" t="str">
        <f aca="false">IF(OR(INDEX(Undirviðmið!$G$6:$G$105,(COLUMN()-7-1)/2+1)&lt;&gt;"Starfsbundið",GS63="",GS$8="",GS$7=""),"",ROUND(GS63/GS$8*GS$7*KVARDI,2))</f>
        <v/>
      </c>
      <c r="GU63" s="39"/>
      <c r="GV63" s="40" t="str">
        <f aca="false">IF(OR(INDEX(Undirviðmið!$G$6:$G$105,(COLUMN()-7-1)/2+1)&lt;&gt;"Starfsbundið",GU63="",GU$8="",GU$7=""),"",ROUND(GU63/GU$8*GU$7*KVARDI,2))</f>
        <v/>
      </c>
      <c r="GW63" s="39"/>
      <c r="GX63" s="40" t="str">
        <f aca="false">IF(OR(INDEX(Undirviðmið!$G$6:$G$105,(COLUMN()-7-1)/2+1)&lt;&gt;"Starfsbundið",GW63="",GW$8="",GW$7=""),"",ROUND(GW63/GW$8*GW$7*KVARDI,2))</f>
        <v/>
      </c>
      <c r="GZ63" s="20"/>
    </row>
    <row r="64" customFormat="false" ht="15" hidden="true" customHeight="true" outlineLevel="1" collapsed="false">
      <c r="B64" s="37" t="str">
        <f aca="false" t="array" ref="B64:B64">IFERROR(INDEX(Starfsmenn!$C$6:$C$10005,MATCH(0,COUNTIF($B$11:B63,Starfsmenn!$C$6:$C$10005)+(Starfsmenn!$C$6:$C$10005=""),0)),"")</f>
        <v/>
      </c>
      <c r="C64" s="38" t="n">
        <f aca="false">IFERROR(SUMIF($G$10:$GX$10,"Stig",$G64:$GX64),0)</f>
        <v>0</v>
      </c>
      <c r="G64" s="39"/>
      <c r="H64" s="40" t="str">
        <f aca="false">IF(OR(INDEX(Undirviðmið!$G$6:$G$105,(COLUMN()-7-1)/2+1)&lt;&gt;"Starfsbundið",G64="",G$8="",G$7=""),"",ROUND(G64/G$8*G$7*KVARDI,2))</f>
        <v/>
      </c>
      <c r="I64" s="39"/>
      <c r="J64" s="40" t="str">
        <f aca="false">IF(OR(INDEX(Undirviðmið!$G$6:$G$105,(COLUMN()-7-1)/2+1)&lt;&gt;"Starfsbundið",I64="",I$8="",I$7=""),"",ROUND(I64/I$8*I$7*KVARDI,2))</f>
        <v/>
      </c>
      <c r="K64" s="39"/>
      <c r="L64" s="40" t="str">
        <f aca="false">IF(OR(INDEX(Undirviðmið!$G$6:$G$105,(COLUMN()-7-1)/2+1)&lt;&gt;"Starfsbundið",K64="",K$8="",K$7=""),"",ROUND(K64/K$8*K$7*KVARDI,2))</f>
        <v/>
      </c>
      <c r="M64" s="39"/>
      <c r="N64" s="40" t="str">
        <f aca="false">IF(OR(INDEX(Undirviðmið!$G$6:$G$105,(COLUMN()-7-1)/2+1)&lt;&gt;"Starfsbundið",M64="",M$8="",M$7=""),"",ROUND(M64/M$8*M$7*KVARDI,2))</f>
        <v/>
      </c>
      <c r="O64" s="39"/>
      <c r="P64" s="40" t="str">
        <f aca="false">IF(OR(INDEX(Undirviðmið!$G$6:$G$105,(COLUMN()-7-1)/2+1)&lt;&gt;"Starfsbundið",O64="",O$8="",O$7=""),"",ROUND(O64/O$8*O$7*KVARDI,2))</f>
        <v/>
      </c>
      <c r="Q64" s="39"/>
      <c r="R64" s="40" t="str">
        <f aca="false">IF(OR(INDEX(Undirviðmið!$G$6:$G$105,(COLUMN()-7-1)/2+1)&lt;&gt;"Starfsbundið",Q64="",Q$8="",Q$7=""),"",ROUND(Q64/Q$8*Q$7*KVARDI,2))</f>
        <v/>
      </c>
      <c r="S64" s="39"/>
      <c r="T64" s="40" t="str">
        <f aca="false">IF(OR(INDEX(Undirviðmið!$G$6:$G$105,(COLUMN()-7-1)/2+1)&lt;&gt;"Starfsbundið",S64="",S$8="",S$7=""),"",ROUND(S64/S$8*S$7*KVARDI,2))</f>
        <v/>
      </c>
      <c r="U64" s="39"/>
      <c r="V64" s="40" t="str">
        <f aca="false">IF(OR(INDEX(Undirviðmið!$G$6:$G$105,(COLUMN()-7-1)/2+1)&lt;&gt;"Starfsbundið",U64="",U$8="",U$7=""),"",ROUND(U64/U$8*U$7*KVARDI,2))</f>
        <v/>
      </c>
      <c r="W64" s="39"/>
      <c r="X64" s="40" t="str">
        <f aca="false">IF(OR(INDEX(Undirviðmið!$G$6:$G$105,(COLUMN()-7-1)/2+1)&lt;&gt;"Starfsbundið",W64="",W$8="",W$7=""),"",ROUND(W64/W$8*W$7*KVARDI,2))</f>
        <v/>
      </c>
      <c r="Y64" s="39"/>
      <c r="Z64" s="40" t="str">
        <f aca="false">IF(OR(INDEX(Undirviðmið!$G$6:$G$105,(COLUMN()-7-1)/2+1)&lt;&gt;"Starfsbundið",Y64="",Y$8="",Y$7=""),"",ROUND(Y64/Y$8*Y$7*KVARDI,2))</f>
        <v/>
      </c>
      <c r="AA64" s="39"/>
      <c r="AB64" s="40" t="str">
        <f aca="false">IF(OR(INDEX(Undirviðmið!$G$6:$G$105,(COLUMN()-7-1)/2+1)&lt;&gt;"Starfsbundið",AA64="",AA$8="",AA$7=""),"",ROUND(AA64/AA$8*AA$7*KVARDI,2))</f>
        <v/>
      </c>
      <c r="AC64" s="39"/>
      <c r="AD64" s="40" t="str">
        <f aca="false">IF(OR(INDEX(Undirviðmið!$G$6:$G$105,(COLUMN()-7-1)/2+1)&lt;&gt;"Starfsbundið",AC64="",AC$8="",AC$7=""),"",ROUND(AC64/AC$8*AC$7*KVARDI,2))</f>
        <v/>
      </c>
      <c r="AE64" s="39"/>
      <c r="AF64" s="40" t="str">
        <f aca="false">IF(OR(INDEX(Undirviðmið!$G$6:$G$105,(COLUMN()-7-1)/2+1)&lt;&gt;"Starfsbundið",AE64="",AE$8="",AE$7=""),"",ROUND(AE64/AE$8*AE$7*KVARDI,2))</f>
        <v/>
      </c>
      <c r="AG64" s="39"/>
      <c r="AH64" s="40" t="str">
        <f aca="false">IF(OR(INDEX(Undirviðmið!$G$6:$G$105,(COLUMN()-7-1)/2+1)&lt;&gt;"Starfsbundið",AG64="",AG$8="",AG$7=""),"",ROUND(AG64/AG$8*AG$7*KVARDI,2))</f>
        <v/>
      </c>
      <c r="AI64" s="39"/>
      <c r="AJ64" s="40" t="str">
        <f aca="false">IF(OR(INDEX(Undirviðmið!$G$6:$G$105,(COLUMN()-7-1)/2+1)&lt;&gt;"Starfsbundið",AI64="",AI$8="",AI$7=""),"",ROUND(AI64/AI$8*AI$7*KVARDI,2))</f>
        <v/>
      </c>
      <c r="AK64" s="39"/>
      <c r="AL64" s="40" t="str">
        <f aca="false">IF(OR(INDEX(Undirviðmið!$G$6:$G$105,(COLUMN()-7-1)/2+1)&lt;&gt;"Starfsbundið",AK64="",AK$8="",AK$7=""),"",ROUND(AK64/AK$8*AK$7*KVARDI,2))</f>
        <v/>
      </c>
      <c r="AM64" s="39"/>
      <c r="AN64" s="40" t="str">
        <f aca="false">IF(OR(INDEX(Undirviðmið!$G$6:$G$105,(COLUMN()-7-1)/2+1)&lt;&gt;"Starfsbundið",AM64="",AM$8="",AM$7=""),"",ROUND(AM64/AM$8*AM$7*KVARDI,2))</f>
        <v/>
      </c>
      <c r="AO64" s="39"/>
      <c r="AP64" s="40" t="str">
        <f aca="false">IF(OR(INDEX(Undirviðmið!$G$6:$G$105,(COLUMN()-7-1)/2+1)&lt;&gt;"Starfsbundið",AO64="",AO$8="",AO$7=""),"",ROUND(AO64/AO$8*AO$7*KVARDI,2))</f>
        <v/>
      </c>
      <c r="AQ64" s="39"/>
      <c r="AR64" s="40" t="str">
        <f aca="false">IF(OR(INDEX(Undirviðmið!$G$6:$G$105,(COLUMN()-7-1)/2+1)&lt;&gt;"Starfsbundið",AQ64="",AQ$8="",AQ$7=""),"",ROUND(AQ64/AQ$8*AQ$7*KVARDI,2))</f>
        <v/>
      </c>
      <c r="AS64" s="39"/>
      <c r="AT64" s="40" t="str">
        <f aca="false">IF(OR(INDEX(Undirviðmið!$G$6:$G$105,(COLUMN()-7-1)/2+1)&lt;&gt;"Starfsbundið",AS64="",AS$8="",AS$7=""),"",ROUND(AS64/AS$8*AS$7*KVARDI,2))</f>
        <v/>
      </c>
      <c r="AU64" s="39"/>
      <c r="AV64" s="40" t="str">
        <f aca="false">IF(OR(INDEX(Undirviðmið!$G$6:$G$105,(COLUMN()-7-1)/2+1)&lt;&gt;"Starfsbundið",AU64="",AU$8="",AU$7=""),"",ROUND(AU64/AU$8*AU$7*KVARDI,2))</f>
        <v/>
      </c>
      <c r="AW64" s="39"/>
      <c r="AX64" s="40" t="str">
        <f aca="false">IF(OR(INDEX(Undirviðmið!$G$6:$G$105,(COLUMN()-7-1)/2+1)&lt;&gt;"Starfsbundið",AW64="",AW$8="",AW$7=""),"",ROUND(AW64/AW$8*AW$7*KVARDI,2))</f>
        <v/>
      </c>
      <c r="AY64" s="39"/>
      <c r="AZ64" s="40" t="str">
        <f aca="false">IF(OR(INDEX(Undirviðmið!$G$6:$G$105,(COLUMN()-7-1)/2+1)&lt;&gt;"Starfsbundið",AY64="",AY$8="",AY$7=""),"",ROUND(AY64/AY$8*AY$7*KVARDI,2))</f>
        <v/>
      </c>
      <c r="BA64" s="39"/>
      <c r="BB64" s="40" t="str">
        <f aca="false">IF(OR(INDEX(Undirviðmið!$G$6:$G$105,(COLUMN()-7-1)/2+1)&lt;&gt;"Starfsbundið",BA64="",BA$8="",BA$7=""),"",ROUND(BA64/BA$8*BA$7*KVARDI,2))</f>
        <v/>
      </c>
      <c r="BC64" s="39"/>
      <c r="BD64" s="40" t="str">
        <f aca="false">IF(OR(INDEX(Undirviðmið!$G$6:$G$105,(COLUMN()-7-1)/2+1)&lt;&gt;"Starfsbundið",BC64="",BC$8="",BC$7=""),"",ROUND(BC64/BC$8*BC$7*KVARDI,2))</f>
        <v/>
      </c>
      <c r="BE64" s="39"/>
      <c r="BF64" s="40" t="str">
        <f aca="false">IF(OR(INDEX(Undirviðmið!$G$6:$G$105,(COLUMN()-7-1)/2+1)&lt;&gt;"Starfsbundið",BE64="",BE$8="",BE$7=""),"",ROUND(BE64/BE$8*BE$7*KVARDI,2))</f>
        <v/>
      </c>
      <c r="BG64" s="39"/>
      <c r="BH64" s="40" t="str">
        <f aca="false">IF(OR(INDEX(Undirviðmið!$G$6:$G$105,(COLUMN()-7-1)/2+1)&lt;&gt;"Starfsbundið",BG64="",BG$8="",BG$7=""),"",ROUND(BG64/BG$8*BG$7*KVARDI,2))</f>
        <v/>
      </c>
      <c r="BI64" s="39"/>
      <c r="BJ64" s="40" t="str">
        <f aca="false">IF(OR(INDEX(Undirviðmið!$G$6:$G$105,(COLUMN()-7-1)/2+1)&lt;&gt;"Starfsbundið",BI64="",BI$8="",BI$7=""),"",ROUND(BI64/BI$8*BI$7*KVARDI,2))</f>
        <v/>
      </c>
      <c r="BK64" s="39"/>
      <c r="BL64" s="40" t="str">
        <f aca="false">IF(OR(INDEX(Undirviðmið!$G$6:$G$105,(COLUMN()-7-1)/2+1)&lt;&gt;"Starfsbundið",BK64="",BK$8="",BK$7=""),"",ROUND(BK64/BK$8*BK$7*KVARDI,2))</f>
        <v/>
      </c>
      <c r="BM64" s="39"/>
      <c r="BN64" s="40" t="str">
        <f aca="false">IF(OR(INDEX(Undirviðmið!$G$6:$G$105,(COLUMN()-7-1)/2+1)&lt;&gt;"Starfsbundið",BM64="",BM$8="",BM$7=""),"",ROUND(BM64/BM$8*BM$7*KVARDI,2))</f>
        <v/>
      </c>
      <c r="BO64" s="39"/>
      <c r="BP64" s="40" t="str">
        <f aca="false">IF(OR(INDEX(Undirviðmið!$G$6:$G$105,(COLUMN()-7-1)/2+1)&lt;&gt;"Starfsbundið",BO64="",BO$8="",BO$7=""),"",ROUND(BO64/BO$8*BO$7*KVARDI,2))</f>
        <v/>
      </c>
      <c r="BQ64" s="39"/>
      <c r="BR64" s="40" t="str">
        <f aca="false">IF(OR(INDEX(Undirviðmið!$G$6:$G$105,(COLUMN()-7-1)/2+1)&lt;&gt;"Starfsbundið",BQ64="",BQ$8="",BQ$7=""),"",ROUND(BQ64/BQ$8*BQ$7*KVARDI,2))</f>
        <v/>
      </c>
      <c r="BS64" s="39"/>
      <c r="BT64" s="40" t="str">
        <f aca="false">IF(OR(INDEX(Undirviðmið!$G$6:$G$105,(COLUMN()-7-1)/2+1)&lt;&gt;"Starfsbundið",BS64="",BS$8="",BS$7=""),"",ROUND(BS64/BS$8*BS$7*KVARDI,2))</f>
        <v/>
      </c>
      <c r="BU64" s="39"/>
      <c r="BV64" s="40" t="str">
        <f aca="false">IF(OR(INDEX(Undirviðmið!$G$6:$G$105,(COLUMN()-7-1)/2+1)&lt;&gt;"Starfsbundið",BU64="",BU$8="",BU$7=""),"",ROUND(BU64/BU$8*BU$7*KVARDI,2))</f>
        <v/>
      </c>
      <c r="BW64" s="39"/>
      <c r="BX64" s="40" t="str">
        <f aca="false">IF(OR(INDEX(Undirviðmið!$G$6:$G$105,(COLUMN()-7-1)/2+1)&lt;&gt;"Starfsbundið",BW64="",BW$8="",BW$7=""),"",ROUND(BW64/BW$8*BW$7*KVARDI,2))</f>
        <v/>
      </c>
      <c r="BY64" s="39"/>
      <c r="BZ64" s="40" t="str">
        <f aca="false">IF(OR(INDEX(Undirviðmið!$G$6:$G$105,(COLUMN()-7-1)/2+1)&lt;&gt;"Starfsbundið",BY64="",BY$8="",BY$7=""),"",ROUND(BY64/BY$8*BY$7*KVARDI,2))</f>
        <v/>
      </c>
      <c r="CA64" s="39"/>
      <c r="CB64" s="40" t="str">
        <f aca="false">IF(OR(INDEX(Undirviðmið!$G$6:$G$105,(COLUMN()-7-1)/2+1)&lt;&gt;"Starfsbundið",CA64="",CA$8="",CA$7=""),"",ROUND(CA64/CA$8*CA$7*KVARDI,2))</f>
        <v/>
      </c>
      <c r="CC64" s="39"/>
      <c r="CD64" s="40" t="str">
        <f aca="false">IF(OR(INDEX(Undirviðmið!$G$6:$G$105,(COLUMN()-7-1)/2+1)&lt;&gt;"Starfsbundið",CC64="",CC$8="",CC$7=""),"",ROUND(CC64/CC$8*CC$7*KVARDI,2))</f>
        <v/>
      </c>
      <c r="CE64" s="39"/>
      <c r="CF64" s="40" t="str">
        <f aca="false">IF(OR(INDEX(Undirviðmið!$G$6:$G$105,(COLUMN()-7-1)/2+1)&lt;&gt;"Starfsbundið",CE64="",CE$8="",CE$7=""),"",ROUND(CE64/CE$8*CE$7*KVARDI,2))</f>
        <v/>
      </c>
      <c r="CG64" s="39"/>
      <c r="CH64" s="40" t="str">
        <f aca="false">IF(OR(INDEX(Undirviðmið!$G$6:$G$105,(COLUMN()-7-1)/2+1)&lt;&gt;"Starfsbundið",CG64="",CG$8="",CG$7=""),"",ROUND(CG64/CG$8*CG$7*KVARDI,2))</f>
        <v/>
      </c>
      <c r="CI64" s="39"/>
      <c r="CJ64" s="40" t="str">
        <f aca="false">IF(OR(INDEX(Undirviðmið!$G$6:$G$105,(COLUMN()-7-1)/2+1)&lt;&gt;"Starfsbundið",CI64="",CI$8="",CI$7=""),"",ROUND(CI64/CI$8*CI$7*KVARDI,2))</f>
        <v/>
      </c>
      <c r="CK64" s="39"/>
      <c r="CL64" s="40" t="str">
        <f aca="false">IF(OR(INDEX(Undirviðmið!$G$6:$G$105,(COLUMN()-7-1)/2+1)&lt;&gt;"Starfsbundið",CK64="",CK$8="",CK$7=""),"",ROUND(CK64/CK$8*CK$7*KVARDI,2))</f>
        <v/>
      </c>
      <c r="CM64" s="39"/>
      <c r="CN64" s="40" t="str">
        <f aca="false">IF(OR(INDEX(Undirviðmið!$G$6:$G$105,(COLUMN()-7-1)/2+1)&lt;&gt;"Starfsbundið",CM64="",CM$8="",CM$7=""),"",ROUND(CM64/CM$8*CM$7*KVARDI,2))</f>
        <v/>
      </c>
      <c r="CO64" s="39"/>
      <c r="CP64" s="40" t="str">
        <f aca="false">IF(OR(INDEX(Undirviðmið!$G$6:$G$105,(COLUMN()-7-1)/2+1)&lt;&gt;"Starfsbundið",CO64="",CO$8="",CO$7=""),"",ROUND(CO64/CO$8*CO$7*KVARDI,2))</f>
        <v/>
      </c>
      <c r="CQ64" s="39"/>
      <c r="CR64" s="40" t="str">
        <f aca="false">IF(OR(INDEX(Undirviðmið!$G$6:$G$105,(COLUMN()-7-1)/2+1)&lt;&gt;"Starfsbundið",CQ64="",CQ$8="",CQ$7=""),"",ROUND(CQ64/CQ$8*CQ$7*KVARDI,2))</f>
        <v/>
      </c>
      <c r="CS64" s="39"/>
      <c r="CT64" s="40" t="str">
        <f aca="false">IF(OR(INDEX(Undirviðmið!$G$6:$G$105,(COLUMN()-7-1)/2+1)&lt;&gt;"Starfsbundið",CS64="",CS$8="",CS$7=""),"",ROUND(CS64/CS$8*CS$7*KVARDI,2))</f>
        <v/>
      </c>
      <c r="CU64" s="39"/>
      <c r="CV64" s="40" t="str">
        <f aca="false">IF(OR(INDEX(Undirviðmið!$G$6:$G$105,(COLUMN()-7-1)/2+1)&lt;&gt;"Starfsbundið",CU64="",CU$8="",CU$7=""),"",ROUND(CU64/CU$8*CU$7*KVARDI,2))</f>
        <v/>
      </c>
      <c r="CW64" s="39"/>
      <c r="CX64" s="40" t="str">
        <f aca="false">IF(OR(INDEX(Undirviðmið!$G$6:$G$105,(COLUMN()-7-1)/2+1)&lt;&gt;"Starfsbundið",CW64="",CW$8="",CW$7=""),"",ROUND(CW64/CW$8*CW$7*KVARDI,2))</f>
        <v/>
      </c>
      <c r="CY64" s="39"/>
      <c r="CZ64" s="40" t="str">
        <f aca="false">IF(OR(INDEX(Undirviðmið!$G$6:$G$105,(COLUMN()-7-1)/2+1)&lt;&gt;"Starfsbundið",CY64="",CY$8="",CY$7=""),"",ROUND(CY64/CY$8*CY$7*KVARDI,2))</f>
        <v/>
      </c>
      <c r="DA64" s="39"/>
      <c r="DB64" s="40" t="str">
        <f aca="false">IF(OR(INDEX(Undirviðmið!$G$6:$G$105,(COLUMN()-7-1)/2+1)&lt;&gt;"Starfsbundið",DA64="",DA$8="",DA$7=""),"",ROUND(DA64/DA$8*DA$7*KVARDI,2))</f>
        <v/>
      </c>
      <c r="DC64" s="39"/>
      <c r="DD64" s="40" t="str">
        <f aca="false">IF(OR(INDEX(Undirviðmið!$G$6:$G$105,(COLUMN()-7-1)/2+1)&lt;&gt;"Starfsbundið",DC64="",DC$8="",DC$7=""),"",ROUND(DC64/DC$8*DC$7*KVARDI,2))</f>
        <v/>
      </c>
      <c r="DE64" s="39"/>
      <c r="DF64" s="40" t="str">
        <f aca="false">IF(OR(INDEX(Undirviðmið!$G$6:$G$105,(COLUMN()-7-1)/2+1)&lt;&gt;"Starfsbundið",DE64="",DE$8="",DE$7=""),"",ROUND(DE64/DE$8*DE$7*KVARDI,2))</f>
        <v/>
      </c>
      <c r="DG64" s="39"/>
      <c r="DH64" s="40" t="str">
        <f aca="false">IF(OR(INDEX(Undirviðmið!$G$6:$G$105,(COLUMN()-7-1)/2+1)&lt;&gt;"Starfsbundið",DG64="",DG$8="",DG$7=""),"",ROUND(DG64/DG$8*DG$7*KVARDI,2))</f>
        <v/>
      </c>
      <c r="DI64" s="39"/>
      <c r="DJ64" s="40" t="str">
        <f aca="false">IF(OR(INDEX(Undirviðmið!$G$6:$G$105,(COLUMN()-7-1)/2+1)&lt;&gt;"Starfsbundið",DI64="",DI$8="",DI$7=""),"",ROUND(DI64/DI$8*DI$7*KVARDI,2))</f>
        <v/>
      </c>
      <c r="DK64" s="39"/>
      <c r="DL64" s="40" t="str">
        <f aca="false">IF(OR(INDEX(Undirviðmið!$G$6:$G$105,(COLUMN()-7-1)/2+1)&lt;&gt;"Starfsbundið",DK64="",DK$8="",DK$7=""),"",ROUND(DK64/DK$8*DK$7*KVARDI,2))</f>
        <v/>
      </c>
      <c r="DM64" s="39"/>
      <c r="DN64" s="40" t="str">
        <f aca="false">IF(OR(INDEX(Undirviðmið!$G$6:$G$105,(COLUMN()-7-1)/2+1)&lt;&gt;"Starfsbundið",DM64="",DM$8="",DM$7=""),"",ROUND(DM64/DM$8*DM$7*KVARDI,2))</f>
        <v/>
      </c>
      <c r="DO64" s="39"/>
      <c r="DP64" s="40" t="str">
        <f aca="false">IF(OR(INDEX(Undirviðmið!$G$6:$G$105,(COLUMN()-7-1)/2+1)&lt;&gt;"Starfsbundið",DO64="",DO$8="",DO$7=""),"",ROUND(DO64/DO$8*DO$7*KVARDI,2))</f>
        <v/>
      </c>
      <c r="DQ64" s="39"/>
      <c r="DR64" s="40" t="str">
        <f aca="false">IF(OR(INDEX(Undirviðmið!$G$6:$G$105,(COLUMN()-7-1)/2+1)&lt;&gt;"Starfsbundið",DQ64="",DQ$8="",DQ$7=""),"",ROUND(DQ64/DQ$8*DQ$7*KVARDI,2))</f>
        <v/>
      </c>
      <c r="DS64" s="39"/>
      <c r="DT64" s="40" t="str">
        <f aca="false">IF(OR(INDEX(Undirviðmið!$G$6:$G$105,(COLUMN()-7-1)/2+1)&lt;&gt;"Starfsbundið",DS64="",DS$8="",DS$7=""),"",ROUND(DS64/DS$8*DS$7*KVARDI,2))</f>
        <v/>
      </c>
      <c r="DU64" s="39"/>
      <c r="DV64" s="40" t="str">
        <f aca="false">IF(OR(INDEX(Undirviðmið!$G$6:$G$105,(COLUMN()-7-1)/2+1)&lt;&gt;"Starfsbundið",DU64="",DU$8="",DU$7=""),"",ROUND(DU64/DU$8*DU$7*KVARDI,2))</f>
        <v/>
      </c>
      <c r="DW64" s="39"/>
      <c r="DX64" s="40" t="str">
        <f aca="false">IF(OR(INDEX(Undirviðmið!$G$6:$G$105,(COLUMN()-7-1)/2+1)&lt;&gt;"Starfsbundið",DW64="",DW$8="",DW$7=""),"",ROUND(DW64/DW$8*DW$7*KVARDI,2))</f>
        <v/>
      </c>
      <c r="DY64" s="39"/>
      <c r="DZ64" s="40" t="str">
        <f aca="false">IF(OR(INDEX(Undirviðmið!$G$6:$G$105,(COLUMN()-7-1)/2+1)&lt;&gt;"Starfsbundið",DY64="",DY$8="",DY$7=""),"",ROUND(DY64/DY$8*DY$7*KVARDI,2))</f>
        <v/>
      </c>
      <c r="EA64" s="39"/>
      <c r="EB64" s="40" t="str">
        <f aca="false">IF(OR(INDEX(Undirviðmið!$G$6:$G$105,(COLUMN()-7-1)/2+1)&lt;&gt;"Starfsbundið",EA64="",EA$8="",EA$7=""),"",ROUND(EA64/EA$8*EA$7*KVARDI,2))</f>
        <v/>
      </c>
      <c r="EC64" s="39"/>
      <c r="ED64" s="40" t="str">
        <f aca="false">IF(OR(INDEX(Undirviðmið!$G$6:$G$105,(COLUMN()-7-1)/2+1)&lt;&gt;"Starfsbundið",EC64="",EC$8="",EC$7=""),"",ROUND(EC64/EC$8*EC$7*KVARDI,2))</f>
        <v/>
      </c>
      <c r="EE64" s="39"/>
      <c r="EF64" s="40" t="str">
        <f aca="false">IF(OR(INDEX(Undirviðmið!$G$6:$G$105,(COLUMN()-7-1)/2+1)&lt;&gt;"Starfsbundið",EE64="",EE$8="",EE$7=""),"",ROUND(EE64/EE$8*EE$7*KVARDI,2))</f>
        <v/>
      </c>
      <c r="EG64" s="39"/>
      <c r="EH64" s="40" t="str">
        <f aca="false">IF(OR(INDEX(Undirviðmið!$G$6:$G$105,(COLUMN()-7-1)/2+1)&lt;&gt;"Starfsbundið",EG64="",EG$8="",EG$7=""),"",ROUND(EG64/EG$8*EG$7*KVARDI,2))</f>
        <v/>
      </c>
      <c r="EI64" s="39"/>
      <c r="EJ64" s="40" t="str">
        <f aca="false">IF(OR(INDEX(Undirviðmið!$G$6:$G$105,(COLUMN()-7-1)/2+1)&lt;&gt;"Starfsbundið",EI64="",EI$8="",EI$7=""),"",ROUND(EI64/EI$8*EI$7*KVARDI,2))</f>
        <v/>
      </c>
      <c r="EK64" s="39"/>
      <c r="EL64" s="40" t="str">
        <f aca="false">IF(OR(INDEX(Undirviðmið!$G$6:$G$105,(COLUMN()-7-1)/2+1)&lt;&gt;"Starfsbundið",EK64="",EK$8="",EK$7=""),"",ROUND(EK64/EK$8*EK$7*KVARDI,2))</f>
        <v/>
      </c>
      <c r="EM64" s="39"/>
      <c r="EN64" s="40" t="str">
        <f aca="false">IF(OR(INDEX(Undirviðmið!$G$6:$G$105,(COLUMN()-7-1)/2+1)&lt;&gt;"Starfsbundið",EM64="",EM$8="",EM$7=""),"",ROUND(EM64/EM$8*EM$7*KVARDI,2))</f>
        <v/>
      </c>
      <c r="EO64" s="39"/>
      <c r="EP64" s="40" t="str">
        <f aca="false">IF(OR(INDEX(Undirviðmið!$G$6:$G$105,(COLUMN()-7-1)/2+1)&lt;&gt;"Starfsbundið",EO64="",EO$8="",EO$7=""),"",ROUND(EO64/EO$8*EO$7*KVARDI,2))</f>
        <v/>
      </c>
      <c r="EQ64" s="39"/>
      <c r="ER64" s="40" t="str">
        <f aca="false">IF(OR(INDEX(Undirviðmið!$G$6:$G$105,(COLUMN()-7-1)/2+1)&lt;&gt;"Starfsbundið",EQ64="",EQ$8="",EQ$7=""),"",ROUND(EQ64/EQ$8*EQ$7*KVARDI,2))</f>
        <v/>
      </c>
      <c r="ES64" s="39"/>
      <c r="ET64" s="40" t="str">
        <f aca="false">IF(OR(INDEX(Undirviðmið!$G$6:$G$105,(COLUMN()-7-1)/2+1)&lt;&gt;"Starfsbundið",ES64="",ES$8="",ES$7=""),"",ROUND(ES64/ES$8*ES$7*KVARDI,2))</f>
        <v/>
      </c>
      <c r="EU64" s="39"/>
      <c r="EV64" s="40" t="str">
        <f aca="false">IF(OR(INDEX(Undirviðmið!$G$6:$G$105,(COLUMN()-7-1)/2+1)&lt;&gt;"Starfsbundið",EU64="",EU$8="",EU$7=""),"",ROUND(EU64/EU$8*EU$7*KVARDI,2))</f>
        <v/>
      </c>
      <c r="EW64" s="39"/>
      <c r="EX64" s="40" t="str">
        <f aca="false">IF(OR(INDEX(Undirviðmið!$G$6:$G$105,(COLUMN()-7-1)/2+1)&lt;&gt;"Starfsbundið",EW64="",EW$8="",EW$7=""),"",ROUND(EW64/EW$8*EW$7*KVARDI,2))</f>
        <v/>
      </c>
      <c r="EY64" s="39"/>
      <c r="EZ64" s="40" t="str">
        <f aca="false">IF(OR(INDEX(Undirviðmið!$G$6:$G$105,(COLUMN()-7-1)/2+1)&lt;&gt;"Starfsbundið",EY64="",EY$8="",EY$7=""),"",ROUND(EY64/EY$8*EY$7*KVARDI,2))</f>
        <v/>
      </c>
      <c r="FA64" s="39"/>
      <c r="FB64" s="40" t="str">
        <f aca="false">IF(OR(INDEX(Undirviðmið!$G$6:$G$105,(COLUMN()-7-1)/2+1)&lt;&gt;"Starfsbundið",FA64="",FA$8="",FA$7=""),"",ROUND(FA64/FA$8*FA$7*KVARDI,2))</f>
        <v/>
      </c>
      <c r="FC64" s="39"/>
      <c r="FD64" s="40" t="str">
        <f aca="false">IF(OR(INDEX(Undirviðmið!$G$6:$G$105,(COLUMN()-7-1)/2+1)&lt;&gt;"Starfsbundið",FC64="",FC$8="",FC$7=""),"",ROUND(FC64/FC$8*FC$7*KVARDI,2))</f>
        <v/>
      </c>
      <c r="FE64" s="39"/>
      <c r="FF64" s="40" t="str">
        <f aca="false">IF(OR(INDEX(Undirviðmið!$G$6:$G$105,(COLUMN()-7-1)/2+1)&lt;&gt;"Starfsbundið",FE64="",FE$8="",FE$7=""),"",ROUND(FE64/FE$8*FE$7*KVARDI,2))</f>
        <v/>
      </c>
      <c r="FG64" s="39"/>
      <c r="FH64" s="40" t="str">
        <f aca="false">IF(OR(INDEX(Undirviðmið!$G$6:$G$105,(COLUMN()-7-1)/2+1)&lt;&gt;"Starfsbundið",FG64="",FG$8="",FG$7=""),"",ROUND(FG64/FG$8*FG$7*KVARDI,2))</f>
        <v/>
      </c>
      <c r="FI64" s="39"/>
      <c r="FJ64" s="40" t="str">
        <f aca="false">IF(OR(INDEX(Undirviðmið!$G$6:$G$105,(COLUMN()-7-1)/2+1)&lt;&gt;"Starfsbundið",FI64="",FI$8="",FI$7=""),"",ROUND(FI64/FI$8*FI$7*KVARDI,2))</f>
        <v/>
      </c>
      <c r="FK64" s="39"/>
      <c r="FL64" s="40" t="str">
        <f aca="false">IF(OR(INDEX(Undirviðmið!$G$6:$G$105,(COLUMN()-7-1)/2+1)&lt;&gt;"Starfsbundið",FK64="",FK$8="",FK$7=""),"",ROUND(FK64/FK$8*FK$7*KVARDI,2))</f>
        <v/>
      </c>
      <c r="FM64" s="39"/>
      <c r="FN64" s="40" t="str">
        <f aca="false">IF(OR(INDEX(Undirviðmið!$G$6:$G$105,(COLUMN()-7-1)/2+1)&lt;&gt;"Starfsbundið",FM64="",FM$8="",FM$7=""),"",ROUND(FM64/FM$8*FM$7*KVARDI,2))</f>
        <v/>
      </c>
      <c r="FO64" s="39"/>
      <c r="FP64" s="40" t="str">
        <f aca="false">IF(OR(INDEX(Undirviðmið!$G$6:$G$105,(COLUMN()-7-1)/2+1)&lt;&gt;"Starfsbundið",FO64="",FO$8="",FO$7=""),"",ROUND(FO64/FO$8*FO$7*KVARDI,2))</f>
        <v/>
      </c>
      <c r="FQ64" s="39"/>
      <c r="FR64" s="40" t="str">
        <f aca="false">IF(OR(INDEX(Undirviðmið!$G$6:$G$105,(COLUMN()-7-1)/2+1)&lt;&gt;"Starfsbundið",FQ64="",FQ$8="",FQ$7=""),"",ROUND(FQ64/FQ$8*FQ$7*KVARDI,2))</f>
        <v/>
      </c>
      <c r="FS64" s="39"/>
      <c r="FT64" s="40" t="str">
        <f aca="false">IF(OR(INDEX(Undirviðmið!$G$6:$G$105,(COLUMN()-7-1)/2+1)&lt;&gt;"Starfsbundið",FS64="",FS$8="",FS$7=""),"",ROUND(FS64/FS$8*FS$7*KVARDI,2))</f>
        <v/>
      </c>
      <c r="FU64" s="39"/>
      <c r="FV64" s="40" t="str">
        <f aca="false">IF(OR(INDEX(Undirviðmið!$G$6:$G$105,(COLUMN()-7-1)/2+1)&lt;&gt;"Starfsbundið",FU64="",FU$8="",FU$7=""),"",ROUND(FU64/FU$8*FU$7*KVARDI,2))</f>
        <v/>
      </c>
      <c r="FW64" s="39"/>
      <c r="FX64" s="40" t="str">
        <f aca="false">IF(OR(INDEX(Undirviðmið!$G$6:$G$105,(COLUMN()-7-1)/2+1)&lt;&gt;"Starfsbundið",FW64="",FW$8="",FW$7=""),"",ROUND(FW64/FW$8*FW$7*KVARDI,2))</f>
        <v/>
      </c>
      <c r="FY64" s="39"/>
      <c r="FZ64" s="40" t="str">
        <f aca="false">IF(OR(INDEX(Undirviðmið!$G$6:$G$105,(COLUMN()-7-1)/2+1)&lt;&gt;"Starfsbundið",FY64="",FY$8="",FY$7=""),"",ROUND(FY64/FY$8*FY$7*KVARDI,2))</f>
        <v/>
      </c>
      <c r="GA64" s="39"/>
      <c r="GB64" s="40" t="str">
        <f aca="false">IF(OR(INDEX(Undirviðmið!$G$6:$G$105,(COLUMN()-7-1)/2+1)&lt;&gt;"Starfsbundið",GA64="",GA$8="",GA$7=""),"",ROUND(GA64/GA$8*GA$7*KVARDI,2))</f>
        <v/>
      </c>
      <c r="GC64" s="39"/>
      <c r="GD64" s="40" t="str">
        <f aca="false">IF(OR(INDEX(Undirviðmið!$G$6:$G$105,(COLUMN()-7-1)/2+1)&lt;&gt;"Starfsbundið",GC64="",GC$8="",GC$7=""),"",ROUND(GC64/GC$8*GC$7*KVARDI,2))</f>
        <v/>
      </c>
      <c r="GE64" s="39"/>
      <c r="GF64" s="40" t="str">
        <f aca="false">IF(OR(INDEX(Undirviðmið!$G$6:$G$105,(COLUMN()-7-1)/2+1)&lt;&gt;"Starfsbundið",GE64="",GE$8="",GE$7=""),"",ROUND(GE64/GE$8*GE$7*KVARDI,2))</f>
        <v/>
      </c>
      <c r="GG64" s="39"/>
      <c r="GH64" s="40" t="str">
        <f aca="false">IF(OR(INDEX(Undirviðmið!$G$6:$G$105,(COLUMN()-7-1)/2+1)&lt;&gt;"Starfsbundið",GG64="",GG$8="",GG$7=""),"",ROUND(GG64/GG$8*GG$7*KVARDI,2))</f>
        <v/>
      </c>
      <c r="GI64" s="39"/>
      <c r="GJ64" s="40" t="str">
        <f aca="false">IF(OR(INDEX(Undirviðmið!$G$6:$G$105,(COLUMN()-7-1)/2+1)&lt;&gt;"Starfsbundið",GI64="",GI$8="",GI$7=""),"",ROUND(GI64/GI$8*GI$7*KVARDI,2))</f>
        <v/>
      </c>
      <c r="GK64" s="39"/>
      <c r="GL64" s="40" t="str">
        <f aca="false">IF(OR(INDEX(Undirviðmið!$G$6:$G$105,(COLUMN()-7-1)/2+1)&lt;&gt;"Starfsbundið",GK64="",GK$8="",GK$7=""),"",ROUND(GK64/GK$8*GK$7*KVARDI,2))</f>
        <v/>
      </c>
      <c r="GM64" s="39"/>
      <c r="GN64" s="40" t="str">
        <f aca="false">IF(OR(INDEX(Undirviðmið!$G$6:$G$105,(COLUMN()-7-1)/2+1)&lt;&gt;"Starfsbundið",GM64="",GM$8="",GM$7=""),"",ROUND(GM64/GM$8*GM$7*KVARDI,2))</f>
        <v/>
      </c>
      <c r="GO64" s="39"/>
      <c r="GP64" s="40" t="str">
        <f aca="false">IF(OR(INDEX(Undirviðmið!$G$6:$G$105,(COLUMN()-7-1)/2+1)&lt;&gt;"Starfsbundið",GO64="",GO$8="",GO$7=""),"",ROUND(GO64/GO$8*GO$7*KVARDI,2))</f>
        <v/>
      </c>
      <c r="GQ64" s="39"/>
      <c r="GR64" s="40" t="str">
        <f aca="false">IF(OR(INDEX(Undirviðmið!$G$6:$G$105,(COLUMN()-7-1)/2+1)&lt;&gt;"Starfsbundið",GQ64="",GQ$8="",GQ$7=""),"",ROUND(GQ64/GQ$8*GQ$7*KVARDI,2))</f>
        <v/>
      </c>
      <c r="GS64" s="39"/>
      <c r="GT64" s="40" t="str">
        <f aca="false">IF(OR(INDEX(Undirviðmið!$G$6:$G$105,(COLUMN()-7-1)/2+1)&lt;&gt;"Starfsbundið",GS64="",GS$8="",GS$7=""),"",ROUND(GS64/GS$8*GS$7*KVARDI,2))</f>
        <v/>
      </c>
      <c r="GU64" s="39"/>
      <c r="GV64" s="40" t="str">
        <f aca="false">IF(OR(INDEX(Undirviðmið!$G$6:$G$105,(COLUMN()-7-1)/2+1)&lt;&gt;"Starfsbundið",GU64="",GU$8="",GU$7=""),"",ROUND(GU64/GU$8*GU$7*KVARDI,2))</f>
        <v/>
      </c>
      <c r="GW64" s="39"/>
      <c r="GX64" s="40" t="str">
        <f aca="false">IF(OR(INDEX(Undirviðmið!$G$6:$G$105,(COLUMN()-7-1)/2+1)&lt;&gt;"Starfsbundið",GW64="",GW$8="",GW$7=""),"",ROUND(GW64/GW$8*GW$7*KVARDI,2))</f>
        <v/>
      </c>
      <c r="GZ64" s="20"/>
    </row>
    <row r="65" customFormat="false" ht="15" hidden="true" customHeight="true" outlineLevel="1" collapsed="false">
      <c r="B65" s="37" t="str">
        <f aca="false" t="array" ref="B65:B65">IFERROR(INDEX(Starfsmenn!$C$6:$C$10005,MATCH(0,COUNTIF($B$11:B64,Starfsmenn!$C$6:$C$10005)+(Starfsmenn!$C$6:$C$10005=""),0)),"")</f>
        <v/>
      </c>
      <c r="C65" s="38" t="n">
        <f aca="false">IFERROR(SUMIF($G$10:$GX$10,"Stig",$G65:$GX65),0)</f>
        <v>0</v>
      </c>
      <c r="G65" s="39"/>
      <c r="H65" s="40" t="str">
        <f aca="false">IF(OR(INDEX(Undirviðmið!$G$6:$G$105,(COLUMN()-7-1)/2+1)&lt;&gt;"Starfsbundið",G65="",G$8="",G$7=""),"",ROUND(G65/G$8*G$7*KVARDI,2))</f>
        <v/>
      </c>
      <c r="I65" s="39"/>
      <c r="J65" s="40" t="str">
        <f aca="false">IF(OR(INDEX(Undirviðmið!$G$6:$G$105,(COLUMN()-7-1)/2+1)&lt;&gt;"Starfsbundið",I65="",I$8="",I$7=""),"",ROUND(I65/I$8*I$7*KVARDI,2))</f>
        <v/>
      </c>
      <c r="K65" s="39"/>
      <c r="L65" s="40" t="str">
        <f aca="false">IF(OR(INDEX(Undirviðmið!$G$6:$G$105,(COLUMN()-7-1)/2+1)&lt;&gt;"Starfsbundið",K65="",K$8="",K$7=""),"",ROUND(K65/K$8*K$7*KVARDI,2))</f>
        <v/>
      </c>
      <c r="M65" s="39"/>
      <c r="N65" s="40" t="str">
        <f aca="false">IF(OR(INDEX(Undirviðmið!$G$6:$G$105,(COLUMN()-7-1)/2+1)&lt;&gt;"Starfsbundið",M65="",M$8="",M$7=""),"",ROUND(M65/M$8*M$7*KVARDI,2))</f>
        <v/>
      </c>
      <c r="O65" s="39"/>
      <c r="P65" s="40" t="str">
        <f aca="false">IF(OR(INDEX(Undirviðmið!$G$6:$G$105,(COLUMN()-7-1)/2+1)&lt;&gt;"Starfsbundið",O65="",O$8="",O$7=""),"",ROUND(O65/O$8*O$7*KVARDI,2))</f>
        <v/>
      </c>
      <c r="Q65" s="39"/>
      <c r="R65" s="40" t="str">
        <f aca="false">IF(OR(INDEX(Undirviðmið!$G$6:$G$105,(COLUMN()-7-1)/2+1)&lt;&gt;"Starfsbundið",Q65="",Q$8="",Q$7=""),"",ROUND(Q65/Q$8*Q$7*KVARDI,2))</f>
        <v/>
      </c>
      <c r="S65" s="39"/>
      <c r="T65" s="40" t="str">
        <f aca="false">IF(OR(INDEX(Undirviðmið!$G$6:$G$105,(COLUMN()-7-1)/2+1)&lt;&gt;"Starfsbundið",S65="",S$8="",S$7=""),"",ROUND(S65/S$8*S$7*KVARDI,2))</f>
        <v/>
      </c>
      <c r="U65" s="39"/>
      <c r="V65" s="40" t="str">
        <f aca="false">IF(OR(INDEX(Undirviðmið!$G$6:$G$105,(COLUMN()-7-1)/2+1)&lt;&gt;"Starfsbundið",U65="",U$8="",U$7=""),"",ROUND(U65/U$8*U$7*KVARDI,2))</f>
        <v/>
      </c>
      <c r="W65" s="39"/>
      <c r="X65" s="40" t="str">
        <f aca="false">IF(OR(INDEX(Undirviðmið!$G$6:$G$105,(COLUMN()-7-1)/2+1)&lt;&gt;"Starfsbundið",W65="",W$8="",W$7=""),"",ROUND(W65/W$8*W$7*KVARDI,2))</f>
        <v/>
      </c>
      <c r="Y65" s="39"/>
      <c r="Z65" s="40" t="str">
        <f aca="false">IF(OR(INDEX(Undirviðmið!$G$6:$G$105,(COLUMN()-7-1)/2+1)&lt;&gt;"Starfsbundið",Y65="",Y$8="",Y$7=""),"",ROUND(Y65/Y$8*Y$7*KVARDI,2))</f>
        <v/>
      </c>
      <c r="AA65" s="39"/>
      <c r="AB65" s="40" t="str">
        <f aca="false">IF(OR(INDEX(Undirviðmið!$G$6:$G$105,(COLUMN()-7-1)/2+1)&lt;&gt;"Starfsbundið",AA65="",AA$8="",AA$7=""),"",ROUND(AA65/AA$8*AA$7*KVARDI,2))</f>
        <v/>
      </c>
      <c r="AC65" s="39"/>
      <c r="AD65" s="40" t="str">
        <f aca="false">IF(OR(INDEX(Undirviðmið!$G$6:$G$105,(COLUMN()-7-1)/2+1)&lt;&gt;"Starfsbundið",AC65="",AC$8="",AC$7=""),"",ROUND(AC65/AC$8*AC$7*KVARDI,2))</f>
        <v/>
      </c>
      <c r="AE65" s="39"/>
      <c r="AF65" s="40" t="str">
        <f aca="false">IF(OR(INDEX(Undirviðmið!$G$6:$G$105,(COLUMN()-7-1)/2+1)&lt;&gt;"Starfsbundið",AE65="",AE$8="",AE$7=""),"",ROUND(AE65/AE$8*AE$7*KVARDI,2))</f>
        <v/>
      </c>
      <c r="AG65" s="39"/>
      <c r="AH65" s="40" t="str">
        <f aca="false">IF(OR(INDEX(Undirviðmið!$G$6:$G$105,(COLUMN()-7-1)/2+1)&lt;&gt;"Starfsbundið",AG65="",AG$8="",AG$7=""),"",ROUND(AG65/AG$8*AG$7*KVARDI,2))</f>
        <v/>
      </c>
      <c r="AI65" s="39"/>
      <c r="AJ65" s="40" t="str">
        <f aca="false">IF(OR(INDEX(Undirviðmið!$G$6:$G$105,(COLUMN()-7-1)/2+1)&lt;&gt;"Starfsbundið",AI65="",AI$8="",AI$7=""),"",ROUND(AI65/AI$8*AI$7*KVARDI,2))</f>
        <v/>
      </c>
      <c r="AK65" s="39"/>
      <c r="AL65" s="40" t="str">
        <f aca="false">IF(OR(INDEX(Undirviðmið!$G$6:$G$105,(COLUMN()-7-1)/2+1)&lt;&gt;"Starfsbundið",AK65="",AK$8="",AK$7=""),"",ROUND(AK65/AK$8*AK$7*KVARDI,2))</f>
        <v/>
      </c>
      <c r="AM65" s="39"/>
      <c r="AN65" s="40" t="str">
        <f aca="false">IF(OR(INDEX(Undirviðmið!$G$6:$G$105,(COLUMN()-7-1)/2+1)&lt;&gt;"Starfsbundið",AM65="",AM$8="",AM$7=""),"",ROUND(AM65/AM$8*AM$7*KVARDI,2))</f>
        <v/>
      </c>
      <c r="AO65" s="39"/>
      <c r="AP65" s="40" t="str">
        <f aca="false">IF(OR(INDEX(Undirviðmið!$G$6:$G$105,(COLUMN()-7-1)/2+1)&lt;&gt;"Starfsbundið",AO65="",AO$8="",AO$7=""),"",ROUND(AO65/AO$8*AO$7*KVARDI,2))</f>
        <v/>
      </c>
      <c r="AQ65" s="39"/>
      <c r="AR65" s="40" t="str">
        <f aca="false">IF(OR(INDEX(Undirviðmið!$G$6:$G$105,(COLUMN()-7-1)/2+1)&lt;&gt;"Starfsbundið",AQ65="",AQ$8="",AQ$7=""),"",ROUND(AQ65/AQ$8*AQ$7*KVARDI,2))</f>
        <v/>
      </c>
      <c r="AS65" s="39"/>
      <c r="AT65" s="40" t="str">
        <f aca="false">IF(OR(INDEX(Undirviðmið!$G$6:$G$105,(COLUMN()-7-1)/2+1)&lt;&gt;"Starfsbundið",AS65="",AS$8="",AS$7=""),"",ROUND(AS65/AS$8*AS$7*KVARDI,2))</f>
        <v/>
      </c>
      <c r="AU65" s="39"/>
      <c r="AV65" s="40" t="str">
        <f aca="false">IF(OR(INDEX(Undirviðmið!$G$6:$G$105,(COLUMN()-7-1)/2+1)&lt;&gt;"Starfsbundið",AU65="",AU$8="",AU$7=""),"",ROUND(AU65/AU$8*AU$7*KVARDI,2))</f>
        <v/>
      </c>
      <c r="AW65" s="39"/>
      <c r="AX65" s="40" t="str">
        <f aca="false">IF(OR(INDEX(Undirviðmið!$G$6:$G$105,(COLUMN()-7-1)/2+1)&lt;&gt;"Starfsbundið",AW65="",AW$8="",AW$7=""),"",ROUND(AW65/AW$8*AW$7*KVARDI,2))</f>
        <v/>
      </c>
      <c r="AY65" s="39"/>
      <c r="AZ65" s="40" t="str">
        <f aca="false">IF(OR(INDEX(Undirviðmið!$G$6:$G$105,(COLUMN()-7-1)/2+1)&lt;&gt;"Starfsbundið",AY65="",AY$8="",AY$7=""),"",ROUND(AY65/AY$8*AY$7*KVARDI,2))</f>
        <v/>
      </c>
      <c r="BA65" s="39"/>
      <c r="BB65" s="40" t="str">
        <f aca="false">IF(OR(INDEX(Undirviðmið!$G$6:$G$105,(COLUMN()-7-1)/2+1)&lt;&gt;"Starfsbundið",BA65="",BA$8="",BA$7=""),"",ROUND(BA65/BA$8*BA$7*KVARDI,2))</f>
        <v/>
      </c>
      <c r="BC65" s="39"/>
      <c r="BD65" s="40" t="str">
        <f aca="false">IF(OR(INDEX(Undirviðmið!$G$6:$G$105,(COLUMN()-7-1)/2+1)&lt;&gt;"Starfsbundið",BC65="",BC$8="",BC$7=""),"",ROUND(BC65/BC$8*BC$7*KVARDI,2))</f>
        <v/>
      </c>
      <c r="BE65" s="39"/>
      <c r="BF65" s="40" t="str">
        <f aca="false">IF(OR(INDEX(Undirviðmið!$G$6:$G$105,(COLUMN()-7-1)/2+1)&lt;&gt;"Starfsbundið",BE65="",BE$8="",BE$7=""),"",ROUND(BE65/BE$8*BE$7*KVARDI,2))</f>
        <v/>
      </c>
      <c r="BG65" s="39"/>
      <c r="BH65" s="40" t="str">
        <f aca="false">IF(OR(INDEX(Undirviðmið!$G$6:$G$105,(COLUMN()-7-1)/2+1)&lt;&gt;"Starfsbundið",BG65="",BG$8="",BG$7=""),"",ROUND(BG65/BG$8*BG$7*KVARDI,2))</f>
        <v/>
      </c>
      <c r="BI65" s="39"/>
      <c r="BJ65" s="40" t="str">
        <f aca="false">IF(OR(INDEX(Undirviðmið!$G$6:$G$105,(COLUMN()-7-1)/2+1)&lt;&gt;"Starfsbundið",BI65="",BI$8="",BI$7=""),"",ROUND(BI65/BI$8*BI$7*KVARDI,2))</f>
        <v/>
      </c>
      <c r="BK65" s="39"/>
      <c r="BL65" s="40" t="str">
        <f aca="false">IF(OR(INDEX(Undirviðmið!$G$6:$G$105,(COLUMN()-7-1)/2+1)&lt;&gt;"Starfsbundið",BK65="",BK$8="",BK$7=""),"",ROUND(BK65/BK$8*BK$7*KVARDI,2))</f>
        <v/>
      </c>
      <c r="BM65" s="39"/>
      <c r="BN65" s="40" t="str">
        <f aca="false">IF(OR(INDEX(Undirviðmið!$G$6:$G$105,(COLUMN()-7-1)/2+1)&lt;&gt;"Starfsbundið",BM65="",BM$8="",BM$7=""),"",ROUND(BM65/BM$8*BM$7*KVARDI,2))</f>
        <v/>
      </c>
      <c r="BO65" s="39"/>
      <c r="BP65" s="40" t="str">
        <f aca="false">IF(OR(INDEX(Undirviðmið!$G$6:$G$105,(COLUMN()-7-1)/2+1)&lt;&gt;"Starfsbundið",BO65="",BO$8="",BO$7=""),"",ROUND(BO65/BO$8*BO$7*KVARDI,2))</f>
        <v/>
      </c>
      <c r="BQ65" s="39"/>
      <c r="BR65" s="40" t="str">
        <f aca="false">IF(OR(INDEX(Undirviðmið!$G$6:$G$105,(COLUMN()-7-1)/2+1)&lt;&gt;"Starfsbundið",BQ65="",BQ$8="",BQ$7=""),"",ROUND(BQ65/BQ$8*BQ$7*KVARDI,2))</f>
        <v/>
      </c>
      <c r="BS65" s="39"/>
      <c r="BT65" s="40" t="str">
        <f aca="false">IF(OR(INDEX(Undirviðmið!$G$6:$G$105,(COLUMN()-7-1)/2+1)&lt;&gt;"Starfsbundið",BS65="",BS$8="",BS$7=""),"",ROUND(BS65/BS$8*BS$7*KVARDI,2))</f>
        <v/>
      </c>
      <c r="BU65" s="39"/>
      <c r="BV65" s="40" t="str">
        <f aca="false">IF(OR(INDEX(Undirviðmið!$G$6:$G$105,(COLUMN()-7-1)/2+1)&lt;&gt;"Starfsbundið",BU65="",BU$8="",BU$7=""),"",ROUND(BU65/BU$8*BU$7*KVARDI,2))</f>
        <v/>
      </c>
      <c r="BW65" s="39"/>
      <c r="BX65" s="40" t="str">
        <f aca="false">IF(OR(INDEX(Undirviðmið!$G$6:$G$105,(COLUMN()-7-1)/2+1)&lt;&gt;"Starfsbundið",BW65="",BW$8="",BW$7=""),"",ROUND(BW65/BW$8*BW$7*KVARDI,2))</f>
        <v/>
      </c>
      <c r="BY65" s="39"/>
      <c r="BZ65" s="40" t="str">
        <f aca="false">IF(OR(INDEX(Undirviðmið!$G$6:$G$105,(COLUMN()-7-1)/2+1)&lt;&gt;"Starfsbundið",BY65="",BY$8="",BY$7=""),"",ROUND(BY65/BY$8*BY$7*KVARDI,2))</f>
        <v/>
      </c>
      <c r="CA65" s="39"/>
      <c r="CB65" s="40" t="str">
        <f aca="false">IF(OR(INDEX(Undirviðmið!$G$6:$G$105,(COLUMN()-7-1)/2+1)&lt;&gt;"Starfsbundið",CA65="",CA$8="",CA$7=""),"",ROUND(CA65/CA$8*CA$7*KVARDI,2))</f>
        <v/>
      </c>
      <c r="CC65" s="39"/>
      <c r="CD65" s="40" t="str">
        <f aca="false">IF(OR(INDEX(Undirviðmið!$G$6:$G$105,(COLUMN()-7-1)/2+1)&lt;&gt;"Starfsbundið",CC65="",CC$8="",CC$7=""),"",ROUND(CC65/CC$8*CC$7*KVARDI,2))</f>
        <v/>
      </c>
      <c r="CE65" s="39"/>
      <c r="CF65" s="40" t="str">
        <f aca="false">IF(OR(INDEX(Undirviðmið!$G$6:$G$105,(COLUMN()-7-1)/2+1)&lt;&gt;"Starfsbundið",CE65="",CE$8="",CE$7=""),"",ROUND(CE65/CE$8*CE$7*KVARDI,2))</f>
        <v/>
      </c>
      <c r="CG65" s="39"/>
      <c r="CH65" s="40" t="str">
        <f aca="false">IF(OR(INDEX(Undirviðmið!$G$6:$G$105,(COLUMN()-7-1)/2+1)&lt;&gt;"Starfsbundið",CG65="",CG$8="",CG$7=""),"",ROUND(CG65/CG$8*CG$7*KVARDI,2))</f>
        <v/>
      </c>
      <c r="CI65" s="39"/>
      <c r="CJ65" s="40" t="str">
        <f aca="false">IF(OR(INDEX(Undirviðmið!$G$6:$G$105,(COLUMN()-7-1)/2+1)&lt;&gt;"Starfsbundið",CI65="",CI$8="",CI$7=""),"",ROUND(CI65/CI$8*CI$7*KVARDI,2))</f>
        <v/>
      </c>
      <c r="CK65" s="39"/>
      <c r="CL65" s="40" t="str">
        <f aca="false">IF(OR(INDEX(Undirviðmið!$G$6:$G$105,(COLUMN()-7-1)/2+1)&lt;&gt;"Starfsbundið",CK65="",CK$8="",CK$7=""),"",ROUND(CK65/CK$8*CK$7*KVARDI,2))</f>
        <v/>
      </c>
      <c r="CM65" s="39"/>
      <c r="CN65" s="40" t="str">
        <f aca="false">IF(OR(INDEX(Undirviðmið!$G$6:$G$105,(COLUMN()-7-1)/2+1)&lt;&gt;"Starfsbundið",CM65="",CM$8="",CM$7=""),"",ROUND(CM65/CM$8*CM$7*KVARDI,2))</f>
        <v/>
      </c>
      <c r="CO65" s="39"/>
      <c r="CP65" s="40" t="str">
        <f aca="false">IF(OR(INDEX(Undirviðmið!$G$6:$G$105,(COLUMN()-7-1)/2+1)&lt;&gt;"Starfsbundið",CO65="",CO$8="",CO$7=""),"",ROUND(CO65/CO$8*CO$7*KVARDI,2))</f>
        <v/>
      </c>
      <c r="CQ65" s="39"/>
      <c r="CR65" s="40" t="str">
        <f aca="false">IF(OR(INDEX(Undirviðmið!$G$6:$G$105,(COLUMN()-7-1)/2+1)&lt;&gt;"Starfsbundið",CQ65="",CQ$8="",CQ$7=""),"",ROUND(CQ65/CQ$8*CQ$7*KVARDI,2))</f>
        <v/>
      </c>
      <c r="CS65" s="39"/>
      <c r="CT65" s="40" t="str">
        <f aca="false">IF(OR(INDEX(Undirviðmið!$G$6:$G$105,(COLUMN()-7-1)/2+1)&lt;&gt;"Starfsbundið",CS65="",CS$8="",CS$7=""),"",ROUND(CS65/CS$8*CS$7*KVARDI,2))</f>
        <v/>
      </c>
      <c r="CU65" s="39"/>
      <c r="CV65" s="40" t="str">
        <f aca="false">IF(OR(INDEX(Undirviðmið!$G$6:$G$105,(COLUMN()-7-1)/2+1)&lt;&gt;"Starfsbundið",CU65="",CU$8="",CU$7=""),"",ROUND(CU65/CU$8*CU$7*KVARDI,2))</f>
        <v/>
      </c>
      <c r="CW65" s="39"/>
      <c r="CX65" s="40" t="str">
        <f aca="false">IF(OR(INDEX(Undirviðmið!$G$6:$G$105,(COLUMN()-7-1)/2+1)&lt;&gt;"Starfsbundið",CW65="",CW$8="",CW$7=""),"",ROUND(CW65/CW$8*CW$7*KVARDI,2))</f>
        <v/>
      </c>
      <c r="CY65" s="39"/>
      <c r="CZ65" s="40" t="str">
        <f aca="false">IF(OR(INDEX(Undirviðmið!$G$6:$G$105,(COLUMN()-7-1)/2+1)&lt;&gt;"Starfsbundið",CY65="",CY$8="",CY$7=""),"",ROUND(CY65/CY$8*CY$7*KVARDI,2))</f>
        <v/>
      </c>
      <c r="DA65" s="39"/>
      <c r="DB65" s="40" t="str">
        <f aca="false">IF(OR(INDEX(Undirviðmið!$G$6:$G$105,(COLUMN()-7-1)/2+1)&lt;&gt;"Starfsbundið",DA65="",DA$8="",DA$7=""),"",ROUND(DA65/DA$8*DA$7*KVARDI,2))</f>
        <v/>
      </c>
      <c r="DC65" s="39"/>
      <c r="DD65" s="40" t="str">
        <f aca="false">IF(OR(INDEX(Undirviðmið!$G$6:$G$105,(COLUMN()-7-1)/2+1)&lt;&gt;"Starfsbundið",DC65="",DC$8="",DC$7=""),"",ROUND(DC65/DC$8*DC$7*KVARDI,2))</f>
        <v/>
      </c>
      <c r="DE65" s="39"/>
      <c r="DF65" s="40" t="str">
        <f aca="false">IF(OR(INDEX(Undirviðmið!$G$6:$G$105,(COLUMN()-7-1)/2+1)&lt;&gt;"Starfsbundið",DE65="",DE$8="",DE$7=""),"",ROUND(DE65/DE$8*DE$7*KVARDI,2))</f>
        <v/>
      </c>
      <c r="DG65" s="39"/>
      <c r="DH65" s="40" t="str">
        <f aca="false">IF(OR(INDEX(Undirviðmið!$G$6:$G$105,(COLUMN()-7-1)/2+1)&lt;&gt;"Starfsbundið",DG65="",DG$8="",DG$7=""),"",ROUND(DG65/DG$8*DG$7*KVARDI,2))</f>
        <v/>
      </c>
      <c r="DI65" s="39"/>
      <c r="DJ65" s="40" t="str">
        <f aca="false">IF(OR(INDEX(Undirviðmið!$G$6:$G$105,(COLUMN()-7-1)/2+1)&lt;&gt;"Starfsbundið",DI65="",DI$8="",DI$7=""),"",ROUND(DI65/DI$8*DI$7*KVARDI,2))</f>
        <v/>
      </c>
      <c r="DK65" s="39"/>
      <c r="DL65" s="40" t="str">
        <f aca="false">IF(OR(INDEX(Undirviðmið!$G$6:$G$105,(COLUMN()-7-1)/2+1)&lt;&gt;"Starfsbundið",DK65="",DK$8="",DK$7=""),"",ROUND(DK65/DK$8*DK$7*KVARDI,2))</f>
        <v/>
      </c>
      <c r="DM65" s="39"/>
      <c r="DN65" s="40" t="str">
        <f aca="false">IF(OR(INDEX(Undirviðmið!$G$6:$G$105,(COLUMN()-7-1)/2+1)&lt;&gt;"Starfsbundið",DM65="",DM$8="",DM$7=""),"",ROUND(DM65/DM$8*DM$7*KVARDI,2))</f>
        <v/>
      </c>
      <c r="DO65" s="39"/>
      <c r="DP65" s="40" t="str">
        <f aca="false">IF(OR(INDEX(Undirviðmið!$G$6:$G$105,(COLUMN()-7-1)/2+1)&lt;&gt;"Starfsbundið",DO65="",DO$8="",DO$7=""),"",ROUND(DO65/DO$8*DO$7*KVARDI,2))</f>
        <v/>
      </c>
      <c r="DQ65" s="39"/>
      <c r="DR65" s="40" t="str">
        <f aca="false">IF(OR(INDEX(Undirviðmið!$G$6:$G$105,(COLUMN()-7-1)/2+1)&lt;&gt;"Starfsbundið",DQ65="",DQ$8="",DQ$7=""),"",ROUND(DQ65/DQ$8*DQ$7*KVARDI,2))</f>
        <v/>
      </c>
      <c r="DS65" s="39"/>
      <c r="DT65" s="40" t="str">
        <f aca="false">IF(OR(INDEX(Undirviðmið!$G$6:$G$105,(COLUMN()-7-1)/2+1)&lt;&gt;"Starfsbundið",DS65="",DS$8="",DS$7=""),"",ROUND(DS65/DS$8*DS$7*KVARDI,2))</f>
        <v/>
      </c>
      <c r="DU65" s="39"/>
      <c r="DV65" s="40" t="str">
        <f aca="false">IF(OR(INDEX(Undirviðmið!$G$6:$G$105,(COLUMN()-7-1)/2+1)&lt;&gt;"Starfsbundið",DU65="",DU$8="",DU$7=""),"",ROUND(DU65/DU$8*DU$7*KVARDI,2))</f>
        <v/>
      </c>
      <c r="DW65" s="39"/>
      <c r="DX65" s="40" t="str">
        <f aca="false">IF(OR(INDEX(Undirviðmið!$G$6:$G$105,(COLUMN()-7-1)/2+1)&lt;&gt;"Starfsbundið",DW65="",DW$8="",DW$7=""),"",ROUND(DW65/DW$8*DW$7*KVARDI,2))</f>
        <v/>
      </c>
      <c r="DY65" s="39"/>
      <c r="DZ65" s="40" t="str">
        <f aca="false">IF(OR(INDEX(Undirviðmið!$G$6:$G$105,(COLUMN()-7-1)/2+1)&lt;&gt;"Starfsbundið",DY65="",DY$8="",DY$7=""),"",ROUND(DY65/DY$8*DY$7*KVARDI,2))</f>
        <v/>
      </c>
      <c r="EA65" s="39"/>
      <c r="EB65" s="40" t="str">
        <f aca="false">IF(OR(INDEX(Undirviðmið!$G$6:$G$105,(COLUMN()-7-1)/2+1)&lt;&gt;"Starfsbundið",EA65="",EA$8="",EA$7=""),"",ROUND(EA65/EA$8*EA$7*KVARDI,2))</f>
        <v/>
      </c>
      <c r="EC65" s="39"/>
      <c r="ED65" s="40" t="str">
        <f aca="false">IF(OR(INDEX(Undirviðmið!$G$6:$G$105,(COLUMN()-7-1)/2+1)&lt;&gt;"Starfsbundið",EC65="",EC$8="",EC$7=""),"",ROUND(EC65/EC$8*EC$7*KVARDI,2))</f>
        <v/>
      </c>
      <c r="EE65" s="39"/>
      <c r="EF65" s="40" t="str">
        <f aca="false">IF(OR(INDEX(Undirviðmið!$G$6:$G$105,(COLUMN()-7-1)/2+1)&lt;&gt;"Starfsbundið",EE65="",EE$8="",EE$7=""),"",ROUND(EE65/EE$8*EE$7*KVARDI,2))</f>
        <v/>
      </c>
      <c r="EG65" s="39"/>
      <c r="EH65" s="40" t="str">
        <f aca="false">IF(OR(INDEX(Undirviðmið!$G$6:$G$105,(COLUMN()-7-1)/2+1)&lt;&gt;"Starfsbundið",EG65="",EG$8="",EG$7=""),"",ROUND(EG65/EG$8*EG$7*KVARDI,2))</f>
        <v/>
      </c>
      <c r="EI65" s="39"/>
      <c r="EJ65" s="40" t="str">
        <f aca="false">IF(OR(INDEX(Undirviðmið!$G$6:$G$105,(COLUMN()-7-1)/2+1)&lt;&gt;"Starfsbundið",EI65="",EI$8="",EI$7=""),"",ROUND(EI65/EI$8*EI$7*KVARDI,2))</f>
        <v/>
      </c>
      <c r="EK65" s="39"/>
      <c r="EL65" s="40" t="str">
        <f aca="false">IF(OR(INDEX(Undirviðmið!$G$6:$G$105,(COLUMN()-7-1)/2+1)&lt;&gt;"Starfsbundið",EK65="",EK$8="",EK$7=""),"",ROUND(EK65/EK$8*EK$7*KVARDI,2))</f>
        <v/>
      </c>
      <c r="EM65" s="39"/>
      <c r="EN65" s="40" t="str">
        <f aca="false">IF(OR(INDEX(Undirviðmið!$G$6:$G$105,(COLUMN()-7-1)/2+1)&lt;&gt;"Starfsbundið",EM65="",EM$8="",EM$7=""),"",ROUND(EM65/EM$8*EM$7*KVARDI,2))</f>
        <v/>
      </c>
      <c r="EO65" s="39"/>
      <c r="EP65" s="40" t="str">
        <f aca="false">IF(OR(INDEX(Undirviðmið!$G$6:$G$105,(COLUMN()-7-1)/2+1)&lt;&gt;"Starfsbundið",EO65="",EO$8="",EO$7=""),"",ROUND(EO65/EO$8*EO$7*KVARDI,2))</f>
        <v/>
      </c>
      <c r="EQ65" s="39"/>
      <c r="ER65" s="40" t="str">
        <f aca="false">IF(OR(INDEX(Undirviðmið!$G$6:$G$105,(COLUMN()-7-1)/2+1)&lt;&gt;"Starfsbundið",EQ65="",EQ$8="",EQ$7=""),"",ROUND(EQ65/EQ$8*EQ$7*KVARDI,2))</f>
        <v/>
      </c>
      <c r="ES65" s="39"/>
      <c r="ET65" s="40" t="str">
        <f aca="false">IF(OR(INDEX(Undirviðmið!$G$6:$G$105,(COLUMN()-7-1)/2+1)&lt;&gt;"Starfsbundið",ES65="",ES$8="",ES$7=""),"",ROUND(ES65/ES$8*ES$7*KVARDI,2))</f>
        <v/>
      </c>
      <c r="EU65" s="39"/>
      <c r="EV65" s="40" t="str">
        <f aca="false">IF(OR(INDEX(Undirviðmið!$G$6:$G$105,(COLUMN()-7-1)/2+1)&lt;&gt;"Starfsbundið",EU65="",EU$8="",EU$7=""),"",ROUND(EU65/EU$8*EU$7*KVARDI,2))</f>
        <v/>
      </c>
      <c r="EW65" s="39"/>
      <c r="EX65" s="40" t="str">
        <f aca="false">IF(OR(INDEX(Undirviðmið!$G$6:$G$105,(COLUMN()-7-1)/2+1)&lt;&gt;"Starfsbundið",EW65="",EW$8="",EW$7=""),"",ROUND(EW65/EW$8*EW$7*KVARDI,2))</f>
        <v/>
      </c>
      <c r="EY65" s="39"/>
      <c r="EZ65" s="40" t="str">
        <f aca="false">IF(OR(INDEX(Undirviðmið!$G$6:$G$105,(COLUMN()-7-1)/2+1)&lt;&gt;"Starfsbundið",EY65="",EY$8="",EY$7=""),"",ROUND(EY65/EY$8*EY$7*KVARDI,2))</f>
        <v/>
      </c>
      <c r="FA65" s="39"/>
      <c r="FB65" s="40" t="str">
        <f aca="false">IF(OR(INDEX(Undirviðmið!$G$6:$G$105,(COLUMN()-7-1)/2+1)&lt;&gt;"Starfsbundið",FA65="",FA$8="",FA$7=""),"",ROUND(FA65/FA$8*FA$7*KVARDI,2))</f>
        <v/>
      </c>
      <c r="FC65" s="39"/>
      <c r="FD65" s="40" t="str">
        <f aca="false">IF(OR(INDEX(Undirviðmið!$G$6:$G$105,(COLUMN()-7-1)/2+1)&lt;&gt;"Starfsbundið",FC65="",FC$8="",FC$7=""),"",ROUND(FC65/FC$8*FC$7*KVARDI,2))</f>
        <v/>
      </c>
      <c r="FE65" s="39"/>
      <c r="FF65" s="40" t="str">
        <f aca="false">IF(OR(INDEX(Undirviðmið!$G$6:$G$105,(COLUMN()-7-1)/2+1)&lt;&gt;"Starfsbundið",FE65="",FE$8="",FE$7=""),"",ROUND(FE65/FE$8*FE$7*KVARDI,2))</f>
        <v/>
      </c>
      <c r="FG65" s="39"/>
      <c r="FH65" s="40" t="str">
        <f aca="false">IF(OR(INDEX(Undirviðmið!$G$6:$G$105,(COLUMN()-7-1)/2+1)&lt;&gt;"Starfsbundið",FG65="",FG$8="",FG$7=""),"",ROUND(FG65/FG$8*FG$7*KVARDI,2))</f>
        <v/>
      </c>
      <c r="FI65" s="39"/>
      <c r="FJ65" s="40" t="str">
        <f aca="false">IF(OR(INDEX(Undirviðmið!$G$6:$G$105,(COLUMN()-7-1)/2+1)&lt;&gt;"Starfsbundið",FI65="",FI$8="",FI$7=""),"",ROUND(FI65/FI$8*FI$7*KVARDI,2))</f>
        <v/>
      </c>
      <c r="FK65" s="39"/>
      <c r="FL65" s="40" t="str">
        <f aca="false">IF(OR(INDEX(Undirviðmið!$G$6:$G$105,(COLUMN()-7-1)/2+1)&lt;&gt;"Starfsbundið",FK65="",FK$8="",FK$7=""),"",ROUND(FK65/FK$8*FK$7*KVARDI,2))</f>
        <v/>
      </c>
      <c r="FM65" s="39"/>
      <c r="FN65" s="40" t="str">
        <f aca="false">IF(OR(INDEX(Undirviðmið!$G$6:$G$105,(COLUMN()-7-1)/2+1)&lt;&gt;"Starfsbundið",FM65="",FM$8="",FM$7=""),"",ROUND(FM65/FM$8*FM$7*KVARDI,2))</f>
        <v/>
      </c>
      <c r="FO65" s="39"/>
      <c r="FP65" s="40" t="str">
        <f aca="false">IF(OR(INDEX(Undirviðmið!$G$6:$G$105,(COLUMN()-7-1)/2+1)&lt;&gt;"Starfsbundið",FO65="",FO$8="",FO$7=""),"",ROUND(FO65/FO$8*FO$7*KVARDI,2))</f>
        <v/>
      </c>
      <c r="FQ65" s="39"/>
      <c r="FR65" s="40" t="str">
        <f aca="false">IF(OR(INDEX(Undirviðmið!$G$6:$G$105,(COLUMN()-7-1)/2+1)&lt;&gt;"Starfsbundið",FQ65="",FQ$8="",FQ$7=""),"",ROUND(FQ65/FQ$8*FQ$7*KVARDI,2))</f>
        <v/>
      </c>
      <c r="FS65" s="39"/>
      <c r="FT65" s="40" t="str">
        <f aca="false">IF(OR(INDEX(Undirviðmið!$G$6:$G$105,(COLUMN()-7-1)/2+1)&lt;&gt;"Starfsbundið",FS65="",FS$8="",FS$7=""),"",ROUND(FS65/FS$8*FS$7*KVARDI,2))</f>
        <v/>
      </c>
      <c r="FU65" s="39"/>
      <c r="FV65" s="40" t="str">
        <f aca="false">IF(OR(INDEX(Undirviðmið!$G$6:$G$105,(COLUMN()-7-1)/2+1)&lt;&gt;"Starfsbundið",FU65="",FU$8="",FU$7=""),"",ROUND(FU65/FU$8*FU$7*KVARDI,2))</f>
        <v/>
      </c>
      <c r="FW65" s="39"/>
      <c r="FX65" s="40" t="str">
        <f aca="false">IF(OR(INDEX(Undirviðmið!$G$6:$G$105,(COLUMN()-7-1)/2+1)&lt;&gt;"Starfsbundið",FW65="",FW$8="",FW$7=""),"",ROUND(FW65/FW$8*FW$7*KVARDI,2))</f>
        <v/>
      </c>
      <c r="FY65" s="39"/>
      <c r="FZ65" s="40" t="str">
        <f aca="false">IF(OR(INDEX(Undirviðmið!$G$6:$G$105,(COLUMN()-7-1)/2+1)&lt;&gt;"Starfsbundið",FY65="",FY$8="",FY$7=""),"",ROUND(FY65/FY$8*FY$7*KVARDI,2))</f>
        <v/>
      </c>
      <c r="GA65" s="39"/>
      <c r="GB65" s="40" t="str">
        <f aca="false">IF(OR(INDEX(Undirviðmið!$G$6:$G$105,(COLUMN()-7-1)/2+1)&lt;&gt;"Starfsbundið",GA65="",GA$8="",GA$7=""),"",ROUND(GA65/GA$8*GA$7*KVARDI,2))</f>
        <v/>
      </c>
      <c r="GC65" s="39"/>
      <c r="GD65" s="40" t="str">
        <f aca="false">IF(OR(INDEX(Undirviðmið!$G$6:$G$105,(COLUMN()-7-1)/2+1)&lt;&gt;"Starfsbundið",GC65="",GC$8="",GC$7=""),"",ROUND(GC65/GC$8*GC$7*KVARDI,2))</f>
        <v/>
      </c>
      <c r="GE65" s="39"/>
      <c r="GF65" s="40" t="str">
        <f aca="false">IF(OR(INDEX(Undirviðmið!$G$6:$G$105,(COLUMN()-7-1)/2+1)&lt;&gt;"Starfsbundið",GE65="",GE$8="",GE$7=""),"",ROUND(GE65/GE$8*GE$7*KVARDI,2))</f>
        <v/>
      </c>
      <c r="GG65" s="39"/>
      <c r="GH65" s="40" t="str">
        <f aca="false">IF(OR(INDEX(Undirviðmið!$G$6:$G$105,(COLUMN()-7-1)/2+1)&lt;&gt;"Starfsbundið",GG65="",GG$8="",GG$7=""),"",ROUND(GG65/GG$8*GG$7*KVARDI,2))</f>
        <v/>
      </c>
      <c r="GI65" s="39"/>
      <c r="GJ65" s="40" t="str">
        <f aca="false">IF(OR(INDEX(Undirviðmið!$G$6:$G$105,(COLUMN()-7-1)/2+1)&lt;&gt;"Starfsbundið",GI65="",GI$8="",GI$7=""),"",ROUND(GI65/GI$8*GI$7*KVARDI,2))</f>
        <v/>
      </c>
      <c r="GK65" s="39"/>
      <c r="GL65" s="40" t="str">
        <f aca="false">IF(OR(INDEX(Undirviðmið!$G$6:$G$105,(COLUMN()-7-1)/2+1)&lt;&gt;"Starfsbundið",GK65="",GK$8="",GK$7=""),"",ROUND(GK65/GK$8*GK$7*KVARDI,2))</f>
        <v/>
      </c>
      <c r="GM65" s="39"/>
      <c r="GN65" s="40" t="str">
        <f aca="false">IF(OR(INDEX(Undirviðmið!$G$6:$G$105,(COLUMN()-7-1)/2+1)&lt;&gt;"Starfsbundið",GM65="",GM$8="",GM$7=""),"",ROUND(GM65/GM$8*GM$7*KVARDI,2))</f>
        <v/>
      </c>
      <c r="GO65" s="39"/>
      <c r="GP65" s="40" t="str">
        <f aca="false">IF(OR(INDEX(Undirviðmið!$G$6:$G$105,(COLUMN()-7-1)/2+1)&lt;&gt;"Starfsbundið",GO65="",GO$8="",GO$7=""),"",ROUND(GO65/GO$8*GO$7*KVARDI,2))</f>
        <v/>
      </c>
      <c r="GQ65" s="39"/>
      <c r="GR65" s="40" t="str">
        <f aca="false">IF(OR(INDEX(Undirviðmið!$G$6:$G$105,(COLUMN()-7-1)/2+1)&lt;&gt;"Starfsbundið",GQ65="",GQ$8="",GQ$7=""),"",ROUND(GQ65/GQ$8*GQ$7*KVARDI,2))</f>
        <v/>
      </c>
      <c r="GS65" s="39"/>
      <c r="GT65" s="40" t="str">
        <f aca="false">IF(OR(INDEX(Undirviðmið!$G$6:$G$105,(COLUMN()-7-1)/2+1)&lt;&gt;"Starfsbundið",GS65="",GS$8="",GS$7=""),"",ROUND(GS65/GS$8*GS$7*KVARDI,2))</f>
        <v/>
      </c>
      <c r="GU65" s="39"/>
      <c r="GV65" s="40" t="str">
        <f aca="false">IF(OR(INDEX(Undirviðmið!$G$6:$G$105,(COLUMN()-7-1)/2+1)&lt;&gt;"Starfsbundið",GU65="",GU$8="",GU$7=""),"",ROUND(GU65/GU$8*GU$7*KVARDI,2))</f>
        <v/>
      </c>
      <c r="GW65" s="39"/>
      <c r="GX65" s="40" t="str">
        <f aca="false">IF(OR(INDEX(Undirviðmið!$G$6:$G$105,(COLUMN()-7-1)/2+1)&lt;&gt;"Starfsbundið",GW65="",GW$8="",GW$7=""),"",ROUND(GW65/GW$8*GW$7*KVARDI,2))</f>
        <v/>
      </c>
      <c r="GZ65" s="20"/>
    </row>
    <row r="66" customFormat="false" ht="15" hidden="true" customHeight="true" outlineLevel="1" collapsed="false">
      <c r="B66" s="37" t="str">
        <f aca="false" t="array" ref="B66:B66">IFERROR(INDEX(Starfsmenn!$C$6:$C$10005,MATCH(0,COUNTIF($B$11:B65,Starfsmenn!$C$6:$C$10005)+(Starfsmenn!$C$6:$C$10005=""),0)),"")</f>
        <v/>
      </c>
      <c r="C66" s="38" t="n">
        <f aca="false">IFERROR(SUMIF($G$10:$GX$10,"Stig",$G66:$GX66),0)</f>
        <v>0</v>
      </c>
      <c r="G66" s="39"/>
      <c r="H66" s="40" t="str">
        <f aca="false">IF(OR(INDEX(Undirviðmið!$G$6:$G$105,(COLUMN()-7-1)/2+1)&lt;&gt;"Starfsbundið",G66="",G$8="",G$7=""),"",ROUND(G66/G$8*G$7*KVARDI,2))</f>
        <v/>
      </c>
      <c r="I66" s="39"/>
      <c r="J66" s="40" t="str">
        <f aca="false">IF(OR(INDEX(Undirviðmið!$G$6:$G$105,(COLUMN()-7-1)/2+1)&lt;&gt;"Starfsbundið",I66="",I$8="",I$7=""),"",ROUND(I66/I$8*I$7*KVARDI,2))</f>
        <v/>
      </c>
      <c r="K66" s="39"/>
      <c r="L66" s="40" t="str">
        <f aca="false">IF(OR(INDEX(Undirviðmið!$G$6:$G$105,(COLUMN()-7-1)/2+1)&lt;&gt;"Starfsbundið",K66="",K$8="",K$7=""),"",ROUND(K66/K$8*K$7*KVARDI,2))</f>
        <v/>
      </c>
      <c r="M66" s="39"/>
      <c r="N66" s="40" t="str">
        <f aca="false">IF(OR(INDEX(Undirviðmið!$G$6:$G$105,(COLUMN()-7-1)/2+1)&lt;&gt;"Starfsbundið",M66="",M$8="",M$7=""),"",ROUND(M66/M$8*M$7*KVARDI,2))</f>
        <v/>
      </c>
      <c r="O66" s="39"/>
      <c r="P66" s="40" t="str">
        <f aca="false">IF(OR(INDEX(Undirviðmið!$G$6:$G$105,(COLUMN()-7-1)/2+1)&lt;&gt;"Starfsbundið",O66="",O$8="",O$7=""),"",ROUND(O66/O$8*O$7*KVARDI,2))</f>
        <v/>
      </c>
      <c r="Q66" s="39"/>
      <c r="R66" s="40" t="str">
        <f aca="false">IF(OR(INDEX(Undirviðmið!$G$6:$G$105,(COLUMN()-7-1)/2+1)&lt;&gt;"Starfsbundið",Q66="",Q$8="",Q$7=""),"",ROUND(Q66/Q$8*Q$7*KVARDI,2))</f>
        <v/>
      </c>
      <c r="S66" s="39"/>
      <c r="T66" s="40" t="str">
        <f aca="false">IF(OR(INDEX(Undirviðmið!$G$6:$G$105,(COLUMN()-7-1)/2+1)&lt;&gt;"Starfsbundið",S66="",S$8="",S$7=""),"",ROUND(S66/S$8*S$7*KVARDI,2))</f>
        <v/>
      </c>
      <c r="U66" s="39"/>
      <c r="V66" s="40" t="str">
        <f aca="false">IF(OR(INDEX(Undirviðmið!$G$6:$G$105,(COLUMN()-7-1)/2+1)&lt;&gt;"Starfsbundið",U66="",U$8="",U$7=""),"",ROUND(U66/U$8*U$7*KVARDI,2))</f>
        <v/>
      </c>
      <c r="W66" s="39"/>
      <c r="X66" s="40" t="str">
        <f aca="false">IF(OR(INDEX(Undirviðmið!$G$6:$G$105,(COLUMN()-7-1)/2+1)&lt;&gt;"Starfsbundið",W66="",W$8="",W$7=""),"",ROUND(W66/W$8*W$7*KVARDI,2))</f>
        <v/>
      </c>
      <c r="Y66" s="39"/>
      <c r="Z66" s="40" t="str">
        <f aca="false">IF(OR(INDEX(Undirviðmið!$G$6:$G$105,(COLUMN()-7-1)/2+1)&lt;&gt;"Starfsbundið",Y66="",Y$8="",Y$7=""),"",ROUND(Y66/Y$8*Y$7*KVARDI,2))</f>
        <v/>
      </c>
      <c r="AA66" s="39"/>
      <c r="AB66" s="40" t="str">
        <f aca="false">IF(OR(INDEX(Undirviðmið!$G$6:$G$105,(COLUMN()-7-1)/2+1)&lt;&gt;"Starfsbundið",AA66="",AA$8="",AA$7=""),"",ROUND(AA66/AA$8*AA$7*KVARDI,2))</f>
        <v/>
      </c>
      <c r="AC66" s="39"/>
      <c r="AD66" s="40" t="str">
        <f aca="false">IF(OR(INDEX(Undirviðmið!$G$6:$G$105,(COLUMN()-7-1)/2+1)&lt;&gt;"Starfsbundið",AC66="",AC$8="",AC$7=""),"",ROUND(AC66/AC$8*AC$7*KVARDI,2))</f>
        <v/>
      </c>
      <c r="AE66" s="39"/>
      <c r="AF66" s="40" t="str">
        <f aca="false">IF(OR(INDEX(Undirviðmið!$G$6:$G$105,(COLUMN()-7-1)/2+1)&lt;&gt;"Starfsbundið",AE66="",AE$8="",AE$7=""),"",ROUND(AE66/AE$8*AE$7*KVARDI,2))</f>
        <v/>
      </c>
      <c r="AG66" s="39"/>
      <c r="AH66" s="40" t="str">
        <f aca="false">IF(OR(INDEX(Undirviðmið!$G$6:$G$105,(COLUMN()-7-1)/2+1)&lt;&gt;"Starfsbundið",AG66="",AG$8="",AG$7=""),"",ROUND(AG66/AG$8*AG$7*KVARDI,2))</f>
        <v/>
      </c>
      <c r="AI66" s="39"/>
      <c r="AJ66" s="40" t="str">
        <f aca="false">IF(OR(INDEX(Undirviðmið!$G$6:$G$105,(COLUMN()-7-1)/2+1)&lt;&gt;"Starfsbundið",AI66="",AI$8="",AI$7=""),"",ROUND(AI66/AI$8*AI$7*KVARDI,2))</f>
        <v/>
      </c>
      <c r="AK66" s="39"/>
      <c r="AL66" s="40" t="str">
        <f aca="false">IF(OR(INDEX(Undirviðmið!$G$6:$G$105,(COLUMN()-7-1)/2+1)&lt;&gt;"Starfsbundið",AK66="",AK$8="",AK$7=""),"",ROUND(AK66/AK$8*AK$7*KVARDI,2))</f>
        <v/>
      </c>
      <c r="AM66" s="39"/>
      <c r="AN66" s="40" t="str">
        <f aca="false">IF(OR(INDEX(Undirviðmið!$G$6:$G$105,(COLUMN()-7-1)/2+1)&lt;&gt;"Starfsbundið",AM66="",AM$8="",AM$7=""),"",ROUND(AM66/AM$8*AM$7*KVARDI,2))</f>
        <v/>
      </c>
      <c r="AO66" s="39"/>
      <c r="AP66" s="40" t="str">
        <f aca="false">IF(OR(INDEX(Undirviðmið!$G$6:$G$105,(COLUMN()-7-1)/2+1)&lt;&gt;"Starfsbundið",AO66="",AO$8="",AO$7=""),"",ROUND(AO66/AO$8*AO$7*KVARDI,2))</f>
        <v/>
      </c>
      <c r="AQ66" s="39"/>
      <c r="AR66" s="40" t="str">
        <f aca="false">IF(OR(INDEX(Undirviðmið!$G$6:$G$105,(COLUMN()-7-1)/2+1)&lt;&gt;"Starfsbundið",AQ66="",AQ$8="",AQ$7=""),"",ROUND(AQ66/AQ$8*AQ$7*KVARDI,2))</f>
        <v/>
      </c>
      <c r="AS66" s="39"/>
      <c r="AT66" s="40" t="str">
        <f aca="false">IF(OR(INDEX(Undirviðmið!$G$6:$G$105,(COLUMN()-7-1)/2+1)&lt;&gt;"Starfsbundið",AS66="",AS$8="",AS$7=""),"",ROUND(AS66/AS$8*AS$7*KVARDI,2))</f>
        <v/>
      </c>
      <c r="AU66" s="39"/>
      <c r="AV66" s="40" t="str">
        <f aca="false">IF(OR(INDEX(Undirviðmið!$G$6:$G$105,(COLUMN()-7-1)/2+1)&lt;&gt;"Starfsbundið",AU66="",AU$8="",AU$7=""),"",ROUND(AU66/AU$8*AU$7*KVARDI,2))</f>
        <v/>
      </c>
      <c r="AW66" s="39"/>
      <c r="AX66" s="40" t="str">
        <f aca="false">IF(OR(INDEX(Undirviðmið!$G$6:$G$105,(COLUMN()-7-1)/2+1)&lt;&gt;"Starfsbundið",AW66="",AW$8="",AW$7=""),"",ROUND(AW66/AW$8*AW$7*KVARDI,2))</f>
        <v/>
      </c>
      <c r="AY66" s="39"/>
      <c r="AZ66" s="40" t="str">
        <f aca="false">IF(OR(INDEX(Undirviðmið!$G$6:$G$105,(COLUMN()-7-1)/2+1)&lt;&gt;"Starfsbundið",AY66="",AY$8="",AY$7=""),"",ROUND(AY66/AY$8*AY$7*KVARDI,2))</f>
        <v/>
      </c>
      <c r="BA66" s="39"/>
      <c r="BB66" s="40" t="str">
        <f aca="false">IF(OR(INDEX(Undirviðmið!$G$6:$G$105,(COLUMN()-7-1)/2+1)&lt;&gt;"Starfsbundið",BA66="",BA$8="",BA$7=""),"",ROUND(BA66/BA$8*BA$7*KVARDI,2))</f>
        <v/>
      </c>
      <c r="BC66" s="39"/>
      <c r="BD66" s="40" t="str">
        <f aca="false">IF(OR(INDEX(Undirviðmið!$G$6:$G$105,(COLUMN()-7-1)/2+1)&lt;&gt;"Starfsbundið",BC66="",BC$8="",BC$7=""),"",ROUND(BC66/BC$8*BC$7*KVARDI,2))</f>
        <v/>
      </c>
      <c r="BE66" s="39"/>
      <c r="BF66" s="40" t="str">
        <f aca="false">IF(OR(INDEX(Undirviðmið!$G$6:$G$105,(COLUMN()-7-1)/2+1)&lt;&gt;"Starfsbundið",BE66="",BE$8="",BE$7=""),"",ROUND(BE66/BE$8*BE$7*KVARDI,2))</f>
        <v/>
      </c>
      <c r="BG66" s="39"/>
      <c r="BH66" s="40" t="str">
        <f aca="false">IF(OR(INDEX(Undirviðmið!$G$6:$G$105,(COLUMN()-7-1)/2+1)&lt;&gt;"Starfsbundið",BG66="",BG$8="",BG$7=""),"",ROUND(BG66/BG$8*BG$7*KVARDI,2))</f>
        <v/>
      </c>
      <c r="BI66" s="39"/>
      <c r="BJ66" s="40" t="str">
        <f aca="false">IF(OR(INDEX(Undirviðmið!$G$6:$G$105,(COLUMN()-7-1)/2+1)&lt;&gt;"Starfsbundið",BI66="",BI$8="",BI$7=""),"",ROUND(BI66/BI$8*BI$7*KVARDI,2))</f>
        <v/>
      </c>
      <c r="BK66" s="39"/>
      <c r="BL66" s="40" t="str">
        <f aca="false">IF(OR(INDEX(Undirviðmið!$G$6:$G$105,(COLUMN()-7-1)/2+1)&lt;&gt;"Starfsbundið",BK66="",BK$8="",BK$7=""),"",ROUND(BK66/BK$8*BK$7*KVARDI,2))</f>
        <v/>
      </c>
      <c r="BM66" s="39"/>
      <c r="BN66" s="40" t="str">
        <f aca="false">IF(OR(INDEX(Undirviðmið!$G$6:$G$105,(COLUMN()-7-1)/2+1)&lt;&gt;"Starfsbundið",BM66="",BM$8="",BM$7=""),"",ROUND(BM66/BM$8*BM$7*KVARDI,2))</f>
        <v/>
      </c>
      <c r="BO66" s="39"/>
      <c r="BP66" s="40" t="str">
        <f aca="false">IF(OR(INDEX(Undirviðmið!$G$6:$G$105,(COLUMN()-7-1)/2+1)&lt;&gt;"Starfsbundið",BO66="",BO$8="",BO$7=""),"",ROUND(BO66/BO$8*BO$7*KVARDI,2))</f>
        <v/>
      </c>
      <c r="BQ66" s="39"/>
      <c r="BR66" s="40" t="str">
        <f aca="false">IF(OR(INDEX(Undirviðmið!$G$6:$G$105,(COLUMN()-7-1)/2+1)&lt;&gt;"Starfsbundið",BQ66="",BQ$8="",BQ$7=""),"",ROUND(BQ66/BQ$8*BQ$7*KVARDI,2))</f>
        <v/>
      </c>
      <c r="BS66" s="39"/>
      <c r="BT66" s="40" t="str">
        <f aca="false">IF(OR(INDEX(Undirviðmið!$G$6:$G$105,(COLUMN()-7-1)/2+1)&lt;&gt;"Starfsbundið",BS66="",BS$8="",BS$7=""),"",ROUND(BS66/BS$8*BS$7*KVARDI,2))</f>
        <v/>
      </c>
      <c r="BU66" s="39"/>
      <c r="BV66" s="40" t="str">
        <f aca="false">IF(OR(INDEX(Undirviðmið!$G$6:$G$105,(COLUMN()-7-1)/2+1)&lt;&gt;"Starfsbundið",BU66="",BU$8="",BU$7=""),"",ROUND(BU66/BU$8*BU$7*KVARDI,2))</f>
        <v/>
      </c>
      <c r="BW66" s="39"/>
      <c r="BX66" s="40" t="str">
        <f aca="false">IF(OR(INDEX(Undirviðmið!$G$6:$G$105,(COLUMN()-7-1)/2+1)&lt;&gt;"Starfsbundið",BW66="",BW$8="",BW$7=""),"",ROUND(BW66/BW$8*BW$7*KVARDI,2))</f>
        <v/>
      </c>
      <c r="BY66" s="39"/>
      <c r="BZ66" s="40" t="str">
        <f aca="false">IF(OR(INDEX(Undirviðmið!$G$6:$G$105,(COLUMN()-7-1)/2+1)&lt;&gt;"Starfsbundið",BY66="",BY$8="",BY$7=""),"",ROUND(BY66/BY$8*BY$7*KVARDI,2))</f>
        <v/>
      </c>
      <c r="CA66" s="39"/>
      <c r="CB66" s="40" t="str">
        <f aca="false">IF(OR(INDEX(Undirviðmið!$G$6:$G$105,(COLUMN()-7-1)/2+1)&lt;&gt;"Starfsbundið",CA66="",CA$8="",CA$7=""),"",ROUND(CA66/CA$8*CA$7*KVARDI,2))</f>
        <v/>
      </c>
      <c r="CC66" s="39"/>
      <c r="CD66" s="40" t="str">
        <f aca="false">IF(OR(INDEX(Undirviðmið!$G$6:$G$105,(COLUMN()-7-1)/2+1)&lt;&gt;"Starfsbundið",CC66="",CC$8="",CC$7=""),"",ROUND(CC66/CC$8*CC$7*KVARDI,2))</f>
        <v/>
      </c>
      <c r="CE66" s="39"/>
      <c r="CF66" s="40" t="str">
        <f aca="false">IF(OR(INDEX(Undirviðmið!$G$6:$G$105,(COLUMN()-7-1)/2+1)&lt;&gt;"Starfsbundið",CE66="",CE$8="",CE$7=""),"",ROUND(CE66/CE$8*CE$7*KVARDI,2))</f>
        <v/>
      </c>
      <c r="CG66" s="39"/>
      <c r="CH66" s="40" t="str">
        <f aca="false">IF(OR(INDEX(Undirviðmið!$G$6:$G$105,(COLUMN()-7-1)/2+1)&lt;&gt;"Starfsbundið",CG66="",CG$8="",CG$7=""),"",ROUND(CG66/CG$8*CG$7*KVARDI,2))</f>
        <v/>
      </c>
      <c r="CI66" s="39"/>
      <c r="CJ66" s="40" t="str">
        <f aca="false">IF(OR(INDEX(Undirviðmið!$G$6:$G$105,(COLUMN()-7-1)/2+1)&lt;&gt;"Starfsbundið",CI66="",CI$8="",CI$7=""),"",ROUND(CI66/CI$8*CI$7*KVARDI,2))</f>
        <v/>
      </c>
      <c r="CK66" s="39"/>
      <c r="CL66" s="40" t="str">
        <f aca="false">IF(OR(INDEX(Undirviðmið!$G$6:$G$105,(COLUMN()-7-1)/2+1)&lt;&gt;"Starfsbundið",CK66="",CK$8="",CK$7=""),"",ROUND(CK66/CK$8*CK$7*KVARDI,2))</f>
        <v/>
      </c>
      <c r="CM66" s="39"/>
      <c r="CN66" s="40" t="str">
        <f aca="false">IF(OR(INDEX(Undirviðmið!$G$6:$G$105,(COLUMN()-7-1)/2+1)&lt;&gt;"Starfsbundið",CM66="",CM$8="",CM$7=""),"",ROUND(CM66/CM$8*CM$7*KVARDI,2))</f>
        <v/>
      </c>
      <c r="CO66" s="39"/>
      <c r="CP66" s="40" t="str">
        <f aca="false">IF(OR(INDEX(Undirviðmið!$G$6:$G$105,(COLUMN()-7-1)/2+1)&lt;&gt;"Starfsbundið",CO66="",CO$8="",CO$7=""),"",ROUND(CO66/CO$8*CO$7*KVARDI,2))</f>
        <v/>
      </c>
      <c r="CQ66" s="39"/>
      <c r="CR66" s="40" t="str">
        <f aca="false">IF(OR(INDEX(Undirviðmið!$G$6:$G$105,(COLUMN()-7-1)/2+1)&lt;&gt;"Starfsbundið",CQ66="",CQ$8="",CQ$7=""),"",ROUND(CQ66/CQ$8*CQ$7*KVARDI,2))</f>
        <v/>
      </c>
      <c r="CS66" s="39"/>
      <c r="CT66" s="40" t="str">
        <f aca="false">IF(OR(INDEX(Undirviðmið!$G$6:$G$105,(COLUMN()-7-1)/2+1)&lt;&gt;"Starfsbundið",CS66="",CS$8="",CS$7=""),"",ROUND(CS66/CS$8*CS$7*KVARDI,2))</f>
        <v/>
      </c>
      <c r="CU66" s="39"/>
      <c r="CV66" s="40" t="str">
        <f aca="false">IF(OR(INDEX(Undirviðmið!$G$6:$G$105,(COLUMN()-7-1)/2+1)&lt;&gt;"Starfsbundið",CU66="",CU$8="",CU$7=""),"",ROUND(CU66/CU$8*CU$7*KVARDI,2))</f>
        <v/>
      </c>
      <c r="CW66" s="39"/>
      <c r="CX66" s="40" t="str">
        <f aca="false">IF(OR(INDEX(Undirviðmið!$G$6:$G$105,(COLUMN()-7-1)/2+1)&lt;&gt;"Starfsbundið",CW66="",CW$8="",CW$7=""),"",ROUND(CW66/CW$8*CW$7*KVARDI,2))</f>
        <v/>
      </c>
      <c r="CY66" s="39"/>
      <c r="CZ66" s="40" t="str">
        <f aca="false">IF(OR(INDEX(Undirviðmið!$G$6:$G$105,(COLUMN()-7-1)/2+1)&lt;&gt;"Starfsbundið",CY66="",CY$8="",CY$7=""),"",ROUND(CY66/CY$8*CY$7*KVARDI,2))</f>
        <v/>
      </c>
      <c r="DA66" s="39"/>
      <c r="DB66" s="40" t="str">
        <f aca="false">IF(OR(INDEX(Undirviðmið!$G$6:$G$105,(COLUMN()-7-1)/2+1)&lt;&gt;"Starfsbundið",DA66="",DA$8="",DA$7=""),"",ROUND(DA66/DA$8*DA$7*KVARDI,2))</f>
        <v/>
      </c>
      <c r="DC66" s="39"/>
      <c r="DD66" s="40" t="str">
        <f aca="false">IF(OR(INDEX(Undirviðmið!$G$6:$G$105,(COLUMN()-7-1)/2+1)&lt;&gt;"Starfsbundið",DC66="",DC$8="",DC$7=""),"",ROUND(DC66/DC$8*DC$7*KVARDI,2))</f>
        <v/>
      </c>
      <c r="DE66" s="39"/>
      <c r="DF66" s="40" t="str">
        <f aca="false">IF(OR(INDEX(Undirviðmið!$G$6:$G$105,(COLUMN()-7-1)/2+1)&lt;&gt;"Starfsbundið",DE66="",DE$8="",DE$7=""),"",ROUND(DE66/DE$8*DE$7*KVARDI,2))</f>
        <v/>
      </c>
      <c r="DG66" s="39"/>
      <c r="DH66" s="40" t="str">
        <f aca="false">IF(OR(INDEX(Undirviðmið!$G$6:$G$105,(COLUMN()-7-1)/2+1)&lt;&gt;"Starfsbundið",DG66="",DG$8="",DG$7=""),"",ROUND(DG66/DG$8*DG$7*KVARDI,2))</f>
        <v/>
      </c>
      <c r="DI66" s="39"/>
      <c r="DJ66" s="40" t="str">
        <f aca="false">IF(OR(INDEX(Undirviðmið!$G$6:$G$105,(COLUMN()-7-1)/2+1)&lt;&gt;"Starfsbundið",DI66="",DI$8="",DI$7=""),"",ROUND(DI66/DI$8*DI$7*KVARDI,2))</f>
        <v/>
      </c>
      <c r="DK66" s="39"/>
      <c r="DL66" s="40" t="str">
        <f aca="false">IF(OR(INDEX(Undirviðmið!$G$6:$G$105,(COLUMN()-7-1)/2+1)&lt;&gt;"Starfsbundið",DK66="",DK$8="",DK$7=""),"",ROUND(DK66/DK$8*DK$7*KVARDI,2))</f>
        <v/>
      </c>
      <c r="DM66" s="39"/>
      <c r="DN66" s="40" t="str">
        <f aca="false">IF(OR(INDEX(Undirviðmið!$G$6:$G$105,(COLUMN()-7-1)/2+1)&lt;&gt;"Starfsbundið",DM66="",DM$8="",DM$7=""),"",ROUND(DM66/DM$8*DM$7*KVARDI,2))</f>
        <v/>
      </c>
      <c r="DO66" s="39"/>
      <c r="DP66" s="40" t="str">
        <f aca="false">IF(OR(INDEX(Undirviðmið!$G$6:$G$105,(COLUMN()-7-1)/2+1)&lt;&gt;"Starfsbundið",DO66="",DO$8="",DO$7=""),"",ROUND(DO66/DO$8*DO$7*KVARDI,2))</f>
        <v/>
      </c>
      <c r="DQ66" s="39"/>
      <c r="DR66" s="40" t="str">
        <f aca="false">IF(OR(INDEX(Undirviðmið!$G$6:$G$105,(COLUMN()-7-1)/2+1)&lt;&gt;"Starfsbundið",DQ66="",DQ$8="",DQ$7=""),"",ROUND(DQ66/DQ$8*DQ$7*KVARDI,2))</f>
        <v/>
      </c>
      <c r="DS66" s="39"/>
      <c r="DT66" s="40" t="str">
        <f aca="false">IF(OR(INDEX(Undirviðmið!$G$6:$G$105,(COLUMN()-7-1)/2+1)&lt;&gt;"Starfsbundið",DS66="",DS$8="",DS$7=""),"",ROUND(DS66/DS$8*DS$7*KVARDI,2))</f>
        <v/>
      </c>
      <c r="DU66" s="39"/>
      <c r="DV66" s="40" t="str">
        <f aca="false">IF(OR(INDEX(Undirviðmið!$G$6:$G$105,(COLUMN()-7-1)/2+1)&lt;&gt;"Starfsbundið",DU66="",DU$8="",DU$7=""),"",ROUND(DU66/DU$8*DU$7*KVARDI,2))</f>
        <v/>
      </c>
      <c r="DW66" s="39"/>
      <c r="DX66" s="40" t="str">
        <f aca="false">IF(OR(INDEX(Undirviðmið!$G$6:$G$105,(COLUMN()-7-1)/2+1)&lt;&gt;"Starfsbundið",DW66="",DW$8="",DW$7=""),"",ROUND(DW66/DW$8*DW$7*KVARDI,2))</f>
        <v/>
      </c>
      <c r="DY66" s="39"/>
      <c r="DZ66" s="40" t="str">
        <f aca="false">IF(OR(INDEX(Undirviðmið!$G$6:$G$105,(COLUMN()-7-1)/2+1)&lt;&gt;"Starfsbundið",DY66="",DY$8="",DY$7=""),"",ROUND(DY66/DY$8*DY$7*KVARDI,2))</f>
        <v/>
      </c>
      <c r="EA66" s="39"/>
      <c r="EB66" s="40" t="str">
        <f aca="false">IF(OR(INDEX(Undirviðmið!$G$6:$G$105,(COLUMN()-7-1)/2+1)&lt;&gt;"Starfsbundið",EA66="",EA$8="",EA$7=""),"",ROUND(EA66/EA$8*EA$7*KVARDI,2))</f>
        <v/>
      </c>
      <c r="EC66" s="39"/>
      <c r="ED66" s="40" t="str">
        <f aca="false">IF(OR(INDEX(Undirviðmið!$G$6:$G$105,(COLUMN()-7-1)/2+1)&lt;&gt;"Starfsbundið",EC66="",EC$8="",EC$7=""),"",ROUND(EC66/EC$8*EC$7*KVARDI,2))</f>
        <v/>
      </c>
      <c r="EE66" s="39"/>
      <c r="EF66" s="40" t="str">
        <f aca="false">IF(OR(INDEX(Undirviðmið!$G$6:$G$105,(COLUMN()-7-1)/2+1)&lt;&gt;"Starfsbundið",EE66="",EE$8="",EE$7=""),"",ROUND(EE66/EE$8*EE$7*KVARDI,2))</f>
        <v/>
      </c>
      <c r="EG66" s="39"/>
      <c r="EH66" s="40" t="str">
        <f aca="false">IF(OR(INDEX(Undirviðmið!$G$6:$G$105,(COLUMN()-7-1)/2+1)&lt;&gt;"Starfsbundið",EG66="",EG$8="",EG$7=""),"",ROUND(EG66/EG$8*EG$7*KVARDI,2))</f>
        <v/>
      </c>
      <c r="EI66" s="39"/>
      <c r="EJ66" s="40" t="str">
        <f aca="false">IF(OR(INDEX(Undirviðmið!$G$6:$G$105,(COLUMN()-7-1)/2+1)&lt;&gt;"Starfsbundið",EI66="",EI$8="",EI$7=""),"",ROUND(EI66/EI$8*EI$7*KVARDI,2))</f>
        <v/>
      </c>
      <c r="EK66" s="39"/>
      <c r="EL66" s="40" t="str">
        <f aca="false">IF(OR(INDEX(Undirviðmið!$G$6:$G$105,(COLUMN()-7-1)/2+1)&lt;&gt;"Starfsbundið",EK66="",EK$8="",EK$7=""),"",ROUND(EK66/EK$8*EK$7*KVARDI,2))</f>
        <v/>
      </c>
      <c r="EM66" s="39"/>
      <c r="EN66" s="40" t="str">
        <f aca="false">IF(OR(INDEX(Undirviðmið!$G$6:$G$105,(COLUMN()-7-1)/2+1)&lt;&gt;"Starfsbundið",EM66="",EM$8="",EM$7=""),"",ROUND(EM66/EM$8*EM$7*KVARDI,2))</f>
        <v/>
      </c>
      <c r="EO66" s="39"/>
      <c r="EP66" s="40" t="str">
        <f aca="false">IF(OR(INDEX(Undirviðmið!$G$6:$G$105,(COLUMN()-7-1)/2+1)&lt;&gt;"Starfsbundið",EO66="",EO$8="",EO$7=""),"",ROUND(EO66/EO$8*EO$7*KVARDI,2))</f>
        <v/>
      </c>
      <c r="EQ66" s="39"/>
      <c r="ER66" s="40" t="str">
        <f aca="false">IF(OR(INDEX(Undirviðmið!$G$6:$G$105,(COLUMN()-7-1)/2+1)&lt;&gt;"Starfsbundið",EQ66="",EQ$8="",EQ$7=""),"",ROUND(EQ66/EQ$8*EQ$7*KVARDI,2))</f>
        <v/>
      </c>
      <c r="ES66" s="39"/>
      <c r="ET66" s="40" t="str">
        <f aca="false">IF(OR(INDEX(Undirviðmið!$G$6:$G$105,(COLUMN()-7-1)/2+1)&lt;&gt;"Starfsbundið",ES66="",ES$8="",ES$7=""),"",ROUND(ES66/ES$8*ES$7*KVARDI,2))</f>
        <v/>
      </c>
      <c r="EU66" s="39"/>
      <c r="EV66" s="40" t="str">
        <f aca="false">IF(OR(INDEX(Undirviðmið!$G$6:$G$105,(COLUMN()-7-1)/2+1)&lt;&gt;"Starfsbundið",EU66="",EU$8="",EU$7=""),"",ROUND(EU66/EU$8*EU$7*KVARDI,2))</f>
        <v/>
      </c>
      <c r="EW66" s="39"/>
      <c r="EX66" s="40" t="str">
        <f aca="false">IF(OR(INDEX(Undirviðmið!$G$6:$G$105,(COLUMN()-7-1)/2+1)&lt;&gt;"Starfsbundið",EW66="",EW$8="",EW$7=""),"",ROUND(EW66/EW$8*EW$7*KVARDI,2))</f>
        <v/>
      </c>
      <c r="EY66" s="39"/>
      <c r="EZ66" s="40" t="str">
        <f aca="false">IF(OR(INDEX(Undirviðmið!$G$6:$G$105,(COLUMN()-7-1)/2+1)&lt;&gt;"Starfsbundið",EY66="",EY$8="",EY$7=""),"",ROUND(EY66/EY$8*EY$7*KVARDI,2))</f>
        <v/>
      </c>
      <c r="FA66" s="39"/>
      <c r="FB66" s="40" t="str">
        <f aca="false">IF(OR(INDEX(Undirviðmið!$G$6:$G$105,(COLUMN()-7-1)/2+1)&lt;&gt;"Starfsbundið",FA66="",FA$8="",FA$7=""),"",ROUND(FA66/FA$8*FA$7*KVARDI,2))</f>
        <v/>
      </c>
      <c r="FC66" s="39"/>
      <c r="FD66" s="40" t="str">
        <f aca="false">IF(OR(INDEX(Undirviðmið!$G$6:$G$105,(COLUMN()-7-1)/2+1)&lt;&gt;"Starfsbundið",FC66="",FC$8="",FC$7=""),"",ROUND(FC66/FC$8*FC$7*KVARDI,2))</f>
        <v/>
      </c>
      <c r="FE66" s="39"/>
      <c r="FF66" s="40" t="str">
        <f aca="false">IF(OR(INDEX(Undirviðmið!$G$6:$G$105,(COLUMN()-7-1)/2+1)&lt;&gt;"Starfsbundið",FE66="",FE$8="",FE$7=""),"",ROUND(FE66/FE$8*FE$7*KVARDI,2))</f>
        <v/>
      </c>
      <c r="FG66" s="39"/>
      <c r="FH66" s="40" t="str">
        <f aca="false">IF(OR(INDEX(Undirviðmið!$G$6:$G$105,(COLUMN()-7-1)/2+1)&lt;&gt;"Starfsbundið",FG66="",FG$8="",FG$7=""),"",ROUND(FG66/FG$8*FG$7*KVARDI,2))</f>
        <v/>
      </c>
      <c r="FI66" s="39"/>
      <c r="FJ66" s="40" t="str">
        <f aca="false">IF(OR(INDEX(Undirviðmið!$G$6:$G$105,(COLUMN()-7-1)/2+1)&lt;&gt;"Starfsbundið",FI66="",FI$8="",FI$7=""),"",ROUND(FI66/FI$8*FI$7*KVARDI,2))</f>
        <v/>
      </c>
      <c r="FK66" s="39"/>
      <c r="FL66" s="40" t="str">
        <f aca="false">IF(OR(INDEX(Undirviðmið!$G$6:$G$105,(COLUMN()-7-1)/2+1)&lt;&gt;"Starfsbundið",FK66="",FK$8="",FK$7=""),"",ROUND(FK66/FK$8*FK$7*KVARDI,2))</f>
        <v/>
      </c>
      <c r="FM66" s="39"/>
      <c r="FN66" s="40" t="str">
        <f aca="false">IF(OR(INDEX(Undirviðmið!$G$6:$G$105,(COLUMN()-7-1)/2+1)&lt;&gt;"Starfsbundið",FM66="",FM$8="",FM$7=""),"",ROUND(FM66/FM$8*FM$7*KVARDI,2))</f>
        <v/>
      </c>
      <c r="FO66" s="39"/>
      <c r="FP66" s="40" t="str">
        <f aca="false">IF(OR(INDEX(Undirviðmið!$G$6:$G$105,(COLUMN()-7-1)/2+1)&lt;&gt;"Starfsbundið",FO66="",FO$8="",FO$7=""),"",ROUND(FO66/FO$8*FO$7*KVARDI,2))</f>
        <v/>
      </c>
      <c r="FQ66" s="39"/>
      <c r="FR66" s="40" t="str">
        <f aca="false">IF(OR(INDEX(Undirviðmið!$G$6:$G$105,(COLUMN()-7-1)/2+1)&lt;&gt;"Starfsbundið",FQ66="",FQ$8="",FQ$7=""),"",ROUND(FQ66/FQ$8*FQ$7*KVARDI,2))</f>
        <v/>
      </c>
      <c r="FS66" s="39"/>
      <c r="FT66" s="40" t="str">
        <f aca="false">IF(OR(INDEX(Undirviðmið!$G$6:$G$105,(COLUMN()-7-1)/2+1)&lt;&gt;"Starfsbundið",FS66="",FS$8="",FS$7=""),"",ROUND(FS66/FS$8*FS$7*KVARDI,2))</f>
        <v/>
      </c>
      <c r="FU66" s="39"/>
      <c r="FV66" s="40" t="str">
        <f aca="false">IF(OR(INDEX(Undirviðmið!$G$6:$G$105,(COLUMN()-7-1)/2+1)&lt;&gt;"Starfsbundið",FU66="",FU$8="",FU$7=""),"",ROUND(FU66/FU$8*FU$7*KVARDI,2))</f>
        <v/>
      </c>
      <c r="FW66" s="39"/>
      <c r="FX66" s="40" t="str">
        <f aca="false">IF(OR(INDEX(Undirviðmið!$G$6:$G$105,(COLUMN()-7-1)/2+1)&lt;&gt;"Starfsbundið",FW66="",FW$8="",FW$7=""),"",ROUND(FW66/FW$8*FW$7*KVARDI,2))</f>
        <v/>
      </c>
      <c r="FY66" s="39"/>
      <c r="FZ66" s="40" t="str">
        <f aca="false">IF(OR(INDEX(Undirviðmið!$G$6:$G$105,(COLUMN()-7-1)/2+1)&lt;&gt;"Starfsbundið",FY66="",FY$8="",FY$7=""),"",ROUND(FY66/FY$8*FY$7*KVARDI,2))</f>
        <v/>
      </c>
      <c r="GA66" s="39"/>
      <c r="GB66" s="40" t="str">
        <f aca="false">IF(OR(INDEX(Undirviðmið!$G$6:$G$105,(COLUMN()-7-1)/2+1)&lt;&gt;"Starfsbundið",GA66="",GA$8="",GA$7=""),"",ROUND(GA66/GA$8*GA$7*KVARDI,2))</f>
        <v/>
      </c>
      <c r="GC66" s="39"/>
      <c r="GD66" s="40" t="str">
        <f aca="false">IF(OR(INDEX(Undirviðmið!$G$6:$G$105,(COLUMN()-7-1)/2+1)&lt;&gt;"Starfsbundið",GC66="",GC$8="",GC$7=""),"",ROUND(GC66/GC$8*GC$7*KVARDI,2))</f>
        <v/>
      </c>
      <c r="GE66" s="39"/>
      <c r="GF66" s="40" t="str">
        <f aca="false">IF(OR(INDEX(Undirviðmið!$G$6:$G$105,(COLUMN()-7-1)/2+1)&lt;&gt;"Starfsbundið",GE66="",GE$8="",GE$7=""),"",ROUND(GE66/GE$8*GE$7*KVARDI,2))</f>
        <v/>
      </c>
      <c r="GG66" s="39"/>
      <c r="GH66" s="40" t="str">
        <f aca="false">IF(OR(INDEX(Undirviðmið!$G$6:$G$105,(COLUMN()-7-1)/2+1)&lt;&gt;"Starfsbundið",GG66="",GG$8="",GG$7=""),"",ROUND(GG66/GG$8*GG$7*KVARDI,2))</f>
        <v/>
      </c>
      <c r="GI66" s="39"/>
      <c r="GJ66" s="40" t="str">
        <f aca="false">IF(OR(INDEX(Undirviðmið!$G$6:$G$105,(COLUMN()-7-1)/2+1)&lt;&gt;"Starfsbundið",GI66="",GI$8="",GI$7=""),"",ROUND(GI66/GI$8*GI$7*KVARDI,2))</f>
        <v/>
      </c>
      <c r="GK66" s="39"/>
      <c r="GL66" s="40" t="str">
        <f aca="false">IF(OR(INDEX(Undirviðmið!$G$6:$G$105,(COLUMN()-7-1)/2+1)&lt;&gt;"Starfsbundið",GK66="",GK$8="",GK$7=""),"",ROUND(GK66/GK$8*GK$7*KVARDI,2))</f>
        <v/>
      </c>
      <c r="GM66" s="39"/>
      <c r="GN66" s="40" t="str">
        <f aca="false">IF(OR(INDEX(Undirviðmið!$G$6:$G$105,(COLUMN()-7-1)/2+1)&lt;&gt;"Starfsbundið",GM66="",GM$8="",GM$7=""),"",ROUND(GM66/GM$8*GM$7*KVARDI,2))</f>
        <v/>
      </c>
      <c r="GO66" s="39"/>
      <c r="GP66" s="40" t="str">
        <f aca="false">IF(OR(INDEX(Undirviðmið!$G$6:$G$105,(COLUMN()-7-1)/2+1)&lt;&gt;"Starfsbundið",GO66="",GO$8="",GO$7=""),"",ROUND(GO66/GO$8*GO$7*KVARDI,2))</f>
        <v/>
      </c>
      <c r="GQ66" s="39"/>
      <c r="GR66" s="40" t="str">
        <f aca="false">IF(OR(INDEX(Undirviðmið!$G$6:$G$105,(COLUMN()-7-1)/2+1)&lt;&gt;"Starfsbundið",GQ66="",GQ$8="",GQ$7=""),"",ROUND(GQ66/GQ$8*GQ$7*KVARDI,2))</f>
        <v/>
      </c>
      <c r="GS66" s="39"/>
      <c r="GT66" s="40" t="str">
        <f aca="false">IF(OR(INDEX(Undirviðmið!$G$6:$G$105,(COLUMN()-7-1)/2+1)&lt;&gt;"Starfsbundið",GS66="",GS$8="",GS$7=""),"",ROUND(GS66/GS$8*GS$7*KVARDI,2))</f>
        <v/>
      </c>
      <c r="GU66" s="39"/>
      <c r="GV66" s="40" t="str">
        <f aca="false">IF(OR(INDEX(Undirviðmið!$G$6:$G$105,(COLUMN()-7-1)/2+1)&lt;&gt;"Starfsbundið",GU66="",GU$8="",GU$7=""),"",ROUND(GU66/GU$8*GU$7*KVARDI,2))</f>
        <v/>
      </c>
      <c r="GW66" s="39"/>
      <c r="GX66" s="40" t="str">
        <f aca="false">IF(OR(INDEX(Undirviðmið!$G$6:$G$105,(COLUMN()-7-1)/2+1)&lt;&gt;"Starfsbundið",GW66="",GW$8="",GW$7=""),"",ROUND(GW66/GW$8*GW$7*KVARDI,2))</f>
        <v/>
      </c>
      <c r="GZ66" s="20"/>
    </row>
    <row r="67" customFormat="false" ht="15" hidden="true" customHeight="true" outlineLevel="1" collapsed="false">
      <c r="B67" s="37" t="str">
        <f aca="false" t="array" ref="B67:B67">IFERROR(INDEX(Starfsmenn!$C$6:$C$10005,MATCH(0,COUNTIF($B$11:B66,Starfsmenn!$C$6:$C$10005)+(Starfsmenn!$C$6:$C$10005=""),0)),"")</f>
        <v/>
      </c>
      <c r="C67" s="38" t="n">
        <f aca="false">IFERROR(SUMIF($G$10:$GX$10,"Stig",$G67:$GX67),0)</f>
        <v>0</v>
      </c>
      <c r="G67" s="39"/>
      <c r="H67" s="40" t="str">
        <f aca="false">IF(OR(INDEX(Undirviðmið!$G$6:$G$105,(COLUMN()-7-1)/2+1)&lt;&gt;"Starfsbundið",G67="",G$8="",G$7=""),"",ROUND(G67/G$8*G$7*KVARDI,2))</f>
        <v/>
      </c>
      <c r="I67" s="39"/>
      <c r="J67" s="40" t="str">
        <f aca="false">IF(OR(INDEX(Undirviðmið!$G$6:$G$105,(COLUMN()-7-1)/2+1)&lt;&gt;"Starfsbundið",I67="",I$8="",I$7=""),"",ROUND(I67/I$8*I$7*KVARDI,2))</f>
        <v/>
      </c>
      <c r="K67" s="39"/>
      <c r="L67" s="40" t="str">
        <f aca="false">IF(OR(INDEX(Undirviðmið!$G$6:$G$105,(COLUMN()-7-1)/2+1)&lt;&gt;"Starfsbundið",K67="",K$8="",K$7=""),"",ROUND(K67/K$8*K$7*KVARDI,2))</f>
        <v/>
      </c>
      <c r="M67" s="39"/>
      <c r="N67" s="40" t="str">
        <f aca="false">IF(OR(INDEX(Undirviðmið!$G$6:$G$105,(COLUMN()-7-1)/2+1)&lt;&gt;"Starfsbundið",M67="",M$8="",M$7=""),"",ROUND(M67/M$8*M$7*KVARDI,2))</f>
        <v/>
      </c>
      <c r="O67" s="39"/>
      <c r="P67" s="40" t="str">
        <f aca="false">IF(OR(INDEX(Undirviðmið!$G$6:$G$105,(COLUMN()-7-1)/2+1)&lt;&gt;"Starfsbundið",O67="",O$8="",O$7=""),"",ROUND(O67/O$8*O$7*KVARDI,2))</f>
        <v/>
      </c>
      <c r="Q67" s="39"/>
      <c r="R67" s="40" t="str">
        <f aca="false">IF(OR(INDEX(Undirviðmið!$G$6:$G$105,(COLUMN()-7-1)/2+1)&lt;&gt;"Starfsbundið",Q67="",Q$8="",Q$7=""),"",ROUND(Q67/Q$8*Q$7*KVARDI,2))</f>
        <v/>
      </c>
      <c r="S67" s="39"/>
      <c r="T67" s="40" t="str">
        <f aca="false">IF(OR(INDEX(Undirviðmið!$G$6:$G$105,(COLUMN()-7-1)/2+1)&lt;&gt;"Starfsbundið",S67="",S$8="",S$7=""),"",ROUND(S67/S$8*S$7*KVARDI,2))</f>
        <v/>
      </c>
      <c r="U67" s="39"/>
      <c r="V67" s="40" t="str">
        <f aca="false">IF(OR(INDEX(Undirviðmið!$G$6:$G$105,(COLUMN()-7-1)/2+1)&lt;&gt;"Starfsbundið",U67="",U$8="",U$7=""),"",ROUND(U67/U$8*U$7*KVARDI,2))</f>
        <v/>
      </c>
      <c r="W67" s="39"/>
      <c r="X67" s="40" t="str">
        <f aca="false">IF(OR(INDEX(Undirviðmið!$G$6:$G$105,(COLUMN()-7-1)/2+1)&lt;&gt;"Starfsbundið",W67="",W$8="",W$7=""),"",ROUND(W67/W$8*W$7*KVARDI,2))</f>
        <v/>
      </c>
      <c r="Y67" s="39"/>
      <c r="Z67" s="40" t="str">
        <f aca="false">IF(OR(INDEX(Undirviðmið!$G$6:$G$105,(COLUMN()-7-1)/2+1)&lt;&gt;"Starfsbundið",Y67="",Y$8="",Y$7=""),"",ROUND(Y67/Y$8*Y$7*KVARDI,2))</f>
        <v/>
      </c>
      <c r="AA67" s="39"/>
      <c r="AB67" s="40" t="str">
        <f aca="false">IF(OR(INDEX(Undirviðmið!$G$6:$G$105,(COLUMN()-7-1)/2+1)&lt;&gt;"Starfsbundið",AA67="",AA$8="",AA$7=""),"",ROUND(AA67/AA$8*AA$7*KVARDI,2))</f>
        <v/>
      </c>
      <c r="AC67" s="39"/>
      <c r="AD67" s="40" t="str">
        <f aca="false">IF(OR(INDEX(Undirviðmið!$G$6:$G$105,(COLUMN()-7-1)/2+1)&lt;&gt;"Starfsbundið",AC67="",AC$8="",AC$7=""),"",ROUND(AC67/AC$8*AC$7*KVARDI,2))</f>
        <v/>
      </c>
      <c r="AE67" s="39"/>
      <c r="AF67" s="40" t="str">
        <f aca="false">IF(OR(INDEX(Undirviðmið!$G$6:$G$105,(COLUMN()-7-1)/2+1)&lt;&gt;"Starfsbundið",AE67="",AE$8="",AE$7=""),"",ROUND(AE67/AE$8*AE$7*KVARDI,2))</f>
        <v/>
      </c>
      <c r="AG67" s="39"/>
      <c r="AH67" s="40" t="str">
        <f aca="false">IF(OR(INDEX(Undirviðmið!$G$6:$G$105,(COLUMN()-7-1)/2+1)&lt;&gt;"Starfsbundið",AG67="",AG$8="",AG$7=""),"",ROUND(AG67/AG$8*AG$7*KVARDI,2))</f>
        <v/>
      </c>
      <c r="AI67" s="39"/>
      <c r="AJ67" s="40" t="str">
        <f aca="false">IF(OR(INDEX(Undirviðmið!$G$6:$G$105,(COLUMN()-7-1)/2+1)&lt;&gt;"Starfsbundið",AI67="",AI$8="",AI$7=""),"",ROUND(AI67/AI$8*AI$7*KVARDI,2))</f>
        <v/>
      </c>
      <c r="AK67" s="39"/>
      <c r="AL67" s="40" t="str">
        <f aca="false">IF(OR(INDEX(Undirviðmið!$G$6:$G$105,(COLUMN()-7-1)/2+1)&lt;&gt;"Starfsbundið",AK67="",AK$8="",AK$7=""),"",ROUND(AK67/AK$8*AK$7*KVARDI,2))</f>
        <v/>
      </c>
      <c r="AM67" s="39"/>
      <c r="AN67" s="40" t="str">
        <f aca="false">IF(OR(INDEX(Undirviðmið!$G$6:$G$105,(COLUMN()-7-1)/2+1)&lt;&gt;"Starfsbundið",AM67="",AM$8="",AM$7=""),"",ROUND(AM67/AM$8*AM$7*KVARDI,2))</f>
        <v/>
      </c>
      <c r="AO67" s="39"/>
      <c r="AP67" s="40" t="str">
        <f aca="false">IF(OR(INDEX(Undirviðmið!$G$6:$G$105,(COLUMN()-7-1)/2+1)&lt;&gt;"Starfsbundið",AO67="",AO$8="",AO$7=""),"",ROUND(AO67/AO$8*AO$7*KVARDI,2))</f>
        <v/>
      </c>
      <c r="AQ67" s="39"/>
      <c r="AR67" s="40" t="str">
        <f aca="false">IF(OR(INDEX(Undirviðmið!$G$6:$G$105,(COLUMN()-7-1)/2+1)&lt;&gt;"Starfsbundið",AQ67="",AQ$8="",AQ$7=""),"",ROUND(AQ67/AQ$8*AQ$7*KVARDI,2))</f>
        <v/>
      </c>
      <c r="AS67" s="39"/>
      <c r="AT67" s="40" t="str">
        <f aca="false">IF(OR(INDEX(Undirviðmið!$G$6:$G$105,(COLUMN()-7-1)/2+1)&lt;&gt;"Starfsbundið",AS67="",AS$8="",AS$7=""),"",ROUND(AS67/AS$8*AS$7*KVARDI,2))</f>
        <v/>
      </c>
      <c r="AU67" s="39"/>
      <c r="AV67" s="40" t="str">
        <f aca="false">IF(OR(INDEX(Undirviðmið!$G$6:$G$105,(COLUMN()-7-1)/2+1)&lt;&gt;"Starfsbundið",AU67="",AU$8="",AU$7=""),"",ROUND(AU67/AU$8*AU$7*KVARDI,2))</f>
        <v/>
      </c>
      <c r="AW67" s="39"/>
      <c r="AX67" s="40" t="str">
        <f aca="false">IF(OR(INDEX(Undirviðmið!$G$6:$G$105,(COLUMN()-7-1)/2+1)&lt;&gt;"Starfsbundið",AW67="",AW$8="",AW$7=""),"",ROUND(AW67/AW$8*AW$7*KVARDI,2))</f>
        <v/>
      </c>
      <c r="AY67" s="39"/>
      <c r="AZ67" s="40" t="str">
        <f aca="false">IF(OR(INDEX(Undirviðmið!$G$6:$G$105,(COLUMN()-7-1)/2+1)&lt;&gt;"Starfsbundið",AY67="",AY$8="",AY$7=""),"",ROUND(AY67/AY$8*AY$7*KVARDI,2))</f>
        <v/>
      </c>
      <c r="BA67" s="39"/>
      <c r="BB67" s="40" t="str">
        <f aca="false">IF(OR(INDEX(Undirviðmið!$G$6:$G$105,(COLUMN()-7-1)/2+1)&lt;&gt;"Starfsbundið",BA67="",BA$8="",BA$7=""),"",ROUND(BA67/BA$8*BA$7*KVARDI,2))</f>
        <v/>
      </c>
      <c r="BC67" s="39"/>
      <c r="BD67" s="40" t="str">
        <f aca="false">IF(OR(INDEX(Undirviðmið!$G$6:$G$105,(COLUMN()-7-1)/2+1)&lt;&gt;"Starfsbundið",BC67="",BC$8="",BC$7=""),"",ROUND(BC67/BC$8*BC$7*KVARDI,2))</f>
        <v/>
      </c>
      <c r="BE67" s="39"/>
      <c r="BF67" s="40" t="str">
        <f aca="false">IF(OR(INDEX(Undirviðmið!$G$6:$G$105,(COLUMN()-7-1)/2+1)&lt;&gt;"Starfsbundið",BE67="",BE$8="",BE$7=""),"",ROUND(BE67/BE$8*BE$7*KVARDI,2))</f>
        <v/>
      </c>
      <c r="BG67" s="39"/>
      <c r="BH67" s="40" t="str">
        <f aca="false">IF(OR(INDEX(Undirviðmið!$G$6:$G$105,(COLUMN()-7-1)/2+1)&lt;&gt;"Starfsbundið",BG67="",BG$8="",BG$7=""),"",ROUND(BG67/BG$8*BG$7*KVARDI,2))</f>
        <v/>
      </c>
      <c r="BI67" s="39"/>
      <c r="BJ67" s="40" t="str">
        <f aca="false">IF(OR(INDEX(Undirviðmið!$G$6:$G$105,(COLUMN()-7-1)/2+1)&lt;&gt;"Starfsbundið",BI67="",BI$8="",BI$7=""),"",ROUND(BI67/BI$8*BI$7*KVARDI,2))</f>
        <v/>
      </c>
      <c r="BK67" s="39"/>
      <c r="BL67" s="40" t="str">
        <f aca="false">IF(OR(INDEX(Undirviðmið!$G$6:$G$105,(COLUMN()-7-1)/2+1)&lt;&gt;"Starfsbundið",BK67="",BK$8="",BK$7=""),"",ROUND(BK67/BK$8*BK$7*KVARDI,2))</f>
        <v/>
      </c>
      <c r="BM67" s="39"/>
      <c r="BN67" s="40" t="str">
        <f aca="false">IF(OR(INDEX(Undirviðmið!$G$6:$G$105,(COLUMN()-7-1)/2+1)&lt;&gt;"Starfsbundið",BM67="",BM$8="",BM$7=""),"",ROUND(BM67/BM$8*BM$7*KVARDI,2))</f>
        <v/>
      </c>
      <c r="BO67" s="39"/>
      <c r="BP67" s="40" t="str">
        <f aca="false">IF(OR(INDEX(Undirviðmið!$G$6:$G$105,(COLUMN()-7-1)/2+1)&lt;&gt;"Starfsbundið",BO67="",BO$8="",BO$7=""),"",ROUND(BO67/BO$8*BO$7*KVARDI,2))</f>
        <v/>
      </c>
      <c r="BQ67" s="39"/>
      <c r="BR67" s="40" t="str">
        <f aca="false">IF(OR(INDEX(Undirviðmið!$G$6:$G$105,(COLUMN()-7-1)/2+1)&lt;&gt;"Starfsbundið",BQ67="",BQ$8="",BQ$7=""),"",ROUND(BQ67/BQ$8*BQ$7*KVARDI,2))</f>
        <v/>
      </c>
      <c r="BS67" s="39"/>
      <c r="BT67" s="40" t="str">
        <f aca="false">IF(OR(INDEX(Undirviðmið!$G$6:$G$105,(COLUMN()-7-1)/2+1)&lt;&gt;"Starfsbundið",BS67="",BS$8="",BS$7=""),"",ROUND(BS67/BS$8*BS$7*KVARDI,2))</f>
        <v/>
      </c>
      <c r="BU67" s="39"/>
      <c r="BV67" s="40" t="str">
        <f aca="false">IF(OR(INDEX(Undirviðmið!$G$6:$G$105,(COLUMN()-7-1)/2+1)&lt;&gt;"Starfsbundið",BU67="",BU$8="",BU$7=""),"",ROUND(BU67/BU$8*BU$7*KVARDI,2))</f>
        <v/>
      </c>
      <c r="BW67" s="39"/>
      <c r="BX67" s="40" t="str">
        <f aca="false">IF(OR(INDEX(Undirviðmið!$G$6:$G$105,(COLUMN()-7-1)/2+1)&lt;&gt;"Starfsbundið",BW67="",BW$8="",BW$7=""),"",ROUND(BW67/BW$8*BW$7*KVARDI,2))</f>
        <v/>
      </c>
      <c r="BY67" s="39"/>
      <c r="BZ67" s="40" t="str">
        <f aca="false">IF(OR(INDEX(Undirviðmið!$G$6:$G$105,(COLUMN()-7-1)/2+1)&lt;&gt;"Starfsbundið",BY67="",BY$8="",BY$7=""),"",ROUND(BY67/BY$8*BY$7*KVARDI,2))</f>
        <v/>
      </c>
      <c r="CA67" s="39"/>
      <c r="CB67" s="40" t="str">
        <f aca="false">IF(OR(INDEX(Undirviðmið!$G$6:$G$105,(COLUMN()-7-1)/2+1)&lt;&gt;"Starfsbundið",CA67="",CA$8="",CA$7=""),"",ROUND(CA67/CA$8*CA$7*KVARDI,2))</f>
        <v/>
      </c>
      <c r="CC67" s="39"/>
      <c r="CD67" s="40" t="str">
        <f aca="false">IF(OR(INDEX(Undirviðmið!$G$6:$G$105,(COLUMN()-7-1)/2+1)&lt;&gt;"Starfsbundið",CC67="",CC$8="",CC$7=""),"",ROUND(CC67/CC$8*CC$7*KVARDI,2))</f>
        <v/>
      </c>
      <c r="CE67" s="39"/>
      <c r="CF67" s="40" t="str">
        <f aca="false">IF(OR(INDEX(Undirviðmið!$G$6:$G$105,(COLUMN()-7-1)/2+1)&lt;&gt;"Starfsbundið",CE67="",CE$8="",CE$7=""),"",ROUND(CE67/CE$8*CE$7*KVARDI,2))</f>
        <v/>
      </c>
      <c r="CG67" s="39"/>
      <c r="CH67" s="40" t="str">
        <f aca="false">IF(OR(INDEX(Undirviðmið!$G$6:$G$105,(COLUMN()-7-1)/2+1)&lt;&gt;"Starfsbundið",CG67="",CG$8="",CG$7=""),"",ROUND(CG67/CG$8*CG$7*KVARDI,2))</f>
        <v/>
      </c>
      <c r="CI67" s="39"/>
      <c r="CJ67" s="40" t="str">
        <f aca="false">IF(OR(INDEX(Undirviðmið!$G$6:$G$105,(COLUMN()-7-1)/2+1)&lt;&gt;"Starfsbundið",CI67="",CI$8="",CI$7=""),"",ROUND(CI67/CI$8*CI$7*KVARDI,2))</f>
        <v/>
      </c>
      <c r="CK67" s="39"/>
      <c r="CL67" s="40" t="str">
        <f aca="false">IF(OR(INDEX(Undirviðmið!$G$6:$G$105,(COLUMN()-7-1)/2+1)&lt;&gt;"Starfsbundið",CK67="",CK$8="",CK$7=""),"",ROUND(CK67/CK$8*CK$7*KVARDI,2))</f>
        <v/>
      </c>
      <c r="CM67" s="39"/>
      <c r="CN67" s="40" t="str">
        <f aca="false">IF(OR(INDEX(Undirviðmið!$G$6:$G$105,(COLUMN()-7-1)/2+1)&lt;&gt;"Starfsbundið",CM67="",CM$8="",CM$7=""),"",ROUND(CM67/CM$8*CM$7*KVARDI,2))</f>
        <v/>
      </c>
      <c r="CO67" s="39"/>
      <c r="CP67" s="40" t="str">
        <f aca="false">IF(OR(INDEX(Undirviðmið!$G$6:$G$105,(COLUMN()-7-1)/2+1)&lt;&gt;"Starfsbundið",CO67="",CO$8="",CO$7=""),"",ROUND(CO67/CO$8*CO$7*KVARDI,2))</f>
        <v/>
      </c>
      <c r="CQ67" s="39"/>
      <c r="CR67" s="40" t="str">
        <f aca="false">IF(OR(INDEX(Undirviðmið!$G$6:$G$105,(COLUMN()-7-1)/2+1)&lt;&gt;"Starfsbundið",CQ67="",CQ$8="",CQ$7=""),"",ROUND(CQ67/CQ$8*CQ$7*KVARDI,2))</f>
        <v/>
      </c>
      <c r="CS67" s="39"/>
      <c r="CT67" s="40" t="str">
        <f aca="false">IF(OR(INDEX(Undirviðmið!$G$6:$G$105,(COLUMN()-7-1)/2+1)&lt;&gt;"Starfsbundið",CS67="",CS$8="",CS$7=""),"",ROUND(CS67/CS$8*CS$7*KVARDI,2))</f>
        <v/>
      </c>
      <c r="CU67" s="39"/>
      <c r="CV67" s="40" t="str">
        <f aca="false">IF(OR(INDEX(Undirviðmið!$G$6:$G$105,(COLUMN()-7-1)/2+1)&lt;&gt;"Starfsbundið",CU67="",CU$8="",CU$7=""),"",ROUND(CU67/CU$8*CU$7*KVARDI,2))</f>
        <v/>
      </c>
      <c r="CW67" s="39"/>
      <c r="CX67" s="40" t="str">
        <f aca="false">IF(OR(INDEX(Undirviðmið!$G$6:$G$105,(COLUMN()-7-1)/2+1)&lt;&gt;"Starfsbundið",CW67="",CW$8="",CW$7=""),"",ROUND(CW67/CW$8*CW$7*KVARDI,2))</f>
        <v/>
      </c>
      <c r="CY67" s="39"/>
      <c r="CZ67" s="40" t="str">
        <f aca="false">IF(OR(INDEX(Undirviðmið!$G$6:$G$105,(COLUMN()-7-1)/2+1)&lt;&gt;"Starfsbundið",CY67="",CY$8="",CY$7=""),"",ROUND(CY67/CY$8*CY$7*KVARDI,2))</f>
        <v/>
      </c>
      <c r="DA67" s="39"/>
      <c r="DB67" s="40" t="str">
        <f aca="false">IF(OR(INDEX(Undirviðmið!$G$6:$G$105,(COLUMN()-7-1)/2+1)&lt;&gt;"Starfsbundið",DA67="",DA$8="",DA$7=""),"",ROUND(DA67/DA$8*DA$7*KVARDI,2))</f>
        <v/>
      </c>
      <c r="DC67" s="39"/>
      <c r="DD67" s="40" t="str">
        <f aca="false">IF(OR(INDEX(Undirviðmið!$G$6:$G$105,(COLUMN()-7-1)/2+1)&lt;&gt;"Starfsbundið",DC67="",DC$8="",DC$7=""),"",ROUND(DC67/DC$8*DC$7*KVARDI,2))</f>
        <v/>
      </c>
      <c r="DE67" s="39"/>
      <c r="DF67" s="40" t="str">
        <f aca="false">IF(OR(INDEX(Undirviðmið!$G$6:$G$105,(COLUMN()-7-1)/2+1)&lt;&gt;"Starfsbundið",DE67="",DE$8="",DE$7=""),"",ROUND(DE67/DE$8*DE$7*KVARDI,2))</f>
        <v/>
      </c>
      <c r="DG67" s="39"/>
      <c r="DH67" s="40" t="str">
        <f aca="false">IF(OR(INDEX(Undirviðmið!$G$6:$G$105,(COLUMN()-7-1)/2+1)&lt;&gt;"Starfsbundið",DG67="",DG$8="",DG$7=""),"",ROUND(DG67/DG$8*DG$7*KVARDI,2))</f>
        <v/>
      </c>
      <c r="DI67" s="39"/>
      <c r="DJ67" s="40" t="str">
        <f aca="false">IF(OR(INDEX(Undirviðmið!$G$6:$G$105,(COLUMN()-7-1)/2+1)&lt;&gt;"Starfsbundið",DI67="",DI$8="",DI$7=""),"",ROUND(DI67/DI$8*DI$7*KVARDI,2))</f>
        <v/>
      </c>
      <c r="DK67" s="39"/>
      <c r="DL67" s="40" t="str">
        <f aca="false">IF(OR(INDEX(Undirviðmið!$G$6:$G$105,(COLUMN()-7-1)/2+1)&lt;&gt;"Starfsbundið",DK67="",DK$8="",DK$7=""),"",ROUND(DK67/DK$8*DK$7*KVARDI,2))</f>
        <v/>
      </c>
      <c r="DM67" s="39"/>
      <c r="DN67" s="40" t="str">
        <f aca="false">IF(OR(INDEX(Undirviðmið!$G$6:$G$105,(COLUMN()-7-1)/2+1)&lt;&gt;"Starfsbundið",DM67="",DM$8="",DM$7=""),"",ROUND(DM67/DM$8*DM$7*KVARDI,2))</f>
        <v/>
      </c>
      <c r="DO67" s="39"/>
      <c r="DP67" s="40" t="str">
        <f aca="false">IF(OR(INDEX(Undirviðmið!$G$6:$G$105,(COLUMN()-7-1)/2+1)&lt;&gt;"Starfsbundið",DO67="",DO$8="",DO$7=""),"",ROUND(DO67/DO$8*DO$7*KVARDI,2))</f>
        <v/>
      </c>
      <c r="DQ67" s="39"/>
      <c r="DR67" s="40" t="str">
        <f aca="false">IF(OR(INDEX(Undirviðmið!$G$6:$G$105,(COLUMN()-7-1)/2+1)&lt;&gt;"Starfsbundið",DQ67="",DQ$8="",DQ$7=""),"",ROUND(DQ67/DQ$8*DQ$7*KVARDI,2))</f>
        <v/>
      </c>
      <c r="DS67" s="39"/>
      <c r="DT67" s="40" t="str">
        <f aca="false">IF(OR(INDEX(Undirviðmið!$G$6:$G$105,(COLUMN()-7-1)/2+1)&lt;&gt;"Starfsbundið",DS67="",DS$8="",DS$7=""),"",ROUND(DS67/DS$8*DS$7*KVARDI,2))</f>
        <v/>
      </c>
      <c r="DU67" s="39"/>
      <c r="DV67" s="40" t="str">
        <f aca="false">IF(OR(INDEX(Undirviðmið!$G$6:$G$105,(COLUMN()-7-1)/2+1)&lt;&gt;"Starfsbundið",DU67="",DU$8="",DU$7=""),"",ROUND(DU67/DU$8*DU$7*KVARDI,2))</f>
        <v/>
      </c>
      <c r="DW67" s="39"/>
      <c r="DX67" s="40" t="str">
        <f aca="false">IF(OR(INDEX(Undirviðmið!$G$6:$G$105,(COLUMN()-7-1)/2+1)&lt;&gt;"Starfsbundið",DW67="",DW$8="",DW$7=""),"",ROUND(DW67/DW$8*DW$7*KVARDI,2))</f>
        <v/>
      </c>
      <c r="DY67" s="39"/>
      <c r="DZ67" s="40" t="str">
        <f aca="false">IF(OR(INDEX(Undirviðmið!$G$6:$G$105,(COLUMN()-7-1)/2+1)&lt;&gt;"Starfsbundið",DY67="",DY$8="",DY$7=""),"",ROUND(DY67/DY$8*DY$7*KVARDI,2))</f>
        <v/>
      </c>
      <c r="EA67" s="39"/>
      <c r="EB67" s="40" t="str">
        <f aca="false">IF(OR(INDEX(Undirviðmið!$G$6:$G$105,(COLUMN()-7-1)/2+1)&lt;&gt;"Starfsbundið",EA67="",EA$8="",EA$7=""),"",ROUND(EA67/EA$8*EA$7*KVARDI,2))</f>
        <v/>
      </c>
      <c r="EC67" s="39"/>
      <c r="ED67" s="40" t="str">
        <f aca="false">IF(OR(INDEX(Undirviðmið!$G$6:$G$105,(COLUMN()-7-1)/2+1)&lt;&gt;"Starfsbundið",EC67="",EC$8="",EC$7=""),"",ROUND(EC67/EC$8*EC$7*KVARDI,2))</f>
        <v/>
      </c>
      <c r="EE67" s="39"/>
      <c r="EF67" s="40" t="str">
        <f aca="false">IF(OR(INDEX(Undirviðmið!$G$6:$G$105,(COLUMN()-7-1)/2+1)&lt;&gt;"Starfsbundið",EE67="",EE$8="",EE$7=""),"",ROUND(EE67/EE$8*EE$7*KVARDI,2))</f>
        <v/>
      </c>
      <c r="EG67" s="39"/>
      <c r="EH67" s="40" t="str">
        <f aca="false">IF(OR(INDEX(Undirviðmið!$G$6:$G$105,(COLUMN()-7-1)/2+1)&lt;&gt;"Starfsbundið",EG67="",EG$8="",EG$7=""),"",ROUND(EG67/EG$8*EG$7*KVARDI,2))</f>
        <v/>
      </c>
      <c r="EI67" s="39"/>
      <c r="EJ67" s="40" t="str">
        <f aca="false">IF(OR(INDEX(Undirviðmið!$G$6:$G$105,(COLUMN()-7-1)/2+1)&lt;&gt;"Starfsbundið",EI67="",EI$8="",EI$7=""),"",ROUND(EI67/EI$8*EI$7*KVARDI,2))</f>
        <v/>
      </c>
      <c r="EK67" s="39"/>
      <c r="EL67" s="40" t="str">
        <f aca="false">IF(OR(INDEX(Undirviðmið!$G$6:$G$105,(COLUMN()-7-1)/2+1)&lt;&gt;"Starfsbundið",EK67="",EK$8="",EK$7=""),"",ROUND(EK67/EK$8*EK$7*KVARDI,2))</f>
        <v/>
      </c>
      <c r="EM67" s="39"/>
      <c r="EN67" s="40" t="str">
        <f aca="false">IF(OR(INDEX(Undirviðmið!$G$6:$G$105,(COLUMN()-7-1)/2+1)&lt;&gt;"Starfsbundið",EM67="",EM$8="",EM$7=""),"",ROUND(EM67/EM$8*EM$7*KVARDI,2))</f>
        <v/>
      </c>
      <c r="EO67" s="39"/>
      <c r="EP67" s="40" t="str">
        <f aca="false">IF(OR(INDEX(Undirviðmið!$G$6:$G$105,(COLUMN()-7-1)/2+1)&lt;&gt;"Starfsbundið",EO67="",EO$8="",EO$7=""),"",ROUND(EO67/EO$8*EO$7*KVARDI,2))</f>
        <v/>
      </c>
      <c r="EQ67" s="39"/>
      <c r="ER67" s="40" t="str">
        <f aca="false">IF(OR(INDEX(Undirviðmið!$G$6:$G$105,(COLUMN()-7-1)/2+1)&lt;&gt;"Starfsbundið",EQ67="",EQ$8="",EQ$7=""),"",ROUND(EQ67/EQ$8*EQ$7*KVARDI,2))</f>
        <v/>
      </c>
      <c r="ES67" s="39"/>
      <c r="ET67" s="40" t="str">
        <f aca="false">IF(OR(INDEX(Undirviðmið!$G$6:$G$105,(COLUMN()-7-1)/2+1)&lt;&gt;"Starfsbundið",ES67="",ES$8="",ES$7=""),"",ROUND(ES67/ES$8*ES$7*KVARDI,2))</f>
        <v/>
      </c>
      <c r="EU67" s="39"/>
      <c r="EV67" s="40" t="str">
        <f aca="false">IF(OR(INDEX(Undirviðmið!$G$6:$G$105,(COLUMN()-7-1)/2+1)&lt;&gt;"Starfsbundið",EU67="",EU$8="",EU$7=""),"",ROUND(EU67/EU$8*EU$7*KVARDI,2))</f>
        <v/>
      </c>
      <c r="EW67" s="39"/>
      <c r="EX67" s="40" t="str">
        <f aca="false">IF(OR(INDEX(Undirviðmið!$G$6:$G$105,(COLUMN()-7-1)/2+1)&lt;&gt;"Starfsbundið",EW67="",EW$8="",EW$7=""),"",ROUND(EW67/EW$8*EW$7*KVARDI,2))</f>
        <v/>
      </c>
      <c r="EY67" s="39"/>
      <c r="EZ67" s="40" t="str">
        <f aca="false">IF(OR(INDEX(Undirviðmið!$G$6:$G$105,(COLUMN()-7-1)/2+1)&lt;&gt;"Starfsbundið",EY67="",EY$8="",EY$7=""),"",ROUND(EY67/EY$8*EY$7*KVARDI,2))</f>
        <v/>
      </c>
      <c r="FA67" s="39"/>
      <c r="FB67" s="40" t="str">
        <f aca="false">IF(OR(INDEX(Undirviðmið!$G$6:$G$105,(COLUMN()-7-1)/2+1)&lt;&gt;"Starfsbundið",FA67="",FA$8="",FA$7=""),"",ROUND(FA67/FA$8*FA$7*KVARDI,2))</f>
        <v/>
      </c>
      <c r="FC67" s="39"/>
      <c r="FD67" s="40" t="str">
        <f aca="false">IF(OR(INDEX(Undirviðmið!$G$6:$G$105,(COLUMN()-7-1)/2+1)&lt;&gt;"Starfsbundið",FC67="",FC$8="",FC$7=""),"",ROUND(FC67/FC$8*FC$7*KVARDI,2))</f>
        <v/>
      </c>
      <c r="FE67" s="39"/>
      <c r="FF67" s="40" t="str">
        <f aca="false">IF(OR(INDEX(Undirviðmið!$G$6:$G$105,(COLUMN()-7-1)/2+1)&lt;&gt;"Starfsbundið",FE67="",FE$8="",FE$7=""),"",ROUND(FE67/FE$8*FE$7*KVARDI,2))</f>
        <v/>
      </c>
      <c r="FG67" s="39"/>
      <c r="FH67" s="40" t="str">
        <f aca="false">IF(OR(INDEX(Undirviðmið!$G$6:$G$105,(COLUMN()-7-1)/2+1)&lt;&gt;"Starfsbundið",FG67="",FG$8="",FG$7=""),"",ROUND(FG67/FG$8*FG$7*KVARDI,2))</f>
        <v/>
      </c>
      <c r="FI67" s="39"/>
      <c r="FJ67" s="40" t="str">
        <f aca="false">IF(OR(INDEX(Undirviðmið!$G$6:$G$105,(COLUMN()-7-1)/2+1)&lt;&gt;"Starfsbundið",FI67="",FI$8="",FI$7=""),"",ROUND(FI67/FI$8*FI$7*KVARDI,2))</f>
        <v/>
      </c>
      <c r="FK67" s="39"/>
      <c r="FL67" s="40" t="str">
        <f aca="false">IF(OR(INDEX(Undirviðmið!$G$6:$G$105,(COLUMN()-7-1)/2+1)&lt;&gt;"Starfsbundið",FK67="",FK$8="",FK$7=""),"",ROUND(FK67/FK$8*FK$7*KVARDI,2))</f>
        <v/>
      </c>
      <c r="FM67" s="39"/>
      <c r="FN67" s="40" t="str">
        <f aca="false">IF(OR(INDEX(Undirviðmið!$G$6:$G$105,(COLUMN()-7-1)/2+1)&lt;&gt;"Starfsbundið",FM67="",FM$8="",FM$7=""),"",ROUND(FM67/FM$8*FM$7*KVARDI,2))</f>
        <v/>
      </c>
      <c r="FO67" s="39"/>
      <c r="FP67" s="40" t="str">
        <f aca="false">IF(OR(INDEX(Undirviðmið!$G$6:$G$105,(COLUMN()-7-1)/2+1)&lt;&gt;"Starfsbundið",FO67="",FO$8="",FO$7=""),"",ROUND(FO67/FO$8*FO$7*KVARDI,2))</f>
        <v/>
      </c>
      <c r="FQ67" s="39"/>
      <c r="FR67" s="40" t="str">
        <f aca="false">IF(OR(INDEX(Undirviðmið!$G$6:$G$105,(COLUMN()-7-1)/2+1)&lt;&gt;"Starfsbundið",FQ67="",FQ$8="",FQ$7=""),"",ROUND(FQ67/FQ$8*FQ$7*KVARDI,2))</f>
        <v/>
      </c>
      <c r="FS67" s="39"/>
      <c r="FT67" s="40" t="str">
        <f aca="false">IF(OR(INDEX(Undirviðmið!$G$6:$G$105,(COLUMN()-7-1)/2+1)&lt;&gt;"Starfsbundið",FS67="",FS$8="",FS$7=""),"",ROUND(FS67/FS$8*FS$7*KVARDI,2))</f>
        <v/>
      </c>
      <c r="FU67" s="39"/>
      <c r="FV67" s="40" t="str">
        <f aca="false">IF(OR(INDEX(Undirviðmið!$G$6:$G$105,(COLUMN()-7-1)/2+1)&lt;&gt;"Starfsbundið",FU67="",FU$8="",FU$7=""),"",ROUND(FU67/FU$8*FU$7*KVARDI,2))</f>
        <v/>
      </c>
      <c r="FW67" s="39"/>
      <c r="FX67" s="40" t="str">
        <f aca="false">IF(OR(INDEX(Undirviðmið!$G$6:$G$105,(COLUMN()-7-1)/2+1)&lt;&gt;"Starfsbundið",FW67="",FW$8="",FW$7=""),"",ROUND(FW67/FW$8*FW$7*KVARDI,2))</f>
        <v/>
      </c>
      <c r="FY67" s="39"/>
      <c r="FZ67" s="40" t="str">
        <f aca="false">IF(OR(INDEX(Undirviðmið!$G$6:$G$105,(COLUMN()-7-1)/2+1)&lt;&gt;"Starfsbundið",FY67="",FY$8="",FY$7=""),"",ROUND(FY67/FY$8*FY$7*KVARDI,2))</f>
        <v/>
      </c>
      <c r="GA67" s="39"/>
      <c r="GB67" s="40" t="str">
        <f aca="false">IF(OR(INDEX(Undirviðmið!$G$6:$G$105,(COLUMN()-7-1)/2+1)&lt;&gt;"Starfsbundið",GA67="",GA$8="",GA$7=""),"",ROUND(GA67/GA$8*GA$7*KVARDI,2))</f>
        <v/>
      </c>
      <c r="GC67" s="39"/>
      <c r="GD67" s="40" t="str">
        <f aca="false">IF(OR(INDEX(Undirviðmið!$G$6:$G$105,(COLUMN()-7-1)/2+1)&lt;&gt;"Starfsbundið",GC67="",GC$8="",GC$7=""),"",ROUND(GC67/GC$8*GC$7*KVARDI,2))</f>
        <v/>
      </c>
      <c r="GE67" s="39"/>
      <c r="GF67" s="40" t="str">
        <f aca="false">IF(OR(INDEX(Undirviðmið!$G$6:$G$105,(COLUMN()-7-1)/2+1)&lt;&gt;"Starfsbundið",GE67="",GE$8="",GE$7=""),"",ROUND(GE67/GE$8*GE$7*KVARDI,2))</f>
        <v/>
      </c>
      <c r="GG67" s="39"/>
      <c r="GH67" s="40" t="str">
        <f aca="false">IF(OR(INDEX(Undirviðmið!$G$6:$G$105,(COLUMN()-7-1)/2+1)&lt;&gt;"Starfsbundið",GG67="",GG$8="",GG$7=""),"",ROUND(GG67/GG$8*GG$7*KVARDI,2))</f>
        <v/>
      </c>
      <c r="GI67" s="39"/>
      <c r="GJ67" s="40" t="str">
        <f aca="false">IF(OR(INDEX(Undirviðmið!$G$6:$G$105,(COLUMN()-7-1)/2+1)&lt;&gt;"Starfsbundið",GI67="",GI$8="",GI$7=""),"",ROUND(GI67/GI$8*GI$7*KVARDI,2))</f>
        <v/>
      </c>
      <c r="GK67" s="39"/>
      <c r="GL67" s="40" t="str">
        <f aca="false">IF(OR(INDEX(Undirviðmið!$G$6:$G$105,(COLUMN()-7-1)/2+1)&lt;&gt;"Starfsbundið",GK67="",GK$8="",GK$7=""),"",ROUND(GK67/GK$8*GK$7*KVARDI,2))</f>
        <v/>
      </c>
      <c r="GM67" s="39"/>
      <c r="GN67" s="40" t="str">
        <f aca="false">IF(OR(INDEX(Undirviðmið!$G$6:$G$105,(COLUMN()-7-1)/2+1)&lt;&gt;"Starfsbundið",GM67="",GM$8="",GM$7=""),"",ROUND(GM67/GM$8*GM$7*KVARDI,2))</f>
        <v/>
      </c>
      <c r="GO67" s="39"/>
      <c r="GP67" s="40" t="str">
        <f aca="false">IF(OR(INDEX(Undirviðmið!$G$6:$G$105,(COLUMN()-7-1)/2+1)&lt;&gt;"Starfsbundið",GO67="",GO$8="",GO$7=""),"",ROUND(GO67/GO$8*GO$7*KVARDI,2))</f>
        <v/>
      </c>
      <c r="GQ67" s="39"/>
      <c r="GR67" s="40" t="str">
        <f aca="false">IF(OR(INDEX(Undirviðmið!$G$6:$G$105,(COLUMN()-7-1)/2+1)&lt;&gt;"Starfsbundið",GQ67="",GQ$8="",GQ$7=""),"",ROUND(GQ67/GQ$8*GQ$7*KVARDI,2))</f>
        <v/>
      </c>
      <c r="GS67" s="39"/>
      <c r="GT67" s="40" t="str">
        <f aca="false">IF(OR(INDEX(Undirviðmið!$G$6:$G$105,(COLUMN()-7-1)/2+1)&lt;&gt;"Starfsbundið",GS67="",GS$8="",GS$7=""),"",ROUND(GS67/GS$8*GS$7*KVARDI,2))</f>
        <v/>
      </c>
      <c r="GU67" s="39"/>
      <c r="GV67" s="40" t="str">
        <f aca="false">IF(OR(INDEX(Undirviðmið!$G$6:$G$105,(COLUMN()-7-1)/2+1)&lt;&gt;"Starfsbundið",GU67="",GU$8="",GU$7=""),"",ROUND(GU67/GU$8*GU$7*KVARDI,2))</f>
        <v/>
      </c>
      <c r="GW67" s="39"/>
      <c r="GX67" s="40" t="str">
        <f aca="false">IF(OR(INDEX(Undirviðmið!$G$6:$G$105,(COLUMN()-7-1)/2+1)&lt;&gt;"Starfsbundið",GW67="",GW$8="",GW$7=""),"",ROUND(GW67/GW$8*GW$7*KVARDI,2))</f>
        <v/>
      </c>
      <c r="GZ67" s="20"/>
    </row>
    <row r="68" customFormat="false" ht="15" hidden="true" customHeight="true" outlineLevel="1" collapsed="false">
      <c r="B68" s="37" t="str">
        <f aca="false" t="array" ref="B68:B68">IFERROR(INDEX(Starfsmenn!$C$6:$C$10005,MATCH(0,COUNTIF($B$11:B67,Starfsmenn!$C$6:$C$10005)+(Starfsmenn!$C$6:$C$10005=""),0)),"")</f>
        <v/>
      </c>
      <c r="C68" s="38" t="n">
        <f aca="false">IFERROR(SUMIF($G$10:$GX$10,"Stig",$G68:$GX68),0)</f>
        <v>0</v>
      </c>
      <c r="G68" s="39"/>
      <c r="H68" s="40" t="str">
        <f aca="false">IF(OR(INDEX(Undirviðmið!$G$6:$G$105,(COLUMN()-7-1)/2+1)&lt;&gt;"Starfsbundið",G68="",G$8="",G$7=""),"",ROUND(G68/G$8*G$7*KVARDI,2))</f>
        <v/>
      </c>
      <c r="I68" s="39"/>
      <c r="J68" s="40" t="str">
        <f aca="false">IF(OR(INDEX(Undirviðmið!$G$6:$G$105,(COLUMN()-7-1)/2+1)&lt;&gt;"Starfsbundið",I68="",I$8="",I$7=""),"",ROUND(I68/I$8*I$7*KVARDI,2))</f>
        <v/>
      </c>
      <c r="K68" s="39"/>
      <c r="L68" s="40" t="str">
        <f aca="false">IF(OR(INDEX(Undirviðmið!$G$6:$G$105,(COLUMN()-7-1)/2+1)&lt;&gt;"Starfsbundið",K68="",K$8="",K$7=""),"",ROUND(K68/K$8*K$7*KVARDI,2))</f>
        <v/>
      </c>
      <c r="M68" s="39"/>
      <c r="N68" s="40" t="str">
        <f aca="false">IF(OR(INDEX(Undirviðmið!$G$6:$G$105,(COLUMN()-7-1)/2+1)&lt;&gt;"Starfsbundið",M68="",M$8="",M$7=""),"",ROUND(M68/M$8*M$7*KVARDI,2))</f>
        <v/>
      </c>
      <c r="O68" s="39"/>
      <c r="P68" s="40" t="str">
        <f aca="false">IF(OR(INDEX(Undirviðmið!$G$6:$G$105,(COLUMN()-7-1)/2+1)&lt;&gt;"Starfsbundið",O68="",O$8="",O$7=""),"",ROUND(O68/O$8*O$7*KVARDI,2))</f>
        <v/>
      </c>
      <c r="Q68" s="39"/>
      <c r="R68" s="40" t="str">
        <f aca="false">IF(OR(INDEX(Undirviðmið!$G$6:$G$105,(COLUMN()-7-1)/2+1)&lt;&gt;"Starfsbundið",Q68="",Q$8="",Q$7=""),"",ROUND(Q68/Q$8*Q$7*KVARDI,2))</f>
        <v/>
      </c>
      <c r="S68" s="39"/>
      <c r="T68" s="40" t="str">
        <f aca="false">IF(OR(INDEX(Undirviðmið!$G$6:$G$105,(COLUMN()-7-1)/2+1)&lt;&gt;"Starfsbundið",S68="",S$8="",S$7=""),"",ROUND(S68/S$8*S$7*KVARDI,2))</f>
        <v/>
      </c>
      <c r="U68" s="39"/>
      <c r="V68" s="40" t="str">
        <f aca="false">IF(OR(INDEX(Undirviðmið!$G$6:$G$105,(COLUMN()-7-1)/2+1)&lt;&gt;"Starfsbundið",U68="",U$8="",U$7=""),"",ROUND(U68/U$8*U$7*KVARDI,2))</f>
        <v/>
      </c>
      <c r="W68" s="39"/>
      <c r="X68" s="40" t="str">
        <f aca="false">IF(OR(INDEX(Undirviðmið!$G$6:$G$105,(COLUMN()-7-1)/2+1)&lt;&gt;"Starfsbundið",W68="",W$8="",W$7=""),"",ROUND(W68/W$8*W$7*KVARDI,2))</f>
        <v/>
      </c>
      <c r="Y68" s="39"/>
      <c r="Z68" s="40" t="str">
        <f aca="false">IF(OR(INDEX(Undirviðmið!$G$6:$G$105,(COLUMN()-7-1)/2+1)&lt;&gt;"Starfsbundið",Y68="",Y$8="",Y$7=""),"",ROUND(Y68/Y$8*Y$7*KVARDI,2))</f>
        <v/>
      </c>
      <c r="AA68" s="39"/>
      <c r="AB68" s="40" t="str">
        <f aca="false">IF(OR(INDEX(Undirviðmið!$G$6:$G$105,(COLUMN()-7-1)/2+1)&lt;&gt;"Starfsbundið",AA68="",AA$8="",AA$7=""),"",ROUND(AA68/AA$8*AA$7*KVARDI,2))</f>
        <v/>
      </c>
      <c r="AC68" s="39"/>
      <c r="AD68" s="40" t="str">
        <f aca="false">IF(OR(INDEX(Undirviðmið!$G$6:$G$105,(COLUMN()-7-1)/2+1)&lt;&gt;"Starfsbundið",AC68="",AC$8="",AC$7=""),"",ROUND(AC68/AC$8*AC$7*KVARDI,2))</f>
        <v/>
      </c>
      <c r="AE68" s="39"/>
      <c r="AF68" s="40" t="str">
        <f aca="false">IF(OR(INDEX(Undirviðmið!$G$6:$G$105,(COLUMN()-7-1)/2+1)&lt;&gt;"Starfsbundið",AE68="",AE$8="",AE$7=""),"",ROUND(AE68/AE$8*AE$7*KVARDI,2))</f>
        <v/>
      </c>
      <c r="AG68" s="39"/>
      <c r="AH68" s="40" t="str">
        <f aca="false">IF(OR(INDEX(Undirviðmið!$G$6:$G$105,(COLUMN()-7-1)/2+1)&lt;&gt;"Starfsbundið",AG68="",AG$8="",AG$7=""),"",ROUND(AG68/AG$8*AG$7*KVARDI,2))</f>
        <v/>
      </c>
      <c r="AI68" s="39"/>
      <c r="AJ68" s="40" t="str">
        <f aca="false">IF(OR(INDEX(Undirviðmið!$G$6:$G$105,(COLUMN()-7-1)/2+1)&lt;&gt;"Starfsbundið",AI68="",AI$8="",AI$7=""),"",ROUND(AI68/AI$8*AI$7*KVARDI,2))</f>
        <v/>
      </c>
      <c r="AK68" s="39"/>
      <c r="AL68" s="40" t="str">
        <f aca="false">IF(OR(INDEX(Undirviðmið!$G$6:$G$105,(COLUMN()-7-1)/2+1)&lt;&gt;"Starfsbundið",AK68="",AK$8="",AK$7=""),"",ROUND(AK68/AK$8*AK$7*KVARDI,2))</f>
        <v/>
      </c>
      <c r="AM68" s="39"/>
      <c r="AN68" s="40" t="str">
        <f aca="false">IF(OR(INDEX(Undirviðmið!$G$6:$G$105,(COLUMN()-7-1)/2+1)&lt;&gt;"Starfsbundið",AM68="",AM$8="",AM$7=""),"",ROUND(AM68/AM$8*AM$7*KVARDI,2))</f>
        <v/>
      </c>
      <c r="AO68" s="39"/>
      <c r="AP68" s="40" t="str">
        <f aca="false">IF(OR(INDEX(Undirviðmið!$G$6:$G$105,(COLUMN()-7-1)/2+1)&lt;&gt;"Starfsbundið",AO68="",AO$8="",AO$7=""),"",ROUND(AO68/AO$8*AO$7*KVARDI,2))</f>
        <v/>
      </c>
      <c r="AQ68" s="39"/>
      <c r="AR68" s="40" t="str">
        <f aca="false">IF(OR(INDEX(Undirviðmið!$G$6:$G$105,(COLUMN()-7-1)/2+1)&lt;&gt;"Starfsbundið",AQ68="",AQ$8="",AQ$7=""),"",ROUND(AQ68/AQ$8*AQ$7*KVARDI,2))</f>
        <v/>
      </c>
      <c r="AS68" s="39"/>
      <c r="AT68" s="40" t="str">
        <f aca="false">IF(OR(INDEX(Undirviðmið!$G$6:$G$105,(COLUMN()-7-1)/2+1)&lt;&gt;"Starfsbundið",AS68="",AS$8="",AS$7=""),"",ROUND(AS68/AS$8*AS$7*KVARDI,2))</f>
        <v/>
      </c>
      <c r="AU68" s="39"/>
      <c r="AV68" s="40" t="str">
        <f aca="false">IF(OR(INDEX(Undirviðmið!$G$6:$G$105,(COLUMN()-7-1)/2+1)&lt;&gt;"Starfsbundið",AU68="",AU$8="",AU$7=""),"",ROUND(AU68/AU$8*AU$7*KVARDI,2))</f>
        <v/>
      </c>
      <c r="AW68" s="39"/>
      <c r="AX68" s="40" t="str">
        <f aca="false">IF(OR(INDEX(Undirviðmið!$G$6:$G$105,(COLUMN()-7-1)/2+1)&lt;&gt;"Starfsbundið",AW68="",AW$8="",AW$7=""),"",ROUND(AW68/AW$8*AW$7*KVARDI,2))</f>
        <v/>
      </c>
      <c r="AY68" s="39"/>
      <c r="AZ68" s="40" t="str">
        <f aca="false">IF(OR(INDEX(Undirviðmið!$G$6:$G$105,(COLUMN()-7-1)/2+1)&lt;&gt;"Starfsbundið",AY68="",AY$8="",AY$7=""),"",ROUND(AY68/AY$8*AY$7*KVARDI,2))</f>
        <v/>
      </c>
      <c r="BA68" s="39"/>
      <c r="BB68" s="40" t="str">
        <f aca="false">IF(OR(INDEX(Undirviðmið!$G$6:$G$105,(COLUMN()-7-1)/2+1)&lt;&gt;"Starfsbundið",BA68="",BA$8="",BA$7=""),"",ROUND(BA68/BA$8*BA$7*KVARDI,2))</f>
        <v/>
      </c>
      <c r="BC68" s="39"/>
      <c r="BD68" s="40" t="str">
        <f aca="false">IF(OR(INDEX(Undirviðmið!$G$6:$G$105,(COLUMN()-7-1)/2+1)&lt;&gt;"Starfsbundið",BC68="",BC$8="",BC$7=""),"",ROUND(BC68/BC$8*BC$7*KVARDI,2))</f>
        <v/>
      </c>
      <c r="BE68" s="39"/>
      <c r="BF68" s="40" t="str">
        <f aca="false">IF(OR(INDEX(Undirviðmið!$G$6:$G$105,(COLUMN()-7-1)/2+1)&lt;&gt;"Starfsbundið",BE68="",BE$8="",BE$7=""),"",ROUND(BE68/BE$8*BE$7*KVARDI,2))</f>
        <v/>
      </c>
      <c r="BG68" s="39"/>
      <c r="BH68" s="40" t="str">
        <f aca="false">IF(OR(INDEX(Undirviðmið!$G$6:$G$105,(COLUMN()-7-1)/2+1)&lt;&gt;"Starfsbundið",BG68="",BG$8="",BG$7=""),"",ROUND(BG68/BG$8*BG$7*KVARDI,2))</f>
        <v/>
      </c>
      <c r="BI68" s="39"/>
      <c r="BJ68" s="40" t="str">
        <f aca="false">IF(OR(INDEX(Undirviðmið!$G$6:$G$105,(COLUMN()-7-1)/2+1)&lt;&gt;"Starfsbundið",BI68="",BI$8="",BI$7=""),"",ROUND(BI68/BI$8*BI$7*KVARDI,2))</f>
        <v/>
      </c>
      <c r="BK68" s="39"/>
      <c r="BL68" s="40" t="str">
        <f aca="false">IF(OR(INDEX(Undirviðmið!$G$6:$G$105,(COLUMN()-7-1)/2+1)&lt;&gt;"Starfsbundið",BK68="",BK$8="",BK$7=""),"",ROUND(BK68/BK$8*BK$7*KVARDI,2))</f>
        <v/>
      </c>
      <c r="BM68" s="39"/>
      <c r="BN68" s="40" t="str">
        <f aca="false">IF(OR(INDEX(Undirviðmið!$G$6:$G$105,(COLUMN()-7-1)/2+1)&lt;&gt;"Starfsbundið",BM68="",BM$8="",BM$7=""),"",ROUND(BM68/BM$8*BM$7*KVARDI,2))</f>
        <v/>
      </c>
      <c r="BO68" s="39"/>
      <c r="BP68" s="40" t="str">
        <f aca="false">IF(OR(INDEX(Undirviðmið!$G$6:$G$105,(COLUMN()-7-1)/2+1)&lt;&gt;"Starfsbundið",BO68="",BO$8="",BO$7=""),"",ROUND(BO68/BO$8*BO$7*KVARDI,2))</f>
        <v/>
      </c>
      <c r="BQ68" s="39"/>
      <c r="BR68" s="40" t="str">
        <f aca="false">IF(OR(INDEX(Undirviðmið!$G$6:$G$105,(COLUMN()-7-1)/2+1)&lt;&gt;"Starfsbundið",BQ68="",BQ$8="",BQ$7=""),"",ROUND(BQ68/BQ$8*BQ$7*KVARDI,2))</f>
        <v/>
      </c>
      <c r="BS68" s="39"/>
      <c r="BT68" s="40" t="str">
        <f aca="false">IF(OR(INDEX(Undirviðmið!$G$6:$G$105,(COLUMN()-7-1)/2+1)&lt;&gt;"Starfsbundið",BS68="",BS$8="",BS$7=""),"",ROUND(BS68/BS$8*BS$7*KVARDI,2))</f>
        <v/>
      </c>
      <c r="BU68" s="39"/>
      <c r="BV68" s="40" t="str">
        <f aca="false">IF(OR(INDEX(Undirviðmið!$G$6:$G$105,(COLUMN()-7-1)/2+1)&lt;&gt;"Starfsbundið",BU68="",BU$8="",BU$7=""),"",ROUND(BU68/BU$8*BU$7*KVARDI,2))</f>
        <v/>
      </c>
      <c r="BW68" s="39"/>
      <c r="BX68" s="40" t="str">
        <f aca="false">IF(OR(INDEX(Undirviðmið!$G$6:$G$105,(COLUMN()-7-1)/2+1)&lt;&gt;"Starfsbundið",BW68="",BW$8="",BW$7=""),"",ROUND(BW68/BW$8*BW$7*KVARDI,2))</f>
        <v/>
      </c>
      <c r="BY68" s="39"/>
      <c r="BZ68" s="40" t="str">
        <f aca="false">IF(OR(INDEX(Undirviðmið!$G$6:$G$105,(COLUMN()-7-1)/2+1)&lt;&gt;"Starfsbundið",BY68="",BY$8="",BY$7=""),"",ROUND(BY68/BY$8*BY$7*KVARDI,2))</f>
        <v/>
      </c>
      <c r="CA68" s="39"/>
      <c r="CB68" s="40" t="str">
        <f aca="false">IF(OR(INDEX(Undirviðmið!$G$6:$G$105,(COLUMN()-7-1)/2+1)&lt;&gt;"Starfsbundið",CA68="",CA$8="",CA$7=""),"",ROUND(CA68/CA$8*CA$7*KVARDI,2))</f>
        <v/>
      </c>
      <c r="CC68" s="39"/>
      <c r="CD68" s="40" t="str">
        <f aca="false">IF(OR(INDEX(Undirviðmið!$G$6:$G$105,(COLUMN()-7-1)/2+1)&lt;&gt;"Starfsbundið",CC68="",CC$8="",CC$7=""),"",ROUND(CC68/CC$8*CC$7*KVARDI,2))</f>
        <v/>
      </c>
      <c r="CE68" s="39"/>
      <c r="CF68" s="40" t="str">
        <f aca="false">IF(OR(INDEX(Undirviðmið!$G$6:$G$105,(COLUMN()-7-1)/2+1)&lt;&gt;"Starfsbundið",CE68="",CE$8="",CE$7=""),"",ROUND(CE68/CE$8*CE$7*KVARDI,2))</f>
        <v/>
      </c>
      <c r="CG68" s="39"/>
      <c r="CH68" s="40" t="str">
        <f aca="false">IF(OR(INDEX(Undirviðmið!$G$6:$G$105,(COLUMN()-7-1)/2+1)&lt;&gt;"Starfsbundið",CG68="",CG$8="",CG$7=""),"",ROUND(CG68/CG$8*CG$7*KVARDI,2))</f>
        <v/>
      </c>
      <c r="CI68" s="39"/>
      <c r="CJ68" s="40" t="str">
        <f aca="false">IF(OR(INDEX(Undirviðmið!$G$6:$G$105,(COLUMN()-7-1)/2+1)&lt;&gt;"Starfsbundið",CI68="",CI$8="",CI$7=""),"",ROUND(CI68/CI$8*CI$7*KVARDI,2))</f>
        <v/>
      </c>
      <c r="CK68" s="39"/>
      <c r="CL68" s="40" t="str">
        <f aca="false">IF(OR(INDEX(Undirviðmið!$G$6:$G$105,(COLUMN()-7-1)/2+1)&lt;&gt;"Starfsbundið",CK68="",CK$8="",CK$7=""),"",ROUND(CK68/CK$8*CK$7*KVARDI,2))</f>
        <v/>
      </c>
      <c r="CM68" s="39"/>
      <c r="CN68" s="40" t="str">
        <f aca="false">IF(OR(INDEX(Undirviðmið!$G$6:$G$105,(COLUMN()-7-1)/2+1)&lt;&gt;"Starfsbundið",CM68="",CM$8="",CM$7=""),"",ROUND(CM68/CM$8*CM$7*KVARDI,2))</f>
        <v/>
      </c>
      <c r="CO68" s="39"/>
      <c r="CP68" s="40" t="str">
        <f aca="false">IF(OR(INDEX(Undirviðmið!$G$6:$G$105,(COLUMN()-7-1)/2+1)&lt;&gt;"Starfsbundið",CO68="",CO$8="",CO$7=""),"",ROUND(CO68/CO$8*CO$7*KVARDI,2))</f>
        <v/>
      </c>
      <c r="CQ68" s="39"/>
      <c r="CR68" s="40" t="str">
        <f aca="false">IF(OR(INDEX(Undirviðmið!$G$6:$G$105,(COLUMN()-7-1)/2+1)&lt;&gt;"Starfsbundið",CQ68="",CQ$8="",CQ$7=""),"",ROUND(CQ68/CQ$8*CQ$7*KVARDI,2))</f>
        <v/>
      </c>
      <c r="CS68" s="39"/>
      <c r="CT68" s="40" t="str">
        <f aca="false">IF(OR(INDEX(Undirviðmið!$G$6:$G$105,(COLUMN()-7-1)/2+1)&lt;&gt;"Starfsbundið",CS68="",CS$8="",CS$7=""),"",ROUND(CS68/CS$8*CS$7*KVARDI,2))</f>
        <v/>
      </c>
      <c r="CU68" s="39"/>
      <c r="CV68" s="40" t="str">
        <f aca="false">IF(OR(INDEX(Undirviðmið!$G$6:$G$105,(COLUMN()-7-1)/2+1)&lt;&gt;"Starfsbundið",CU68="",CU$8="",CU$7=""),"",ROUND(CU68/CU$8*CU$7*KVARDI,2))</f>
        <v/>
      </c>
      <c r="CW68" s="39"/>
      <c r="CX68" s="40" t="str">
        <f aca="false">IF(OR(INDEX(Undirviðmið!$G$6:$G$105,(COLUMN()-7-1)/2+1)&lt;&gt;"Starfsbundið",CW68="",CW$8="",CW$7=""),"",ROUND(CW68/CW$8*CW$7*KVARDI,2))</f>
        <v/>
      </c>
      <c r="CY68" s="39"/>
      <c r="CZ68" s="40" t="str">
        <f aca="false">IF(OR(INDEX(Undirviðmið!$G$6:$G$105,(COLUMN()-7-1)/2+1)&lt;&gt;"Starfsbundið",CY68="",CY$8="",CY$7=""),"",ROUND(CY68/CY$8*CY$7*KVARDI,2))</f>
        <v/>
      </c>
      <c r="DA68" s="39"/>
      <c r="DB68" s="40" t="str">
        <f aca="false">IF(OR(INDEX(Undirviðmið!$G$6:$G$105,(COLUMN()-7-1)/2+1)&lt;&gt;"Starfsbundið",DA68="",DA$8="",DA$7=""),"",ROUND(DA68/DA$8*DA$7*KVARDI,2))</f>
        <v/>
      </c>
      <c r="DC68" s="39"/>
      <c r="DD68" s="40" t="str">
        <f aca="false">IF(OR(INDEX(Undirviðmið!$G$6:$G$105,(COLUMN()-7-1)/2+1)&lt;&gt;"Starfsbundið",DC68="",DC$8="",DC$7=""),"",ROUND(DC68/DC$8*DC$7*KVARDI,2))</f>
        <v/>
      </c>
      <c r="DE68" s="39"/>
      <c r="DF68" s="40" t="str">
        <f aca="false">IF(OR(INDEX(Undirviðmið!$G$6:$G$105,(COLUMN()-7-1)/2+1)&lt;&gt;"Starfsbundið",DE68="",DE$8="",DE$7=""),"",ROUND(DE68/DE$8*DE$7*KVARDI,2))</f>
        <v/>
      </c>
      <c r="DG68" s="39"/>
      <c r="DH68" s="40" t="str">
        <f aca="false">IF(OR(INDEX(Undirviðmið!$G$6:$G$105,(COLUMN()-7-1)/2+1)&lt;&gt;"Starfsbundið",DG68="",DG$8="",DG$7=""),"",ROUND(DG68/DG$8*DG$7*KVARDI,2))</f>
        <v/>
      </c>
      <c r="DI68" s="39"/>
      <c r="DJ68" s="40" t="str">
        <f aca="false">IF(OR(INDEX(Undirviðmið!$G$6:$G$105,(COLUMN()-7-1)/2+1)&lt;&gt;"Starfsbundið",DI68="",DI$8="",DI$7=""),"",ROUND(DI68/DI$8*DI$7*KVARDI,2))</f>
        <v/>
      </c>
      <c r="DK68" s="39"/>
      <c r="DL68" s="40" t="str">
        <f aca="false">IF(OR(INDEX(Undirviðmið!$G$6:$G$105,(COLUMN()-7-1)/2+1)&lt;&gt;"Starfsbundið",DK68="",DK$8="",DK$7=""),"",ROUND(DK68/DK$8*DK$7*KVARDI,2))</f>
        <v/>
      </c>
      <c r="DM68" s="39"/>
      <c r="DN68" s="40" t="str">
        <f aca="false">IF(OR(INDEX(Undirviðmið!$G$6:$G$105,(COLUMN()-7-1)/2+1)&lt;&gt;"Starfsbundið",DM68="",DM$8="",DM$7=""),"",ROUND(DM68/DM$8*DM$7*KVARDI,2))</f>
        <v/>
      </c>
      <c r="DO68" s="39"/>
      <c r="DP68" s="40" t="str">
        <f aca="false">IF(OR(INDEX(Undirviðmið!$G$6:$G$105,(COLUMN()-7-1)/2+1)&lt;&gt;"Starfsbundið",DO68="",DO$8="",DO$7=""),"",ROUND(DO68/DO$8*DO$7*KVARDI,2))</f>
        <v/>
      </c>
      <c r="DQ68" s="39"/>
      <c r="DR68" s="40" t="str">
        <f aca="false">IF(OR(INDEX(Undirviðmið!$G$6:$G$105,(COLUMN()-7-1)/2+1)&lt;&gt;"Starfsbundið",DQ68="",DQ$8="",DQ$7=""),"",ROUND(DQ68/DQ$8*DQ$7*KVARDI,2))</f>
        <v/>
      </c>
      <c r="DS68" s="39"/>
      <c r="DT68" s="40" t="str">
        <f aca="false">IF(OR(INDEX(Undirviðmið!$G$6:$G$105,(COLUMN()-7-1)/2+1)&lt;&gt;"Starfsbundið",DS68="",DS$8="",DS$7=""),"",ROUND(DS68/DS$8*DS$7*KVARDI,2))</f>
        <v/>
      </c>
      <c r="DU68" s="39"/>
      <c r="DV68" s="40" t="str">
        <f aca="false">IF(OR(INDEX(Undirviðmið!$G$6:$G$105,(COLUMN()-7-1)/2+1)&lt;&gt;"Starfsbundið",DU68="",DU$8="",DU$7=""),"",ROUND(DU68/DU$8*DU$7*KVARDI,2))</f>
        <v/>
      </c>
      <c r="DW68" s="39"/>
      <c r="DX68" s="40" t="str">
        <f aca="false">IF(OR(INDEX(Undirviðmið!$G$6:$G$105,(COLUMN()-7-1)/2+1)&lt;&gt;"Starfsbundið",DW68="",DW$8="",DW$7=""),"",ROUND(DW68/DW$8*DW$7*KVARDI,2))</f>
        <v/>
      </c>
      <c r="DY68" s="39"/>
      <c r="DZ68" s="40" t="str">
        <f aca="false">IF(OR(INDEX(Undirviðmið!$G$6:$G$105,(COLUMN()-7-1)/2+1)&lt;&gt;"Starfsbundið",DY68="",DY$8="",DY$7=""),"",ROUND(DY68/DY$8*DY$7*KVARDI,2))</f>
        <v/>
      </c>
      <c r="EA68" s="39"/>
      <c r="EB68" s="40" t="str">
        <f aca="false">IF(OR(INDEX(Undirviðmið!$G$6:$G$105,(COLUMN()-7-1)/2+1)&lt;&gt;"Starfsbundið",EA68="",EA$8="",EA$7=""),"",ROUND(EA68/EA$8*EA$7*KVARDI,2))</f>
        <v/>
      </c>
      <c r="EC68" s="39"/>
      <c r="ED68" s="40" t="str">
        <f aca="false">IF(OR(INDEX(Undirviðmið!$G$6:$G$105,(COLUMN()-7-1)/2+1)&lt;&gt;"Starfsbundið",EC68="",EC$8="",EC$7=""),"",ROUND(EC68/EC$8*EC$7*KVARDI,2))</f>
        <v/>
      </c>
      <c r="EE68" s="39"/>
      <c r="EF68" s="40" t="str">
        <f aca="false">IF(OR(INDEX(Undirviðmið!$G$6:$G$105,(COLUMN()-7-1)/2+1)&lt;&gt;"Starfsbundið",EE68="",EE$8="",EE$7=""),"",ROUND(EE68/EE$8*EE$7*KVARDI,2))</f>
        <v/>
      </c>
      <c r="EG68" s="39"/>
      <c r="EH68" s="40" t="str">
        <f aca="false">IF(OR(INDEX(Undirviðmið!$G$6:$G$105,(COLUMN()-7-1)/2+1)&lt;&gt;"Starfsbundið",EG68="",EG$8="",EG$7=""),"",ROUND(EG68/EG$8*EG$7*KVARDI,2))</f>
        <v/>
      </c>
      <c r="EI68" s="39"/>
      <c r="EJ68" s="40" t="str">
        <f aca="false">IF(OR(INDEX(Undirviðmið!$G$6:$G$105,(COLUMN()-7-1)/2+1)&lt;&gt;"Starfsbundið",EI68="",EI$8="",EI$7=""),"",ROUND(EI68/EI$8*EI$7*KVARDI,2))</f>
        <v/>
      </c>
      <c r="EK68" s="39"/>
      <c r="EL68" s="40" t="str">
        <f aca="false">IF(OR(INDEX(Undirviðmið!$G$6:$G$105,(COLUMN()-7-1)/2+1)&lt;&gt;"Starfsbundið",EK68="",EK$8="",EK$7=""),"",ROUND(EK68/EK$8*EK$7*KVARDI,2))</f>
        <v/>
      </c>
      <c r="EM68" s="39"/>
      <c r="EN68" s="40" t="str">
        <f aca="false">IF(OR(INDEX(Undirviðmið!$G$6:$G$105,(COLUMN()-7-1)/2+1)&lt;&gt;"Starfsbundið",EM68="",EM$8="",EM$7=""),"",ROUND(EM68/EM$8*EM$7*KVARDI,2))</f>
        <v/>
      </c>
      <c r="EO68" s="39"/>
      <c r="EP68" s="40" t="str">
        <f aca="false">IF(OR(INDEX(Undirviðmið!$G$6:$G$105,(COLUMN()-7-1)/2+1)&lt;&gt;"Starfsbundið",EO68="",EO$8="",EO$7=""),"",ROUND(EO68/EO$8*EO$7*KVARDI,2))</f>
        <v/>
      </c>
      <c r="EQ68" s="39"/>
      <c r="ER68" s="40" t="str">
        <f aca="false">IF(OR(INDEX(Undirviðmið!$G$6:$G$105,(COLUMN()-7-1)/2+1)&lt;&gt;"Starfsbundið",EQ68="",EQ$8="",EQ$7=""),"",ROUND(EQ68/EQ$8*EQ$7*KVARDI,2))</f>
        <v/>
      </c>
      <c r="ES68" s="39"/>
      <c r="ET68" s="40" t="str">
        <f aca="false">IF(OR(INDEX(Undirviðmið!$G$6:$G$105,(COLUMN()-7-1)/2+1)&lt;&gt;"Starfsbundið",ES68="",ES$8="",ES$7=""),"",ROUND(ES68/ES$8*ES$7*KVARDI,2))</f>
        <v/>
      </c>
      <c r="EU68" s="39"/>
      <c r="EV68" s="40" t="str">
        <f aca="false">IF(OR(INDEX(Undirviðmið!$G$6:$G$105,(COLUMN()-7-1)/2+1)&lt;&gt;"Starfsbundið",EU68="",EU$8="",EU$7=""),"",ROUND(EU68/EU$8*EU$7*KVARDI,2))</f>
        <v/>
      </c>
      <c r="EW68" s="39"/>
      <c r="EX68" s="40" t="str">
        <f aca="false">IF(OR(INDEX(Undirviðmið!$G$6:$G$105,(COLUMN()-7-1)/2+1)&lt;&gt;"Starfsbundið",EW68="",EW$8="",EW$7=""),"",ROUND(EW68/EW$8*EW$7*KVARDI,2))</f>
        <v/>
      </c>
      <c r="EY68" s="39"/>
      <c r="EZ68" s="40" t="str">
        <f aca="false">IF(OR(INDEX(Undirviðmið!$G$6:$G$105,(COLUMN()-7-1)/2+1)&lt;&gt;"Starfsbundið",EY68="",EY$8="",EY$7=""),"",ROUND(EY68/EY$8*EY$7*KVARDI,2))</f>
        <v/>
      </c>
      <c r="FA68" s="39"/>
      <c r="FB68" s="40" t="str">
        <f aca="false">IF(OR(INDEX(Undirviðmið!$G$6:$G$105,(COLUMN()-7-1)/2+1)&lt;&gt;"Starfsbundið",FA68="",FA$8="",FA$7=""),"",ROUND(FA68/FA$8*FA$7*KVARDI,2))</f>
        <v/>
      </c>
      <c r="FC68" s="39"/>
      <c r="FD68" s="40" t="str">
        <f aca="false">IF(OR(INDEX(Undirviðmið!$G$6:$G$105,(COLUMN()-7-1)/2+1)&lt;&gt;"Starfsbundið",FC68="",FC$8="",FC$7=""),"",ROUND(FC68/FC$8*FC$7*KVARDI,2))</f>
        <v/>
      </c>
      <c r="FE68" s="39"/>
      <c r="FF68" s="40" t="str">
        <f aca="false">IF(OR(INDEX(Undirviðmið!$G$6:$G$105,(COLUMN()-7-1)/2+1)&lt;&gt;"Starfsbundið",FE68="",FE$8="",FE$7=""),"",ROUND(FE68/FE$8*FE$7*KVARDI,2))</f>
        <v/>
      </c>
      <c r="FG68" s="39"/>
      <c r="FH68" s="40" t="str">
        <f aca="false">IF(OR(INDEX(Undirviðmið!$G$6:$G$105,(COLUMN()-7-1)/2+1)&lt;&gt;"Starfsbundið",FG68="",FG$8="",FG$7=""),"",ROUND(FG68/FG$8*FG$7*KVARDI,2))</f>
        <v/>
      </c>
      <c r="FI68" s="39"/>
      <c r="FJ68" s="40" t="str">
        <f aca="false">IF(OR(INDEX(Undirviðmið!$G$6:$G$105,(COLUMN()-7-1)/2+1)&lt;&gt;"Starfsbundið",FI68="",FI$8="",FI$7=""),"",ROUND(FI68/FI$8*FI$7*KVARDI,2))</f>
        <v/>
      </c>
      <c r="FK68" s="39"/>
      <c r="FL68" s="40" t="str">
        <f aca="false">IF(OR(INDEX(Undirviðmið!$G$6:$G$105,(COLUMN()-7-1)/2+1)&lt;&gt;"Starfsbundið",FK68="",FK$8="",FK$7=""),"",ROUND(FK68/FK$8*FK$7*KVARDI,2))</f>
        <v/>
      </c>
      <c r="FM68" s="39"/>
      <c r="FN68" s="40" t="str">
        <f aca="false">IF(OR(INDEX(Undirviðmið!$G$6:$G$105,(COLUMN()-7-1)/2+1)&lt;&gt;"Starfsbundið",FM68="",FM$8="",FM$7=""),"",ROUND(FM68/FM$8*FM$7*KVARDI,2))</f>
        <v/>
      </c>
      <c r="FO68" s="39"/>
      <c r="FP68" s="40" t="str">
        <f aca="false">IF(OR(INDEX(Undirviðmið!$G$6:$G$105,(COLUMN()-7-1)/2+1)&lt;&gt;"Starfsbundið",FO68="",FO$8="",FO$7=""),"",ROUND(FO68/FO$8*FO$7*KVARDI,2))</f>
        <v/>
      </c>
      <c r="FQ68" s="39"/>
      <c r="FR68" s="40" t="str">
        <f aca="false">IF(OR(INDEX(Undirviðmið!$G$6:$G$105,(COLUMN()-7-1)/2+1)&lt;&gt;"Starfsbundið",FQ68="",FQ$8="",FQ$7=""),"",ROUND(FQ68/FQ$8*FQ$7*KVARDI,2))</f>
        <v/>
      </c>
      <c r="FS68" s="39"/>
      <c r="FT68" s="40" t="str">
        <f aca="false">IF(OR(INDEX(Undirviðmið!$G$6:$G$105,(COLUMN()-7-1)/2+1)&lt;&gt;"Starfsbundið",FS68="",FS$8="",FS$7=""),"",ROUND(FS68/FS$8*FS$7*KVARDI,2))</f>
        <v/>
      </c>
      <c r="FU68" s="39"/>
      <c r="FV68" s="40" t="str">
        <f aca="false">IF(OR(INDEX(Undirviðmið!$G$6:$G$105,(COLUMN()-7-1)/2+1)&lt;&gt;"Starfsbundið",FU68="",FU$8="",FU$7=""),"",ROUND(FU68/FU$8*FU$7*KVARDI,2))</f>
        <v/>
      </c>
      <c r="FW68" s="39"/>
      <c r="FX68" s="40" t="str">
        <f aca="false">IF(OR(INDEX(Undirviðmið!$G$6:$G$105,(COLUMN()-7-1)/2+1)&lt;&gt;"Starfsbundið",FW68="",FW$8="",FW$7=""),"",ROUND(FW68/FW$8*FW$7*KVARDI,2))</f>
        <v/>
      </c>
      <c r="FY68" s="39"/>
      <c r="FZ68" s="40" t="str">
        <f aca="false">IF(OR(INDEX(Undirviðmið!$G$6:$G$105,(COLUMN()-7-1)/2+1)&lt;&gt;"Starfsbundið",FY68="",FY$8="",FY$7=""),"",ROUND(FY68/FY$8*FY$7*KVARDI,2))</f>
        <v/>
      </c>
      <c r="GA68" s="39"/>
      <c r="GB68" s="40" t="str">
        <f aca="false">IF(OR(INDEX(Undirviðmið!$G$6:$G$105,(COLUMN()-7-1)/2+1)&lt;&gt;"Starfsbundið",GA68="",GA$8="",GA$7=""),"",ROUND(GA68/GA$8*GA$7*KVARDI,2))</f>
        <v/>
      </c>
      <c r="GC68" s="39"/>
      <c r="GD68" s="40" t="str">
        <f aca="false">IF(OR(INDEX(Undirviðmið!$G$6:$G$105,(COLUMN()-7-1)/2+1)&lt;&gt;"Starfsbundið",GC68="",GC$8="",GC$7=""),"",ROUND(GC68/GC$8*GC$7*KVARDI,2))</f>
        <v/>
      </c>
      <c r="GE68" s="39"/>
      <c r="GF68" s="40" t="str">
        <f aca="false">IF(OR(INDEX(Undirviðmið!$G$6:$G$105,(COLUMN()-7-1)/2+1)&lt;&gt;"Starfsbundið",GE68="",GE$8="",GE$7=""),"",ROUND(GE68/GE$8*GE$7*KVARDI,2))</f>
        <v/>
      </c>
      <c r="GG68" s="39"/>
      <c r="GH68" s="40" t="str">
        <f aca="false">IF(OR(INDEX(Undirviðmið!$G$6:$G$105,(COLUMN()-7-1)/2+1)&lt;&gt;"Starfsbundið",GG68="",GG$8="",GG$7=""),"",ROUND(GG68/GG$8*GG$7*KVARDI,2))</f>
        <v/>
      </c>
      <c r="GI68" s="39"/>
      <c r="GJ68" s="40" t="str">
        <f aca="false">IF(OR(INDEX(Undirviðmið!$G$6:$G$105,(COLUMN()-7-1)/2+1)&lt;&gt;"Starfsbundið",GI68="",GI$8="",GI$7=""),"",ROUND(GI68/GI$8*GI$7*KVARDI,2))</f>
        <v/>
      </c>
      <c r="GK68" s="39"/>
      <c r="GL68" s="40" t="str">
        <f aca="false">IF(OR(INDEX(Undirviðmið!$G$6:$G$105,(COLUMN()-7-1)/2+1)&lt;&gt;"Starfsbundið",GK68="",GK$8="",GK$7=""),"",ROUND(GK68/GK$8*GK$7*KVARDI,2))</f>
        <v/>
      </c>
      <c r="GM68" s="39"/>
      <c r="GN68" s="40" t="str">
        <f aca="false">IF(OR(INDEX(Undirviðmið!$G$6:$G$105,(COLUMN()-7-1)/2+1)&lt;&gt;"Starfsbundið",GM68="",GM$8="",GM$7=""),"",ROUND(GM68/GM$8*GM$7*KVARDI,2))</f>
        <v/>
      </c>
      <c r="GO68" s="39"/>
      <c r="GP68" s="40" t="str">
        <f aca="false">IF(OR(INDEX(Undirviðmið!$G$6:$G$105,(COLUMN()-7-1)/2+1)&lt;&gt;"Starfsbundið",GO68="",GO$8="",GO$7=""),"",ROUND(GO68/GO$8*GO$7*KVARDI,2))</f>
        <v/>
      </c>
      <c r="GQ68" s="39"/>
      <c r="GR68" s="40" t="str">
        <f aca="false">IF(OR(INDEX(Undirviðmið!$G$6:$G$105,(COLUMN()-7-1)/2+1)&lt;&gt;"Starfsbundið",GQ68="",GQ$8="",GQ$7=""),"",ROUND(GQ68/GQ$8*GQ$7*KVARDI,2))</f>
        <v/>
      </c>
      <c r="GS68" s="39"/>
      <c r="GT68" s="40" t="str">
        <f aca="false">IF(OR(INDEX(Undirviðmið!$G$6:$G$105,(COLUMN()-7-1)/2+1)&lt;&gt;"Starfsbundið",GS68="",GS$8="",GS$7=""),"",ROUND(GS68/GS$8*GS$7*KVARDI,2))</f>
        <v/>
      </c>
      <c r="GU68" s="39"/>
      <c r="GV68" s="40" t="str">
        <f aca="false">IF(OR(INDEX(Undirviðmið!$G$6:$G$105,(COLUMN()-7-1)/2+1)&lt;&gt;"Starfsbundið",GU68="",GU$8="",GU$7=""),"",ROUND(GU68/GU$8*GU$7*KVARDI,2))</f>
        <v/>
      </c>
      <c r="GW68" s="39"/>
      <c r="GX68" s="40" t="str">
        <f aca="false">IF(OR(INDEX(Undirviðmið!$G$6:$G$105,(COLUMN()-7-1)/2+1)&lt;&gt;"Starfsbundið",GW68="",GW$8="",GW$7=""),"",ROUND(GW68/GW$8*GW$7*KVARDI,2))</f>
        <v/>
      </c>
      <c r="GZ68" s="20"/>
    </row>
    <row r="69" customFormat="false" ht="15" hidden="true" customHeight="true" outlineLevel="1" collapsed="false">
      <c r="B69" s="37" t="str">
        <f aca="false" t="array" ref="B69:B69">IFERROR(INDEX(Starfsmenn!$C$6:$C$10005,MATCH(0,COUNTIF($B$11:B68,Starfsmenn!$C$6:$C$10005)+(Starfsmenn!$C$6:$C$10005=""),0)),"")</f>
        <v/>
      </c>
      <c r="C69" s="38" t="n">
        <f aca="false">IFERROR(SUMIF($G$10:$GX$10,"Stig",$G69:$GX69),0)</f>
        <v>0</v>
      </c>
      <c r="G69" s="39"/>
      <c r="H69" s="40" t="str">
        <f aca="false">IF(OR(INDEX(Undirviðmið!$G$6:$G$105,(COLUMN()-7-1)/2+1)&lt;&gt;"Starfsbundið",G69="",G$8="",G$7=""),"",ROUND(G69/G$8*G$7*KVARDI,2))</f>
        <v/>
      </c>
      <c r="I69" s="39"/>
      <c r="J69" s="40" t="str">
        <f aca="false">IF(OR(INDEX(Undirviðmið!$G$6:$G$105,(COLUMN()-7-1)/2+1)&lt;&gt;"Starfsbundið",I69="",I$8="",I$7=""),"",ROUND(I69/I$8*I$7*KVARDI,2))</f>
        <v/>
      </c>
      <c r="K69" s="39"/>
      <c r="L69" s="40" t="str">
        <f aca="false">IF(OR(INDEX(Undirviðmið!$G$6:$G$105,(COLUMN()-7-1)/2+1)&lt;&gt;"Starfsbundið",K69="",K$8="",K$7=""),"",ROUND(K69/K$8*K$7*KVARDI,2))</f>
        <v/>
      </c>
      <c r="M69" s="39"/>
      <c r="N69" s="40" t="str">
        <f aca="false">IF(OR(INDEX(Undirviðmið!$G$6:$G$105,(COLUMN()-7-1)/2+1)&lt;&gt;"Starfsbundið",M69="",M$8="",M$7=""),"",ROUND(M69/M$8*M$7*KVARDI,2))</f>
        <v/>
      </c>
      <c r="O69" s="39"/>
      <c r="P69" s="40" t="str">
        <f aca="false">IF(OR(INDEX(Undirviðmið!$G$6:$G$105,(COLUMN()-7-1)/2+1)&lt;&gt;"Starfsbundið",O69="",O$8="",O$7=""),"",ROUND(O69/O$8*O$7*KVARDI,2))</f>
        <v/>
      </c>
      <c r="Q69" s="39"/>
      <c r="R69" s="40" t="str">
        <f aca="false">IF(OR(INDEX(Undirviðmið!$G$6:$G$105,(COLUMN()-7-1)/2+1)&lt;&gt;"Starfsbundið",Q69="",Q$8="",Q$7=""),"",ROUND(Q69/Q$8*Q$7*KVARDI,2))</f>
        <v/>
      </c>
      <c r="S69" s="39"/>
      <c r="T69" s="40" t="str">
        <f aca="false">IF(OR(INDEX(Undirviðmið!$G$6:$G$105,(COLUMN()-7-1)/2+1)&lt;&gt;"Starfsbundið",S69="",S$8="",S$7=""),"",ROUND(S69/S$8*S$7*KVARDI,2))</f>
        <v/>
      </c>
      <c r="U69" s="39"/>
      <c r="V69" s="40" t="str">
        <f aca="false">IF(OR(INDEX(Undirviðmið!$G$6:$G$105,(COLUMN()-7-1)/2+1)&lt;&gt;"Starfsbundið",U69="",U$8="",U$7=""),"",ROUND(U69/U$8*U$7*KVARDI,2))</f>
        <v/>
      </c>
      <c r="W69" s="39"/>
      <c r="X69" s="40" t="str">
        <f aca="false">IF(OR(INDEX(Undirviðmið!$G$6:$G$105,(COLUMN()-7-1)/2+1)&lt;&gt;"Starfsbundið",W69="",W$8="",W$7=""),"",ROUND(W69/W$8*W$7*KVARDI,2))</f>
        <v/>
      </c>
      <c r="Y69" s="39"/>
      <c r="Z69" s="40" t="str">
        <f aca="false">IF(OR(INDEX(Undirviðmið!$G$6:$G$105,(COLUMN()-7-1)/2+1)&lt;&gt;"Starfsbundið",Y69="",Y$8="",Y$7=""),"",ROUND(Y69/Y$8*Y$7*KVARDI,2))</f>
        <v/>
      </c>
      <c r="AA69" s="39"/>
      <c r="AB69" s="40" t="str">
        <f aca="false">IF(OR(INDEX(Undirviðmið!$G$6:$G$105,(COLUMN()-7-1)/2+1)&lt;&gt;"Starfsbundið",AA69="",AA$8="",AA$7=""),"",ROUND(AA69/AA$8*AA$7*KVARDI,2))</f>
        <v/>
      </c>
      <c r="AC69" s="39"/>
      <c r="AD69" s="40" t="str">
        <f aca="false">IF(OR(INDEX(Undirviðmið!$G$6:$G$105,(COLUMN()-7-1)/2+1)&lt;&gt;"Starfsbundið",AC69="",AC$8="",AC$7=""),"",ROUND(AC69/AC$8*AC$7*KVARDI,2))</f>
        <v/>
      </c>
      <c r="AE69" s="39"/>
      <c r="AF69" s="40" t="str">
        <f aca="false">IF(OR(INDEX(Undirviðmið!$G$6:$G$105,(COLUMN()-7-1)/2+1)&lt;&gt;"Starfsbundið",AE69="",AE$8="",AE$7=""),"",ROUND(AE69/AE$8*AE$7*KVARDI,2))</f>
        <v/>
      </c>
      <c r="AG69" s="39"/>
      <c r="AH69" s="40" t="str">
        <f aca="false">IF(OR(INDEX(Undirviðmið!$G$6:$G$105,(COLUMN()-7-1)/2+1)&lt;&gt;"Starfsbundið",AG69="",AG$8="",AG$7=""),"",ROUND(AG69/AG$8*AG$7*KVARDI,2))</f>
        <v/>
      </c>
      <c r="AI69" s="39"/>
      <c r="AJ69" s="40" t="str">
        <f aca="false">IF(OR(INDEX(Undirviðmið!$G$6:$G$105,(COLUMN()-7-1)/2+1)&lt;&gt;"Starfsbundið",AI69="",AI$8="",AI$7=""),"",ROUND(AI69/AI$8*AI$7*KVARDI,2))</f>
        <v/>
      </c>
      <c r="AK69" s="39"/>
      <c r="AL69" s="40" t="str">
        <f aca="false">IF(OR(INDEX(Undirviðmið!$G$6:$G$105,(COLUMN()-7-1)/2+1)&lt;&gt;"Starfsbundið",AK69="",AK$8="",AK$7=""),"",ROUND(AK69/AK$8*AK$7*KVARDI,2))</f>
        <v/>
      </c>
      <c r="AM69" s="39"/>
      <c r="AN69" s="40" t="str">
        <f aca="false">IF(OR(INDEX(Undirviðmið!$G$6:$G$105,(COLUMN()-7-1)/2+1)&lt;&gt;"Starfsbundið",AM69="",AM$8="",AM$7=""),"",ROUND(AM69/AM$8*AM$7*KVARDI,2))</f>
        <v/>
      </c>
      <c r="AO69" s="39"/>
      <c r="AP69" s="40" t="str">
        <f aca="false">IF(OR(INDEX(Undirviðmið!$G$6:$G$105,(COLUMN()-7-1)/2+1)&lt;&gt;"Starfsbundið",AO69="",AO$8="",AO$7=""),"",ROUND(AO69/AO$8*AO$7*KVARDI,2))</f>
        <v/>
      </c>
      <c r="AQ69" s="39"/>
      <c r="AR69" s="40" t="str">
        <f aca="false">IF(OR(INDEX(Undirviðmið!$G$6:$G$105,(COLUMN()-7-1)/2+1)&lt;&gt;"Starfsbundið",AQ69="",AQ$8="",AQ$7=""),"",ROUND(AQ69/AQ$8*AQ$7*KVARDI,2))</f>
        <v/>
      </c>
      <c r="AS69" s="39"/>
      <c r="AT69" s="40" t="str">
        <f aca="false">IF(OR(INDEX(Undirviðmið!$G$6:$G$105,(COLUMN()-7-1)/2+1)&lt;&gt;"Starfsbundið",AS69="",AS$8="",AS$7=""),"",ROUND(AS69/AS$8*AS$7*KVARDI,2))</f>
        <v/>
      </c>
      <c r="AU69" s="39"/>
      <c r="AV69" s="40" t="str">
        <f aca="false">IF(OR(INDEX(Undirviðmið!$G$6:$G$105,(COLUMN()-7-1)/2+1)&lt;&gt;"Starfsbundið",AU69="",AU$8="",AU$7=""),"",ROUND(AU69/AU$8*AU$7*KVARDI,2))</f>
        <v/>
      </c>
      <c r="AW69" s="39"/>
      <c r="AX69" s="40" t="str">
        <f aca="false">IF(OR(INDEX(Undirviðmið!$G$6:$G$105,(COLUMN()-7-1)/2+1)&lt;&gt;"Starfsbundið",AW69="",AW$8="",AW$7=""),"",ROUND(AW69/AW$8*AW$7*KVARDI,2))</f>
        <v/>
      </c>
      <c r="AY69" s="39"/>
      <c r="AZ69" s="40" t="str">
        <f aca="false">IF(OR(INDEX(Undirviðmið!$G$6:$G$105,(COLUMN()-7-1)/2+1)&lt;&gt;"Starfsbundið",AY69="",AY$8="",AY$7=""),"",ROUND(AY69/AY$8*AY$7*KVARDI,2))</f>
        <v/>
      </c>
      <c r="BA69" s="39"/>
      <c r="BB69" s="40" t="str">
        <f aca="false">IF(OR(INDEX(Undirviðmið!$G$6:$G$105,(COLUMN()-7-1)/2+1)&lt;&gt;"Starfsbundið",BA69="",BA$8="",BA$7=""),"",ROUND(BA69/BA$8*BA$7*KVARDI,2))</f>
        <v/>
      </c>
      <c r="BC69" s="39"/>
      <c r="BD69" s="40" t="str">
        <f aca="false">IF(OR(INDEX(Undirviðmið!$G$6:$G$105,(COLUMN()-7-1)/2+1)&lt;&gt;"Starfsbundið",BC69="",BC$8="",BC$7=""),"",ROUND(BC69/BC$8*BC$7*KVARDI,2))</f>
        <v/>
      </c>
      <c r="BE69" s="39"/>
      <c r="BF69" s="40" t="str">
        <f aca="false">IF(OR(INDEX(Undirviðmið!$G$6:$G$105,(COLUMN()-7-1)/2+1)&lt;&gt;"Starfsbundið",BE69="",BE$8="",BE$7=""),"",ROUND(BE69/BE$8*BE$7*KVARDI,2))</f>
        <v/>
      </c>
      <c r="BG69" s="39"/>
      <c r="BH69" s="40" t="str">
        <f aca="false">IF(OR(INDEX(Undirviðmið!$G$6:$G$105,(COLUMN()-7-1)/2+1)&lt;&gt;"Starfsbundið",BG69="",BG$8="",BG$7=""),"",ROUND(BG69/BG$8*BG$7*KVARDI,2))</f>
        <v/>
      </c>
      <c r="BI69" s="39"/>
      <c r="BJ69" s="40" t="str">
        <f aca="false">IF(OR(INDEX(Undirviðmið!$G$6:$G$105,(COLUMN()-7-1)/2+1)&lt;&gt;"Starfsbundið",BI69="",BI$8="",BI$7=""),"",ROUND(BI69/BI$8*BI$7*KVARDI,2))</f>
        <v/>
      </c>
      <c r="BK69" s="39"/>
      <c r="BL69" s="40" t="str">
        <f aca="false">IF(OR(INDEX(Undirviðmið!$G$6:$G$105,(COLUMN()-7-1)/2+1)&lt;&gt;"Starfsbundið",BK69="",BK$8="",BK$7=""),"",ROUND(BK69/BK$8*BK$7*KVARDI,2))</f>
        <v/>
      </c>
      <c r="BM69" s="39"/>
      <c r="BN69" s="40" t="str">
        <f aca="false">IF(OR(INDEX(Undirviðmið!$G$6:$G$105,(COLUMN()-7-1)/2+1)&lt;&gt;"Starfsbundið",BM69="",BM$8="",BM$7=""),"",ROUND(BM69/BM$8*BM$7*KVARDI,2))</f>
        <v/>
      </c>
      <c r="BO69" s="39"/>
      <c r="BP69" s="40" t="str">
        <f aca="false">IF(OR(INDEX(Undirviðmið!$G$6:$G$105,(COLUMN()-7-1)/2+1)&lt;&gt;"Starfsbundið",BO69="",BO$8="",BO$7=""),"",ROUND(BO69/BO$8*BO$7*KVARDI,2))</f>
        <v/>
      </c>
      <c r="BQ69" s="39"/>
      <c r="BR69" s="40" t="str">
        <f aca="false">IF(OR(INDEX(Undirviðmið!$G$6:$G$105,(COLUMN()-7-1)/2+1)&lt;&gt;"Starfsbundið",BQ69="",BQ$8="",BQ$7=""),"",ROUND(BQ69/BQ$8*BQ$7*KVARDI,2))</f>
        <v/>
      </c>
      <c r="BS69" s="39"/>
      <c r="BT69" s="40" t="str">
        <f aca="false">IF(OR(INDEX(Undirviðmið!$G$6:$G$105,(COLUMN()-7-1)/2+1)&lt;&gt;"Starfsbundið",BS69="",BS$8="",BS$7=""),"",ROUND(BS69/BS$8*BS$7*KVARDI,2))</f>
        <v/>
      </c>
      <c r="BU69" s="39"/>
      <c r="BV69" s="40" t="str">
        <f aca="false">IF(OR(INDEX(Undirviðmið!$G$6:$G$105,(COLUMN()-7-1)/2+1)&lt;&gt;"Starfsbundið",BU69="",BU$8="",BU$7=""),"",ROUND(BU69/BU$8*BU$7*KVARDI,2))</f>
        <v/>
      </c>
      <c r="BW69" s="39"/>
      <c r="BX69" s="40" t="str">
        <f aca="false">IF(OR(INDEX(Undirviðmið!$G$6:$G$105,(COLUMN()-7-1)/2+1)&lt;&gt;"Starfsbundið",BW69="",BW$8="",BW$7=""),"",ROUND(BW69/BW$8*BW$7*KVARDI,2))</f>
        <v/>
      </c>
      <c r="BY69" s="39"/>
      <c r="BZ69" s="40" t="str">
        <f aca="false">IF(OR(INDEX(Undirviðmið!$G$6:$G$105,(COLUMN()-7-1)/2+1)&lt;&gt;"Starfsbundið",BY69="",BY$8="",BY$7=""),"",ROUND(BY69/BY$8*BY$7*KVARDI,2))</f>
        <v/>
      </c>
      <c r="CA69" s="39"/>
      <c r="CB69" s="40" t="str">
        <f aca="false">IF(OR(INDEX(Undirviðmið!$G$6:$G$105,(COLUMN()-7-1)/2+1)&lt;&gt;"Starfsbundið",CA69="",CA$8="",CA$7=""),"",ROUND(CA69/CA$8*CA$7*KVARDI,2))</f>
        <v/>
      </c>
      <c r="CC69" s="39"/>
      <c r="CD69" s="40" t="str">
        <f aca="false">IF(OR(INDEX(Undirviðmið!$G$6:$G$105,(COLUMN()-7-1)/2+1)&lt;&gt;"Starfsbundið",CC69="",CC$8="",CC$7=""),"",ROUND(CC69/CC$8*CC$7*KVARDI,2))</f>
        <v/>
      </c>
      <c r="CE69" s="39"/>
      <c r="CF69" s="40" t="str">
        <f aca="false">IF(OR(INDEX(Undirviðmið!$G$6:$G$105,(COLUMN()-7-1)/2+1)&lt;&gt;"Starfsbundið",CE69="",CE$8="",CE$7=""),"",ROUND(CE69/CE$8*CE$7*KVARDI,2))</f>
        <v/>
      </c>
      <c r="CG69" s="39"/>
      <c r="CH69" s="40" t="str">
        <f aca="false">IF(OR(INDEX(Undirviðmið!$G$6:$G$105,(COLUMN()-7-1)/2+1)&lt;&gt;"Starfsbundið",CG69="",CG$8="",CG$7=""),"",ROUND(CG69/CG$8*CG$7*KVARDI,2))</f>
        <v/>
      </c>
      <c r="CI69" s="39"/>
      <c r="CJ69" s="40" t="str">
        <f aca="false">IF(OR(INDEX(Undirviðmið!$G$6:$G$105,(COLUMN()-7-1)/2+1)&lt;&gt;"Starfsbundið",CI69="",CI$8="",CI$7=""),"",ROUND(CI69/CI$8*CI$7*KVARDI,2))</f>
        <v/>
      </c>
      <c r="CK69" s="39"/>
      <c r="CL69" s="40" t="str">
        <f aca="false">IF(OR(INDEX(Undirviðmið!$G$6:$G$105,(COLUMN()-7-1)/2+1)&lt;&gt;"Starfsbundið",CK69="",CK$8="",CK$7=""),"",ROUND(CK69/CK$8*CK$7*KVARDI,2))</f>
        <v/>
      </c>
      <c r="CM69" s="39"/>
      <c r="CN69" s="40" t="str">
        <f aca="false">IF(OR(INDEX(Undirviðmið!$G$6:$G$105,(COLUMN()-7-1)/2+1)&lt;&gt;"Starfsbundið",CM69="",CM$8="",CM$7=""),"",ROUND(CM69/CM$8*CM$7*KVARDI,2))</f>
        <v/>
      </c>
      <c r="CO69" s="39"/>
      <c r="CP69" s="40" t="str">
        <f aca="false">IF(OR(INDEX(Undirviðmið!$G$6:$G$105,(COLUMN()-7-1)/2+1)&lt;&gt;"Starfsbundið",CO69="",CO$8="",CO$7=""),"",ROUND(CO69/CO$8*CO$7*KVARDI,2))</f>
        <v/>
      </c>
      <c r="CQ69" s="39"/>
      <c r="CR69" s="40" t="str">
        <f aca="false">IF(OR(INDEX(Undirviðmið!$G$6:$G$105,(COLUMN()-7-1)/2+1)&lt;&gt;"Starfsbundið",CQ69="",CQ$8="",CQ$7=""),"",ROUND(CQ69/CQ$8*CQ$7*KVARDI,2))</f>
        <v/>
      </c>
      <c r="CS69" s="39"/>
      <c r="CT69" s="40" t="str">
        <f aca="false">IF(OR(INDEX(Undirviðmið!$G$6:$G$105,(COLUMN()-7-1)/2+1)&lt;&gt;"Starfsbundið",CS69="",CS$8="",CS$7=""),"",ROUND(CS69/CS$8*CS$7*KVARDI,2))</f>
        <v/>
      </c>
      <c r="CU69" s="39"/>
      <c r="CV69" s="40" t="str">
        <f aca="false">IF(OR(INDEX(Undirviðmið!$G$6:$G$105,(COLUMN()-7-1)/2+1)&lt;&gt;"Starfsbundið",CU69="",CU$8="",CU$7=""),"",ROUND(CU69/CU$8*CU$7*KVARDI,2))</f>
        <v/>
      </c>
      <c r="CW69" s="39"/>
      <c r="CX69" s="40" t="str">
        <f aca="false">IF(OR(INDEX(Undirviðmið!$G$6:$G$105,(COLUMN()-7-1)/2+1)&lt;&gt;"Starfsbundið",CW69="",CW$8="",CW$7=""),"",ROUND(CW69/CW$8*CW$7*KVARDI,2))</f>
        <v/>
      </c>
      <c r="CY69" s="39"/>
      <c r="CZ69" s="40" t="str">
        <f aca="false">IF(OR(INDEX(Undirviðmið!$G$6:$G$105,(COLUMN()-7-1)/2+1)&lt;&gt;"Starfsbundið",CY69="",CY$8="",CY$7=""),"",ROUND(CY69/CY$8*CY$7*KVARDI,2))</f>
        <v/>
      </c>
      <c r="DA69" s="39"/>
      <c r="DB69" s="40" t="str">
        <f aca="false">IF(OR(INDEX(Undirviðmið!$G$6:$G$105,(COLUMN()-7-1)/2+1)&lt;&gt;"Starfsbundið",DA69="",DA$8="",DA$7=""),"",ROUND(DA69/DA$8*DA$7*KVARDI,2))</f>
        <v/>
      </c>
      <c r="DC69" s="39"/>
      <c r="DD69" s="40" t="str">
        <f aca="false">IF(OR(INDEX(Undirviðmið!$G$6:$G$105,(COLUMN()-7-1)/2+1)&lt;&gt;"Starfsbundið",DC69="",DC$8="",DC$7=""),"",ROUND(DC69/DC$8*DC$7*KVARDI,2))</f>
        <v/>
      </c>
      <c r="DE69" s="39"/>
      <c r="DF69" s="40" t="str">
        <f aca="false">IF(OR(INDEX(Undirviðmið!$G$6:$G$105,(COLUMN()-7-1)/2+1)&lt;&gt;"Starfsbundið",DE69="",DE$8="",DE$7=""),"",ROUND(DE69/DE$8*DE$7*KVARDI,2))</f>
        <v/>
      </c>
      <c r="DG69" s="39"/>
      <c r="DH69" s="40" t="str">
        <f aca="false">IF(OR(INDEX(Undirviðmið!$G$6:$G$105,(COLUMN()-7-1)/2+1)&lt;&gt;"Starfsbundið",DG69="",DG$8="",DG$7=""),"",ROUND(DG69/DG$8*DG$7*KVARDI,2))</f>
        <v/>
      </c>
      <c r="DI69" s="39"/>
      <c r="DJ69" s="40" t="str">
        <f aca="false">IF(OR(INDEX(Undirviðmið!$G$6:$G$105,(COLUMN()-7-1)/2+1)&lt;&gt;"Starfsbundið",DI69="",DI$8="",DI$7=""),"",ROUND(DI69/DI$8*DI$7*KVARDI,2))</f>
        <v/>
      </c>
      <c r="DK69" s="39"/>
      <c r="DL69" s="40" t="str">
        <f aca="false">IF(OR(INDEX(Undirviðmið!$G$6:$G$105,(COLUMN()-7-1)/2+1)&lt;&gt;"Starfsbundið",DK69="",DK$8="",DK$7=""),"",ROUND(DK69/DK$8*DK$7*KVARDI,2))</f>
        <v/>
      </c>
      <c r="DM69" s="39"/>
      <c r="DN69" s="40" t="str">
        <f aca="false">IF(OR(INDEX(Undirviðmið!$G$6:$G$105,(COLUMN()-7-1)/2+1)&lt;&gt;"Starfsbundið",DM69="",DM$8="",DM$7=""),"",ROUND(DM69/DM$8*DM$7*KVARDI,2))</f>
        <v/>
      </c>
      <c r="DO69" s="39"/>
      <c r="DP69" s="40" t="str">
        <f aca="false">IF(OR(INDEX(Undirviðmið!$G$6:$G$105,(COLUMN()-7-1)/2+1)&lt;&gt;"Starfsbundið",DO69="",DO$8="",DO$7=""),"",ROUND(DO69/DO$8*DO$7*KVARDI,2))</f>
        <v/>
      </c>
      <c r="DQ69" s="39"/>
      <c r="DR69" s="40" t="str">
        <f aca="false">IF(OR(INDEX(Undirviðmið!$G$6:$G$105,(COLUMN()-7-1)/2+1)&lt;&gt;"Starfsbundið",DQ69="",DQ$8="",DQ$7=""),"",ROUND(DQ69/DQ$8*DQ$7*KVARDI,2))</f>
        <v/>
      </c>
      <c r="DS69" s="39"/>
      <c r="DT69" s="40" t="str">
        <f aca="false">IF(OR(INDEX(Undirviðmið!$G$6:$G$105,(COLUMN()-7-1)/2+1)&lt;&gt;"Starfsbundið",DS69="",DS$8="",DS$7=""),"",ROUND(DS69/DS$8*DS$7*KVARDI,2))</f>
        <v/>
      </c>
      <c r="DU69" s="39"/>
      <c r="DV69" s="40" t="str">
        <f aca="false">IF(OR(INDEX(Undirviðmið!$G$6:$G$105,(COLUMN()-7-1)/2+1)&lt;&gt;"Starfsbundið",DU69="",DU$8="",DU$7=""),"",ROUND(DU69/DU$8*DU$7*KVARDI,2))</f>
        <v/>
      </c>
      <c r="DW69" s="39"/>
      <c r="DX69" s="40" t="str">
        <f aca="false">IF(OR(INDEX(Undirviðmið!$G$6:$G$105,(COLUMN()-7-1)/2+1)&lt;&gt;"Starfsbundið",DW69="",DW$8="",DW$7=""),"",ROUND(DW69/DW$8*DW$7*KVARDI,2))</f>
        <v/>
      </c>
      <c r="DY69" s="39"/>
      <c r="DZ69" s="40" t="str">
        <f aca="false">IF(OR(INDEX(Undirviðmið!$G$6:$G$105,(COLUMN()-7-1)/2+1)&lt;&gt;"Starfsbundið",DY69="",DY$8="",DY$7=""),"",ROUND(DY69/DY$8*DY$7*KVARDI,2))</f>
        <v/>
      </c>
      <c r="EA69" s="39"/>
      <c r="EB69" s="40" t="str">
        <f aca="false">IF(OR(INDEX(Undirviðmið!$G$6:$G$105,(COLUMN()-7-1)/2+1)&lt;&gt;"Starfsbundið",EA69="",EA$8="",EA$7=""),"",ROUND(EA69/EA$8*EA$7*KVARDI,2))</f>
        <v/>
      </c>
      <c r="EC69" s="39"/>
      <c r="ED69" s="40" t="str">
        <f aca="false">IF(OR(INDEX(Undirviðmið!$G$6:$G$105,(COLUMN()-7-1)/2+1)&lt;&gt;"Starfsbundið",EC69="",EC$8="",EC$7=""),"",ROUND(EC69/EC$8*EC$7*KVARDI,2))</f>
        <v/>
      </c>
      <c r="EE69" s="39"/>
      <c r="EF69" s="40" t="str">
        <f aca="false">IF(OR(INDEX(Undirviðmið!$G$6:$G$105,(COLUMN()-7-1)/2+1)&lt;&gt;"Starfsbundið",EE69="",EE$8="",EE$7=""),"",ROUND(EE69/EE$8*EE$7*KVARDI,2))</f>
        <v/>
      </c>
      <c r="EG69" s="39"/>
      <c r="EH69" s="40" t="str">
        <f aca="false">IF(OR(INDEX(Undirviðmið!$G$6:$G$105,(COLUMN()-7-1)/2+1)&lt;&gt;"Starfsbundið",EG69="",EG$8="",EG$7=""),"",ROUND(EG69/EG$8*EG$7*KVARDI,2))</f>
        <v/>
      </c>
      <c r="EI69" s="39"/>
      <c r="EJ69" s="40" t="str">
        <f aca="false">IF(OR(INDEX(Undirviðmið!$G$6:$G$105,(COLUMN()-7-1)/2+1)&lt;&gt;"Starfsbundið",EI69="",EI$8="",EI$7=""),"",ROUND(EI69/EI$8*EI$7*KVARDI,2))</f>
        <v/>
      </c>
      <c r="EK69" s="39"/>
      <c r="EL69" s="40" t="str">
        <f aca="false">IF(OR(INDEX(Undirviðmið!$G$6:$G$105,(COLUMN()-7-1)/2+1)&lt;&gt;"Starfsbundið",EK69="",EK$8="",EK$7=""),"",ROUND(EK69/EK$8*EK$7*KVARDI,2))</f>
        <v/>
      </c>
      <c r="EM69" s="39"/>
      <c r="EN69" s="40" t="str">
        <f aca="false">IF(OR(INDEX(Undirviðmið!$G$6:$G$105,(COLUMN()-7-1)/2+1)&lt;&gt;"Starfsbundið",EM69="",EM$8="",EM$7=""),"",ROUND(EM69/EM$8*EM$7*KVARDI,2))</f>
        <v/>
      </c>
      <c r="EO69" s="39"/>
      <c r="EP69" s="40" t="str">
        <f aca="false">IF(OR(INDEX(Undirviðmið!$G$6:$G$105,(COLUMN()-7-1)/2+1)&lt;&gt;"Starfsbundið",EO69="",EO$8="",EO$7=""),"",ROUND(EO69/EO$8*EO$7*KVARDI,2))</f>
        <v/>
      </c>
      <c r="EQ69" s="39"/>
      <c r="ER69" s="40" t="str">
        <f aca="false">IF(OR(INDEX(Undirviðmið!$G$6:$G$105,(COLUMN()-7-1)/2+1)&lt;&gt;"Starfsbundið",EQ69="",EQ$8="",EQ$7=""),"",ROUND(EQ69/EQ$8*EQ$7*KVARDI,2))</f>
        <v/>
      </c>
      <c r="ES69" s="39"/>
      <c r="ET69" s="40" t="str">
        <f aca="false">IF(OR(INDEX(Undirviðmið!$G$6:$G$105,(COLUMN()-7-1)/2+1)&lt;&gt;"Starfsbundið",ES69="",ES$8="",ES$7=""),"",ROUND(ES69/ES$8*ES$7*KVARDI,2))</f>
        <v/>
      </c>
      <c r="EU69" s="39"/>
      <c r="EV69" s="40" t="str">
        <f aca="false">IF(OR(INDEX(Undirviðmið!$G$6:$G$105,(COLUMN()-7-1)/2+1)&lt;&gt;"Starfsbundið",EU69="",EU$8="",EU$7=""),"",ROUND(EU69/EU$8*EU$7*KVARDI,2))</f>
        <v/>
      </c>
      <c r="EW69" s="39"/>
      <c r="EX69" s="40" t="str">
        <f aca="false">IF(OR(INDEX(Undirviðmið!$G$6:$G$105,(COLUMN()-7-1)/2+1)&lt;&gt;"Starfsbundið",EW69="",EW$8="",EW$7=""),"",ROUND(EW69/EW$8*EW$7*KVARDI,2))</f>
        <v/>
      </c>
      <c r="EY69" s="39"/>
      <c r="EZ69" s="40" t="str">
        <f aca="false">IF(OR(INDEX(Undirviðmið!$G$6:$G$105,(COLUMN()-7-1)/2+1)&lt;&gt;"Starfsbundið",EY69="",EY$8="",EY$7=""),"",ROUND(EY69/EY$8*EY$7*KVARDI,2))</f>
        <v/>
      </c>
      <c r="FA69" s="39"/>
      <c r="FB69" s="40" t="str">
        <f aca="false">IF(OR(INDEX(Undirviðmið!$G$6:$G$105,(COLUMN()-7-1)/2+1)&lt;&gt;"Starfsbundið",FA69="",FA$8="",FA$7=""),"",ROUND(FA69/FA$8*FA$7*KVARDI,2))</f>
        <v/>
      </c>
      <c r="FC69" s="39"/>
      <c r="FD69" s="40" t="str">
        <f aca="false">IF(OR(INDEX(Undirviðmið!$G$6:$G$105,(COLUMN()-7-1)/2+1)&lt;&gt;"Starfsbundið",FC69="",FC$8="",FC$7=""),"",ROUND(FC69/FC$8*FC$7*KVARDI,2))</f>
        <v/>
      </c>
      <c r="FE69" s="39"/>
      <c r="FF69" s="40" t="str">
        <f aca="false">IF(OR(INDEX(Undirviðmið!$G$6:$G$105,(COLUMN()-7-1)/2+1)&lt;&gt;"Starfsbundið",FE69="",FE$8="",FE$7=""),"",ROUND(FE69/FE$8*FE$7*KVARDI,2))</f>
        <v/>
      </c>
      <c r="FG69" s="39"/>
      <c r="FH69" s="40" t="str">
        <f aca="false">IF(OR(INDEX(Undirviðmið!$G$6:$G$105,(COLUMN()-7-1)/2+1)&lt;&gt;"Starfsbundið",FG69="",FG$8="",FG$7=""),"",ROUND(FG69/FG$8*FG$7*KVARDI,2))</f>
        <v/>
      </c>
      <c r="FI69" s="39"/>
      <c r="FJ69" s="40" t="str">
        <f aca="false">IF(OR(INDEX(Undirviðmið!$G$6:$G$105,(COLUMN()-7-1)/2+1)&lt;&gt;"Starfsbundið",FI69="",FI$8="",FI$7=""),"",ROUND(FI69/FI$8*FI$7*KVARDI,2))</f>
        <v/>
      </c>
      <c r="FK69" s="39"/>
      <c r="FL69" s="40" t="str">
        <f aca="false">IF(OR(INDEX(Undirviðmið!$G$6:$G$105,(COLUMN()-7-1)/2+1)&lt;&gt;"Starfsbundið",FK69="",FK$8="",FK$7=""),"",ROUND(FK69/FK$8*FK$7*KVARDI,2))</f>
        <v/>
      </c>
      <c r="FM69" s="39"/>
      <c r="FN69" s="40" t="str">
        <f aca="false">IF(OR(INDEX(Undirviðmið!$G$6:$G$105,(COLUMN()-7-1)/2+1)&lt;&gt;"Starfsbundið",FM69="",FM$8="",FM$7=""),"",ROUND(FM69/FM$8*FM$7*KVARDI,2))</f>
        <v/>
      </c>
      <c r="FO69" s="39"/>
      <c r="FP69" s="40" t="str">
        <f aca="false">IF(OR(INDEX(Undirviðmið!$G$6:$G$105,(COLUMN()-7-1)/2+1)&lt;&gt;"Starfsbundið",FO69="",FO$8="",FO$7=""),"",ROUND(FO69/FO$8*FO$7*KVARDI,2))</f>
        <v/>
      </c>
      <c r="FQ69" s="39"/>
      <c r="FR69" s="40" t="str">
        <f aca="false">IF(OR(INDEX(Undirviðmið!$G$6:$G$105,(COLUMN()-7-1)/2+1)&lt;&gt;"Starfsbundið",FQ69="",FQ$8="",FQ$7=""),"",ROUND(FQ69/FQ$8*FQ$7*KVARDI,2))</f>
        <v/>
      </c>
      <c r="FS69" s="39"/>
      <c r="FT69" s="40" t="str">
        <f aca="false">IF(OR(INDEX(Undirviðmið!$G$6:$G$105,(COLUMN()-7-1)/2+1)&lt;&gt;"Starfsbundið",FS69="",FS$8="",FS$7=""),"",ROUND(FS69/FS$8*FS$7*KVARDI,2))</f>
        <v/>
      </c>
      <c r="FU69" s="39"/>
      <c r="FV69" s="40" t="str">
        <f aca="false">IF(OR(INDEX(Undirviðmið!$G$6:$G$105,(COLUMN()-7-1)/2+1)&lt;&gt;"Starfsbundið",FU69="",FU$8="",FU$7=""),"",ROUND(FU69/FU$8*FU$7*KVARDI,2))</f>
        <v/>
      </c>
      <c r="FW69" s="39"/>
      <c r="FX69" s="40" t="str">
        <f aca="false">IF(OR(INDEX(Undirviðmið!$G$6:$G$105,(COLUMN()-7-1)/2+1)&lt;&gt;"Starfsbundið",FW69="",FW$8="",FW$7=""),"",ROUND(FW69/FW$8*FW$7*KVARDI,2))</f>
        <v/>
      </c>
      <c r="FY69" s="39"/>
      <c r="FZ69" s="40" t="str">
        <f aca="false">IF(OR(INDEX(Undirviðmið!$G$6:$G$105,(COLUMN()-7-1)/2+1)&lt;&gt;"Starfsbundið",FY69="",FY$8="",FY$7=""),"",ROUND(FY69/FY$8*FY$7*KVARDI,2))</f>
        <v/>
      </c>
      <c r="GA69" s="39"/>
      <c r="GB69" s="40" t="str">
        <f aca="false">IF(OR(INDEX(Undirviðmið!$G$6:$G$105,(COLUMN()-7-1)/2+1)&lt;&gt;"Starfsbundið",GA69="",GA$8="",GA$7=""),"",ROUND(GA69/GA$8*GA$7*KVARDI,2))</f>
        <v/>
      </c>
      <c r="GC69" s="39"/>
      <c r="GD69" s="40" t="str">
        <f aca="false">IF(OR(INDEX(Undirviðmið!$G$6:$G$105,(COLUMN()-7-1)/2+1)&lt;&gt;"Starfsbundið",GC69="",GC$8="",GC$7=""),"",ROUND(GC69/GC$8*GC$7*KVARDI,2))</f>
        <v/>
      </c>
      <c r="GE69" s="39"/>
      <c r="GF69" s="40" t="str">
        <f aca="false">IF(OR(INDEX(Undirviðmið!$G$6:$G$105,(COLUMN()-7-1)/2+1)&lt;&gt;"Starfsbundið",GE69="",GE$8="",GE$7=""),"",ROUND(GE69/GE$8*GE$7*KVARDI,2))</f>
        <v/>
      </c>
      <c r="GG69" s="39"/>
      <c r="GH69" s="40" t="str">
        <f aca="false">IF(OR(INDEX(Undirviðmið!$G$6:$G$105,(COLUMN()-7-1)/2+1)&lt;&gt;"Starfsbundið",GG69="",GG$8="",GG$7=""),"",ROUND(GG69/GG$8*GG$7*KVARDI,2))</f>
        <v/>
      </c>
      <c r="GI69" s="39"/>
      <c r="GJ69" s="40" t="str">
        <f aca="false">IF(OR(INDEX(Undirviðmið!$G$6:$G$105,(COLUMN()-7-1)/2+1)&lt;&gt;"Starfsbundið",GI69="",GI$8="",GI$7=""),"",ROUND(GI69/GI$8*GI$7*KVARDI,2))</f>
        <v/>
      </c>
      <c r="GK69" s="39"/>
      <c r="GL69" s="40" t="str">
        <f aca="false">IF(OR(INDEX(Undirviðmið!$G$6:$G$105,(COLUMN()-7-1)/2+1)&lt;&gt;"Starfsbundið",GK69="",GK$8="",GK$7=""),"",ROUND(GK69/GK$8*GK$7*KVARDI,2))</f>
        <v/>
      </c>
      <c r="GM69" s="39"/>
      <c r="GN69" s="40" t="str">
        <f aca="false">IF(OR(INDEX(Undirviðmið!$G$6:$G$105,(COLUMN()-7-1)/2+1)&lt;&gt;"Starfsbundið",GM69="",GM$8="",GM$7=""),"",ROUND(GM69/GM$8*GM$7*KVARDI,2))</f>
        <v/>
      </c>
      <c r="GO69" s="39"/>
      <c r="GP69" s="40" t="str">
        <f aca="false">IF(OR(INDEX(Undirviðmið!$G$6:$G$105,(COLUMN()-7-1)/2+1)&lt;&gt;"Starfsbundið",GO69="",GO$8="",GO$7=""),"",ROUND(GO69/GO$8*GO$7*KVARDI,2))</f>
        <v/>
      </c>
      <c r="GQ69" s="39"/>
      <c r="GR69" s="40" t="str">
        <f aca="false">IF(OR(INDEX(Undirviðmið!$G$6:$G$105,(COLUMN()-7-1)/2+1)&lt;&gt;"Starfsbundið",GQ69="",GQ$8="",GQ$7=""),"",ROUND(GQ69/GQ$8*GQ$7*KVARDI,2))</f>
        <v/>
      </c>
      <c r="GS69" s="39"/>
      <c r="GT69" s="40" t="str">
        <f aca="false">IF(OR(INDEX(Undirviðmið!$G$6:$G$105,(COLUMN()-7-1)/2+1)&lt;&gt;"Starfsbundið",GS69="",GS$8="",GS$7=""),"",ROUND(GS69/GS$8*GS$7*KVARDI,2))</f>
        <v/>
      </c>
      <c r="GU69" s="39"/>
      <c r="GV69" s="40" t="str">
        <f aca="false">IF(OR(INDEX(Undirviðmið!$G$6:$G$105,(COLUMN()-7-1)/2+1)&lt;&gt;"Starfsbundið",GU69="",GU$8="",GU$7=""),"",ROUND(GU69/GU$8*GU$7*KVARDI,2))</f>
        <v/>
      </c>
      <c r="GW69" s="39"/>
      <c r="GX69" s="40" t="str">
        <f aca="false">IF(OR(INDEX(Undirviðmið!$G$6:$G$105,(COLUMN()-7-1)/2+1)&lt;&gt;"Starfsbundið",GW69="",GW$8="",GW$7=""),"",ROUND(GW69/GW$8*GW$7*KVARDI,2))</f>
        <v/>
      </c>
      <c r="GZ69" s="20"/>
    </row>
    <row r="70" customFormat="false" ht="15" hidden="true" customHeight="true" outlineLevel="1" collapsed="false">
      <c r="B70" s="37" t="str">
        <f aca="false" t="array" ref="B70:B70">IFERROR(INDEX(Starfsmenn!$C$6:$C$10005,MATCH(0,COUNTIF($B$11:B69,Starfsmenn!$C$6:$C$10005)+(Starfsmenn!$C$6:$C$10005=""),0)),"")</f>
        <v/>
      </c>
      <c r="C70" s="38" t="n">
        <f aca="false">IFERROR(SUMIF($G$10:$GX$10,"Stig",$G70:$GX70),0)</f>
        <v>0</v>
      </c>
      <c r="G70" s="39"/>
      <c r="H70" s="40" t="str">
        <f aca="false">IF(OR(INDEX(Undirviðmið!$G$6:$G$105,(COLUMN()-7-1)/2+1)&lt;&gt;"Starfsbundið",G70="",G$8="",G$7=""),"",ROUND(G70/G$8*G$7*KVARDI,2))</f>
        <v/>
      </c>
      <c r="I70" s="39"/>
      <c r="J70" s="40" t="str">
        <f aca="false">IF(OR(INDEX(Undirviðmið!$G$6:$G$105,(COLUMN()-7-1)/2+1)&lt;&gt;"Starfsbundið",I70="",I$8="",I$7=""),"",ROUND(I70/I$8*I$7*KVARDI,2))</f>
        <v/>
      </c>
      <c r="K70" s="39"/>
      <c r="L70" s="40" t="str">
        <f aca="false">IF(OR(INDEX(Undirviðmið!$G$6:$G$105,(COLUMN()-7-1)/2+1)&lt;&gt;"Starfsbundið",K70="",K$8="",K$7=""),"",ROUND(K70/K$8*K$7*KVARDI,2))</f>
        <v/>
      </c>
      <c r="M70" s="39"/>
      <c r="N70" s="40" t="str">
        <f aca="false">IF(OR(INDEX(Undirviðmið!$G$6:$G$105,(COLUMN()-7-1)/2+1)&lt;&gt;"Starfsbundið",M70="",M$8="",M$7=""),"",ROUND(M70/M$8*M$7*KVARDI,2))</f>
        <v/>
      </c>
      <c r="O70" s="39"/>
      <c r="P70" s="40" t="str">
        <f aca="false">IF(OR(INDEX(Undirviðmið!$G$6:$G$105,(COLUMN()-7-1)/2+1)&lt;&gt;"Starfsbundið",O70="",O$8="",O$7=""),"",ROUND(O70/O$8*O$7*KVARDI,2))</f>
        <v/>
      </c>
      <c r="Q70" s="39"/>
      <c r="R70" s="40" t="str">
        <f aca="false">IF(OR(INDEX(Undirviðmið!$G$6:$G$105,(COLUMN()-7-1)/2+1)&lt;&gt;"Starfsbundið",Q70="",Q$8="",Q$7=""),"",ROUND(Q70/Q$8*Q$7*KVARDI,2))</f>
        <v/>
      </c>
      <c r="S70" s="39"/>
      <c r="T70" s="40" t="str">
        <f aca="false">IF(OR(INDEX(Undirviðmið!$G$6:$G$105,(COLUMN()-7-1)/2+1)&lt;&gt;"Starfsbundið",S70="",S$8="",S$7=""),"",ROUND(S70/S$8*S$7*KVARDI,2))</f>
        <v/>
      </c>
      <c r="U70" s="39"/>
      <c r="V70" s="40" t="str">
        <f aca="false">IF(OR(INDEX(Undirviðmið!$G$6:$G$105,(COLUMN()-7-1)/2+1)&lt;&gt;"Starfsbundið",U70="",U$8="",U$7=""),"",ROUND(U70/U$8*U$7*KVARDI,2))</f>
        <v/>
      </c>
      <c r="W70" s="39"/>
      <c r="X70" s="40" t="str">
        <f aca="false">IF(OR(INDEX(Undirviðmið!$G$6:$G$105,(COLUMN()-7-1)/2+1)&lt;&gt;"Starfsbundið",W70="",W$8="",W$7=""),"",ROUND(W70/W$8*W$7*KVARDI,2))</f>
        <v/>
      </c>
      <c r="Y70" s="39"/>
      <c r="Z70" s="40" t="str">
        <f aca="false">IF(OR(INDEX(Undirviðmið!$G$6:$G$105,(COLUMN()-7-1)/2+1)&lt;&gt;"Starfsbundið",Y70="",Y$8="",Y$7=""),"",ROUND(Y70/Y$8*Y$7*KVARDI,2))</f>
        <v/>
      </c>
      <c r="AA70" s="39"/>
      <c r="AB70" s="40" t="str">
        <f aca="false">IF(OR(INDEX(Undirviðmið!$G$6:$G$105,(COLUMN()-7-1)/2+1)&lt;&gt;"Starfsbundið",AA70="",AA$8="",AA$7=""),"",ROUND(AA70/AA$8*AA$7*KVARDI,2))</f>
        <v/>
      </c>
      <c r="AC70" s="39"/>
      <c r="AD70" s="40" t="str">
        <f aca="false">IF(OR(INDEX(Undirviðmið!$G$6:$G$105,(COLUMN()-7-1)/2+1)&lt;&gt;"Starfsbundið",AC70="",AC$8="",AC$7=""),"",ROUND(AC70/AC$8*AC$7*KVARDI,2))</f>
        <v/>
      </c>
      <c r="AE70" s="39"/>
      <c r="AF70" s="40" t="str">
        <f aca="false">IF(OR(INDEX(Undirviðmið!$G$6:$G$105,(COLUMN()-7-1)/2+1)&lt;&gt;"Starfsbundið",AE70="",AE$8="",AE$7=""),"",ROUND(AE70/AE$8*AE$7*KVARDI,2))</f>
        <v/>
      </c>
      <c r="AG70" s="39"/>
      <c r="AH70" s="40" t="str">
        <f aca="false">IF(OR(INDEX(Undirviðmið!$G$6:$G$105,(COLUMN()-7-1)/2+1)&lt;&gt;"Starfsbundið",AG70="",AG$8="",AG$7=""),"",ROUND(AG70/AG$8*AG$7*KVARDI,2))</f>
        <v/>
      </c>
      <c r="AI70" s="39"/>
      <c r="AJ70" s="40" t="str">
        <f aca="false">IF(OR(INDEX(Undirviðmið!$G$6:$G$105,(COLUMN()-7-1)/2+1)&lt;&gt;"Starfsbundið",AI70="",AI$8="",AI$7=""),"",ROUND(AI70/AI$8*AI$7*KVARDI,2))</f>
        <v/>
      </c>
      <c r="AK70" s="39"/>
      <c r="AL70" s="40" t="str">
        <f aca="false">IF(OR(INDEX(Undirviðmið!$G$6:$G$105,(COLUMN()-7-1)/2+1)&lt;&gt;"Starfsbundið",AK70="",AK$8="",AK$7=""),"",ROUND(AK70/AK$8*AK$7*KVARDI,2))</f>
        <v/>
      </c>
      <c r="AM70" s="39"/>
      <c r="AN70" s="40" t="str">
        <f aca="false">IF(OR(INDEX(Undirviðmið!$G$6:$G$105,(COLUMN()-7-1)/2+1)&lt;&gt;"Starfsbundið",AM70="",AM$8="",AM$7=""),"",ROUND(AM70/AM$8*AM$7*KVARDI,2))</f>
        <v/>
      </c>
      <c r="AO70" s="39"/>
      <c r="AP70" s="40" t="str">
        <f aca="false">IF(OR(INDEX(Undirviðmið!$G$6:$G$105,(COLUMN()-7-1)/2+1)&lt;&gt;"Starfsbundið",AO70="",AO$8="",AO$7=""),"",ROUND(AO70/AO$8*AO$7*KVARDI,2))</f>
        <v/>
      </c>
      <c r="AQ70" s="39"/>
      <c r="AR70" s="40" t="str">
        <f aca="false">IF(OR(INDEX(Undirviðmið!$G$6:$G$105,(COLUMN()-7-1)/2+1)&lt;&gt;"Starfsbundið",AQ70="",AQ$8="",AQ$7=""),"",ROUND(AQ70/AQ$8*AQ$7*KVARDI,2))</f>
        <v/>
      </c>
      <c r="AS70" s="39"/>
      <c r="AT70" s="40" t="str">
        <f aca="false">IF(OR(INDEX(Undirviðmið!$G$6:$G$105,(COLUMN()-7-1)/2+1)&lt;&gt;"Starfsbundið",AS70="",AS$8="",AS$7=""),"",ROUND(AS70/AS$8*AS$7*KVARDI,2))</f>
        <v/>
      </c>
      <c r="AU70" s="39"/>
      <c r="AV70" s="40" t="str">
        <f aca="false">IF(OR(INDEX(Undirviðmið!$G$6:$G$105,(COLUMN()-7-1)/2+1)&lt;&gt;"Starfsbundið",AU70="",AU$8="",AU$7=""),"",ROUND(AU70/AU$8*AU$7*KVARDI,2))</f>
        <v/>
      </c>
      <c r="AW70" s="39"/>
      <c r="AX70" s="40" t="str">
        <f aca="false">IF(OR(INDEX(Undirviðmið!$G$6:$G$105,(COLUMN()-7-1)/2+1)&lt;&gt;"Starfsbundið",AW70="",AW$8="",AW$7=""),"",ROUND(AW70/AW$8*AW$7*KVARDI,2))</f>
        <v/>
      </c>
      <c r="AY70" s="39"/>
      <c r="AZ70" s="40" t="str">
        <f aca="false">IF(OR(INDEX(Undirviðmið!$G$6:$G$105,(COLUMN()-7-1)/2+1)&lt;&gt;"Starfsbundið",AY70="",AY$8="",AY$7=""),"",ROUND(AY70/AY$8*AY$7*KVARDI,2))</f>
        <v/>
      </c>
      <c r="BA70" s="39"/>
      <c r="BB70" s="40" t="str">
        <f aca="false">IF(OR(INDEX(Undirviðmið!$G$6:$G$105,(COLUMN()-7-1)/2+1)&lt;&gt;"Starfsbundið",BA70="",BA$8="",BA$7=""),"",ROUND(BA70/BA$8*BA$7*KVARDI,2))</f>
        <v/>
      </c>
      <c r="BC70" s="39"/>
      <c r="BD70" s="40" t="str">
        <f aca="false">IF(OR(INDEX(Undirviðmið!$G$6:$G$105,(COLUMN()-7-1)/2+1)&lt;&gt;"Starfsbundið",BC70="",BC$8="",BC$7=""),"",ROUND(BC70/BC$8*BC$7*KVARDI,2))</f>
        <v/>
      </c>
      <c r="BE70" s="39"/>
      <c r="BF70" s="40" t="str">
        <f aca="false">IF(OR(INDEX(Undirviðmið!$G$6:$G$105,(COLUMN()-7-1)/2+1)&lt;&gt;"Starfsbundið",BE70="",BE$8="",BE$7=""),"",ROUND(BE70/BE$8*BE$7*KVARDI,2))</f>
        <v/>
      </c>
      <c r="BG70" s="39"/>
      <c r="BH70" s="40" t="str">
        <f aca="false">IF(OR(INDEX(Undirviðmið!$G$6:$G$105,(COLUMN()-7-1)/2+1)&lt;&gt;"Starfsbundið",BG70="",BG$8="",BG$7=""),"",ROUND(BG70/BG$8*BG$7*KVARDI,2))</f>
        <v/>
      </c>
      <c r="BI70" s="39"/>
      <c r="BJ70" s="40" t="str">
        <f aca="false">IF(OR(INDEX(Undirviðmið!$G$6:$G$105,(COLUMN()-7-1)/2+1)&lt;&gt;"Starfsbundið",BI70="",BI$8="",BI$7=""),"",ROUND(BI70/BI$8*BI$7*KVARDI,2))</f>
        <v/>
      </c>
      <c r="BK70" s="39"/>
      <c r="BL70" s="40" t="str">
        <f aca="false">IF(OR(INDEX(Undirviðmið!$G$6:$G$105,(COLUMN()-7-1)/2+1)&lt;&gt;"Starfsbundið",BK70="",BK$8="",BK$7=""),"",ROUND(BK70/BK$8*BK$7*KVARDI,2))</f>
        <v/>
      </c>
      <c r="BM70" s="39"/>
      <c r="BN70" s="40" t="str">
        <f aca="false">IF(OR(INDEX(Undirviðmið!$G$6:$G$105,(COLUMN()-7-1)/2+1)&lt;&gt;"Starfsbundið",BM70="",BM$8="",BM$7=""),"",ROUND(BM70/BM$8*BM$7*KVARDI,2))</f>
        <v/>
      </c>
      <c r="BO70" s="39"/>
      <c r="BP70" s="40" t="str">
        <f aca="false">IF(OR(INDEX(Undirviðmið!$G$6:$G$105,(COLUMN()-7-1)/2+1)&lt;&gt;"Starfsbundið",BO70="",BO$8="",BO$7=""),"",ROUND(BO70/BO$8*BO$7*KVARDI,2))</f>
        <v/>
      </c>
      <c r="BQ70" s="39"/>
      <c r="BR70" s="40" t="str">
        <f aca="false">IF(OR(INDEX(Undirviðmið!$G$6:$G$105,(COLUMN()-7-1)/2+1)&lt;&gt;"Starfsbundið",BQ70="",BQ$8="",BQ$7=""),"",ROUND(BQ70/BQ$8*BQ$7*KVARDI,2))</f>
        <v/>
      </c>
      <c r="BS70" s="39"/>
      <c r="BT70" s="40" t="str">
        <f aca="false">IF(OR(INDEX(Undirviðmið!$G$6:$G$105,(COLUMN()-7-1)/2+1)&lt;&gt;"Starfsbundið",BS70="",BS$8="",BS$7=""),"",ROUND(BS70/BS$8*BS$7*KVARDI,2))</f>
        <v/>
      </c>
      <c r="BU70" s="39"/>
      <c r="BV70" s="40" t="str">
        <f aca="false">IF(OR(INDEX(Undirviðmið!$G$6:$G$105,(COLUMN()-7-1)/2+1)&lt;&gt;"Starfsbundið",BU70="",BU$8="",BU$7=""),"",ROUND(BU70/BU$8*BU$7*KVARDI,2))</f>
        <v/>
      </c>
      <c r="BW70" s="39"/>
      <c r="BX70" s="40" t="str">
        <f aca="false">IF(OR(INDEX(Undirviðmið!$G$6:$G$105,(COLUMN()-7-1)/2+1)&lt;&gt;"Starfsbundið",BW70="",BW$8="",BW$7=""),"",ROUND(BW70/BW$8*BW$7*KVARDI,2))</f>
        <v/>
      </c>
      <c r="BY70" s="39"/>
      <c r="BZ70" s="40" t="str">
        <f aca="false">IF(OR(INDEX(Undirviðmið!$G$6:$G$105,(COLUMN()-7-1)/2+1)&lt;&gt;"Starfsbundið",BY70="",BY$8="",BY$7=""),"",ROUND(BY70/BY$8*BY$7*KVARDI,2))</f>
        <v/>
      </c>
      <c r="CA70" s="39"/>
      <c r="CB70" s="40" t="str">
        <f aca="false">IF(OR(INDEX(Undirviðmið!$G$6:$G$105,(COLUMN()-7-1)/2+1)&lt;&gt;"Starfsbundið",CA70="",CA$8="",CA$7=""),"",ROUND(CA70/CA$8*CA$7*KVARDI,2))</f>
        <v/>
      </c>
      <c r="CC70" s="39"/>
      <c r="CD70" s="40" t="str">
        <f aca="false">IF(OR(INDEX(Undirviðmið!$G$6:$G$105,(COLUMN()-7-1)/2+1)&lt;&gt;"Starfsbundið",CC70="",CC$8="",CC$7=""),"",ROUND(CC70/CC$8*CC$7*KVARDI,2))</f>
        <v/>
      </c>
      <c r="CE70" s="39"/>
      <c r="CF70" s="40" t="str">
        <f aca="false">IF(OR(INDEX(Undirviðmið!$G$6:$G$105,(COLUMN()-7-1)/2+1)&lt;&gt;"Starfsbundið",CE70="",CE$8="",CE$7=""),"",ROUND(CE70/CE$8*CE$7*KVARDI,2))</f>
        <v/>
      </c>
      <c r="CG70" s="39"/>
      <c r="CH70" s="40" t="str">
        <f aca="false">IF(OR(INDEX(Undirviðmið!$G$6:$G$105,(COLUMN()-7-1)/2+1)&lt;&gt;"Starfsbundið",CG70="",CG$8="",CG$7=""),"",ROUND(CG70/CG$8*CG$7*KVARDI,2))</f>
        <v/>
      </c>
      <c r="CI70" s="39"/>
      <c r="CJ70" s="40" t="str">
        <f aca="false">IF(OR(INDEX(Undirviðmið!$G$6:$G$105,(COLUMN()-7-1)/2+1)&lt;&gt;"Starfsbundið",CI70="",CI$8="",CI$7=""),"",ROUND(CI70/CI$8*CI$7*KVARDI,2))</f>
        <v/>
      </c>
      <c r="CK70" s="39"/>
      <c r="CL70" s="40" t="str">
        <f aca="false">IF(OR(INDEX(Undirviðmið!$G$6:$G$105,(COLUMN()-7-1)/2+1)&lt;&gt;"Starfsbundið",CK70="",CK$8="",CK$7=""),"",ROUND(CK70/CK$8*CK$7*KVARDI,2))</f>
        <v/>
      </c>
      <c r="CM70" s="39"/>
      <c r="CN70" s="40" t="str">
        <f aca="false">IF(OR(INDEX(Undirviðmið!$G$6:$G$105,(COLUMN()-7-1)/2+1)&lt;&gt;"Starfsbundið",CM70="",CM$8="",CM$7=""),"",ROUND(CM70/CM$8*CM$7*KVARDI,2))</f>
        <v/>
      </c>
      <c r="CO70" s="39"/>
      <c r="CP70" s="40" t="str">
        <f aca="false">IF(OR(INDEX(Undirviðmið!$G$6:$G$105,(COLUMN()-7-1)/2+1)&lt;&gt;"Starfsbundið",CO70="",CO$8="",CO$7=""),"",ROUND(CO70/CO$8*CO$7*KVARDI,2))</f>
        <v/>
      </c>
      <c r="CQ70" s="39"/>
      <c r="CR70" s="40" t="str">
        <f aca="false">IF(OR(INDEX(Undirviðmið!$G$6:$G$105,(COLUMN()-7-1)/2+1)&lt;&gt;"Starfsbundið",CQ70="",CQ$8="",CQ$7=""),"",ROUND(CQ70/CQ$8*CQ$7*KVARDI,2))</f>
        <v/>
      </c>
      <c r="CS70" s="39"/>
      <c r="CT70" s="40" t="str">
        <f aca="false">IF(OR(INDEX(Undirviðmið!$G$6:$G$105,(COLUMN()-7-1)/2+1)&lt;&gt;"Starfsbundið",CS70="",CS$8="",CS$7=""),"",ROUND(CS70/CS$8*CS$7*KVARDI,2))</f>
        <v/>
      </c>
      <c r="CU70" s="39"/>
      <c r="CV70" s="40" t="str">
        <f aca="false">IF(OR(INDEX(Undirviðmið!$G$6:$G$105,(COLUMN()-7-1)/2+1)&lt;&gt;"Starfsbundið",CU70="",CU$8="",CU$7=""),"",ROUND(CU70/CU$8*CU$7*KVARDI,2))</f>
        <v/>
      </c>
      <c r="CW70" s="39"/>
      <c r="CX70" s="40" t="str">
        <f aca="false">IF(OR(INDEX(Undirviðmið!$G$6:$G$105,(COLUMN()-7-1)/2+1)&lt;&gt;"Starfsbundið",CW70="",CW$8="",CW$7=""),"",ROUND(CW70/CW$8*CW$7*KVARDI,2))</f>
        <v/>
      </c>
      <c r="CY70" s="39"/>
      <c r="CZ70" s="40" t="str">
        <f aca="false">IF(OR(INDEX(Undirviðmið!$G$6:$G$105,(COLUMN()-7-1)/2+1)&lt;&gt;"Starfsbundið",CY70="",CY$8="",CY$7=""),"",ROUND(CY70/CY$8*CY$7*KVARDI,2))</f>
        <v/>
      </c>
      <c r="DA70" s="39"/>
      <c r="DB70" s="40" t="str">
        <f aca="false">IF(OR(INDEX(Undirviðmið!$G$6:$G$105,(COLUMN()-7-1)/2+1)&lt;&gt;"Starfsbundið",DA70="",DA$8="",DA$7=""),"",ROUND(DA70/DA$8*DA$7*KVARDI,2))</f>
        <v/>
      </c>
      <c r="DC70" s="39"/>
      <c r="DD70" s="40" t="str">
        <f aca="false">IF(OR(INDEX(Undirviðmið!$G$6:$G$105,(COLUMN()-7-1)/2+1)&lt;&gt;"Starfsbundið",DC70="",DC$8="",DC$7=""),"",ROUND(DC70/DC$8*DC$7*KVARDI,2))</f>
        <v/>
      </c>
      <c r="DE70" s="39"/>
      <c r="DF70" s="40" t="str">
        <f aca="false">IF(OR(INDEX(Undirviðmið!$G$6:$G$105,(COLUMN()-7-1)/2+1)&lt;&gt;"Starfsbundið",DE70="",DE$8="",DE$7=""),"",ROUND(DE70/DE$8*DE$7*KVARDI,2))</f>
        <v/>
      </c>
      <c r="DG70" s="39"/>
      <c r="DH70" s="40" t="str">
        <f aca="false">IF(OR(INDEX(Undirviðmið!$G$6:$G$105,(COLUMN()-7-1)/2+1)&lt;&gt;"Starfsbundið",DG70="",DG$8="",DG$7=""),"",ROUND(DG70/DG$8*DG$7*KVARDI,2))</f>
        <v/>
      </c>
      <c r="DI70" s="39"/>
      <c r="DJ70" s="40" t="str">
        <f aca="false">IF(OR(INDEX(Undirviðmið!$G$6:$G$105,(COLUMN()-7-1)/2+1)&lt;&gt;"Starfsbundið",DI70="",DI$8="",DI$7=""),"",ROUND(DI70/DI$8*DI$7*KVARDI,2))</f>
        <v/>
      </c>
      <c r="DK70" s="39"/>
      <c r="DL70" s="40" t="str">
        <f aca="false">IF(OR(INDEX(Undirviðmið!$G$6:$G$105,(COLUMN()-7-1)/2+1)&lt;&gt;"Starfsbundið",DK70="",DK$8="",DK$7=""),"",ROUND(DK70/DK$8*DK$7*KVARDI,2))</f>
        <v/>
      </c>
      <c r="DM70" s="39"/>
      <c r="DN70" s="40" t="str">
        <f aca="false">IF(OR(INDEX(Undirviðmið!$G$6:$G$105,(COLUMN()-7-1)/2+1)&lt;&gt;"Starfsbundið",DM70="",DM$8="",DM$7=""),"",ROUND(DM70/DM$8*DM$7*KVARDI,2))</f>
        <v/>
      </c>
      <c r="DO70" s="39"/>
      <c r="DP70" s="40" t="str">
        <f aca="false">IF(OR(INDEX(Undirviðmið!$G$6:$G$105,(COLUMN()-7-1)/2+1)&lt;&gt;"Starfsbundið",DO70="",DO$8="",DO$7=""),"",ROUND(DO70/DO$8*DO$7*KVARDI,2))</f>
        <v/>
      </c>
      <c r="DQ70" s="39"/>
      <c r="DR70" s="40" t="str">
        <f aca="false">IF(OR(INDEX(Undirviðmið!$G$6:$G$105,(COLUMN()-7-1)/2+1)&lt;&gt;"Starfsbundið",DQ70="",DQ$8="",DQ$7=""),"",ROUND(DQ70/DQ$8*DQ$7*KVARDI,2))</f>
        <v/>
      </c>
      <c r="DS70" s="39"/>
      <c r="DT70" s="40" t="str">
        <f aca="false">IF(OR(INDEX(Undirviðmið!$G$6:$G$105,(COLUMN()-7-1)/2+1)&lt;&gt;"Starfsbundið",DS70="",DS$8="",DS$7=""),"",ROUND(DS70/DS$8*DS$7*KVARDI,2))</f>
        <v/>
      </c>
      <c r="DU70" s="39"/>
      <c r="DV70" s="40" t="str">
        <f aca="false">IF(OR(INDEX(Undirviðmið!$G$6:$G$105,(COLUMN()-7-1)/2+1)&lt;&gt;"Starfsbundið",DU70="",DU$8="",DU$7=""),"",ROUND(DU70/DU$8*DU$7*KVARDI,2))</f>
        <v/>
      </c>
      <c r="DW70" s="39"/>
      <c r="DX70" s="40" t="str">
        <f aca="false">IF(OR(INDEX(Undirviðmið!$G$6:$G$105,(COLUMN()-7-1)/2+1)&lt;&gt;"Starfsbundið",DW70="",DW$8="",DW$7=""),"",ROUND(DW70/DW$8*DW$7*KVARDI,2))</f>
        <v/>
      </c>
      <c r="DY70" s="39"/>
      <c r="DZ70" s="40" t="str">
        <f aca="false">IF(OR(INDEX(Undirviðmið!$G$6:$G$105,(COLUMN()-7-1)/2+1)&lt;&gt;"Starfsbundið",DY70="",DY$8="",DY$7=""),"",ROUND(DY70/DY$8*DY$7*KVARDI,2))</f>
        <v/>
      </c>
      <c r="EA70" s="39"/>
      <c r="EB70" s="40" t="str">
        <f aca="false">IF(OR(INDEX(Undirviðmið!$G$6:$G$105,(COLUMN()-7-1)/2+1)&lt;&gt;"Starfsbundið",EA70="",EA$8="",EA$7=""),"",ROUND(EA70/EA$8*EA$7*KVARDI,2))</f>
        <v/>
      </c>
      <c r="EC70" s="39"/>
      <c r="ED70" s="40" t="str">
        <f aca="false">IF(OR(INDEX(Undirviðmið!$G$6:$G$105,(COLUMN()-7-1)/2+1)&lt;&gt;"Starfsbundið",EC70="",EC$8="",EC$7=""),"",ROUND(EC70/EC$8*EC$7*KVARDI,2))</f>
        <v/>
      </c>
      <c r="EE70" s="39"/>
      <c r="EF70" s="40" t="str">
        <f aca="false">IF(OR(INDEX(Undirviðmið!$G$6:$G$105,(COLUMN()-7-1)/2+1)&lt;&gt;"Starfsbundið",EE70="",EE$8="",EE$7=""),"",ROUND(EE70/EE$8*EE$7*KVARDI,2))</f>
        <v/>
      </c>
      <c r="EG70" s="39"/>
      <c r="EH70" s="40" t="str">
        <f aca="false">IF(OR(INDEX(Undirviðmið!$G$6:$G$105,(COLUMN()-7-1)/2+1)&lt;&gt;"Starfsbundið",EG70="",EG$8="",EG$7=""),"",ROUND(EG70/EG$8*EG$7*KVARDI,2))</f>
        <v/>
      </c>
      <c r="EI70" s="39"/>
      <c r="EJ70" s="40" t="str">
        <f aca="false">IF(OR(INDEX(Undirviðmið!$G$6:$G$105,(COLUMN()-7-1)/2+1)&lt;&gt;"Starfsbundið",EI70="",EI$8="",EI$7=""),"",ROUND(EI70/EI$8*EI$7*KVARDI,2))</f>
        <v/>
      </c>
      <c r="EK70" s="39"/>
      <c r="EL70" s="40" t="str">
        <f aca="false">IF(OR(INDEX(Undirviðmið!$G$6:$G$105,(COLUMN()-7-1)/2+1)&lt;&gt;"Starfsbundið",EK70="",EK$8="",EK$7=""),"",ROUND(EK70/EK$8*EK$7*KVARDI,2))</f>
        <v/>
      </c>
      <c r="EM70" s="39"/>
      <c r="EN70" s="40" t="str">
        <f aca="false">IF(OR(INDEX(Undirviðmið!$G$6:$G$105,(COLUMN()-7-1)/2+1)&lt;&gt;"Starfsbundið",EM70="",EM$8="",EM$7=""),"",ROUND(EM70/EM$8*EM$7*KVARDI,2))</f>
        <v/>
      </c>
      <c r="EO70" s="39"/>
      <c r="EP70" s="40" t="str">
        <f aca="false">IF(OR(INDEX(Undirviðmið!$G$6:$G$105,(COLUMN()-7-1)/2+1)&lt;&gt;"Starfsbundið",EO70="",EO$8="",EO$7=""),"",ROUND(EO70/EO$8*EO$7*KVARDI,2))</f>
        <v/>
      </c>
      <c r="EQ70" s="39"/>
      <c r="ER70" s="40" t="str">
        <f aca="false">IF(OR(INDEX(Undirviðmið!$G$6:$G$105,(COLUMN()-7-1)/2+1)&lt;&gt;"Starfsbundið",EQ70="",EQ$8="",EQ$7=""),"",ROUND(EQ70/EQ$8*EQ$7*KVARDI,2))</f>
        <v/>
      </c>
      <c r="ES70" s="39"/>
      <c r="ET70" s="40" t="str">
        <f aca="false">IF(OR(INDEX(Undirviðmið!$G$6:$G$105,(COLUMN()-7-1)/2+1)&lt;&gt;"Starfsbundið",ES70="",ES$8="",ES$7=""),"",ROUND(ES70/ES$8*ES$7*KVARDI,2))</f>
        <v/>
      </c>
      <c r="EU70" s="39"/>
      <c r="EV70" s="40" t="str">
        <f aca="false">IF(OR(INDEX(Undirviðmið!$G$6:$G$105,(COLUMN()-7-1)/2+1)&lt;&gt;"Starfsbundið",EU70="",EU$8="",EU$7=""),"",ROUND(EU70/EU$8*EU$7*KVARDI,2))</f>
        <v/>
      </c>
      <c r="EW70" s="39"/>
      <c r="EX70" s="40" t="str">
        <f aca="false">IF(OR(INDEX(Undirviðmið!$G$6:$G$105,(COLUMN()-7-1)/2+1)&lt;&gt;"Starfsbundið",EW70="",EW$8="",EW$7=""),"",ROUND(EW70/EW$8*EW$7*KVARDI,2))</f>
        <v/>
      </c>
      <c r="EY70" s="39"/>
      <c r="EZ70" s="40" t="str">
        <f aca="false">IF(OR(INDEX(Undirviðmið!$G$6:$G$105,(COLUMN()-7-1)/2+1)&lt;&gt;"Starfsbundið",EY70="",EY$8="",EY$7=""),"",ROUND(EY70/EY$8*EY$7*KVARDI,2))</f>
        <v/>
      </c>
      <c r="FA70" s="39"/>
      <c r="FB70" s="40" t="str">
        <f aca="false">IF(OR(INDEX(Undirviðmið!$G$6:$G$105,(COLUMN()-7-1)/2+1)&lt;&gt;"Starfsbundið",FA70="",FA$8="",FA$7=""),"",ROUND(FA70/FA$8*FA$7*KVARDI,2))</f>
        <v/>
      </c>
      <c r="FC70" s="39"/>
      <c r="FD70" s="40" t="str">
        <f aca="false">IF(OR(INDEX(Undirviðmið!$G$6:$G$105,(COLUMN()-7-1)/2+1)&lt;&gt;"Starfsbundið",FC70="",FC$8="",FC$7=""),"",ROUND(FC70/FC$8*FC$7*KVARDI,2))</f>
        <v/>
      </c>
      <c r="FE70" s="39"/>
      <c r="FF70" s="40" t="str">
        <f aca="false">IF(OR(INDEX(Undirviðmið!$G$6:$G$105,(COLUMN()-7-1)/2+1)&lt;&gt;"Starfsbundið",FE70="",FE$8="",FE$7=""),"",ROUND(FE70/FE$8*FE$7*KVARDI,2))</f>
        <v/>
      </c>
      <c r="FG70" s="39"/>
      <c r="FH70" s="40" t="str">
        <f aca="false">IF(OR(INDEX(Undirviðmið!$G$6:$G$105,(COLUMN()-7-1)/2+1)&lt;&gt;"Starfsbundið",FG70="",FG$8="",FG$7=""),"",ROUND(FG70/FG$8*FG$7*KVARDI,2))</f>
        <v/>
      </c>
      <c r="FI70" s="39"/>
      <c r="FJ70" s="40" t="str">
        <f aca="false">IF(OR(INDEX(Undirviðmið!$G$6:$G$105,(COLUMN()-7-1)/2+1)&lt;&gt;"Starfsbundið",FI70="",FI$8="",FI$7=""),"",ROUND(FI70/FI$8*FI$7*KVARDI,2))</f>
        <v/>
      </c>
      <c r="FK70" s="39"/>
      <c r="FL70" s="40" t="str">
        <f aca="false">IF(OR(INDEX(Undirviðmið!$G$6:$G$105,(COLUMN()-7-1)/2+1)&lt;&gt;"Starfsbundið",FK70="",FK$8="",FK$7=""),"",ROUND(FK70/FK$8*FK$7*KVARDI,2))</f>
        <v/>
      </c>
      <c r="FM70" s="39"/>
      <c r="FN70" s="40" t="str">
        <f aca="false">IF(OR(INDEX(Undirviðmið!$G$6:$G$105,(COLUMN()-7-1)/2+1)&lt;&gt;"Starfsbundið",FM70="",FM$8="",FM$7=""),"",ROUND(FM70/FM$8*FM$7*KVARDI,2))</f>
        <v/>
      </c>
      <c r="FO70" s="39"/>
      <c r="FP70" s="40" t="str">
        <f aca="false">IF(OR(INDEX(Undirviðmið!$G$6:$G$105,(COLUMN()-7-1)/2+1)&lt;&gt;"Starfsbundið",FO70="",FO$8="",FO$7=""),"",ROUND(FO70/FO$8*FO$7*KVARDI,2))</f>
        <v/>
      </c>
      <c r="FQ70" s="39"/>
      <c r="FR70" s="40" t="str">
        <f aca="false">IF(OR(INDEX(Undirviðmið!$G$6:$G$105,(COLUMN()-7-1)/2+1)&lt;&gt;"Starfsbundið",FQ70="",FQ$8="",FQ$7=""),"",ROUND(FQ70/FQ$8*FQ$7*KVARDI,2))</f>
        <v/>
      </c>
      <c r="FS70" s="39"/>
      <c r="FT70" s="40" t="str">
        <f aca="false">IF(OR(INDEX(Undirviðmið!$G$6:$G$105,(COLUMN()-7-1)/2+1)&lt;&gt;"Starfsbundið",FS70="",FS$8="",FS$7=""),"",ROUND(FS70/FS$8*FS$7*KVARDI,2))</f>
        <v/>
      </c>
      <c r="FU70" s="39"/>
      <c r="FV70" s="40" t="str">
        <f aca="false">IF(OR(INDEX(Undirviðmið!$G$6:$G$105,(COLUMN()-7-1)/2+1)&lt;&gt;"Starfsbundið",FU70="",FU$8="",FU$7=""),"",ROUND(FU70/FU$8*FU$7*KVARDI,2))</f>
        <v/>
      </c>
      <c r="FW70" s="39"/>
      <c r="FX70" s="40" t="str">
        <f aca="false">IF(OR(INDEX(Undirviðmið!$G$6:$G$105,(COLUMN()-7-1)/2+1)&lt;&gt;"Starfsbundið",FW70="",FW$8="",FW$7=""),"",ROUND(FW70/FW$8*FW$7*KVARDI,2))</f>
        <v/>
      </c>
      <c r="FY70" s="39"/>
      <c r="FZ70" s="40" t="str">
        <f aca="false">IF(OR(INDEX(Undirviðmið!$G$6:$G$105,(COLUMN()-7-1)/2+1)&lt;&gt;"Starfsbundið",FY70="",FY$8="",FY$7=""),"",ROUND(FY70/FY$8*FY$7*KVARDI,2))</f>
        <v/>
      </c>
      <c r="GA70" s="39"/>
      <c r="GB70" s="40" t="str">
        <f aca="false">IF(OR(INDEX(Undirviðmið!$G$6:$G$105,(COLUMN()-7-1)/2+1)&lt;&gt;"Starfsbundið",GA70="",GA$8="",GA$7=""),"",ROUND(GA70/GA$8*GA$7*KVARDI,2))</f>
        <v/>
      </c>
      <c r="GC70" s="39"/>
      <c r="GD70" s="40" t="str">
        <f aca="false">IF(OR(INDEX(Undirviðmið!$G$6:$G$105,(COLUMN()-7-1)/2+1)&lt;&gt;"Starfsbundið",GC70="",GC$8="",GC$7=""),"",ROUND(GC70/GC$8*GC$7*KVARDI,2))</f>
        <v/>
      </c>
      <c r="GE70" s="39"/>
      <c r="GF70" s="40" t="str">
        <f aca="false">IF(OR(INDEX(Undirviðmið!$G$6:$G$105,(COLUMN()-7-1)/2+1)&lt;&gt;"Starfsbundið",GE70="",GE$8="",GE$7=""),"",ROUND(GE70/GE$8*GE$7*KVARDI,2))</f>
        <v/>
      </c>
      <c r="GG70" s="39"/>
      <c r="GH70" s="40" t="str">
        <f aca="false">IF(OR(INDEX(Undirviðmið!$G$6:$G$105,(COLUMN()-7-1)/2+1)&lt;&gt;"Starfsbundið",GG70="",GG$8="",GG$7=""),"",ROUND(GG70/GG$8*GG$7*KVARDI,2))</f>
        <v/>
      </c>
      <c r="GI70" s="39"/>
      <c r="GJ70" s="40" t="str">
        <f aca="false">IF(OR(INDEX(Undirviðmið!$G$6:$G$105,(COLUMN()-7-1)/2+1)&lt;&gt;"Starfsbundið",GI70="",GI$8="",GI$7=""),"",ROUND(GI70/GI$8*GI$7*KVARDI,2))</f>
        <v/>
      </c>
      <c r="GK70" s="39"/>
      <c r="GL70" s="40" t="str">
        <f aca="false">IF(OR(INDEX(Undirviðmið!$G$6:$G$105,(COLUMN()-7-1)/2+1)&lt;&gt;"Starfsbundið",GK70="",GK$8="",GK$7=""),"",ROUND(GK70/GK$8*GK$7*KVARDI,2))</f>
        <v/>
      </c>
      <c r="GM70" s="39"/>
      <c r="GN70" s="40" t="str">
        <f aca="false">IF(OR(INDEX(Undirviðmið!$G$6:$G$105,(COLUMN()-7-1)/2+1)&lt;&gt;"Starfsbundið",GM70="",GM$8="",GM$7=""),"",ROUND(GM70/GM$8*GM$7*KVARDI,2))</f>
        <v/>
      </c>
      <c r="GO70" s="39"/>
      <c r="GP70" s="40" t="str">
        <f aca="false">IF(OR(INDEX(Undirviðmið!$G$6:$G$105,(COLUMN()-7-1)/2+1)&lt;&gt;"Starfsbundið",GO70="",GO$8="",GO$7=""),"",ROUND(GO70/GO$8*GO$7*KVARDI,2))</f>
        <v/>
      </c>
      <c r="GQ70" s="39"/>
      <c r="GR70" s="40" t="str">
        <f aca="false">IF(OR(INDEX(Undirviðmið!$G$6:$G$105,(COLUMN()-7-1)/2+1)&lt;&gt;"Starfsbundið",GQ70="",GQ$8="",GQ$7=""),"",ROUND(GQ70/GQ$8*GQ$7*KVARDI,2))</f>
        <v/>
      </c>
      <c r="GS70" s="39"/>
      <c r="GT70" s="40" t="str">
        <f aca="false">IF(OR(INDEX(Undirviðmið!$G$6:$G$105,(COLUMN()-7-1)/2+1)&lt;&gt;"Starfsbundið",GS70="",GS$8="",GS$7=""),"",ROUND(GS70/GS$8*GS$7*KVARDI,2))</f>
        <v/>
      </c>
      <c r="GU70" s="39"/>
      <c r="GV70" s="40" t="str">
        <f aca="false">IF(OR(INDEX(Undirviðmið!$G$6:$G$105,(COLUMN()-7-1)/2+1)&lt;&gt;"Starfsbundið",GU70="",GU$8="",GU$7=""),"",ROUND(GU70/GU$8*GU$7*KVARDI,2))</f>
        <v/>
      </c>
      <c r="GW70" s="39"/>
      <c r="GX70" s="40" t="str">
        <f aca="false">IF(OR(INDEX(Undirviðmið!$G$6:$G$105,(COLUMN()-7-1)/2+1)&lt;&gt;"Starfsbundið",GW70="",GW$8="",GW$7=""),"",ROUND(GW70/GW$8*GW$7*KVARDI,2))</f>
        <v/>
      </c>
      <c r="GZ70" s="20"/>
    </row>
    <row r="71" customFormat="false" ht="15" hidden="true" customHeight="true" outlineLevel="1" collapsed="false">
      <c r="B71" s="37" t="str">
        <f aca="false" t="array" ref="B71:B71">IFERROR(INDEX(Starfsmenn!$C$6:$C$10005,MATCH(0,COUNTIF($B$11:B70,Starfsmenn!$C$6:$C$10005)+(Starfsmenn!$C$6:$C$10005=""),0)),"")</f>
        <v/>
      </c>
      <c r="C71" s="38" t="n">
        <f aca="false">IFERROR(SUMIF($G$10:$GX$10,"Stig",$G71:$GX71),0)</f>
        <v>0</v>
      </c>
      <c r="G71" s="39"/>
      <c r="H71" s="40" t="str">
        <f aca="false">IF(OR(INDEX(Undirviðmið!$G$6:$G$105,(COLUMN()-7-1)/2+1)&lt;&gt;"Starfsbundið",G71="",G$8="",G$7=""),"",ROUND(G71/G$8*G$7*KVARDI,2))</f>
        <v/>
      </c>
      <c r="I71" s="39"/>
      <c r="J71" s="40" t="str">
        <f aca="false">IF(OR(INDEX(Undirviðmið!$G$6:$G$105,(COLUMN()-7-1)/2+1)&lt;&gt;"Starfsbundið",I71="",I$8="",I$7=""),"",ROUND(I71/I$8*I$7*KVARDI,2))</f>
        <v/>
      </c>
      <c r="K71" s="39"/>
      <c r="L71" s="40" t="str">
        <f aca="false">IF(OR(INDEX(Undirviðmið!$G$6:$G$105,(COLUMN()-7-1)/2+1)&lt;&gt;"Starfsbundið",K71="",K$8="",K$7=""),"",ROUND(K71/K$8*K$7*KVARDI,2))</f>
        <v/>
      </c>
      <c r="M71" s="39"/>
      <c r="N71" s="40" t="str">
        <f aca="false">IF(OR(INDEX(Undirviðmið!$G$6:$G$105,(COLUMN()-7-1)/2+1)&lt;&gt;"Starfsbundið",M71="",M$8="",M$7=""),"",ROUND(M71/M$8*M$7*KVARDI,2))</f>
        <v/>
      </c>
      <c r="O71" s="39"/>
      <c r="P71" s="40" t="str">
        <f aca="false">IF(OR(INDEX(Undirviðmið!$G$6:$G$105,(COLUMN()-7-1)/2+1)&lt;&gt;"Starfsbundið",O71="",O$8="",O$7=""),"",ROUND(O71/O$8*O$7*KVARDI,2))</f>
        <v/>
      </c>
      <c r="Q71" s="39"/>
      <c r="R71" s="40" t="str">
        <f aca="false">IF(OR(INDEX(Undirviðmið!$G$6:$G$105,(COLUMN()-7-1)/2+1)&lt;&gt;"Starfsbundið",Q71="",Q$8="",Q$7=""),"",ROUND(Q71/Q$8*Q$7*KVARDI,2))</f>
        <v/>
      </c>
      <c r="S71" s="39"/>
      <c r="T71" s="40" t="str">
        <f aca="false">IF(OR(INDEX(Undirviðmið!$G$6:$G$105,(COLUMN()-7-1)/2+1)&lt;&gt;"Starfsbundið",S71="",S$8="",S$7=""),"",ROUND(S71/S$8*S$7*KVARDI,2))</f>
        <v/>
      </c>
      <c r="U71" s="39"/>
      <c r="V71" s="40" t="str">
        <f aca="false">IF(OR(INDEX(Undirviðmið!$G$6:$G$105,(COLUMN()-7-1)/2+1)&lt;&gt;"Starfsbundið",U71="",U$8="",U$7=""),"",ROUND(U71/U$8*U$7*KVARDI,2))</f>
        <v/>
      </c>
      <c r="W71" s="39"/>
      <c r="X71" s="40" t="str">
        <f aca="false">IF(OR(INDEX(Undirviðmið!$G$6:$G$105,(COLUMN()-7-1)/2+1)&lt;&gt;"Starfsbundið",W71="",W$8="",W$7=""),"",ROUND(W71/W$8*W$7*KVARDI,2))</f>
        <v/>
      </c>
      <c r="Y71" s="39"/>
      <c r="Z71" s="40" t="str">
        <f aca="false">IF(OR(INDEX(Undirviðmið!$G$6:$G$105,(COLUMN()-7-1)/2+1)&lt;&gt;"Starfsbundið",Y71="",Y$8="",Y$7=""),"",ROUND(Y71/Y$8*Y$7*KVARDI,2))</f>
        <v/>
      </c>
      <c r="AA71" s="39"/>
      <c r="AB71" s="40" t="str">
        <f aca="false">IF(OR(INDEX(Undirviðmið!$G$6:$G$105,(COLUMN()-7-1)/2+1)&lt;&gt;"Starfsbundið",AA71="",AA$8="",AA$7=""),"",ROUND(AA71/AA$8*AA$7*KVARDI,2))</f>
        <v/>
      </c>
      <c r="AC71" s="39"/>
      <c r="AD71" s="40" t="str">
        <f aca="false">IF(OR(INDEX(Undirviðmið!$G$6:$G$105,(COLUMN()-7-1)/2+1)&lt;&gt;"Starfsbundið",AC71="",AC$8="",AC$7=""),"",ROUND(AC71/AC$8*AC$7*KVARDI,2))</f>
        <v/>
      </c>
      <c r="AE71" s="39"/>
      <c r="AF71" s="40" t="str">
        <f aca="false">IF(OR(INDEX(Undirviðmið!$G$6:$G$105,(COLUMN()-7-1)/2+1)&lt;&gt;"Starfsbundið",AE71="",AE$8="",AE$7=""),"",ROUND(AE71/AE$8*AE$7*KVARDI,2))</f>
        <v/>
      </c>
      <c r="AG71" s="39"/>
      <c r="AH71" s="40" t="str">
        <f aca="false">IF(OR(INDEX(Undirviðmið!$G$6:$G$105,(COLUMN()-7-1)/2+1)&lt;&gt;"Starfsbundið",AG71="",AG$8="",AG$7=""),"",ROUND(AG71/AG$8*AG$7*KVARDI,2))</f>
        <v/>
      </c>
      <c r="AI71" s="39"/>
      <c r="AJ71" s="40" t="str">
        <f aca="false">IF(OR(INDEX(Undirviðmið!$G$6:$G$105,(COLUMN()-7-1)/2+1)&lt;&gt;"Starfsbundið",AI71="",AI$8="",AI$7=""),"",ROUND(AI71/AI$8*AI$7*KVARDI,2))</f>
        <v/>
      </c>
      <c r="AK71" s="39"/>
      <c r="AL71" s="40" t="str">
        <f aca="false">IF(OR(INDEX(Undirviðmið!$G$6:$G$105,(COLUMN()-7-1)/2+1)&lt;&gt;"Starfsbundið",AK71="",AK$8="",AK$7=""),"",ROUND(AK71/AK$8*AK$7*KVARDI,2))</f>
        <v/>
      </c>
      <c r="AM71" s="39"/>
      <c r="AN71" s="40" t="str">
        <f aca="false">IF(OR(INDEX(Undirviðmið!$G$6:$G$105,(COLUMN()-7-1)/2+1)&lt;&gt;"Starfsbundið",AM71="",AM$8="",AM$7=""),"",ROUND(AM71/AM$8*AM$7*KVARDI,2))</f>
        <v/>
      </c>
      <c r="AO71" s="39"/>
      <c r="AP71" s="40" t="str">
        <f aca="false">IF(OR(INDEX(Undirviðmið!$G$6:$G$105,(COLUMN()-7-1)/2+1)&lt;&gt;"Starfsbundið",AO71="",AO$8="",AO$7=""),"",ROUND(AO71/AO$8*AO$7*KVARDI,2))</f>
        <v/>
      </c>
      <c r="AQ71" s="39"/>
      <c r="AR71" s="40" t="str">
        <f aca="false">IF(OR(INDEX(Undirviðmið!$G$6:$G$105,(COLUMN()-7-1)/2+1)&lt;&gt;"Starfsbundið",AQ71="",AQ$8="",AQ$7=""),"",ROUND(AQ71/AQ$8*AQ$7*KVARDI,2))</f>
        <v/>
      </c>
      <c r="AS71" s="39"/>
      <c r="AT71" s="40" t="str">
        <f aca="false">IF(OR(INDEX(Undirviðmið!$G$6:$G$105,(COLUMN()-7-1)/2+1)&lt;&gt;"Starfsbundið",AS71="",AS$8="",AS$7=""),"",ROUND(AS71/AS$8*AS$7*KVARDI,2))</f>
        <v/>
      </c>
      <c r="AU71" s="39"/>
      <c r="AV71" s="40" t="str">
        <f aca="false">IF(OR(INDEX(Undirviðmið!$G$6:$G$105,(COLUMN()-7-1)/2+1)&lt;&gt;"Starfsbundið",AU71="",AU$8="",AU$7=""),"",ROUND(AU71/AU$8*AU$7*KVARDI,2))</f>
        <v/>
      </c>
      <c r="AW71" s="39"/>
      <c r="AX71" s="40" t="str">
        <f aca="false">IF(OR(INDEX(Undirviðmið!$G$6:$G$105,(COLUMN()-7-1)/2+1)&lt;&gt;"Starfsbundið",AW71="",AW$8="",AW$7=""),"",ROUND(AW71/AW$8*AW$7*KVARDI,2))</f>
        <v/>
      </c>
      <c r="AY71" s="39"/>
      <c r="AZ71" s="40" t="str">
        <f aca="false">IF(OR(INDEX(Undirviðmið!$G$6:$G$105,(COLUMN()-7-1)/2+1)&lt;&gt;"Starfsbundið",AY71="",AY$8="",AY$7=""),"",ROUND(AY71/AY$8*AY$7*KVARDI,2))</f>
        <v/>
      </c>
      <c r="BA71" s="39"/>
      <c r="BB71" s="40" t="str">
        <f aca="false">IF(OR(INDEX(Undirviðmið!$G$6:$G$105,(COLUMN()-7-1)/2+1)&lt;&gt;"Starfsbundið",BA71="",BA$8="",BA$7=""),"",ROUND(BA71/BA$8*BA$7*KVARDI,2))</f>
        <v/>
      </c>
      <c r="BC71" s="39"/>
      <c r="BD71" s="40" t="str">
        <f aca="false">IF(OR(INDEX(Undirviðmið!$G$6:$G$105,(COLUMN()-7-1)/2+1)&lt;&gt;"Starfsbundið",BC71="",BC$8="",BC$7=""),"",ROUND(BC71/BC$8*BC$7*KVARDI,2))</f>
        <v/>
      </c>
      <c r="BE71" s="39"/>
      <c r="BF71" s="40" t="str">
        <f aca="false">IF(OR(INDEX(Undirviðmið!$G$6:$G$105,(COLUMN()-7-1)/2+1)&lt;&gt;"Starfsbundið",BE71="",BE$8="",BE$7=""),"",ROUND(BE71/BE$8*BE$7*KVARDI,2))</f>
        <v/>
      </c>
      <c r="BG71" s="39"/>
      <c r="BH71" s="40" t="str">
        <f aca="false">IF(OR(INDEX(Undirviðmið!$G$6:$G$105,(COLUMN()-7-1)/2+1)&lt;&gt;"Starfsbundið",BG71="",BG$8="",BG$7=""),"",ROUND(BG71/BG$8*BG$7*KVARDI,2))</f>
        <v/>
      </c>
      <c r="BI71" s="39"/>
      <c r="BJ71" s="40" t="str">
        <f aca="false">IF(OR(INDEX(Undirviðmið!$G$6:$G$105,(COLUMN()-7-1)/2+1)&lt;&gt;"Starfsbundið",BI71="",BI$8="",BI$7=""),"",ROUND(BI71/BI$8*BI$7*KVARDI,2))</f>
        <v/>
      </c>
      <c r="BK71" s="39"/>
      <c r="BL71" s="40" t="str">
        <f aca="false">IF(OR(INDEX(Undirviðmið!$G$6:$G$105,(COLUMN()-7-1)/2+1)&lt;&gt;"Starfsbundið",BK71="",BK$8="",BK$7=""),"",ROUND(BK71/BK$8*BK$7*KVARDI,2))</f>
        <v/>
      </c>
      <c r="BM71" s="39"/>
      <c r="BN71" s="40" t="str">
        <f aca="false">IF(OR(INDEX(Undirviðmið!$G$6:$G$105,(COLUMN()-7-1)/2+1)&lt;&gt;"Starfsbundið",BM71="",BM$8="",BM$7=""),"",ROUND(BM71/BM$8*BM$7*KVARDI,2))</f>
        <v/>
      </c>
      <c r="BO71" s="39"/>
      <c r="BP71" s="40" t="str">
        <f aca="false">IF(OR(INDEX(Undirviðmið!$G$6:$G$105,(COLUMN()-7-1)/2+1)&lt;&gt;"Starfsbundið",BO71="",BO$8="",BO$7=""),"",ROUND(BO71/BO$8*BO$7*KVARDI,2))</f>
        <v/>
      </c>
      <c r="BQ71" s="39"/>
      <c r="BR71" s="40" t="str">
        <f aca="false">IF(OR(INDEX(Undirviðmið!$G$6:$G$105,(COLUMN()-7-1)/2+1)&lt;&gt;"Starfsbundið",BQ71="",BQ$8="",BQ$7=""),"",ROUND(BQ71/BQ$8*BQ$7*KVARDI,2))</f>
        <v/>
      </c>
      <c r="BS71" s="39"/>
      <c r="BT71" s="40" t="str">
        <f aca="false">IF(OR(INDEX(Undirviðmið!$G$6:$G$105,(COLUMN()-7-1)/2+1)&lt;&gt;"Starfsbundið",BS71="",BS$8="",BS$7=""),"",ROUND(BS71/BS$8*BS$7*KVARDI,2))</f>
        <v/>
      </c>
      <c r="BU71" s="39"/>
      <c r="BV71" s="40" t="str">
        <f aca="false">IF(OR(INDEX(Undirviðmið!$G$6:$G$105,(COLUMN()-7-1)/2+1)&lt;&gt;"Starfsbundið",BU71="",BU$8="",BU$7=""),"",ROUND(BU71/BU$8*BU$7*KVARDI,2))</f>
        <v/>
      </c>
      <c r="BW71" s="39"/>
      <c r="BX71" s="40" t="str">
        <f aca="false">IF(OR(INDEX(Undirviðmið!$G$6:$G$105,(COLUMN()-7-1)/2+1)&lt;&gt;"Starfsbundið",BW71="",BW$8="",BW$7=""),"",ROUND(BW71/BW$8*BW$7*KVARDI,2))</f>
        <v/>
      </c>
      <c r="BY71" s="39"/>
      <c r="BZ71" s="40" t="str">
        <f aca="false">IF(OR(INDEX(Undirviðmið!$G$6:$G$105,(COLUMN()-7-1)/2+1)&lt;&gt;"Starfsbundið",BY71="",BY$8="",BY$7=""),"",ROUND(BY71/BY$8*BY$7*KVARDI,2))</f>
        <v/>
      </c>
      <c r="CA71" s="39"/>
      <c r="CB71" s="40" t="str">
        <f aca="false">IF(OR(INDEX(Undirviðmið!$G$6:$G$105,(COLUMN()-7-1)/2+1)&lt;&gt;"Starfsbundið",CA71="",CA$8="",CA$7=""),"",ROUND(CA71/CA$8*CA$7*KVARDI,2))</f>
        <v/>
      </c>
      <c r="CC71" s="39"/>
      <c r="CD71" s="40" t="str">
        <f aca="false">IF(OR(INDEX(Undirviðmið!$G$6:$G$105,(COLUMN()-7-1)/2+1)&lt;&gt;"Starfsbundið",CC71="",CC$8="",CC$7=""),"",ROUND(CC71/CC$8*CC$7*KVARDI,2))</f>
        <v/>
      </c>
      <c r="CE71" s="39"/>
      <c r="CF71" s="40" t="str">
        <f aca="false">IF(OR(INDEX(Undirviðmið!$G$6:$G$105,(COLUMN()-7-1)/2+1)&lt;&gt;"Starfsbundið",CE71="",CE$8="",CE$7=""),"",ROUND(CE71/CE$8*CE$7*KVARDI,2))</f>
        <v/>
      </c>
      <c r="CG71" s="39"/>
      <c r="CH71" s="40" t="str">
        <f aca="false">IF(OR(INDEX(Undirviðmið!$G$6:$G$105,(COLUMN()-7-1)/2+1)&lt;&gt;"Starfsbundið",CG71="",CG$8="",CG$7=""),"",ROUND(CG71/CG$8*CG$7*KVARDI,2))</f>
        <v/>
      </c>
      <c r="CI71" s="39"/>
      <c r="CJ71" s="40" t="str">
        <f aca="false">IF(OR(INDEX(Undirviðmið!$G$6:$G$105,(COLUMN()-7-1)/2+1)&lt;&gt;"Starfsbundið",CI71="",CI$8="",CI$7=""),"",ROUND(CI71/CI$8*CI$7*KVARDI,2))</f>
        <v/>
      </c>
      <c r="CK71" s="39"/>
      <c r="CL71" s="40" t="str">
        <f aca="false">IF(OR(INDEX(Undirviðmið!$G$6:$G$105,(COLUMN()-7-1)/2+1)&lt;&gt;"Starfsbundið",CK71="",CK$8="",CK$7=""),"",ROUND(CK71/CK$8*CK$7*KVARDI,2))</f>
        <v/>
      </c>
      <c r="CM71" s="39"/>
      <c r="CN71" s="40" t="str">
        <f aca="false">IF(OR(INDEX(Undirviðmið!$G$6:$G$105,(COLUMN()-7-1)/2+1)&lt;&gt;"Starfsbundið",CM71="",CM$8="",CM$7=""),"",ROUND(CM71/CM$8*CM$7*KVARDI,2))</f>
        <v/>
      </c>
      <c r="CO71" s="39"/>
      <c r="CP71" s="40" t="str">
        <f aca="false">IF(OR(INDEX(Undirviðmið!$G$6:$G$105,(COLUMN()-7-1)/2+1)&lt;&gt;"Starfsbundið",CO71="",CO$8="",CO$7=""),"",ROUND(CO71/CO$8*CO$7*KVARDI,2))</f>
        <v/>
      </c>
      <c r="CQ71" s="39"/>
      <c r="CR71" s="40" t="str">
        <f aca="false">IF(OR(INDEX(Undirviðmið!$G$6:$G$105,(COLUMN()-7-1)/2+1)&lt;&gt;"Starfsbundið",CQ71="",CQ$8="",CQ$7=""),"",ROUND(CQ71/CQ$8*CQ$7*KVARDI,2))</f>
        <v/>
      </c>
      <c r="CS71" s="39"/>
      <c r="CT71" s="40" t="str">
        <f aca="false">IF(OR(INDEX(Undirviðmið!$G$6:$G$105,(COLUMN()-7-1)/2+1)&lt;&gt;"Starfsbundið",CS71="",CS$8="",CS$7=""),"",ROUND(CS71/CS$8*CS$7*KVARDI,2))</f>
        <v/>
      </c>
      <c r="CU71" s="39"/>
      <c r="CV71" s="40" t="str">
        <f aca="false">IF(OR(INDEX(Undirviðmið!$G$6:$G$105,(COLUMN()-7-1)/2+1)&lt;&gt;"Starfsbundið",CU71="",CU$8="",CU$7=""),"",ROUND(CU71/CU$8*CU$7*KVARDI,2))</f>
        <v/>
      </c>
      <c r="CW71" s="39"/>
      <c r="CX71" s="40" t="str">
        <f aca="false">IF(OR(INDEX(Undirviðmið!$G$6:$G$105,(COLUMN()-7-1)/2+1)&lt;&gt;"Starfsbundið",CW71="",CW$8="",CW$7=""),"",ROUND(CW71/CW$8*CW$7*KVARDI,2))</f>
        <v/>
      </c>
      <c r="CY71" s="39"/>
      <c r="CZ71" s="40" t="str">
        <f aca="false">IF(OR(INDEX(Undirviðmið!$G$6:$G$105,(COLUMN()-7-1)/2+1)&lt;&gt;"Starfsbundið",CY71="",CY$8="",CY$7=""),"",ROUND(CY71/CY$8*CY$7*KVARDI,2))</f>
        <v/>
      </c>
      <c r="DA71" s="39"/>
      <c r="DB71" s="40" t="str">
        <f aca="false">IF(OR(INDEX(Undirviðmið!$G$6:$G$105,(COLUMN()-7-1)/2+1)&lt;&gt;"Starfsbundið",DA71="",DA$8="",DA$7=""),"",ROUND(DA71/DA$8*DA$7*KVARDI,2))</f>
        <v/>
      </c>
      <c r="DC71" s="39"/>
      <c r="DD71" s="40" t="str">
        <f aca="false">IF(OR(INDEX(Undirviðmið!$G$6:$G$105,(COLUMN()-7-1)/2+1)&lt;&gt;"Starfsbundið",DC71="",DC$8="",DC$7=""),"",ROUND(DC71/DC$8*DC$7*KVARDI,2))</f>
        <v/>
      </c>
      <c r="DE71" s="39"/>
      <c r="DF71" s="40" t="str">
        <f aca="false">IF(OR(INDEX(Undirviðmið!$G$6:$G$105,(COLUMN()-7-1)/2+1)&lt;&gt;"Starfsbundið",DE71="",DE$8="",DE$7=""),"",ROUND(DE71/DE$8*DE$7*KVARDI,2))</f>
        <v/>
      </c>
      <c r="DG71" s="39"/>
      <c r="DH71" s="40" t="str">
        <f aca="false">IF(OR(INDEX(Undirviðmið!$G$6:$G$105,(COLUMN()-7-1)/2+1)&lt;&gt;"Starfsbundið",DG71="",DG$8="",DG$7=""),"",ROUND(DG71/DG$8*DG$7*KVARDI,2))</f>
        <v/>
      </c>
      <c r="DI71" s="39"/>
      <c r="DJ71" s="40" t="str">
        <f aca="false">IF(OR(INDEX(Undirviðmið!$G$6:$G$105,(COLUMN()-7-1)/2+1)&lt;&gt;"Starfsbundið",DI71="",DI$8="",DI$7=""),"",ROUND(DI71/DI$8*DI$7*KVARDI,2))</f>
        <v/>
      </c>
      <c r="DK71" s="39"/>
      <c r="DL71" s="40" t="str">
        <f aca="false">IF(OR(INDEX(Undirviðmið!$G$6:$G$105,(COLUMN()-7-1)/2+1)&lt;&gt;"Starfsbundið",DK71="",DK$8="",DK$7=""),"",ROUND(DK71/DK$8*DK$7*KVARDI,2))</f>
        <v/>
      </c>
      <c r="DM71" s="39"/>
      <c r="DN71" s="40" t="str">
        <f aca="false">IF(OR(INDEX(Undirviðmið!$G$6:$G$105,(COLUMN()-7-1)/2+1)&lt;&gt;"Starfsbundið",DM71="",DM$8="",DM$7=""),"",ROUND(DM71/DM$8*DM$7*KVARDI,2))</f>
        <v/>
      </c>
      <c r="DO71" s="39"/>
      <c r="DP71" s="40" t="str">
        <f aca="false">IF(OR(INDEX(Undirviðmið!$G$6:$G$105,(COLUMN()-7-1)/2+1)&lt;&gt;"Starfsbundið",DO71="",DO$8="",DO$7=""),"",ROUND(DO71/DO$8*DO$7*KVARDI,2))</f>
        <v/>
      </c>
      <c r="DQ71" s="39"/>
      <c r="DR71" s="40" t="str">
        <f aca="false">IF(OR(INDEX(Undirviðmið!$G$6:$G$105,(COLUMN()-7-1)/2+1)&lt;&gt;"Starfsbundið",DQ71="",DQ$8="",DQ$7=""),"",ROUND(DQ71/DQ$8*DQ$7*KVARDI,2))</f>
        <v/>
      </c>
      <c r="DS71" s="39"/>
      <c r="DT71" s="40" t="str">
        <f aca="false">IF(OR(INDEX(Undirviðmið!$G$6:$G$105,(COLUMN()-7-1)/2+1)&lt;&gt;"Starfsbundið",DS71="",DS$8="",DS$7=""),"",ROUND(DS71/DS$8*DS$7*KVARDI,2))</f>
        <v/>
      </c>
      <c r="DU71" s="39"/>
      <c r="DV71" s="40" t="str">
        <f aca="false">IF(OR(INDEX(Undirviðmið!$G$6:$G$105,(COLUMN()-7-1)/2+1)&lt;&gt;"Starfsbundið",DU71="",DU$8="",DU$7=""),"",ROUND(DU71/DU$8*DU$7*KVARDI,2))</f>
        <v/>
      </c>
      <c r="DW71" s="39"/>
      <c r="DX71" s="40" t="str">
        <f aca="false">IF(OR(INDEX(Undirviðmið!$G$6:$G$105,(COLUMN()-7-1)/2+1)&lt;&gt;"Starfsbundið",DW71="",DW$8="",DW$7=""),"",ROUND(DW71/DW$8*DW$7*KVARDI,2))</f>
        <v/>
      </c>
      <c r="DY71" s="39"/>
      <c r="DZ71" s="40" t="str">
        <f aca="false">IF(OR(INDEX(Undirviðmið!$G$6:$G$105,(COLUMN()-7-1)/2+1)&lt;&gt;"Starfsbundið",DY71="",DY$8="",DY$7=""),"",ROUND(DY71/DY$8*DY$7*KVARDI,2))</f>
        <v/>
      </c>
      <c r="EA71" s="39"/>
      <c r="EB71" s="40" t="str">
        <f aca="false">IF(OR(INDEX(Undirviðmið!$G$6:$G$105,(COLUMN()-7-1)/2+1)&lt;&gt;"Starfsbundið",EA71="",EA$8="",EA$7=""),"",ROUND(EA71/EA$8*EA$7*KVARDI,2))</f>
        <v/>
      </c>
      <c r="EC71" s="39"/>
      <c r="ED71" s="40" t="str">
        <f aca="false">IF(OR(INDEX(Undirviðmið!$G$6:$G$105,(COLUMN()-7-1)/2+1)&lt;&gt;"Starfsbundið",EC71="",EC$8="",EC$7=""),"",ROUND(EC71/EC$8*EC$7*KVARDI,2))</f>
        <v/>
      </c>
      <c r="EE71" s="39"/>
      <c r="EF71" s="40" t="str">
        <f aca="false">IF(OR(INDEX(Undirviðmið!$G$6:$G$105,(COLUMN()-7-1)/2+1)&lt;&gt;"Starfsbundið",EE71="",EE$8="",EE$7=""),"",ROUND(EE71/EE$8*EE$7*KVARDI,2))</f>
        <v/>
      </c>
      <c r="EG71" s="39"/>
      <c r="EH71" s="40" t="str">
        <f aca="false">IF(OR(INDEX(Undirviðmið!$G$6:$G$105,(COLUMN()-7-1)/2+1)&lt;&gt;"Starfsbundið",EG71="",EG$8="",EG$7=""),"",ROUND(EG71/EG$8*EG$7*KVARDI,2))</f>
        <v/>
      </c>
      <c r="EI71" s="39"/>
      <c r="EJ71" s="40" t="str">
        <f aca="false">IF(OR(INDEX(Undirviðmið!$G$6:$G$105,(COLUMN()-7-1)/2+1)&lt;&gt;"Starfsbundið",EI71="",EI$8="",EI$7=""),"",ROUND(EI71/EI$8*EI$7*KVARDI,2))</f>
        <v/>
      </c>
      <c r="EK71" s="39"/>
      <c r="EL71" s="40" t="str">
        <f aca="false">IF(OR(INDEX(Undirviðmið!$G$6:$G$105,(COLUMN()-7-1)/2+1)&lt;&gt;"Starfsbundið",EK71="",EK$8="",EK$7=""),"",ROUND(EK71/EK$8*EK$7*KVARDI,2))</f>
        <v/>
      </c>
      <c r="EM71" s="39"/>
      <c r="EN71" s="40" t="str">
        <f aca="false">IF(OR(INDEX(Undirviðmið!$G$6:$G$105,(COLUMN()-7-1)/2+1)&lt;&gt;"Starfsbundið",EM71="",EM$8="",EM$7=""),"",ROUND(EM71/EM$8*EM$7*KVARDI,2))</f>
        <v/>
      </c>
      <c r="EO71" s="39"/>
      <c r="EP71" s="40" t="str">
        <f aca="false">IF(OR(INDEX(Undirviðmið!$G$6:$G$105,(COLUMN()-7-1)/2+1)&lt;&gt;"Starfsbundið",EO71="",EO$8="",EO$7=""),"",ROUND(EO71/EO$8*EO$7*KVARDI,2))</f>
        <v/>
      </c>
      <c r="EQ71" s="39"/>
      <c r="ER71" s="40" t="str">
        <f aca="false">IF(OR(INDEX(Undirviðmið!$G$6:$G$105,(COLUMN()-7-1)/2+1)&lt;&gt;"Starfsbundið",EQ71="",EQ$8="",EQ$7=""),"",ROUND(EQ71/EQ$8*EQ$7*KVARDI,2))</f>
        <v/>
      </c>
      <c r="ES71" s="39"/>
      <c r="ET71" s="40" t="str">
        <f aca="false">IF(OR(INDEX(Undirviðmið!$G$6:$G$105,(COLUMN()-7-1)/2+1)&lt;&gt;"Starfsbundið",ES71="",ES$8="",ES$7=""),"",ROUND(ES71/ES$8*ES$7*KVARDI,2))</f>
        <v/>
      </c>
      <c r="EU71" s="39"/>
      <c r="EV71" s="40" t="str">
        <f aca="false">IF(OR(INDEX(Undirviðmið!$G$6:$G$105,(COLUMN()-7-1)/2+1)&lt;&gt;"Starfsbundið",EU71="",EU$8="",EU$7=""),"",ROUND(EU71/EU$8*EU$7*KVARDI,2))</f>
        <v/>
      </c>
      <c r="EW71" s="39"/>
      <c r="EX71" s="40" t="str">
        <f aca="false">IF(OR(INDEX(Undirviðmið!$G$6:$G$105,(COLUMN()-7-1)/2+1)&lt;&gt;"Starfsbundið",EW71="",EW$8="",EW$7=""),"",ROUND(EW71/EW$8*EW$7*KVARDI,2))</f>
        <v/>
      </c>
      <c r="EY71" s="39"/>
      <c r="EZ71" s="40" t="str">
        <f aca="false">IF(OR(INDEX(Undirviðmið!$G$6:$G$105,(COLUMN()-7-1)/2+1)&lt;&gt;"Starfsbundið",EY71="",EY$8="",EY$7=""),"",ROUND(EY71/EY$8*EY$7*KVARDI,2))</f>
        <v/>
      </c>
      <c r="FA71" s="39"/>
      <c r="FB71" s="40" t="str">
        <f aca="false">IF(OR(INDEX(Undirviðmið!$G$6:$G$105,(COLUMN()-7-1)/2+1)&lt;&gt;"Starfsbundið",FA71="",FA$8="",FA$7=""),"",ROUND(FA71/FA$8*FA$7*KVARDI,2))</f>
        <v/>
      </c>
      <c r="FC71" s="39"/>
      <c r="FD71" s="40" t="str">
        <f aca="false">IF(OR(INDEX(Undirviðmið!$G$6:$G$105,(COLUMN()-7-1)/2+1)&lt;&gt;"Starfsbundið",FC71="",FC$8="",FC$7=""),"",ROUND(FC71/FC$8*FC$7*KVARDI,2))</f>
        <v/>
      </c>
      <c r="FE71" s="39"/>
      <c r="FF71" s="40" t="str">
        <f aca="false">IF(OR(INDEX(Undirviðmið!$G$6:$G$105,(COLUMN()-7-1)/2+1)&lt;&gt;"Starfsbundið",FE71="",FE$8="",FE$7=""),"",ROUND(FE71/FE$8*FE$7*KVARDI,2))</f>
        <v/>
      </c>
      <c r="FG71" s="39"/>
      <c r="FH71" s="40" t="str">
        <f aca="false">IF(OR(INDEX(Undirviðmið!$G$6:$G$105,(COLUMN()-7-1)/2+1)&lt;&gt;"Starfsbundið",FG71="",FG$8="",FG$7=""),"",ROUND(FG71/FG$8*FG$7*KVARDI,2))</f>
        <v/>
      </c>
      <c r="FI71" s="39"/>
      <c r="FJ71" s="40" t="str">
        <f aca="false">IF(OR(INDEX(Undirviðmið!$G$6:$G$105,(COLUMN()-7-1)/2+1)&lt;&gt;"Starfsbundið",FI71="",FI$8="",FI$7=""),"",ROUND(FI71/FI$8*FI$7*KVARDI,2))</f>
        <v/>
      </c>
      <c r="FK71" s="39"/>
      <c r="FL71" s="40" t="str">
        <f aca="false">IF(OR(INDEX(Undirviðmið!$G$6:$G$105,(COLUMN()-7-1)/2+1)&lt;&gt;"Starfsbundið",FK71="",FK$8="",FK$7=""),"",ROUND(FK71/FK$8*FK$7*KVARDI,2))</f>
        <v/>
      </c>
      <c r="FM71" s="39"/>
      <c r="FN71" s="40" t="str">
        <f aca="false">IF(OR(INDEX(Undirviðmið!$G$6:$G$105,(COLUMN()-7-1)/2+1)&lt;&gt;"Starfsbundið",FM71="",FM$8="",FM$7=""),"",ROUND(FM71/FM$8*FM$7*KVARDI,2))</f>
        <v/>
      </c>
      <c r="FO71" s="39"/>
      <c r="FP71" s="40" t="str">
        <f aca="false">IF(OR(INDEX(Undirviðmið!$G$6:$G$105,(COLUMN()-7-1)/2+1)&lt;&gt;"Starfsbundið",FO71="",FO$8="",FO$7=""),"",ROUND(FO71/FO$8*FO$7*KVARDI,2))</f>
        <v/>
      </c>
      <c r="FQ71" s="39"/>
      <c r="FR71" s="40" t="str">
        <f aca="false">IF(OR(INDEX(Undirviðmið!$G$6:$G$105,(COLUMN()-7-1)/2+1)&lt;&gt;"Starfsbundið",FQ71="",FQ$8="",FQ$7=""),"",ROUND(FQ71/FQ$8*FQ$7*KVARDI,2))</f>
        <v/>
      </c>
      <c r="FS71" s="39"/>
      <c r="FT71" s="40" t="str">
        <f aca="false">IF(OR(INDEX(Undirviðmið!$G$6:$G$105,(COLUMN()-7-1)/2+1)&lt;&gt;"Starfsbundið",FS71="",FS$8="",FS$7=""),"",ROUND(FS71/FS$8*FS$7*KVARDI,2))</f>
        <v/>
      </c>
      <c r="FU71" s="39"/>
      <c r="FV71" s="40" t="str">
        <f aca="false">IF(OR(INDEX(Undirviðmið!$G$6:$G$105,(COLUMN()-7-1)/2+1)&lt;&gt;"Starfsbundið",FU71="",FU$8="",FU$7=""),"",ROUND(FU71/FU$8*FU$7*KVARDI,2))</f>
        <v/>
      </c>
      <c r="FW71" s="39"/>
      <c r="FX71" s="40" t="str">
        <f aca="false">IF(OR(INDEX(Undirviðmið!$G$6:$G$105,(COLUMN()-7-1)/2+1)&lt;&gt;"Starfsbundið",FW71="",FW$8="",FW$7=""),"",ROUND(FW71/FW$8*FW$7*KVARDI,2))</f>
        <v/>
      </c>
      <c r="FY71" s="39"/>
      <c r="FZ71" s="40" t="str">
        <f aca="false">IF(OR(INDEX(Undirviðmið!$G$6:$G$105,(COLUMN()-7-1)/2+1)&lt;&gt;"Starfsbundið",FY71="",FY$8="",FY$7=""),"",ROUND(FY71/FY$8*FY$7*KVARDI,2))</f>
        <v/>
      </c>
      <c r="GA71" s="39"/>
      <c r="GB71" s="40" t="str">
        <f aca="false">IF(OR(INDEX(Undirviðmið!$G$6:$G$105,(COLUMN()-7-1)/2+1)&lt;&gt;"Starfsbundið",GA71="",GA$8="",GA$7=""),"",ROUND(GA71/GA$8*GA$7*KVARDI,2))</f>
        <v/>
      </c>
      <c r="GC71" s="39"/>
      <c r="GD71" s="40" t="str">
        <f aca="false">IF(OR(INDEX(Undirviðmið!$G$6:$G$105,(COLUMN()-7-1)/2+1)&lt;&gt;"Starfsbundið",GC71="",GC$8="",GC$7=""),"",ROUND(GC71/GC$8*GC$7*KVARDI,2))</f>
        <v/>
      </c>
      <c r="GE71" s="39"/>
      <c r="GF71" s="40" t="str">
        <f aca="false">IF(OR(INDEX(Undirviðmið!$G$6:$G$105,(COLUMN()-7-1)/2+1)&lt;&gt;"Starfsbundið",GE71="",GE$8="",GE$7=""),"",ROUND(GE71/GE$8*GE$7*KVARDI,2))</f>
        <v/>
      </c>
      <c r="GG71" s="39"/>
      <c r="GH71" s="40" t="str">
        <f aca="false">IF(OR(INDEX(Undirviðmið!$G$6:$G$105,(COLUMN()-7-1)/2+1)&lt;&gt;"Starfsbundið",GG71="",GG$8="",GG$7=""),"",ROUND(GG71/GG$8*GG$7*KVARDI,2))</f>
        <v/>
      </c>
      <c r="GI71" s="39"/>
      <c r="GJ71" s="40" t="str">
        <f aca="false">IF(OR(INDEX(Undirviðmið!$G$6:$G$105,(COLUMN()-7-1)/2+1)&lt;&gt;"Starfsbundið",GI71="",GI$8="",GI$7=""),"",ROUND(GI71/GI$8*GI$7*KVARDI,2))</f>
        <v/>
      </c>
      <c r="GK71" s="39"/>
      <c r="GL71" s="40" t="str">
        <f aca="false">IF(OR(INDEX(Undirviðmið!$G$6:$G$105,(COLUMN()-7-1)/2+1)&lt;&gt;"Starfsbundið",GK71="",GK$8="",GK$7=""),"",ROUND(GK71/GK$8*GK$7*KVARDI,2))</f>
        <v/>
      </c>
      <c r="GM71" s="39"/>
      <c r="GN71" s="40" t="str">
        <f aca="false">IF(OR(INDEX(Undirviðmið!$G$6:$G$105,(COLUMN()-7-1)/2+1)&lt;&gt;"Starfsbundið",GM71="",GM$8="",GM$7=""),"",ROUND(GM71/GM$8*GM$7*KVARDI,2))</f>
        <v/>
      </c>
      <c r="GO71" s="39"/>
      <c r="GP71" s="40" t="str">
        <f aca="false">IF(OR(INDEX(Undirviðmið!$G$6:$G$105,(COLUMN()-7-1)/2+1)&lt;&gt;"Starfsbundið",GO71="",GO$8="",GO$7=""),"",ROUND(GO71/GO$8*GO$7*KVARDI,2))</f>
        <v/>
      </c>
      <c r="GQ71" s="39"/>
      <c r="GR71" s="40" t="str">
        <f aca="false">IF(OR(INDEX(Undirviðmið!$G$6:$G$105,(COLUMN()-7-1)/2+1)&lt;&gt;"Starfsbundið",GQ71="",GQ$8="",GQ$7=""),"",ROUND(GQ71/GQ$8*GQ$7*KVARDI,2))</f>
        <v/>
      </c>
      <c r="GS71" s="39"/>
      <c r="GT71" s="40" t="str">
        <f aca="false">IF(OR(INDEX(Undirviðmið!$G$6:$G$105,(COLUMN()-7-1)/2+1)&lt;&gt;"Starfsbundið",GS71="",GS$8="",GS$7=""),"",ROUND(GS71/GS$8*GS$7*KVARDI,2))</f>
        <v/>
      </c>
      <c r="GU71" s="39"/>
      <c r="GV71" s="40" t="str">
        <f aca="false">IF(OR(INDEX(Undirviðmið!$G$6:$G$105,(COLUMN()-7-1)/2+1)&lt;&gt;"Starfsbundið",GU71="",GU$8="",GU$7=""),"",ROUND(GU71/GU$8*GU$7*KVARDI,2))</f>
        <v/>
      </c>
      <c r="GW71" s="39"/>
      <c r="GX71" s="40" t="str">
        <f aca="false">IF(OR(INDEX(Undirviðmið!$G$6:$G$105,(COLUMN()-7-1)/2+1)&lt;&gt;"Starfsbundið",GW71="",GW$8="",GW$7=""),"",ROUND(GW71/GW$8*GW$7*KVARDI,2))</f>
        <v/>
      </c>
      <c r="GZ71" s="20"/>
    </row>
    <row r="72" customFormat="false" ht="15" hidden="true" customHeight="true" outlineLevel="1" collapsed="false">
      <c r="B72" s="37" t="str">
        <f aca="false" t="array" ref="B72:B72">IFERROR(INDEX(Starfsmenn!$C$6:$C$10005,MATCH(0,COUNTIF($B$11:B71,Starfsmenn!$C$6:$C$10005)+(Starfsmenn!$C$6:$C$10005=""),0)),"")</f>
        <v/>
      </c>
      <c r="C72" s="38" t="n">
        <f aca="false">IFERROR(SUMIF($G$10:$GX$10,"Stig",$G72:$GX72),0)</f>
        <v>0</v>
      </c>
      <c r="G72" s="39"/>
      <c r="H72" s="40" t="str">
        <f aca="false">IF(OR(INDEX(Undirviðmið!$G$6:$G$105,(COLUMN()-7-1)/2+1)&lt;&gt;"Starfsbundið",G72="",G$8="",G$7=""),"",ROUND(G72/G$8*G$7*KVARDI,2))</f>
        <v/>
      </c>
      <c r="I72" s="39"/>
      <c r="J72" s="40" t="str">
        <f aca="false">IF(OR(INDEX(Undirviðmið!$G$6:$G$105,(COLUMN()-7-1)/2+1)&lt;&gt;"Starfsbundið",I72="",I$8="",I$7=""),"",ROUND(I72/I$8*I$7*KVARDI,2))</f>
        <v/>
      </c>
      <c r="K72" s="39"/>
      <c r="L72" s="40" t="str">
        <f aca="false">IF(OR(INDEX(Undirviðmið!$G$6:$G$105,(COLUMN()-7-1)/2+1)&lt;&gt;"Starfsbundið",K72="",K$8="",K$7=""),"",ROUND(K72/K$8*K$7*KVARDI,2))</f>
        <v/>
      </c>
      <c r="M72" s="39"/>
      <c r="N72" s="40" t="str">
        <f aca="false">IF(OR(INDEX(Undirviðmið!$G$6:$G$105,(COLUMN()-7-1)/2+1)&lt;&gt;"Starfsbundið",M72="",M$8="",M$7=""),"",ROUND(M72/M$8*M$7*KVARDI,2))</f>
        <v/>
      </c>
      <c r="O72" s="39"/>
      <c r="P72" s="40" t="str">
        <f aca="false">IF(OR(INDEX(Undirviðmið!$G$6:$G$105,(COLUMN()-7-1)/2+1)&lt;&gt;"Starfsbundið",O72="",O$8="",O$7=""),"",ROUND(O72/O$8*O$7*KVARDI,2))</f>
        <v/>
      </c>
      <c r="Q72" s="39"/>
      <c r="R72" s="40" t="str">
        <f aca="false">IF(OR(INDEX(Undirviðmið!$G$6:$G$105,(COLUMN()-7-1)/2+1)&lt;&gt;"Starfsbundið",Q72="",Q$8="",Q$7=""),"",ROUND(Q72/Q$8*Q$7*KVARDI,2))</f>
        <v/>
      </c>
      <c r="S72" s="39"/>
      <c r="T72" s="40" t="str">
        <f aca="false">IF(OR(INDEX(Undirviðmið!$G$6:$G$105,(COLUMN()-7-1)/2+1)&lt;&gt;"Starfsbundið",S72="",S$8="",S$7=""),"",ROUND(S72/S$8*S$7*KVARDI,2))</f>
        <v/>
      </c>
      <c r="U72" s="39"/>
      <c r="V72" s="40" t="str">
        <f aca="false">IF(OR(INDEX(Undirviðmið!$G$6:$G$105,(COLUMN()-7-1)/2+1)&lt;&gt;"Starfsbundið",U72="",U$8="",U$7=""),"",ROUND(U72/U$8*U$7*KVARDI,2))</f>
        <v/>
      </c>
      <c r="W72" s="39"/>
      <c r="X72" s="40" t="str">
        <f aca="false">IF(OR(INDEX(Undirviðmið!$G$6:$G$105,(COLUMN()-7-1)/2+1)&lt;&gt;"Starfsbundið",W72="",W$8="",W$7=""),"",ROUND(W72/W$8*W$7*KVARDI,2))</f>
        <v/>
      </c>
      <c r="Y72" s="39"/>
      <c r="Z72" s="40" t="str">
        <f aca="false">IF(OR(INDEX(Undirviðmið!$G$6:$G$105,(COLUMN()-7-1)/2+1)&lt;&gt;"Starfsbundið",Y72="",Y$8="",Y$7=""),"",ROUND(Y72/Y$8*Y$7*KVARDI,2))</f>
        <v/>
      </c>
      <c r="AA72" s="39"/>
      <c r="AB72" s="40" t="str">
        <f aca="false">IF(OR(INDEX(Undirviðmið!$G$6:$G$105,(COLUMN()-7-1)/2+1)&lt;&gt;"Starfsbundið",AA72="",AA$8="",AA$7=""),"",ROUND(AA72/AA$8*AA$7*KVARDI,2))</f>
        <v/>
      </c>
      <c r="AC72" s="39"/>
      <c r="AD72" s="40" t="str">
        <f aca="false">IF(OR(INDEX(Undirviðmið!$G$6:$G$105,(COLUMN()-7-1)/2+1)&lt;&gt;"Starfsbundið",AC72="",AC$8="",AC$7=""),"",ROUND(AC72/AC$8*AC$7*KVARDI,2))</f>
        <v/>
      </c>
      <c r="AE72" s="39"/>
      <c r="AF72" s="40" t="str">
        <f aca="false">IF(OR(INDEX(Undirviðmið!$G$6:$G$105,(COLUMN()-7-1)/2+1)&lt;&gt;"Starfsbundið",AE72="",AE$8="",AE$7=""),"",ROUND(AE72/AE$8*AE$7*KVARDI,2))</f>
        <v/>
      </c>
      <c r="AG72" s="39"/>
      <c r="AH72" s="40" t="str">
        <f aca="false">IF(OR(INDEX(Undirviðmið!$G$6:$G$105,(COLUMN()-7-1)/2+1)&lt;&gt;"Starfsbundið",AG72="",AG$8="",AG$7=""),"",ROUND(AG72/AG$8*AG$7*KVARDI,2))</f>
        <v/>
      </c>
      <c r="AI72" s="39"/>
      <c r="AJ72" s="40" t="str">
        <f aca="false">IF(OR(INDEX(Undirviðmið!$G$6:$G$105,(COLUMN()-7-1)/2+1)&lt;&gt;"Starfsbundið",AI72="",AI$8="",AI$7=""),"",ROUND(AI72/AI$8*AI$7*KVARDI,2))</f>
        <v/>
      </c>
      <c r="AK72" s="39"/>
      <c r="AL72" s="40" t="str">
        <f aca="false">IF(OR(INDEX(Undirviðmið!$G$6:$G$105,(COLUMN()-7-1)/2+1)&lt;&gt;"Starfsbundið",AK72="",AK$8="",AK$7=""),"",ROUND(AK72/AK$8*AK$7*KVARDI,2))</f>
        <v/>
      </c>
      <c r="AM72" s="39"/>
      <c r="AN72" s="40" t="str">
        <f aca="false">IF(OR(INDEX(Undirviðmið!$G$6:$G$105,(COLUMN()-7-1)/2+1)&lt;&gt;"Starfsbundið",AM72="",AM$8="",AM$7=""),"",ROUND(AM72/AM$8*AM$7*KVARDI,2))</f>
        <v/>
      </c>
      <c r="AO72" s="39"/>
      <c r="AP72" s="40" t="str">
        <f aca="false">IF(OR(INDEX(Undirviðmið!$G$6:$G$105,(COLUMN()-7-1)/2+1)&lt;&gt;"Starfsbundið",AO72="",AO$8="",AO$7=""),"",ROUND(AO72/AO$8*AO$7*KVARDI,2))</f>
        <v/>
      </c>
      <c r="AQ72" s="39"/>
      <c r="AR72" s="40" t="str">
        <f aca="false">IF(OR(INDEX(Undirviðmið!$G$6:$G$105,(COLUMN()-7-1)/2+1)&lt;&gt;"Starfsbundið",AQ72="",AQ$8="",AQ$7=""),"",ROUND(AQ72/AQ$8*AQ$7*KVARDI,2))</f>
        <v/>
      </c>
      <c r="AS72" s="39"/>
      <c r="AT72" s="40" t="str">
        <f aca="false">IF(OR(INDEX(Undirviðmið!$G$6:$G$105,(COLUMN()-7-1)/2+1)&lt;&gt;"Starfsbundið",AS72="",AS$8="",AS$7=""),"",ROUND(AS72/AS$8*AS$7*KVARDI,2))</f>
        <v/>
      </c>
      <c r="AU72" s="39"/>
      <c r="AV72" s="40" t="str">
        <f aca="false">IF(OR(INDEX(Undirviðmið!$G$6:$G$105,(COLUMN()-7-1)/2+1)&lt;&gt;"Starfsbundið",AU72="",AU$8="",AU$7=""),"",ROUND(AU72/AU$8*AU$7*KVARDI,2))</f>
        <v/>
      </c>
      <c r="AW72" s="39"/>
      <c r="AX72" s="40" t="str">
        <f aca="false">IF(OR(INDEX(Undirviðmið!$G$6:$G$105,(COLUMN()-7-1)/2+1)&lt;&gt;"Starfsbundið",AW72="",AW$8="",AW$7=""),"",ROUND(AW72/AW$8*AW$7*KVARDI,2))</f>
        <v/>
      </c>
      <c r="AY72" s="39"/>
      <c r="AZ72" s="40" t="str">
        <f aca="false">IF(OR(INDEX(Undirviðmið!$G$6:$G$105,(COLUMN()-7-1)/2+1)&lt;&gt;"Starfsbundið",AY72="",AY$8="",AY$7=""),"",ROUND(AY72/AY$8*AY$7*KVARDI,2))</f>
        <v/>
      </c>
      <c r="BA72" s="39"/>
      <c r="BB72" s="40" t="str">
        <f aca="false">IF(OR(INDEX(Undirviðmið!$G$6:$G$105,(COLUMN()-7-1)/2+1)&lt;&gt;"Starfsbundið",BA72="",BA$8="",BA$7=""),"",ROUND(BA72/BA$8*BA$7*KVARDI,2))</f>
        <v/>
      </c>
      <c r="BC72" s="39"/>
      <c r="BD72" s="40" t="str">
        <f aca="false">IF(OR(INDEX(Undirviðmið!$G$6:$G$105,(COLUMN()-7-1)/2+1)&lt;&gt;"Starfsbundið",BC72="",BC$8="",BC$7=""),"",ROUND(BC72/BC$8*BC$7*KVARDI,2))</f>
        <v/>
      </c>
      <c r="BE72" s="39"/>
      <c r="BF72" s="40" t="str">
        <f aca="false">IF(OR(INDEX(Undirviðmið!$G$6:$G$105,(COLUMN()-7-1)/2+1)&lt;&gt;"Starfsbundið",BE72="",BE$8="",BE$7=""),"",ROUND(BE72/BE$8*BE$7*KVARDI,2))</f>
        <v/>
      </c>
      <c r="BG72" s="39"/>
      <c r="BH72" s="40" t="str">
        <f aca="false">IF(OR(INDEX(Undirviðmið!$G$6:$G$105,(COLUMN()-7-1)/2+1)&lt;&gt;"Starfsbundið",BG72="",BG$8="",BG$7=""),"",ROUND(BG72/BG$8*BG$7*KVARDI,2))</f>
        <v/>
      </c>
      <c r="BI72" s="39"/>
      <c r="BJ72" s="40" t="str">
        <f aca="false">IF(OR(INDEX(Undirviðmið!$G$6:$G$105,(COLUMN()-7-1)/2+1)&lt;&gt;"Starfsbundið",BI72="",BI$8="",BI$7=""),"",ROUND(BI72/BI$8*BI$7*KVARDI,2))</f>
        <v/>
      </c>
      <c r="BK72" s="39"/>
      <c r="BL72" s="40" t="str">
        <f aca="false">IF(OR(INDEX(Undirviðmið!$G$6:$G$105,(COLUMN()-7-1)/2+1)&lt;&gt;"Starfsbundið",BK72="",BK$8="",BK$7=""),"",ROUND(BK72/BK$8*BK$7*KVARDI,2))</f>
        <v/>
      </c>
      <c r="BM72" s="39"/>
      <c r="BN72" s="40" t="str">
        <f aca="false">IF(OR(INDEX(Undirviðmið!$G$6:$G$105,(COLUMN()-7-1)/2+1)&lt;&gt;"Starfsbundið",BM72="",BM$8="",BM$7=""),"",ROUND(BM72/BM$8*BM$7*KVARDI,2))</f>
        <v/>
      </c>
      <c r="BO72" s="39"/>
      <c r="BP72" s="40" t="str">
        <f aca="false">IF(OR(INDEX(Undirviðmið!$G$6:$G$105,(COLUMN()-7-1)/2+1)&lt;&gt;"Starfsbundið",BO72="",BO$8="",BO$7=""),"",ROUND(BO72/BO$8*BO$7*KVARDI,2))</f>
        <v/>
      </c>
      <c r="BQ72" s="39"/>
      <c r="BR72" s="40" t="str">
        <f aca="false">IF(OR(INDEX(Undirviðmið!$G$6:$G$105,(COLUMN()-7-1)/2+1)&lt;&gt;"Starfsbundið",BQ72="",BQ$8="",BQ$7=""),"",ROUND(BQ72/BQ$8*BQ$7*KVARDI,2))</f>
        <v/>
      </c>
      <c r="BS72" s="39"/>
      <c r="BT72" s="40" t="str">
        <f aca="false">IF(OR(INDEX(Undirviðmið!$G$6:$G$105,(COLUMN()-7-1)/2+1)&lt;&gt;"Starfsbundið",BS72="",BS$8="",BS$7=""),"",ROUND(BS72/BS$8*BS$7*KVARDI,2))</f>
        <v/>
      </c>
      <c r="BU72" s="39"/>
      <c r="BV72" s="40" t="str">
        <f aca="false">IF(OR(INDEX(Undirviðmið!$G$6:$G$105,(COLUMN()-7-1)/2+1)&lt;&gt;"Starfsbundið",BU72="",BU$8="",BU$7=""),"",ROUND(BU72/BU$8*BU$7*KVARDI,2))</f>
        <v/>
      </c>
      <c r="BW72" s="39"/>
      <c r="BX72" s="40" t="str">
        <f aca="false">IF(OR(INDEX(Undirviðmið!$G$6:$G$105,(COLUMN()-7-1)/2+1)&lt;&gt;"Starfsbundið",BW72="",BW$8="",BW$7=""),"",ROUND(BW72/BW$8*BW$7*KVARDI,2))</f>
        <v/>
      </c>
      <c r="BY72" s="39"/>
      <c r="BZ72" s="40" t="str">
        <f aca="false">IF(OR(INDEX(Undirviðmið!$G$6:$G$105,(COLUMN()-7-1)/2+1)&lt;&gt;"Starfsbundið",BY72="",BY$8="",BY$7=""),"",ROUND(BY72/BY$8*BY$7*KVARDI,2))</f>
        <v/>
      </c>
      <c r="CA72" s="39"/>
      <c r="CB72" s="40" t="str">
        <f aca="false">IF(OR(INDEX(Undirviðmið!$G$6:$G$105,(COLUMN()-7-1)/2+1)&lt;&gt;"Starfsbundið",CA72="",CA$8="",CA$7=""),"",ROUND(CA72/CA$8*CA$7*KVARDI,2))</f>
        <v/>
      </c>
      <c r="CC72" s="39"/>
      <c r="CD72" s="40" t="str">
        <f aca="false">IF(OR(INDEX(Undirviðmið!$G$6:$G$105,(COLUMN()-7-1)/2+1)&lt;&gt;"Starfsbundið",CC72="",CC$8="",CC$7=""),"",ROUND(CC72/CC$8*CC$7*KVARDI,2))</f>
        <v/>
      </c>
      <c r="CE72" s="39"/>
      <c r="CF72" s="40" t="str">
        <f aca="false">IF(OR(INDEX(Undirviðmið!$G$6:$G$105,(COLUMN()-7-1)/2+1)&lt;&gt;"Starfsbundið",CE72="",CE$8="",CE$7=""),"",ROUND(CE72/CE$8*CE$7*KVARDI,2))</f>
        <v/>
      </c>
      <c r="CG72" s="39"/>
      <c r="CH72" s="40" t="str">
        <f aca="false">IF(OR(INDEX(Undirviðmið!$G$6:$G$105,(COLUMN()-7-1)/2+1)&lt;&gt;"Starfsbundið",CG72="",CG$8="",CG$7=""),"",ROUND(CG72/CG$8*CG$7*KVARDI,2))</f>
        <v/>
      </c>
      <c r="CI72" s="39"/>
      <c r="CJ72" s="40" t="str">
        <f aca="false">IF(OR(INDEX(Undirviðmið!$G$6:$G$105,(COLUMN()-7-1)/2+1)&lt;&gt;"Starfsbundið",CI72="",CI$8="",CI$7=""),"",ROUND(CI72/CI$8*CI$7*KVARDI,2))</f>
        <v/>
      </c>
      <c r="CK72" s="39"/>
      <c r="CL72" s="40" t="str">
        <f aca="false">IF(OR(INDEX(Undirviðmið!$G$6:$G$105,(COLUMN()-7-1)/2+1)&lt;&gt;"Starfsbundið",CK72="",CK$8="",CK$7=""),"",ROUND(CK72/CK$8*CK$7*KVARDI,2))</f>
        <v/>
      </c>
      <c r="CM72" s="39"/>
      <c r="CN72" s="40" t="str">
        <f aca="false">IF(OR(INDEX(Undirviðmið!$G$6:$G$105,(COLUMN()-7-1)/2+1)&lt;&gt;"Starfsbundið",CM72="",CM$8="",CM$7=""),"",ROUND(CM72/CM$8*CM$7*KVARDI,2))</f>
        <v/>
      </c>
      <c r="CO72" s="39"/>
      <c r="CP72" s="40" t="str">
        <f aca="false">IF(OR(INDEX(Undirviðmið!$G$6:$G$105,(COLUMN()-7-1)/2+1)&lt;&gt;"Starfsbundið",CO72="",CO$8="",CO$7=""),"",ROUND(CO72/CO$8*CO$7*KVARDI,2))</f>
        <v/>
      </c>
      <c r="CQ72" s="39"/>
      <c r="CR72" s="40" t="str">
        <f aca="false">IF(OR(INDEX(Undirviðmið!$G$6:$G$105,(COLUMN()-7-1)/2+1)&lt;&gt;"Starfsbundið",CQ72="",CQ$8="",CQ$7=""),"",ROUND(CQ72/CQ$8*CQ$7*KVARDI,2))</f>
        <v/>
      </c>
      <c r="CS72" s="39"/>
      <c r="CT72" s="40" t="str">
        <f aca="false">IF(OR(INDEX(Undirviðmið!$G$6:$G$105,(COLUMN()-7-1)/2+1)&lt;&gt;"Starfsbundið",CS72="",CS$8="",CS$7=""),"",ROUND(CS72/CS$8*CS$7*KVARDI,2))</f>
        <v/>
      </c>
      <c r="CU72" s="39"/>
      <c r="CV72" s="40" t="str">
        <f aca="false">IF(OR(INDEX(Undirviðmið!$G$6:$G$105,(COLUMN()-7-1)/2+1)&lt;&gt;"Starfsbundið",CU72="",CU$8="",CU$7=""),"",ROUND(CU72/CU$8*CU$7*KVARDI,2))</f>
        <v/>
      </c>
      <c r="CW72" s="39"/>
      <c r="CX72" s="40" t="str">
        <f aca="false">IF(OR(INDEX(Undirviðmið!$G$6:$G$105,(COLUMN()-7-1)/2+1)&lt;&gt;"Starfsbundið",CW72="",CW$8="",CW$7=""),"",ROUND(CW72/CW$8*CW$7*KVARDI,2))</f>
        <v/>
      </c>
      <c r="CY72" s="39"/>
      <c r="CZ72" s="40" t="str">
        <f aca="false">IF(OR(INDEX(Undirviðmið!$G$6:$G$105,(COLUMN()-7-1)/2+1)&lt;&gt;"Starfsbundið",CY72="",CY$8="",CY$7=""),"",ROUND(CY72/CY$8*CY$7*KVARDI,2))</f>
        <v/>
      </c>
      <c r="DA72" s="39"/>
      <c r="DB72" s="40" t="str">
        <f aca="false">IF(OR(INDEX(Undirviðmið!$G$6:$G$105,(COLUMN()-7-1)/2+1)&lt;&gt;"Starfsbundið",DA72="",DA$8="",DA$7=""),"",ROUND(DA72/DA$8*DA$7*KVARDI,2))</f>
        <v/>
      </c>
      <c r="DC72" s="39"/>
      <c r="DD72" s="40" t="str">
        <f aca="false">IF(OR(INDEX(Undirviðmið!$G$6:$G$105,(COLUMN()-7-1)/2+1)&lt;&gt;"Starfsbundið",DC72="",DC$8="",DC$7=""),"",ROUND(DC72/DC$8*DC$7*KVARDI,2))</f>
        <v/>
      </c>
      <c r="DE72" s="39"/>
      <c r="DF72" s="40" t="str">
        <f aca="false">IF(OR(INDEX(Undirviðmið!$G$6:$G$105,(COLUMN()-7-1)/2+1)&lt;&gt;"Starfsbundið",DE72="",DE$8="",DE$7=""),"",ROUND(DE72/DE$8*DE$7*KVARDI,2))</f>
        <v/>
      </c>
      <c r="DG72" s="39"/>
      <c r="DH72" s="40" t="str">
        <f aca="false">IF(OR(INDEX(Undirviðmið!$G$6:$G$105,(COLUMN()-7-1)/2+1)&lt;&gt;"Starfsbundið",DG72="",DG$8="",DG$7=""),"",ROUND(DG72/DG$8*DG$7*KVARDI,2))</f>
        <v/>
      </c>
      <c r="DI72" s="39"/>
      <c r="DJ72" s="40" t="str">
        <f aca="false">IF(OR(INDEX(Undirviðmið!$G$6:$G$105,(COLUMN()-7-1)/2+1)&lt;&gt;"Starfsbundið",DI72="",DI$8="",DI$7=""),"",ROUND(DI72/DI$8*DI$7*KVARDI,2))</f>
        <v/>
      </c>
      <c r="DK72" s="39"/>
      <c r="DL72" s="40" t="str">
        <f aca="false">IF(OR(INDEX(Undirviðmið!$G$6:$G$105,(COLUMN()-7-1)/2+1)&lt;&gt;"Starfsbundið",DK72="",DK$8="",DK$7=""),"",ROUND(DK72/DK$8*DK$7*KVARDI,2))</f>
        <v/>
      </c>
      <c r="DM72" s="39"/>
      <c r="DN72" s="40" t="str">
        <f aca="false">IF(OR(INDEX(Undirviðmið!$G$6:$G$105,(COLUMN()-7-1)/2+1)&lt;&gt;"Starfsbundið",DM72="",DM$8="",DM$7=""),"",ROUND(DM72/DM$8*DM$7*KVARDI,2))</f>
        <v/>
      </c>
      <c r="DO72" s="39"/>
      <c r="DP72" s="40" t="str">
        <f aca="false">IF(OR(INDEX(Undirviðmið!$G$6:$G$105,(COLUMN()-7-1)/2+1)&lt;&gt;"Starfsbundið",DO72="",DO$8="",DO$7=""),"",ROUND(DO72/DO$8*DO$7*KVARDI,2))</f>
        <v/>
      </c>
      <c r="DQ72" s="39"/>
      <c r="DR72" s="40" t="str">
        <f aca="false">IF(OR(INDEX(Undirviðmið!$G$6:$G$105,(COLUMN()-7-1)/2+1)&lt;&gt;"Starfsbundið",DQ72="",DQ$8="",DQ$7=""),"",ROUND(DQ72/DQ$8*DQ$7*KVARDI,2))</f>
        <v/>
      </c>
      <c r="DS72" s="39"/>
      <c r="DT72" s="40" t="str">
        <f aca="false">IF(OR(INDEX(Undirviðmið!$G$6:$G$105,(COLUMN()-7-1)/2+1)&lt;&gt;"Starfsbundið",DS72="",DS$8="",DS$7=""),"",ROUND(DS72/DS$8*DS$7*KVARDI,2))</f>
        <v/>
      </c>
      <c r="DU72" s="39"/>
      <c r="DV72" s="40" t="str">
        <f aca="false">IF(OR(INDEX(Undirviðmið!$G$6:$G$105,(COLUMN()-7-1)/2+1)&lt;&gt;"Starfsbundið",DU72="",DU$8="",DU$7=""),"",ROUND(DU72/DU$8*DU$7*KVARDI,2))</f>
        <v/>
      </c>
      <c r="DW72" s="39"/>
      <c r="DX72" s="40" t="str">
        <f aca="false">IF(OR(INDEX(Undirviðmið!$G$6:$G$105,(COLUMN()-7-1)/2+1)&lt;&gt;"Starfsbundið",DW72="",DW$8="",DW$7=""),"",ROUND(DW72/DW$8*DW$7*KVARDI,2))</f>
        <v/>
      </c>
      <c r="DY72" s="39"/>
      <c r="DZ72" s="40" t="str">
        <f aca="false">IF(OR(INDEX(Undirviðmið!$G$6:$G$105,(COLUMN()-7-1)/2+1)&lt;&gt;"Starfsbundið",DY72="",DY$8="",DY$7=""),"",ROUND(DY72/DY$8*DY$7*KVARDI,2))</f>
        <v/>
      </c>
      <c r="EA72" s="39"/>
      <c r="EB72" s="40" t="str">
        <f aca="false">IF(OR(INDEX(Undirviðmið!$G$6:$G$105,(COLUMN()-7-1)/2+1)&lt;&gt;"Starfsbundið",EA72="",EA$8="",EA$7=""),"",ROUND(EA72/EA$8*EA$7*KVARDI,2))</f>
        <v/>
      </c>
      <c r="EC72" s="39"/>
      <c r="ED72" s="40" t="str">
        <f aca="false">IF(OR(INDEX(Undirviðmið!$G$6:$G$105,(COLUMN()-7-1)/2+1)&lt;&gt;"Starfsbundið",EC72="",EC$8="",EC$7=""),"",ROUND(EC72/EC$8*EC$7*KVARDI,2))</f>
        <v/>
      </c>
      <c r="EE72" s="39"/>
      <c r="EF72" s="40" t="str">
        <f aca="false">IF(OR(INDEX(Undirviðmið!$G$6:$G$105,(COLUMN()-7-1)/2+1)&lt;&gt;"Starfsbundið",EE72="",EE$8="",EE$7=""),"",ROUND(EE72/EE$8*EE$7*KVARDI,2))</f>
        <v/>
      </c>
      <c r="EG72" s="39"/>
      <c r="EH72" s="40" t="str">
        <f aca="false">IF(OR(INDEX(Undirviðmið!$G$6:$G$105,(COLUMN()-7-1)/2+1)&lt;&gt;"Starfsbundið",EG72="",EG$8="",EG$7=""),"",ROUND(EG72/EG$8*EG$7*KVARDI,2))</f>
        <v/>
      </c>
      <c r="EI72" s="39"/>
      <c r="EJ72" s="40" t="str">
        <f aca="false">IF(OR(INDEX(Undirviðmið!$G$6:$G$105,(COLUMN()-7-1)/2+1)&lt;&gt;"Starfsbundið",EI72="",EI$8="",EI$7=""),"",ROUND(EI72/EI$8*EI$7*KVARDI,2))</f>
        <v/>
      </c>
      <c r="EK72" s="39"/>
      <c r="EL72" s="40" t="str">
        <f aca="false">IF(OR(INDEX(Undirviðmið!$G$6:$G$105,(COLUMN()-7-1)/2+1)&lt;&gt;"Starfsbundið",EK72="",EK$8="",EK$7=""),"",ROUND(EK72/EK$8*EK$7*KVARDI,2))</f>
        <v/>
      </c>
      <c r="EM72" s="39"/>
      <c r="EN72" s="40" t="str">
        <f aca="false">IF(OR(INDEX(Undirviðmið!$G$6:$G$105,(COLUMN()-7-1)/2+1)&lt;&gt;"Starfsbundið",EM72="",EM$8="",EM$7=""),"",ROUND(EM72/EM$8*EM$7*KVARDI,2))</f>
        <v/>
      </c>
      <c r="EO72" s="39"/>
      <c r="EP72" s="40" t="str">
        <f aca="false">IF(OR(INDEX(Undirviðmið!$G$6:$G$105,(COLUMN()-7-1)/2+1)&lt;&gt;"Starfsbundið",EO72="",EO$8="",EO$7=""),"",ROUND(EO72/EO$8*EO$7*KVARDI,2))</f>
        <v/>
      </c>
      <c r="EQ72" s="39"/>
      <c r="ER72" s="40" t="str">
        <f aca="false">IF(OR(INDEX(Undirviðmið!$G$6:$G$105,(COLUMN()-7-1)/2+1)&lt;&gt;"Starfsbundið",EQ72="",EQ$8="",EQ$7=""),"",ROUND(EQ72/EQ$8*EQ$7*KVARDI,2))</f>
        <v/>
      </c>
      <c r="ES72" s="39"/>
      <c r="ET72" s="40" t="str">
        <f aca="false">IF(OR(INDEX(Undirviðmið!$G$6:$G$105,(COLUMN()-7-1)/2+1)&lt;&gt;"Starfsbundið",ES72="",ES$8="",ES$7=""),"",ROUND(ES72/ES$8*ES$7*KVARDI,2))</f>
        <v/>
      </c>
      <c r="EU72" s="39"/>
      <c r="EV72" s="40" t="str">
        <f aca="false">IF(OR(INDEX(Undirviðmið!$G$6:$G$105,(COLUMN()-7-1)/2+1)&lt;&gt;"Starfsbundið",EU72="",EU$8="",EU$7=""),"",ROUND(EU72/EU$8*EU$7*KVARDI,2))</f>
        <v/>
      </c>
      <c r="EW72" s="39"/>
      <c r="EX72" s="40" t="str">
        <f aca="false">IF(OR(INDEX(Undirviðmið!$G$6:$G$105,(COLUMN()-7-1)/2+1)&lt;&gt;"Starfsbundið",EW72="",EW$8="",EW$7=""),"",ROUND(EW72/EW$8*EW$7*KVARDI,2))</f>
        <v/>
      </c>
      <c r="EY72" s="39"/>
      <c r="EZ72" s="40" t="str">
        <f aca="false">IF(OR(INDEX(Undirviðmið!$G$6:$G$105,(COLUMN()-7-1)/2+1)&lt;&gt;"Starfsbundið",EY72="",EY$8="",EY$7=""),"",ROUND(EY72/EY$8*EY$7*KVARDI,2))</f>
        <v/>
      </c>
      <c r="FA72" s="39"/>
      <c r="FB72" s="40" t="str">
        <f aca="false">IF(OR(INDEX(Undirviðmið!$G$6:$G$105,(COLUMN()-7-1)/2+1)&lt;&gt;"Starfsbundið",FA72="",FA$8="",FA$7=""),"",ROUND(FA72/FA$8*FA$7*KVARDI,2))</f>
        <v/>
      </c>
      <c r="FC72" s="39"/>
      <c r="FD72" s="40" t="str">
        <f aca="false">IF(OR(INDEX(Undirviðmið!$G$6:$G$105,(COLUMN()-7-1)/2+1)&lt;&gt;"Starfsbundið",FC72="",FC$8="",FC$7=""),"",ROUND(FC72/FC$8*FC$7*KVARDI,2))</f>
        <v/>
      </c>
      <c r="FE72" s="39"/>
      <c r="FF72" s="40" t="str">
        <f aca="false">IF(OR(INDEX(Undirviðmið!$G$6:$G$105,(COLUMN()-7-1)/2+1)&lt;&gt;"Starfsbundið",FE72="",FE$8="",FE$7=""),"",ROUND(FE72/FE$8*FE$7*KVARDI,2))</f>
        <v/>
      </c>
      <c r="FG72" s="39"/>
      <c r="FH72" s="40" t="str">
        <f aca="false">IF(OR(INDEX(Undirviðmið!$G$6:$G$105,(COLUMN()-7-1)/2+1)&lt;&gt;"Starfsbundið",FG72="",FG$8="",FG$7=""),"",ROUND(FG72/FG$8*FG$7*KVARDI,2))</f>
        <v/>
      </c>
      <c r="FI72" s="39"/>
      <c r="FJ72" s="40" t="str">
        <f aca="false">IF(OR(INDEX(Undirviðmið!$G$6:$G$105,(COLUMN()-7-1)/2+1)&lt;&gt;"Starfsbundið",FI72="",FI$8="",FI$7=""),"",ROUND(FI72/FI$8*FI$7*KVARDI,2))</f>
        <v/>
      </c>
      <c r="FK72" s="39"/>
      <c r="FL72" s="40" t="str">
        <f aca="false">IF(OR(INDEX(Undirviðmið!$G$6:$G$105,(COLUMN()-7-1)/2+1)&lt;&gt;"Starfsbundið",FK72="",FK$8="",FK$7=""),"",ROUND(FK72/FK$8*FK$7*KVARDI,2))</f>
        <v/>
      </c>
      <c r="FM72" s="39"/>
      <c r="FN72" s="40" t="str">
        <f aca="false">IF(OR(INDEX(Undirviðmið!$G$6:$G$105,(COLUMN()-7-1)/2+1)&lt;&gt;"Starfsbundið",FM72="",FM$8="",FM$7=""),"",ROUND(FM72/FM$8*FM$7*KVARDI,2))</f>
        <v/>
      </c>
      <c r="FO72" s="39"/>
      <c r="FP72" s="40" t="str">
        <f aca="false">IF(OR(INDEX(Undirviðmið!$G$6:$G$105,(COLUMN()-7-1)/2+1)&lt;&gt;"Starfsbundið",FO72="",FO$8="",FO$7=""),"",ROUND(FO72/FO$8*FO$7*KVARDI,2))</f>
        <v/>
      </c>
      <c r="FQ72" s="39"/>
      <c r="FR72" s="40" t="str">
        <f aca="false">IF(OR(INDEX(Undirviðmið!$G$6:$G$105,(COLUMN()-7-1)/2+1)&lt;&gt;"Starfsbundið",FQ72="",FQ$8="",FQ$7=""),"",ROUND(FQ72/FQ$8*FQ$7*KVARDI,2))</f>
        <v/>
      </c>
      <c r="FS72" s="39"/>
      <c r="FT72" s="40" t="str">
        <f aca="false">IF(OR(INDEX(Undirviðmið!$G$6:$G$105,(COLUMN()-7-1)/2+1)&lt;&gt;"Starfsbundið",FS72="",FS$8="",FS$7=""),"",ROUND(FS72/FS$8*FS$7*KVARDI,2))</f>
        <v/>
      </c>
      <c r="FU72" s="39"/>
      <c r="FV72" s="40" t="str">
        <f aca="false">IF(OR(INDEX(Undirviðmið!$G$6:$G$105,(COLUMN()-7-1)/2+1)&lt;&gt;"Starfsbundið",FU72="",FU$8="",FU$7=""),"",ROUND(FU72/FU$8*FU$7*KVARDI,2))</f>
        <v/>
      </c>
      <c r="FW72" s="39"/>
      <c r="FX72" s="40" t="str">
        <f aca="false">IF(OR(INDEX(Undirviðmið!$G$6:$G$105,(COLUMN()-7-1)/2+1)&lt;&gt;"Starfsbundið",FW72="",FW$8="",FW$7=""),"",ROUND(FW72/FW$8*FW$7*KVARDI,2))</f>
        <v/>
      </c>
      <c r="FY72" s="39"/>
      <c r="FZ72" s="40" t="str">
        <f aca="false">IF(OR(INDEX(Undirviðmið!$G$6:$G$105,(COLUMN()-7-1)/2+1)&lt;&gt;"Starfsbundið",FY72="",FY$8="",FY$7=""),"",ROUND(FY72/FY$8*FY$7*KVARDI,2))</f>
        <v/>
      </c>
      <c r="GA72" s="39"/>
      <c r="GB72" s="40" t="str">
        <f aca="false">IF(OR(INDEX(Undirviðmið!$G$6:$G$105,(COLUMN()-7-1)/2+1)&lt;&gt;"Starfsbundið",GA72="",GA$8="",GA$7=""),"",ROUND(GA72/GA$8*GA$7*KVARDI,2))</f>
        <v/>
      </c>
      <c r="GC72" s="39"/>
      <c r="GD72" s="40" t="str">
        <f aca="false">IF(OR(INDEX(Undirviðmið!$G$6:$G$105,(COLUMN()-7-1)/2+1)&lt;&gt;"Starfsbundið",GC72="",GC$8="",GC$7=""),"",ROUND(GC72/GC$8*GC$7*KVARDI,2))</f>
        <v/>
      </c>
      <c r="GE72" s="39"/>
      <c r="GF72" s="40" t="str">
        <f aca="false">IF(OR(INDEX(Undirviðmið!$G$6:$G$105,(COLUMN()-7-1)/2+1)&lt;&gt;"Starfsbundið",GE72="",GE$8="",GE$7=""),"",ROUND(GE72/GE$8*GE$7*KVARDI,2))</f>
        <v/>
      </c>
      <c r="GG72" s="39"/>
      <c r="GH72" s="40" t="str">
        <f aca="false">IF(OR(INDEX(Undirviðmið!$G$6:$G$105,(COLUMN()-7-1)/2+1)&lt;&gt;"Starfsbundið",GG72="",GG$8="",GG$7=""),"",ROUND(GG72/GG$8*GG$7*KVARDI,2))</f>
        <v/>
      </c>
      <c r="GI72" s="39"/>
      <c r="GJ72" s="40" t="str">
        <f aca="false">IF(OR(INDEX(Undirviðmið!$G$6:$G$105,(COLUMN()-7-1)/2+1)&lt;&gt;"Starfsbundið",GI72="",GI$8="",GI$7=""),"",ROUND(GI72/GI$8*GI$7*KVARDI,2))</f>
        <v/>
      </c>
      <c r="GK72" s="39"/>
      <c r="GL72" s="40" t="str">
        <f aca="false">IF(OR(INDEX(Undirviðmið!$G$6:$G$105,(COLUMN()-7-1)/2+1)&lt;&gt;"Starfsbundið",GK72="",GK$8="",GK$7=""),"",ROUND(GK72/GK$8*GK$7*KVARDI,2))</f>
        <v/>
      </c>
      <c r="GM72" s="39"/>
      <c r="GN72" s="40" t="str">
        <f aca="false">IF(OR(INDEX(Undirviðmið!$G$6:$G$105,(COLUMN()-7-1)/2+1)&lt;&gt;"Starfsbundið",GM72="",GM$8="",GM$7=""),"",ROUND(GM72/GM$8*GM$7*KVARDI,2))</f>
        <v/>
      </c>
      <c r="GO72" s="39"/>
      <c r="GP72" s="40" t="str">
        <f aca="false">IF(OR(INDEX(Undirviðmið!$G$6:$G$105,(COLUMN()-7-1)/2+1)&lt;&gt;"Starfsbundið",GO72="",GO$8="",GO$7=""),"",ROUND(GO72/GO$8*GO$7*KVARDI,2))</f>
        <v/>
      </c>
      <c r="GQ72" s="39"/>
      <c r="GR72" s="40" t="str">
        <f aca="false">IF(OR(INDEX(Undirviðmið!$G$6:$G$105,(COLUMN()-7-1)/2+1)&lt;&gt;"Starfsbundið",GQ72="",GQ$8="",GQ$7=""),"",ROUND(GQ72/GQ$8*GQ$7*KVARDI,2))</f>
        <v/>
      </c>
      <c r="GS72" s="39"/>
      <c r="GT72" s="40" t="str">
        <f aca="false">IF(OR(INDEX(Undirviðmið!$G$6:$G$105,(COLUMN()-7-1)/2+1)&lt;&gt;"Starfsbundið",GS72="",GS$8="",GS$7=""),"",ROUND(GS72/GS$8*GS$7*KVARDI,2))</f>
        <v/>
      </c>
      <c r="GU72" s="39"/>
      <c r="GV72" s="40" t="str">
        <f aca="false">IF(OR(INDEX(Undirviðmið!$G$6:$G$105,(COLUMN()-7-1)/2+1)&lt;&gt;"Starfsbundið",GU72="",GU$8="",GU$7=""),"",ROUND(GU72/GU$8*GU$7*KVARDI,2))</f>
        <v/>
      </c>
      <c r="GW72" s="39"/>
      <c r="GX72" s="40" t="str">
        <f aca="false">IF(OR(INDEX(Undirviðmið!$G$6:$G$105,(COLUMN()-7-1)/2+1)&lt;&gt;"Starfsbundið",GW72="",GW$8="",GW$7=""),"",ROUND(GW72/GW$8*GW$7*KVARDI,2))</f>
        <v/>
      </c>
      <c r="GZ72" s="20"/>
    </row>
    <row r="73" customFormat="false" ht="15" hidden="true" customHeight="true" outlineLevel="1" collapsed="false">
      <c r="B73" s="37" t="str">
        <f aca="false" t="array" ref="B73:B73">IFERROR(INDEX(Starfsmenn!$C$6:$C$10005,MATCH(0,COUNTIF($B$11:B72,Starfsmenn!$C$6:$C$10005)+(Starfsmenn!$C$6:$C$10005=""),0)),"")</f>
        <v/>
      </c>
      <c r="C73" s="38" t="n">
        <f aca="false">IFERROR(SUMIF($G$10:$GX$10,"Stig",$G73:$GX73),0)</f>
        <v>0</v>
      </c>
      <c r="G73" s="39"/>
      <c r="H73" s="40" t="str">
        <f aca="false">IF(OR(INDEX(Undirviðmið!$G$6:$G$105,(COLUMN()-7-1)/2+1)&lt;&gt;"Starfsbundið",G73="",G$8="",G$7=""),"",ROUND(G73/G$8*G$7*KVARDI,2))</f>
        <v/>
      </c>
      <c r="I73" s="39"/>
      <c r="J73" s="40" t="str">
        <f aca="false">IF(OR(INDEX(Undirviðmið!$G$6:$G$105,(COLUMN()-7-1)/2+1)&lt;&gt;"Starfsbundið",I73="",I$8="",I$7=""),"",ROUND(I73/I$8*I$7*KVARDI,2))</f>
        <v/>
      </c>
      <c r="K73" s="39"/>
      <c r="L73" s="40" t="str">
        <f aca="false">IF(OR(INDEX(Undirviðmið!$G$6:$G$105,(COLUMN()-7-1)/2+1)&lt;&gt;"Starfsbundið",K73="",K$8="",K$7=""),"",ROUND(K73/K$8*K$7*KVARDI,2))</f>
        <v/>
      </c>
      <c r="M73" s="39"/>
      <c r="N73" s="40" t="str">
        <f aca="false">IF(OR(INDEX(Undirviðmið!$G$6:$G$105,(COLUMN()-7-1)/2+1)&lt;&gt;"Starfsbundið",M73="",M$8="",M$7=""),"",ROUND(M73/M$8*M$7*KVARDI,2))</f>
        <v/>
      </c>
      <c r="O73" s="39"/>
      <c r="P73" s="40" t="str">
        <f aca="false">IF(OR(INDEX(Undirviðmið!$G$6:$G$105,(COLUMN()-7-1)/2+1)&lt;&gt;"Starfsbundið",O73="",O$8="",O$7=""),"",ROUND(O73/O$8*O$7*KVARDI,2))</f>
        <v/>
      </c>
      <c r="Q73" s="39"/>
      <c r="R73" s="40" t="str">
        <f aca="false">IF(OR(INDEX(Undirviðmið!$G$6:$G$105,(COLUMN()-7-1)/2+1)&lt;&gt;"Starfsbundið",Q73="",Q$8="",Q$7=""),"",ROUND(Q73/Q$8*Q$7*KVARDI,2))</f>
        <v/>
      </c>
      <c r="S73" s="39"/>
      <c r="T73" s="40" t="str">
        <f aca="false">IF(OR(INDEX(Undirviðmið!$G$6:$G$105,(COLUMN()-7-1)/2+1)&lt;&gt;"Starfsbundið",S73="",S$8="",S$7=""),"",ROUND(S73/S$8*S$7*KVARDI,2))</f>
        <v/>
      </c>
      <c r="U73" s="39"/>
      <c r="V73" s="40" t="str">
        <f aca="false">IF(OR(INDEX(Undirviðmið!$G$6:$G$105,(COLUMN()-7-1)/2+1)&lt;&gt;"Starfsbundið",U73="",U$8="",U$7=""),"",ROUND(U73/U$8*U$7*KVARDI,2))</f>
        <v/>
      </c>
      <c r="W73" s="39"/>
      <c r="X73" s="40" t="str">
        <f aca="false">IF(OR(INDEX(Undirviðmið!$G$6:$G$105,(COLUMN()-7-1)/2+1)&lt;&gt;"Starfsbundið",W73="",W$8="",W$7=""),"",ROUND(W73/W$8*W$7*KVARDI,2))</f>
        <v/>
      </c>
      <c r="Y73" s="39"/>
      <c r="Z73" s="40" t="str">
        <f aca="false">IF(OR(INDEX(Undirviðmið!$G$6:$G$105,(COLUMN()-7-1)/2+1)&lt;&gt;"Starfsbundið",Y73="",Y$8="",Y$7=""),"",ROUND(Y73/Y$8*Y$7*KVARDI,2))</f>
        <v/>
      </c>
      <c r="AA73" s="39"/>
      <c r="AB73" s="40" t="str">
        <f aca="false">IF(OR(INDEX(Undirviðmið!$G$6:$G$105,(COLUMN()-7-1)/2+1)&lt;&gt;"Starfsbundið",AA73="",AA$8="",AA$7=""),"",ROUND(AA73/AA$8*AA$7*KVARDI,2))</f>
        <v/>
      </c>
      <c r="AC73" s="39"/>
      <c r="AD73" s="40" t="str">
        <f aca="false">IF(OR(INDEX(Undirviðmið!$G$6:$G$105,(COLUMN()-7-1)/2+1)&lt;&gt;"Starfsbundið",AC73="",AC$8="",AC$7=""),"",ROUND(AC73/AC$8*AC$7*KVARDI,2))</f>
        <v/>
      </c>
      <c r="AE73" s="39"/>
      <c r="AF73" s="40" t="str">
        <f aca="false">IF(OR(INDEX(Undirviðmið!$G$6:$G$105,(COLUMN()-7-1)/2+1)&lt;&gt;"Starfsbundið",AE73="",AE$8="",AE$7=""),"",ROUND(AE73/AE$8*AE$7*KVARDI,2))</f>
        <v/>
      </c>
      <c r="AG73" s="39"/>
      <c r="AH73" s="40" t="str">
        <f aca="false">IF(OR(INDEX(Undirviðmið!$G$6:$G$105,(COLUMN()-7-1)/2+1)&lt;&gt;"Starfsbundið",AG73="",AG$8="",AG$7=""),"",ROUND(AG73/AG$8*AG$7*KVARDI,2))</f>
        <v/>
      </c>
      <c r="AI73" s="39"/>
      <c r="AJ73" s="40" t="str">
        <f aca="false">IF(OR(INDEX(Undirviðmið!$G$6:$G$105,(COLUMN()-7-1)/2+1)&lt;&gt;"Starfsbundið",AI73="",AI$8="",AI$7=""),"",ROUND(AI73/AI$8*AI$7*KVARDI,2))</f>
        <v/>
      </c>
      <c r="AK73" s="39"/>
      <c r="AL73" s="40" t="str">
        <f aca="false">IF(OR(INDEX(Undirviðmið!$G$6:$G$105,(COLUMN()-7-1)/2+1)&lt;&gt;"Starfsbundið",AK73="",AK$8="",AK$7=""),"",ROUND(AK73/AK$8*AK$7*KVARDI,2))</f>
        <v/>
      </c>
      <c r="AM73" s="39"/>
      <c r="AN73" s="40" t="str">
        <f aca="false">IF(OR(INDEX(Undirviðmið!$G$6:$G$105,(COLUMN()-7-1)/2+1)&lt;&gt;"Starfsbundið",AM73="",AM$8="",AM$7=""),"",ROUND(AM73/AM$8*AM$7*KVARDI,2))</f>
        <v/>
      </c>
      <c r="AO73" s="39"/>
      <c r="AP73" s="40" t="str">
        <f aca="false">IF(OR(INDEX(Undirviðmið!$G$6:$G$105,(COLUMN()-7-1)/2+1)&lt;&gt;"Starfsbundið",AO73="",AO$8="",AO$7=""),"",ROUND(AO73/AO$8*AO$7*KVARDI,2))</f>
        <v/>
      </c>
      <c r="AQ73" s="39"/>
      <c r="AR73" s="40" t="str">
        <f aca="false">IF(OR(INDEX(Undirviðmið!$G$6:$G$105,(COLUMN()-7-1)/2+1)&lt;&gt;"Starfsbundið",AQ73="",AQ$8="",AQ$7=""),"",ROUND(AQ73/AQ$8*AQ$7*KVARDI,2))</f>
        <v/>
      </c>
      <c r="AS73" s="39"/>
      <c r="AT73" s="40" t="str">
        <f aca="false">IF(OR(INDEX(Undirviðmið!$G$6:$G$105,(COLUMN()-7-1)/2+1)&lt;&gt;"Starfsbundið",AS73="",AS$8="",AS$7=""),"",ROUND(AS73/AS$8*AS$7*KVARDI,2))</f>
        <v/>
      </c>
      <c r="AU73" s="39"/>
      <c r="AV73" s="40" t="str">
        <f aca="false">IF(OR(INDEX(Undirviðmið!$G$6:$G$105,(COLUMN()-7-1)/2+1)&lt;&gt;"Starfsbundið",AU73="",AU$8="",AU$7=""),"",ROUND(AU73/AU$8*AU$7*KVARDI,2))</f>
        <v/>
      </c>
      <c r="AW73" s="39"/>
      <c r="AX73" s="40" t="str">
        <f aca="false">IF(OR(INDEX(Undirviðmið!$G$6:$G$105,(COLUMN()-7-1)/2+1)&lt;&gt;"Starfsbundið",AW73="",AW$8="",AW$7=""),"",ROUND(AW73/AW$8*AW$7*KVARDI,2))</f>
        <v/>
      </c>
      <c r="AY73" s="39"/>
      <c r="AZ73" s="40" t="str">
        <f aca="false">IF(OR(INDEX(Undirviðmið!$G$6:$G$105,(COLUMN()-7-1)/2+1)&lt;&gt;"Starfsbundið",AY73="",AY$8="",AY$7=""),"",ROUND(AY73/AY$8*AY$7*KVARDI,2))</f>
        <v/>
      </c>
      <c r="BA73" s="39"/>
      <c r="BB73" s="40" t="str">
        <f aca="false">IF(OR(INDEX(Undirviðmið!$G$6:$G$105,(COLUMN()-7-1)/2+1)&lt;&gt;"Starfsbundið",BA73="",BA$8="",BA$7=""),"",ROUND(BA73/BA$8*BA$7*KVARDI,2))</f>
        <v/>
      </c>
      <c r="BC73" s="39"/>
      <c r="BD73" s="40" t="str">
        <f aca="false">IF(OR(INDEX(Undirviðmið!$G$6:$G$105,(COLUMN()-7-1)/2+1)&lt;&gt;"Starfsbundið",BC73="",BC$8="",BC$7=""),"",ROUND(BC73/BC$8*BC$7*KVARDI,2))</f>
        <v/>
      </c>
      <c r="BE73" s="39"/>
      <c r="BF73" s="40" t="str">
        <f aca="false">IF(OR(INDEX(Undirviðmið!$G$6:$G$105,(COLUMN()-7-1)/2+1)&lt;&gt;"Starfsbundið",BE73="",BE$8="",BE$7=""),"",ROUND(BE73/BE$8*BE$7*KVARDI,2))</f>
        <v/>
      </c>
      <c r="BG73" s="39"/>
      <c r="BH73" s="40" t="str">
        <f aca="false">IF(OR(INDEX(Undirviðmið!$G$6:$G$105,(COLUMN()-7-1)/2+1)&lt;&gt;"Starfsbundið",BG73="",BG$8="",BG$7=""),"",ROUND(BG73/BG$8*BG$7*KVARDI,2))</f>
        <v/>
      </c>
      <c r="BI73" s="39"/>
      <c r="BJ73" s="40" t="str">
        <f aca="false">IF(OR(INDEX(Undirviðmið!$G$6:$G$105,(COLUMN()-7-1)/2+1)&lt;&gt;"Starfsbundið",BI73="",BI$8="",BI$7=""),"",ROUND(BI73/BI$8*BI$7*KVARDI,2))</f>
        <v/>
      </c>
      <c r="BK73" s="39"/>
      <c r="BL73" s="40" t="str">
        <f aca="false">IF(OR(INDEX(Undirviðmið!$G$6:$G$105,(COLUMN()-7-1)/2+1)&lt;&gt;"Starfsbundið",BK73="",BK$8="",BK$7=""),"",ROUND(BK73/BK$8*BK$7*KVARDI,2))</f>
        <v/>
      </c>
      <c r="BM73" s="39"/>
      <c r="BN73" s="40" t="str">
        <f aca="false">IF(OR(INDEX(Undirviðmið!$G$6:$G$105,(COLUMN()-7-1)/2+1)&lt;&gt;"Starfsbundið",BM73="",BM$8="",BM$7=""),"",ROUND(BM73/BM$8*BM$7*KVARDI,2))</f>
        <v/>
      </c>
      <c r="BO73" s="39"/>
      <c r="BP73" s="40" t="str">
        <f aca="false">IF(OR(INDEX(Undirviðmið!$G$6:$G$105,(COLUMN()-7-1)/2+1)&lt;&gt;"Starfsbundið",BO73="",BO$8="",BO$7=""),"",ROUND(BO73/BO$8*BO$7*KVARDI,2))</f>
        <v/>
      </c>
      <c r="BQ73" s="39"/>
      <c r="BR73" s="40" t="str">
        <f aca="false">IF(OR(INDEX(Undirviðmið!$G$6:$G$105,(COLUMN()-7-1)/2+1)&lt;&gt;"Starfsbundið",BQ73="",BQ$8="",BQ$7=""),"",ROUND(BQ73/BQ$8*BQ$7*KVARDI,2))</f>
        <v/>
      </c>
      <c r="BS73" s="39"/>
      <c r="BT73" s="40" t="str">
        <f aca="false">IF(OR(INDEX(Undirviðmið!$G$6:$G$105,(COLUMN()-7-1)/2+1)&lt;&gt;"Starfsbundið",BS73="",BS$8="",BS$7=""),"",ROUND(BS73/BS$8*BS$7*KVARDI,2))</f>
        <v/>
      </c>
      <c r="BU73" s="39"/>
      <c r="BV73" s="40" t="str">
        <f aca="false">IF(OR(INDEX(Undirviðmið!$G$6:$G$105,(COLUMN()-7-1)/2+1)&lt;&gt;"Starfsbundið",BU73="",BU$8="",BU$7=""),"",ROUND(BU73/BU$8*BU$7*KVARDI,2))</f>
        <v/>
      </c>
      <c r="BW73" s="39"/>
      <c r="BX73" s="40" t="str">
        <f aca="false">IF(OR(INDEX(Undirviðmið!$G$6:$G$105,(COLUMN()-7-1)/2+1)&lt;&gt;"Starfsbundið",BW73="",BW$8="",BW$7=""),"",ROUND(BW73/BW$8*BW$7*KVARDI,2))</f>
        <v/>
      </c>
      <c r="BY73" s="39"/>
      <c r="BZ73" s="40" t="str">
        <f aca="false">IF(OR(INDEX(Undirviðmið!$G$6:$G$105,(COLUMN()-7-1)/2+1)&lt;&gt;"Starfsbundið",BY73="",BY$8="",BY$7=""),"",ROUND(BY73/BY$8*BY$7*KVARDI,2))</f>
        <v/>
      </c>
      <c r="CA73" s="39"/>
      <c r="CB73" s="40" t="str">
        <f aca="false">IF(OR(INDEX(Undirviðmið!$G$6:$G$105,(COLUMN()-7-1)/2+1)&lt;&gt;"Starfsbundið",CA73="",CA$8="",CA$7=""),"",ROUND(CA73/CA$8*CA$7*KVARDI,2))</f>
        <v/>
      </c>
      <c r="CC73" s="39"/>
      <c r="CD73" s="40" t="str">
        <f aca="false">IF(OR(INDEX(Undirviðmið!$G$6:$G$105,(COLUMN()-7-1)/2+1)&lt;&gt;"Starfsbundið",CC73="",CC$8="",CC$7=""),"",ROUND(CC73/CC$8*CC$7*KVARDI,2))</f>
        <v/>
      </c>
      <c r="CE73" s="39"/>
      <c r="CF73" s="40" t="str">
        <f aca="false">IF(OR(INDEX(Undirviðmið!$G$6:$G$105,(COLUMN()-7-1)/2+1)&lt;&gt;"Starfsbundið",CE73="",CE$8="",CE$7=""),"",ROUND(CE73/CE$8*CE$7*KVARDI,2))</f>
        <v/>
      </c>
      <c r="CG73" s="39"/>
      <c r="CH73" s="40" t="str">
        <f aca="false">IF(OR(INDEX(Undirviðmið!$G$6:$G$105,(COLUMN()-7-1)/2+1)&lt;&gt;"Starfsbundið",CG73="",CG$8="",CG$7=""),"",ROUND(CG73/CG$8*CG$7*KVARDI,2))</f>
        <v/>
      </c>
      <c r="CI73" s="39"/>
      <c r="CJ73" s="40" t="str">
        <f aca="false">IF(OR(INDEX(Undirviðmið!$G$6:$G$105,(COLUMN()-7-1)/2+1)&lt;&gt;"Starfsbundið",CI73="",CI$8="",CI$7=""),"",ROUND(CI73/CI$8*CI$7*KVARDI,2))</f>
        <v/>
      </c>
      <c r="CK73" s="39"/>
      <c r="CL73" s="40" t="str">
        <f aca="false">IF(OR(INDEX(Undirviðmið!$G$6:$G$105,(COLUMN()-7-1)/2+1)&lt;&gt;"Starfsbundið",CK73="",CK$8="",CK$7=""),"",ROUND(CK73/CK$8*CK$7*KVARDI,2))</f>
        <v/>
      </c>
      <c r="CM73" s="39"/>
      <c r="CN73" s="40" t="str">
        <f aca="false">IF(OR(INDEX(Undirviðmið!$G$6:$G$105,(COLUMN()-7-1)/2+1)&lt;&gt;"Starfsbundið",CM73="",CM$8="",CM$7=""),"",ROUND(CM73/CM$8*CM$7*KVARDI,2))</f>
        <v/>
      </c>
      <c r="CO73" s="39"/>
      <c r="CP73" s="40" t="str">
        <f aca="false">IF(OR(INDEX(Undirviðmið!$G$6:$G$105,(COLUMN()-7-1)/2+1)&lt;&gt;"Starfsbundið",CO73="",CO$8="",CO$7=""),"",ROUND(CO73/CO$8*CO$7*KVARDI,2))</f>
        <v/>
      </c>
      <c r="CQ73" s="39"/>
      <c r="CR73" s="40" t="str">
        <f aca="false">IF(OR(INDEX(Undirviðmið!$G$6:$G$105,(COLUMN()-7-1)/2+1)&lt;&gt;"Starfsbundið",CQ73="",CQ$8="",CQ$7=""),"",ROUND(CQ73/CQ$8*CQ$7*KVARDI,2))</f>
        <v/>
      </c>
      <c r="CS73" s="39"/>
      <c r="CT73" s="40" t="str">
        <f aca="false">IF(OR(INDEX(Undirviðmið!$G$6:$G$105,(COLUMN()-7-1)/2+1)&lt;&gt;"Starfsbundið",CS73="",CS$8="",CS$7=""),"",ROUND(CS73/CS$8*CS$7*KVARDI,2))</f>
        <v/>
      </c>
      <c r="CU73" s="39"/>
      <c r="CV73" s="40" t="str">
        <f aca="false">IF(OR(INDEX(Undirviðmið!$G$6:$G$105,(COLUMN()-7-1)/2+1)&lt;&gt;"Starfsbundið",CU73="",CU$8="",CU$7=""),"",ROUND(CU73/CU$8*CU$7*KVARDI,2))</f>
        <v/>
      </c>
      <c r="CW73" s="39"/>
      <c r="CX73" s="40" t="str">
        <f aca="false">IF(OR(INDEX(Undirviðmið!$G$6:$G$105,(COLUMN()-7-1)/2+1)&lt;&gt;"Starfsbundið",CW73="",CW$8="",CW$7=""),"",ROUND(CW73/CW$8*CW$7*KVARDI,2))</f>
        <v/>
      </c>
      <c r="CY73" s="39"/>
      <c r="CZ73" s="40" t="str">
        <f aca="false">IF(OR(INDEX(Undirviðmið!$G$6:$G$105,(COLUMN()-7-1)/2+1)&lt;&gt;"Starfsbundið",CY73="",CY$8="",CY$7=""),"",ROUND(CY73/CY$8*CY$7*KVARDI,2))</f>
        <v/>
      </c>
      <c r="DA73" s="39"/>
      <c r="DB73" s="40" t="str">
        <f aca="false">IF(OR(INDEX(Undirviðmið!$G$6:$G$105,(COLUMN()-7-1)/2+1)&lt;&gt;"Starfsbundið",DA73="",DA$8="",DA$7=""),"",ROUND(DA73/DA$8*DA$7*KVARDI,2))</f>
        <v/>
      </c>
      <c r="DC73" s="39"/>
      <c r="DD73" s="40" t="str">
        <f aca="false">IF(OR(INDEX(Undirviðmið!$G$6:$G$105,(COLUMN()-7-1)/2+1)&lt;&gt;"Starfsbundið",DC73="",DC$8="",DC$7=""),"",ROUND(DC73/DC$8*DC$7*KVARDI,2))</f>
        <v/>
      </c>
      <c r="DE73" s="39"/>
      <c r="DF73" s="40" t="str">
        <f aca="false">IF(OR(INDEX(Undirviðmið!$G$6:$G$105,(COLUMN()-7-1)/2+1)&lt;&gt;"Starfsbundið",DE73="",DE$8="",DE$7=""),"",ROUND(DE73/DE$8*DE$7*KVARDI,2))</f>
        <v/>
      </c>
      <c r="DG73" s="39"/>
      <c r="DH73" s="40" t="str">
        <f aca="false">IF(OR(INDEX(Undirviðmið!$G$6:$G$105,(COLUMN()-7-1)/2+1)&lt;&gt;"Starfsbundið",DG73="",DG$8="",DG$7=""),"",ROUND(DG73/DG$8*DG$7*KVARDI,2))</f>
        <v/>
      </c>
      <c r="DI73" s="39"/>
      <c r="DJ73" s="40" t="str">
        <f aca="false">IF(OR(INDEX(Undirviðmið!$G$6:$G$105,(COLUMN()-7-1)/2+1)&lt;&gt;"Starfsbundið",DI73="",DI$8="",DI$7=""),"",ROUND(DI73/DI$8*DI$7*KVARDI,2))</f>
        <v/>
      </c>
      <c r="DK73" s="39"/>
      <c r="DL73" s="40" t="str">
        <f aca="false">IF(OR(INDEX(Undirviðmið!$G$6:$G$105,(COLUMN()-7-1)/2+1)&lt;&gt;"Starfsbundið",DK73="",DK$8="",DK$7=""),"",ROUND(DK73/DK$8*DK$7*KVARDI,2))</f>
        <v/>
      </c>
      <c r="DM73" s="39"/>
      <c r="DN73" s="40" t="str">
        <f aca="false">IF(OR(INDEX(Undirviðmið!$G$6:$G$105,(COLUMN()-7-1)/2+1)&lt;&gt;"Starfsbundið",DM73="",DM$8="",DM$7=""),"",ROUND(DM73/DM$8*DM$7*KVARDI,2))</f>
        <v/>
      </c>
      <c r="DO73" s="39"/>
      <c r="DP73" s="40" t="str">
        <f aca="false">IF(OR(INDEX(Undirviðmið!$G$6:$G$105,(COLUMN()-7-1)/2+1)&lt;&gt;"Starfsbundið",DO73="",DO$8="",DO$7=""),"",ROUND(DO73/DO$8*DO$7*KVARDI,2))</f>
        <v/>
      </c>
      <c r="DQ73" s="39"/>
      <c r="DR73" s="40" t="str">
        <f aca="false">IF(OR(INDEX(Undirviðmið!$G$6:$G$105,(COLUMN()-7-1)/2+1)&lt;&gt;"Starfsbundið",DQ73="",DQ$8="",DQ$7=""),"",ROUND(DQ73/DQ$8*DQ$7*KVARDI,2))</f>
        <v/>
      </c>
      <c r="DS73" s="39"/>
      <c r="DT73" s="40" t="str">
        <f aca="false">IF(OR(INDEX(Undirviðmið!$G$6:$G$105,(COLUMN()-7-1)/2+1)&lt;&gt;"Starfsbundið",DS73="",DS$8="",DS$7=""),"",ROUND(DS73/DS$8*DS$7*KVARDI,2))</f>
        <v/>
      </c>
      <c r="DU73" s="39"/>
      <c r="DV73" s="40" t="str">
        <f aca="false">IF(OR(INDEX(Undirviðmið!$G$6:$G$105,(COLUMN()-7-1)/2+1)&lt;&gt;"Starfsbundið",DU73="",DU$8="",DU$7=""),"",ROUND(DU73/DU$8*DU$7*KVARDI,2))</f>
        <v/>
      </c>
      <c r="DW73" s="39"/>
      <c r="DX73" s="40" t="str">
        <f aca="false">IF(OR(INDEX(Undirviðmið!$G$6:$G$105,(COLUMN()-7-1)/2+1)&lt;&gt;"Starfsbundið",DW73="",DW$8="",DW$7=""),"",ROUND(DW73/DW$8*DW$7*KVARDI,2))</f>
        <v/>
      </c>
      <c r="DY73" s="39"/>
      <c r="DZ73" s="40" t="str">
        <f aca="false">IF(OR(INDEX(Undirviðmið!$G$6:$G$105,(COLUMN()-7-1)/2+1)&lt;&gt;"Starfsbundið",DY73="",DY$8="",DY$7=""),"",ROUND(DY73/DY$8*DY$7*KVARDI,2))</f>
        <v/>
      </c>
      <c r="EA73" s="39"/>
      <c r="EB73" s="40" t="str">
        <f aca="false">IF(OR(INDEX(Undirviðmið!$G$6:$G$105,(COLUMN()-7-1)/2+1)&lt;&gt;"Starfsbundið",EA73="",EA$8="",EA$7=""),"",ROUND(EA73/EA$8*EA$7*KVARDI,2))</f>
        <v/>
      </c>
      <c r="EC73" s="39"/>
      <c r="ED73" s="40" t="str">
        <f aca="false">IF(OR(INDEX(Undirviðmið!$G$6:$G$105,(COLUMN()-7-1)/2+1)&lt;&gt;"Starfsbundið",EC73="",EC$8="",EC$7=""),"",ROUND(EC73/EC$8*EC$7*KVARDI,2))</f>
        <v/>
      </c>
      <c r="EE73" s="39"/>
      <c r="EF73" s="40" t="str">
        <f aca="false">IF(OR(INDEX(Undirviðmið!$G$6:$G$105,(COLUMN()-7-1)/2+1)&lt;&gt;"Starfsbundið",EE73="",EE$8="",EE$7=""),"",ROUND(EE73/EE$8*EE$7*KVARDI,2))</f>
        <v/>
      </c>
      <c r="EG73" s="39"/>
      <c r="EH73" s="40" t="str">
        <f aca="false">IF(OR(INDEX(Undirviðmið!$G$6:$G$105,(COLUMN()-7-1)/2+1)&lt;&gt;"Starfsbundið",EG73="",EG$8="",EG$7=""),"",ROUND(EG73/EG$8*EG$7*KVARDI,2))</f>
        <v/>
      </c>
      <c r="EI73" s="39"/>
      <c r="EJ73" s="40" t="str">
        <f aca="false">IF(OR(INDEX(Undirviðmið!$G$6:$G$105,(COLUMN()-7-1)/2+1)&lt;&gt;"Starfsbundið",EI73="",EI$8="",EI$7=""),"",ROUND(EI73/EI$8*EI$7*KVARDI,2))</f>
        <v/>
      </c>
      <c r="EK73" s="39"/>
      <c r="EL73" s="40" t="str">
        <f aca="false">IF(OR(INDEX(Undirviðmið!$G$6:$G$105,(COLUMN()-7-1)/2+1)&lt;&gt;"Starfsbundið",EK73="",EK$8="",EK$7=""),"",ROUND(EK73/EK$8*EK$7*KVARDI,2))</f>
        <v/>
      </c>
      <c r="EM73" s="39"/>
      <c r="EN73" s="40" t="str">
        <f aca="false">IF(OR(INDEX(Undirviðmið!$G$6:$G$105,(COLUMN()-7-1)/2+1)&lt;&gt;"Starfsbundið",EM73="",EM$8="",EM$7=""),"",ROUND(EM73/EM$8*EM$7*KVARDI,2))</f>
        <v/>
      </c>
      <c r="EO73" s="39"/>
      <c r="EP73" s="40" t="str">
        <f aca="false">IF(OR(INDEX(Undirviðmið!$G$6:$G$105,(COLUMN()-7-1)/2+1)&lt;&gt;"Starfsbundið",EO73="",EO$8="",EO$7=""),"",ROUND(EO73/EO$8*EO$7*KVARDI,2))</f>
        <v/>
      </c>
      <c r="EQ73" s="39"/>
      <c r="ER73" s="40" t="str">
        <f aca="false">IF(OR(INDEX(Undirviðmið!$G$6:$G$105,(COLUMN()-7-1)/2+1)&lt;&gt;"Starfsbundið",EQ73="",EQ$8="",EQ$7=""),"",ROUND(EQ73/EQ$8*EQ$7*KVARDI,2))</f>
        <v/>
      </c>
      <c r="ES73" s="39"/>
      <c r="ET73" s="40" t="str">
        <f aca="false">IF(OR(INDEX(Undirviðmið!$G$6:$G$105,(COLUMN()-7-1)/2+1)&lt;&gt;"Starfsbundið",ES73="",ES$8="",ES$7=""),"",ROUND(ES73/ES$8*ES$7*KVARDI,2))</f>
        <v/>
      </c>
      <c r="EU73" s="39"/>
      <c r="EV73" s="40" t="str">
        <f aca="false">IF(OR(INDEX(Undirviðmið!$G$6:$G$105,(COLUMN()-7-1)/2+1)&lt;&gt;"Starfsbundið",EU73="",EU$8="",EU$7=""),"",ROUND(EU73/EU$8*EU$7*KVARDI,2))</f>
        <v/>
      </c>
      <c r="EW73" s="39"/>
      <c r="EX73" s="40" t="str">
        <f aca="false">IF(OR(INDEX(Undirviðmið!$G$6:$G$105,(COLUMN()-7-1)/2+1)&lt;&gt;"Starfsbundið",EW73="",EW$8="",EW$7=""),"",ROUND(EW73/EW$8*EW$7*KVARDI,2))</f>
        <v/>
      </c>
      <c r="EY73" s="39"/>
      <c r="EZ73" s="40" t="str">
        <f aca="false">IF(OR(INDEX(Undirviðmið!$G$6:$G$105,(COLUMN()-7-1)/2+1)&lt;&gt;"Starfsbundið",EY73="",EY$8="",EY$7=""),"",ROUND(EY73/EY$8*EY$7*KVARDI,2))</f>
        <v/>
      </c>
      <c r="FA73" s="39"/>
      <c r="FB73" s="40" t="str">
        <f aca="false">IF(OR(INDEX(Undirviðmið!$G$6:$G$105,(COLUMN()-7-1)/2+1)&lt;&gt;"Starfsbundið",FA73="",FA$8="",FA$7=""),"",ROUND(FA73/FA$8*FA$7*KVARDI,2))</f>
        <v/>
      </c>
      <c r="FC73" s="39"/>
      <c r="FD73" s="40" t="str">
        <f aca="false">IF(OR(INDEX(Undirviðmið!$G$6:$G$105,(COLUMN()-7-1)/2+1)&lt;&gt;"Starfsbundið",FC73="",FC$8="",FC$7=""),"",ROUND(FC73/FC$8*FC$7*KVARDI,2))</f>
        <v/>
      </c>
      <c r="FE73" s="39"/>
      <c r="FF73" s="40" t="str">
        <f aca="false">IF(OR(INDEX(Undirviðmið!$G$6:$G$105,(COLUMN()-7-1)/2+1)&lt;&gt;"Starfsbundið",FE73="",FE$8="",FE$7=""),"",ROUND(FE73/FE$8*FE$7*KVARDI,2))</f>
        <v/>
      </c>
      <c r="FG73" s="39"/>
      <c r="FH73" s="40" t="str">
        <f aca="false">IF(OR(INDEX(Undirviðmið!$G$6:$G$105,(COLUMN()-7-1)/2+1)&lt;&gt;"Starfsbundið",FG73="",FG$8="",FG$7=""),"",ROUND(FG73/FG$8*FG$7*KVARDI,2))</f>
        <v/>
      </c>
      <c r="FI73" s="39"/>
      <c r="FJ73" s="40" t="str">
        <f aca="false">IF(OR(INDEX(Undirviðmið!$G$6:$G$105,(COLUMN()-7-1)/2+1)&lt;&gt;"Starfsbundið",FI73="",FI$8="",FI$7=""),"",ROUND(FI73/FI$8*FI$7*KVARDI,2))</f>
        <v/>
      </c>
      <c r="FK73" s="39"/>
      <c r="FL73" s="40" t="str">
        <f aca="false">IF(OR(INDEX(Undirviðmið!$G$6:$G$105,(COLUMN()-7-1)/2+1)&lt;&gt;"Starfsbundið",FK73="",FK$8="",FK$7=""),"",ROUND(FK73/FK$8*FK$7*KVARDI,2))</f>
        <v/>
      </c>
      <c r="FM73" s="39"/>
      <c r="FN73" s="40" t="str">
        <f aca="false">IF(OR(INDEX(Undirviðmið!$G$6:$G$105,(COLUMN()-7-1)/2+1)&lt;&gt;"Starfsbundið",FM73="",FM$8="",FM$7=""),"",ROUND(FM73/FM$8*FM$7*KVARDI,2))</f>
        <v/>
      </c>
      <c r="FO73" s="39"/>
      <c r="FP73" s="40" t="str">
        <f aca="false">IF(OR(INDEX(Undirviðmið!$G$6:$G$105,(COLUMN()-7-1)/2+1)&lt;&gt;"Starfsbundið",FO73="",FO$8="",FO$7=""),"",ROUND(FO73/FO$8*FO$7*KVARDI,2))</f>
        <v/>
      </c>
      <c r="FQ73" s="39"/>
      <c r="FR73" s="40" t="str">
        <f aca="false">IF(OR(INDEX(Undirviðmið!$G$6:$G$105,(COLUMN()-7-1)/2+1)&lt;&gt;"Starfsbundið",FQ73="",FQ$8="",FQ$7=""),"",ROUND(FQ73/FQ$8*FQ$7*KVARDI,2))</f>
        <v/>
      </c>
      <c r="FS73" s="39"/>
      <c r="FT73" s="40" t="str">
        <f aca="false">IF(OR(INDEX(Undirviðmið!$G$6:$G$105,(COLUMN()-7-1)/2+1)&lt;&gt;"Starfsbundið",FS73="",FS$8="",FS$7=""),"",ROUND(FS73/FS$8*FS$7*KVARDI,2))</f>
        <v/>
      </c>
      <c r="FU73" s="39"/>
      <c r="FV73" s="40" t="str">
        <f aca="false">IF(OR(INDEX(Undirviðmið!$G$6:$G$105,(COLUMN()-7-1)/2+1)&lt;&gt;"Starfsbundið",FU73="",FU$8="",FU$7=""),"",ROUND(FU73/FU$8*FU$7*KVARDI,2))</f>
        <v/>
      </c>
      <c r="FW73" s="39"/>
      <c r="FX73" s="40" t="str">
        <f aca="false">IF(OR(INDEX(Undirviðmið!$G$6:$G$105,(COLUMN()-7-1)/2+1)&lt;&gt;"Starfsbundið",FW73="",FW$8="",FW$7=""),"",ROUND(FW73/FW$8*FW$7*KVARDI,2))</f>
        <v/>
      </c>
      <c r="FY73" s="39"/>
      <c r="FZ73" s="40" t="str">
        <f aca="false">IF(OR(INDEX(Undirviðmið!$G$6:$G$105,(COLUMN()-7-1)/2+1)&lt;&gt;"Starfsbundið",FY73="",FY$8="",FY$7=""),"",ROUND(FY73/FY$8*FY$7*KVARDI,2))</f>
        <v/>
      </c>
      <c r="GA73" s="39"/>
      <c r="GB73" s="40" t="str">
        <f aca="false">IF(OR(INDEX(Undirviðmið!$G$6:$G$105,(COLUMN()-7-1)/2+1)&lt;&gt;"Starfsbundið",GA73="",GA$8="",GA$7=""),"",ROUND(GA73/GA$8*GA$7*KVARDI,2))</f>
        <v/>
      </c>
      <c r="GC73" s="39"/>
      <c r="GD73" s="40" t="str">
        <f aca="false">IF(OR(INDEX(Undirviðmið!$G$6:$G$105,(COLUMN()-7-1)/2+1)&lt;&gt;"Starfsbundið",GC73="",GC$8="",GC$7=""),"",ROUND(GC73/GC$8*GC$7*KVARDI,2))</f>
        <v/>
      </c>
      <c r="GE73" s="39"/>
      <c r="GF73" s="40" t="str">
        <f aca="false">IF(OR(INDEX(Undirviðmið!$G$6:$G$105,(COLUMN()-7-1)/2+1)&lt;&gt;"Starfsbundið",GE73="",GE$8="",GE$7=""),"",ROUND(GE73/GE$8*GE$7*KVARDI,2))</f>
        <v/>
      </c>
      <c r="GG73" s="39"/>
      <c r="GH73" s="40" t="str">
        <f aca="false">IF(OR(INDEX(Undirviðmið!$G$6:$G$105,(COLUMN()-7-1)/2+1)&lt;&gt;"Starfsbundið",GG73="",GG$8="",GG$7=""),"",ROUND(GG73/GG$8*GG$7*KVARDI,2))</f>
        <v/>
      </c>
      <c r="GI73" s="39"/>
      <c r="GJ73" s="40" t="str">
        <f aca="false">IF(OR(INDEX(Undirviðmið!$G$6:$G$105,(COLUMN()-7-1)/2+1)&lt;&gt;"Starfsbundið",GI73="",GI$8="",GI$7=""),"",ROUND(GI73/GI$8*GI$7*KVARDI,2))</f>
        <v/>
      </c>
      <c r="GK73" s="39"/>
      <c r="GL73" s="40" t="str">
        <f aca="false">IF(OR(INDEX(Undirviðmið!$G$6:$G$105,(COLUMN()-7-1)/2+1)&lt;&gt;"Starfsbundið",GK73="",GK$8="",GK$7=""),"",ROUND(GK73/GK$8*GK$7*KVARDI,2))</f>
        <v/>
      </c>
      <c r="GM73" s="39"/>
      <c r="GN73" s="40" t="str">
        <f aca="false">IF(OR(INDEX(Undirviðmið!$G$6:$G$105,(COLUMN()-7-1)/2+1)&lt;&gt;"Starfsbundið",GM73="",GM$8="",GM$7=""),"",ROUND(GM73/GM$8*GM$7*KVARDI,2))</f>
        <v/>
      </c>
      <c r="GO73" s="39"/>
      <c r="GP73" s="40" t="str">
        <f aca="false">IF(OR(INDEX(Undirviðmið!$G$6:$G$105,(COLUMN()-7-1)/2+1)&lt;&gt;"Starfsbundið",GO73="",GO$8="",GO$7=""),"",ROUND(GO73/GO$8*GO$7*KVARDI,2))</f>
        <v/>
      </c>
      <c r="GQ73" s="39"/>
      <c r="GR73" s="40" t="str">
        <f aca="false">IF(OR(INDEX(Undirviðmið!$G$6:$G$105,(COLUMN()-7-1)/2+1)&lt;&gt;"Starfsbundið",GQ73="",GQ$8="",GQ$7=""),"",ROUND(GQ73/GQ$8*GQ$7*KVARDI,2))</f>
        <v/>
      </c>
      <c r="GS73" s="39"/>
      <c r="GT73" s="40" t="str">
        <f aca="false">IF(OR(INDEX(Undirviðmið!$G$6:$G$105,(COLUMN()-7-1)/2+1)&lt;&gt;"Starfsbundið",GS73="",GS$8="",GS$7=""),"",ROUND(GS73/GS$8*GS$7*KVARDI,2))</f>
        <v/>
      </c>
      <c r="GU73" s="39"/>
      <c r="GV73" s="40" t="str">
        <f aca="false">IF(OR(INDEX(Undirviðmið!$G$6:$G$105,(COLUMN()-7-1)/2+1)&lt;&gt;"Starfsbundið",GU73="",GU$8="",GU$7=""),"",ROUND(GU73/GU$8*GU$7*KVARDI,2))</f>
        <v/>
      </c>
      <c r="GW73" s="39"/>
      <c r="GX73" s="40" t="str">
        <f aca="false">IF(OR(INDEX(Undirviðmið!$G$6:$G$105,(COLUMN()-7-1)/2+1)&lt;&gt;"Starfsbundið",GW73="",GW$8="",GW$7=""),"",ROUND(GW73/GW$8*GW$7*KVARDI,2))</f>
        <v/>
      </c>
      <c r="GZ73" s="20"/>
    </row>
    <row r="74" customFormat="false" ht="15" hidden="true" customHeight="true" outlineLevel="1" collapsed="false">
      <c r="B74" s="37" t="str">
        <f aca="false" t="array" ref="B74:B74">IFERROR(INDEX(Starfsmenn!$C$6:$C$10005,MATCH(0,COUNTIF($B$11:B73,Starfsmenn!$C$6:$C$10005)+(Starfsmenn!$C$6:$C$10005=""),0)),"")</f>
        <v/>
      </c>
      <c r="C74" s="38" t="n">
        <f aca="false">IFERROR(SUMIF($G$10:$GX$10,"Stig",$G74:$GX74),0)</f>
        <v>0</v>
      </c>
      <c r="G74" s="39"/>
      <c r="H74" s="40" t="str">
        <f aca="false">IF(OR(INDEX(Undirviðmið!$G$6:$G$105,(COLUMN()-7-1)/2+1)&lt;&gt;"Starfsbundið",G74="",G$8="",G$7=""),"",ROUND(G74/G$8*G$7*KVARDI,2))</f>
        <v/>
      </c>
      <c r="I74" s="39"/>
      <c r="J74" s="40" t="str">
        <f aca="false">IF(OR(INDEX(Undirviðmið!$G$6:$G$105,(COLUMN()-7-1)/2+1)&lt;&gt;"Starfsbundið",I74="",I$8="",I$7=""),"",ROUND(I74/I$8*I$7*KVARDI,2))</f>
        <v/>
      </c>
      <c r="K74" s="39"/>
      <c r="L74" s="40" t="str">
        <f aca="false">IF(OR(INDEX(Undirviðmið!$G$6:$G$105,(COLUMN()-7-1)/2+1)&lt;&gt;"Starfsbundið",K74="",K$8="",K$7=""),"",ROUND(K74/K$8*K$7*KVARDI,2))</f>
        <v/>
      </c>
      <c r="M74" s="39"/>
      <c r="N74" s="40" t="str">
        <f aca="false">IF(OR(INDEX(Undirviðmið!$G$6:$G$105,(COLUMN()-7-1)/2+1)&lt;&gt;"Starfsbundið",M74="",M$8="",M$7=""),"",ROUND(M74/M$8*M$7*KVARDI,2))</f>
        <v/>
      </c>
      <c r="O74" s="39"/>
      <c r="P74" s="40" t="str">
        <f aca="false">IF(OR(INDEX(Undirviðmið!$G$6:$G$105,(COLUMN()-7-1)/2+1)&lt;&gt;"Starfsbundið",O74="",O$8="",O$7=""),"",ROUND(O74/O$8*O$7*KVARDI,2))</f>
        <v/>
      </c>
      <c r="Q74" s="39"/>
      <c r="R74" s="40" t="str">
        <f aca="false">IF(OR(INDEX(Undirviðmið!$G$6:$G$105,(COLUMN()-7-1)/2+1)&lt;&gt;"Starfsbundið",Q74="",Q$8="",Q$7=""),"",ROUND(Q74/Q$8*Q$7*KVARDI,2))</f>
        <v/>
      </c>
      <c r="S74" s="39"/>
      <c r="T74" s="40" t="str">
        <f aca="false">IF(OR(INDEX(Undirviðmið!$G$6:$G$105,(COLUMN()-7-1)/2+1)&lt;&gt;"Starfsbundið",S74="",S$8="",S$7=""),"",ROUND(S74/S$8*S$7*KVARDI,2))</f>
        <v/>
      </c>
      <c r="U74" s="39"/>
      <c r="V74" s="40" t="str">
        <f aca="false">IF(OR(INDEX(Undirviðmið!$G$6:$G$105,(COLUMN()-7-1)/2+1)&lt;&gt;"Starfsbundið",U74="",U$8="",U$7=""),"",ROUND(U74/U$8*U$7*KVARDI,2))</f>
        <v/>
      </c>
      <c r="W74" s="39"/>
      <c r="X74" s="40" t="str">
        <f aca="false">IF(OR(INDEX(Undirviðmið!$G$6:$G$105,(COLUMN()-7-1)/2+1)&lt;&gt;"Starfsbundið",W74="",W$8="",W$7=""),"",ROUND(W74/W$8*W$7*KVARDI,2))</f>
        <v/>
      </c>
      <c r="Y74" s="39"/>
      <c r="Z74" s="40" t="str">
        <f aca="false">IF(OR(INDEX(Undirviðmið!$G$6:$G$105,(COLUMN()-7-1)/2+1)&lt;&gt;"Starfsbundið",Y74="",Y$8="",Y$7=""),"",ROUND(Y74/Y$8*Y$7*KVARDI,2))</f>
        <v/>
      </c>
      <c r="AA74" s="39"/>
      <c r="AB74" s="40" t="str">
        <f aca="false">IF(OR(INDEX(Undirviðmið!$G$6:$G$105,(COLUMN()-7-1)/2+1)&lt;&gt;"Starfsbundið",AA74="",AA$8="",AA$7=""),"",ROUND(AA74/AA$8*AA$7*KVARDI,2))</f>
        <v/>
      </c>
      <c r="AC74" s="39"/>
      <c r="AD74" s="40" t="str">
        <f aca="false">IF(OR(INDEX(Undirviðmið!$G$6:$G$105,(COLUMN()-7-1)/2+1)&lt;&gt;"Starfsbundið",AC74="",AC$8="",AC$7=""),"",ROUND(AC74/AC$8*AC$7*KVARDI,2))</f>
        <v/>
      </c>
      <c r="AE74" s="39"/>
      <c r="AF74" s="40" t="str">
        <f aca="false">IF(OR(INDEX(Undirviðmið!$G$6:$G$105,(COLUMN()-7-1)/2+1)&lt;&gt;"Starfsbundið",AE74="",AE$8="",AE$7=""),"",ROUND(AE74/AE$8*AE$7*KVARDI,2))</f>
        <v/>
      </c>
      <c r="AG74" s="39"/>
      <c r="AH74" s="40" t="str">
        <f aca="false">IF(OR(INDEX(Undirviðmið!$G$6:$G$105,(COLUMN()-7-1)/2+1)&lt;&gt;"Starfsbundið",AG74="",AG$8="",AG$7=""),"",ROUND(AG74/AG$8*AG$7*KVARDI,2))</f>
        <v/>
      </c>
      <c r="AI74" s="39"/>
      <c r="AJ74" s="40" t="str">
        <f aca="false">IF(OR(INDEX(Undirviðmið!$G$6:$G$105,(COLUMN()-7-1)/2+1)&lt;&gt;"Starfsbundið",AI74="",AI$8="",AI$7=""),"",ROUND(AI74/AI$8*AI$7*KVARDI,2))</f>
        <v/>
      </c>
      <c r="AK74" s="39"/>
      <c r="AL74" s="40" t="str">
        <f aca="false">IF(OR(INDEX(Undirviðmið!$G$6:$G$105,(COLUMN()-7-1)/2+1)&lt;&gt;"Starfsbundið",AK74="",AK$8="",AK$7=""),"",ROUND(AK74/AK$8*AK$7*KVARDI,2))</f>
        <v/>
      </c>
      <c r="AM74" s="39"/>
      <c r="AN74" s="40" t="str">
        <f aca="false">IF(OR(INDEX(Undirviðmið!$G$6:$G$105,(COLUMN()-7-1)/2+1)&lt;&gt;"Starfsbundið",AM74="",AM$8="",AM$7=""),"",ROUND(AM74/AM$8*AM$7*KVARDI,2))</f>
        <v/>
      </c>
      <c r="AO74" s="39"/>
      <c r="AP74" s="40" t="str">
        <f aca="false">IF(OR(INDEX(Undirviðmið!$G$6:$G$105,(COLUMN()-7-1)/2+1)&lt;&gt;"Starfsbundið",AO74="",AO$8="",AO$7=""),"",ROUND(AO74/AO$8*AO$7*KVARDI,2))</f>
        <v/>
      </c>
      <c r="AQ74" s="39"/>
      <c r="AR74" s="40" t="str">
        <f aca="false">IF(OR(INDEX(Undirviðmið!$G$6:$G$105,(COLUMN()-7-1)/2+1)&lt;&gt;"Starfsbundið",AQ74="",AQ$8="",AQ$7=""),"",ROUND(AQ74/AQ$8*AQ$7*KVARDI,2))</f>
        <v/>
      </c>
      <c r="AS74" s="39"/>
      <c r="AT74" s="40" t="str">
        <f aca="false">IF(OR(INDEX(Undirviðmið!$G$6:$G$105,(COLUMN()-7-1)/2+1)&lt;&gt;"Starfsbundið",AS74="",AS$8="",AS$7=""),"",ROUND(AS74/AS$8*AS$7*KVARDI,2))</f>
        <v/>
      </c>
      <c r="AU74" s="39"/>
      <c r="AV74" s="40" t="str">
        <f aca="false">IF(OR(INDEX(Undirviðmið!$G$6:$G$105,(COLUMN()-7-1)/2+1)&lt;&gt;"Starfsbundið",AU74="",AU$8="",AU$7=""),"",ROUND(AU74/AU$8*AU$7*KVARDI,2))</f>
        <v/>
      </c>
      <c r="AW74" s="39"/>
      <c r="AX74" s="40" t="str">
        <f aca="false">IF(OR(INDEX(Undirviðmið!$G$6:$G$105,(COLUMN()-7-1)/2+1)&lt;&gt;"Starfsbundið",AW74="",AW$8="",AW$7=""),"",ROUND(AW74/AW$8*AW$7*KVARDI,2))</f>
        <v/>
      </c>
      <c r="AY74" s="39"/>
      <c r="AZ74" s="40" t="str">
        <f aca="false">IF(OR(INDEX(Undirviðmið!$G$6:$G$105,(COLUMN()-7-1)/2+1)&lt;&gt;"Starfsbundið",AY74="",AY$8="",AY$7=""),"",ROUND(AY74/AY$8*AY$7*KVARDI,2))</f>
        <v/>
      </c>
      <c r="BA74" s="39"/>
      <c r="BB74" s="40" t="str">
        <f aca="false">IF(OR(INDEX(Undirviðmið!$G$6:$G$105,(COLUMN()-7-1)/2+1)&lt;&gt;"Starfsbundið",BA74="",BA$8="",BA$7=""),"",ROUND(BA74/BA$8*BA$7*KVARDI,2))</f>
        <v/>
      </c>
      <c r="BC74" s="39"/>
      <c r="BD74" s="40" t="str">
        <f aca="false">IF(OR(INDEX(Undirviðmið!$G$6:$G$105,(COLUMN()-7-1)/2+1)&lt;&gt;"Starfsbundið",BC74="",BC$8="",BC$7=""),"",ROUND(BC74/BC$8*BC$7*KVARDI,2))</f>
        <v/>
      </c>
      <c r="BE74" s="39"/>
      <c r="BF74" s="40" t="str">
        <f aca="false">IF(OR(INDEX(Undirviðmið!$G$6:$G$105,(COLUMN()-7-1)/2+1)&lt;&gt;"Starfsbundið",BE74="",BE$8="",BE$7=""),"",ROUND(BE74/BE$8*BE$7*KVARDI,2))</f>
        <v/>
      </c>
      <c r="BG74" s="39"/>
      <c r="BH74" s="40" t="str">
        <f aca="false">IF(OR(INDEX(Undirviðmið!$G$6:$G$105,(COLUMN()-7-1)/2+1)&lt;&gt;"Starfsbundið",BG74="",BG$8="",BG$7=""),"",ROUND(BG74/BG$8*BG$7*KVARDI,2))</f>
        <v/>
      </c>
      <c r="BI74" s="39"/>
      <c r="BJ74" s="40" t="str">
        <f aca="false">IF(OR(INDEX(Undirviðmið!$G$6:$G$105,(COLUMN()-7-1)/2+1)&lt;&gt;"Starfsbundið",BI74="",BI$8="",BI$7=""),"",ROUND(BI74/BI$8*BI$7*KVARDI,2))</f>
        <v/>
      </c>
      <c r="BK74" s="39"/>
      <c r="BL74" s="40" t="str">
        <f aca="false">IF(OR(INDEX(Undirviðmið!$G$6:$G$105,(COLUMN()-7-1)/2+1)&lt;&gt;"Starfsbundið",BK74="",BK$8="",BK$7=""),"",ROUND(BK74/BK$8*BK$7*KVARDI,2))</f>
        <v/>
      </c>
      <c r="BM74" s="39"/>
      <c r="BN74" s="40" t="str">
        <f aca="false">IF(OR(INDEX(Undirviðmið!$G$6:$G$105,(COLUMN()-7-1)/2+1)&lt;&gt;"Starfsbundið",BM74="",BM$8="",BM$7=""),"",ROUND(BM74/BM$8*BM$7*KVARDI,2))</f>
        <v/>
      </c>
      <c r="BO74" s="39"/>
      <c r="BP74" s="40" t="str">
        <f aca="false">IF(OR(INDEX(Undirviðmið!$G$6:$G$105,(COLUMN()-7-1)/2+1)&lt;&gt;"Starfsbundið",BO74="",BO$8="",BO$7=""),"",ROUND(BO74/BO$8*BO$7*KVARDI,2))</f>
        <v/>
      </c>
      <c r="BQ74" s="39"/>
      <c r="BR74" s="40" t="str">
        <f aca="false">IF(OR(INDEX(Undirviðmið!$G$6:$G$105,(COLUMN()-7-1)/2+1)&lt;&gt;"Starfsbundið",BQ74="",BQ$8="",BQ$7=""),"",ROUND(BQ74/BQ$8*BQ$7*KVARDI,2))</f>
        <v/>
      </c>
      <c r="BS74" s="39"/>
      <c r="BT74" s="40" t="str">
        <f aca="false">IF(OR(INDEX(Undirviðmið!$G$6:$G$105,(COLUMN()-7-1)/2+1)&lt;&gt;"Starfsbundið",BS74="",BS$8="",BS$7=""),"",ROUND(BS74/BS$8*BS$7*KVARDI,2))</f>
        <v/>
      </c>
      <c r="BU74" s="39"/>
      <c r="BV74" s="40" t="str">
        <f aca="false">IF(OR(INDEX(Undirviðmið!$G$6:$G$105,(COLUMN()-7-1)/2+1)&lt;&gt;"Starfsbundið",BU74="",BU$8="",BU$7=""),"",ROUND(BU74/BU$8*BU$7*KVARDI,2))</f>
        <v/>
      </c>
      <c r="BW74" s="39"/>
      <c r="BX74" s="40" t="str">
        <f aca="false">IF(OR(INDEX(Undirviðmið!$G$6:$G$105,(COLUMN()-7-1)/2+1)&lt;&gt;"Starfsbundið",BW74="",BW$8="",BW$7=""),"",ROUND(BW74/BW$8*BW$7*KVARDI,2))</f>
        <v/>
      </c>
      <c r="BY74" s="39"/>
      <c r="BZ74" s="40" t="str">
        <f aca="false">IF(OR(INDEX(Undirviðmið!$G$6:$G$105,(COLUMN()-7-1)/2+1)&lt;&gt;"Starfsbundið",BY74="",BY$8="",BY$7=""),"",ROUND(BY74/BY$8*BY$7*KVARDI,2))</f>
        <v/>
      </c>
      <c r="CA74" s="39"/>
      <c r="CB74" s="40" t="str">
        <f aca="false">IF(OR(INDEX(Undirviðmið!$G$6:$G$105,(COLUMN()-7-1)/2+1)&lt;&gt;"Starfsbundið",CA74="",CA$8="",CA$7=""),"",ROUND(CA74/CA$8*CA$7*KVARDI,2))</f>
        <v/>
      </c>
      <c r="CC74" s="39"/>
      <c r="CD74" s="40" t="str">
        <f aca="false">IF(OR(INDEX(Undirviðmið!$G$6:$G$105,(COLUMN()-7-1)/2+1)&lt;&gt;"Starfsbundið",CC74="",CC$8="",CC$7=""),"",ROUND(CC74/CC$8*CC$7*KVARDI,2))</f>
        <v/>
      </c>
      <c r="CE74" s="39"/>
      <c r="CF74" s="40" t="str">
        <f aca="false">IF(OR(INDEX(Undirviðmið!$G$6:$G$105,(COLUMN()-7-1)/2+1)&lt;&gt;"Starfsbundið",CE74="",CE$8="",CE$7=""),"",ROUND(CE74/CE$8*CE$7*KVARDI,2))</f>
        <v/>
      </c>
      <c r="CG74" s="39"/>
      <c r="CH74" s="40" t="str">
        <f aca="false">IF(OR(INDEX(Undirviðmið!$G$6:$G$105,(COLUMN()-7-1)/2+1)&lt;&gt;"Starfsbundið",CG74="",CG$8="",CG$7=""),"",ROUND(CG74/CG$8*CG$7*KVARDI,2))</f>
        <v/>
      </c>
      <c r="CI74" s="39"/>
      <c r="CJ74" s="40" t="str">
        <f aca="false">IF(OR(INDEX(Undirviðmið!$G$6:$G$105,(COLUMN()-7-1)/2+1)&lt;&gt;"Starfsbundið",CI74="",CI$8="",CI$7=""),"",ROUND(CI74/CI$8*CI$7*KVARDI,2))</f>
        <v/>
      </c>
      <c r="CK74" s="39"/>
      <c r="CL74" s="40" t="str">
        <f aca="false">IF(OR(INDEX(Undirviðmið!$G$6:$G$105,(COLUMN()-7-1)/2+1)&lt;&gt;"Starfsbundið",CK74="",CK$8="",CK$7=""),"",ROUND(CK74/CK$8*CK$7*KVARDI,2))</f>
        <v/>
      </c>
      <c r="CM74" s="39"/>
      <c r="CN74" s="40" t="str">
        <f aca="false">IF(OR(INDEX(Undirviðmið!$G$6:$G$105,(COLUMN()-7-1)/2+1)&lt;&gt;"Starfsbundið",CM74="",CM$8="",CM$7=""),"",ROUND(CM74/CM$8*CM$7*KVARDI,2))</f>
        <v/>
      </c>
      <c r="CO74" s="39"/>
      <c r="CP74" s="40" t="str">
        <f aca="false">IF(OR(INDEX(Undirviðmið!$G$6:$G$105,(COLUMN()-7-1)/2+1)&lt;&gt;"Starfsbundið",CO74="",CO$8="",CO$7=""),"",ROUND(CO74/CO$8*CO$7*KVARDI,2))</f>
        <v/>
      </c>
      <c r="CQ74" s="39"/>
      <c r="CR74" s="40" t="str">
        <f aca="false">IF(OR(INDEX(Undirviðmið!$G$6:$G$105,(COLUMN()-7-1)/2+1)&lt;&gt;"Starfsbundið",CQ74="",CQ$8="",CQ$7=""),"",ROUND(CQ74/CQ$8*CQ$7*KVARDI,2))</f>
        <v/>
      </c>
      <c r="CS74" s="39"/>
      <c r="CT74" s="40" t="str">
        <f aca="false">IF(OR(INDEX(Undirviðmið!$G$6:$G$105,(COLUMN()-7-1)/2+1)&lt;&gt;"Starfsbundið",CS74="",CS$8="",CS$7=""),"",ROUND(CS74/CS$8*CS$7*KVARDI,2))</f>
        <v/>
      </c>
      <c r="CU74" s="39"/>
      <c r="CV74" s="40" t="str">
        <f aca="false">IF(OR(INDEX(Undirviðmið!$G$6:$G$105,(COLUMN()-7-1)/2+1)&lt;&gt;"Starfsbundið",CU74="",CU$8="",CU$7=""),"",ROUND(CU74/CU$8*CU$7*KVARDI,2))</f>
        <v/>
      </c>
      <c r="CW74" s="39"/>
      <c r="CX74" s="40" t="str">
        <f aca="false">IF(OR(INDEX(Undirviðmið!$G$6:$G$105,(COLUMN()-7-1)/2+1)&lt;&gt;"Starfsbundið",CW74="",CW$8="",CW$7=""),"",ROUND(CW74/CW$8*CW$7*KVARDI,2))</f>
        <v/>
      </c>
      <c r="CY74" s="39"/>
      <c r="CZ74" s="40" t="str">
        <f aca="false">IF(OR(INDEX(Undirviðmið!$G$6:$G$105,(COLUMN()-7-1)/2+1)&lt;&gt;"Starfsbundið",CY74="",CY$8="",CY$7=""),"",ROUND(CY74/CY$8*CY$7*KVARDI,2))</f>
        <v/>
      </c>
      <c r="DA74" s="39"/>
      <c r="DB74" s="40" t="str">
        <f aca="false">IF(OR(INDEX(Undirviðmið!$G$6:$G$105,(COLUMN()-7-1)/2+1)&lt;&gt;"Starfsbundið",DA74="",DA$8="",DA$7=""),"",ROUND(DA74/DA$8*DA$7*KVARDI,2))</f>
        <v/>
      </c>
      <c r="DC74" s="39"/>
      <c r="DD74" s="40" t="str">
        <f aca="false">IF(OR(INDEX(Undirviðmið!$G$6:$G$105,(COLUMN()-7-1)/2+1)&lt;&gt;"Starfsbundið",DC74="",DC$8="",DC$7=""),"",ROUND(DC74/DC$8*DC$7*KVARDI,2))</f>
        <v/>
      </c>
      <c r="DE74" s="39"/>
      <c r="DF74" s="40" t="str">
        <f aca="false">IF(OR(INDEX(Undirviðmið!$G$6:$G$105,(COLUMN()-7-1)/2+1)&lt;&gt;"Starfsbundið",DE74="",DE$8="",DE$7=""),"",ROUND(DE74/DE$8*DE$7*KVARDI,2))</f>
        <v/>
      </c>
      <c r="DG74" s="39"/>
      <c r="DH74" s="40" t="str">
        <f aca="false">IF(OR(INDEX(Undirviðmið!$G$6:$G$105,(COLUMN()-7-1)/2+1)&lt;&gt;"Starfsbundið",DG74="",DG$8="",DG$7=""),"",ROUND(DG74/DG$8*DG$7*KVARDI,2))</f>
        <v/>
      </c>
      <c r="DI74" s="39"/>
      <c r="DJ74" s="40" t="str">
        <f aca="false">IF(OR(INDEX(Undirviðmið!$G$6:$G$105,(COLUMN()-7-1)/2+1)&lt;&gt;"Starfsbundið",DI74="",DI$8="",DI$7=""),"",ROUND(DI74/DI$8*DI$7*KVARDI,2))</f>
        <v/>
      </c>
      <c r="DK74" s="39"/>
      <c r="DL74" s="40" t="str">
        <f aca="false">IF(OR(INDEX(Undirviðmið!$G$6:$G$105,(COLUMN()-7-1)/2+1)&lt;&gt;"Starfsbundið",DK74="",DK$8="",DK$7=""),"",ROUND(DK74/DK$8*DK$7*KVARDI,2))</f>
        <v/>
      </c>
      <c r="DM74" s="39"/>
      <c r="DN74" s="40" t="str">
        <f aca="false">IF(OR(INDEX(Undirviðmið!$G$6:$G$105,(COLUMN()-7-1)/2+1)&lt;&gt;"Starfsbundið",DM74="",DM$8="",DM$7=""),"",ROUND(DM74/DM$8*DM$7*KVARDI,2))</f>
        <v/>
      </c>
      <c r="DO74" s="39"/>
      <c r="DP74" s="40" t="str">
        <f aca="false">IF(OR(INDEX(Undirviðmið!$G$6:$G$105,(COLUMN()-7-1)/2+1)&lt;&gt;"Starfsbundið",DO74="",DO$8="",DO$7=""),"",ROUND(DO74/DO$8*DO$7*KVARDI,2))</f>
        <v/>
      </c>
      <c r="DQ74" s="39"/>
      <c r="DR74" s="40" t="str">
        <f aca="false">IF(OR(INDEX(Undirviðmið!$G$6:$G$105,(COLUMN()-7-1)/2+1)&lt;&gt;"Starfsbundið",DQ74="",DQ$8="",DQ$7=""),"",ROUND(DQ74/DQ$8*DQ$7*KVARDI,2))</f>
        <v/>
      </c>
      <c r="DS74" s="39"/>
      <c r="DT74" s="40" t="str">
        <f aca="false">IF(OR(INDEX(Undirviðmið!$G$6:$G$105,(COLUMN()-7-1)/2+1)&lt;&gt;"Starfsbundið",DS74="",DS$8="",DS$7=""),"",ROUND(DS74/DS$8*DS$7*KVARDI,2))</f>
        <v/>
      </c>
      <c r="DU74" s="39"/>
      <c r="DV74" s="40" t="str">
        <f aca="false">IF(OR(INDEX(Undirviðmið!$G$6:$G$105,(COLUMN()-7-1)/2+1)&lt;&gt;"Starfsbundið",DU74="",DU$8="",DU$7=""),"",ROUND(DU74/DU$8*DU$7*KVARDI,2))</f>
        <v/>
      </c>
      <c r="DW74" s="39"/>
      <c r="DX74" s="40" t="str">
        <f aca="false">IF(OR(INDEX(Undirviðmið!$G$6:$G$105,(COLUMN()-7-1)/2+1)&lt;&gt;"Starfsbundið",DW74="",DW$8="",DW$7=""),"",ROUND(DW74/DW$8*DW$7*KVARDI,2))</f>
        <v/>
      </c>
      <c r="DY74" s="39"/>
      <c r="DZ74" s="40" t="str">
        <f aca="false">IF(OR(INDEX(Undirviðmið!$G$6:$G$105,(COLUMN()-7-1)/2+1)&lt;&gt;"Starfsbundið",DY74="",DY$8="",DY$7=""),"",ROUND(DY74/DY$8*DY$7*KVARDI,2))</f>
        <v/>
      </c>
      <c r="EA74" s="39"/>
      <c r="EB74" s="40" t="str">
        <f aca="false">IF(OR(INDEX(Undirviðmið!$G$6:$G$105,(COLUMN()-7-1)/2+1)&lt;&gt;"Starfsbundið",EA74="",EA$8="",EA$7=""),"",ROUND(EA74/EA$8*EA$7*KVARDI,2))</f>
        <v/>
      </c>
      <c r="EC74" s="39"/>
      <c r="ED74" s="40" t="str">
        <f aca="false">IF(OR(INDEX(Undirviðmið!$G$6:$G$105,(COLUMN()-7-1)/2+1)&lt;&gt;"Starfsbundið",EC74="",EC$8="",EC$7=""),"",ROUND(EC74/EC$8*EC$7*KVARDI,2))</f>
        <v/>
      </c>
      <c r="EE74" s="39"/>
      <c r="EF74" s="40" t="str">
        <f aca="false">IF(OR(INDEX(Undirviðmið!$G$6:$G$105,(COLUMN()-7-1)/2+1)&lt;&gt;"Starfsbundið",EE74="",EE$8="",EE$7=""),"",ROUND(EE74/EE$8*EE$7*KVARDI,2))</f>
        <v/>
      </c>
      <c r="EG74" s="39"/>
      <c r="EH74" s="40" t="str">
        <f aca="false">IF(OR(INDEX(Undirviðmið!$G$6:$G$105,(COLUMN()-7-1)/2+1)&lt;&gt;"Starfsbundið",EG74="",EG$8="",EG$7=""),"",ROUND(EG74/EG$8*EG$7*KVARDI,2))</f>
        <v/>
      </c>
      <c r="EI74" s="39"/>
      <c r="EJ74" s="40" t="str">
        <f aca="false">IF(OR(INDEX(Undirviðmið!$G$6:$G$105,(COLUMN()-7-1)/2+1)&lt;&gt;"Starfsbundið",EI74="",EI$8="",EI$7=""),"",ROUND(EI74/EI$8*EI$7*KVARDI,2))</f>
        <v/>
      </c>
      <c r="EK74" s="39"/>
      <c r="EL74" s="40" t="str">
        <f aca="false">IF(OR(INDEX(Undirviðmið!$G$6:$G$105,(COLUMN()-7-1)/2+1)&lt;&gt;"Starfsbundið",EK74="",EK$8="",EK$7=""),"",ROUND(EK74/EK$8*EK$7*KVARDI,2))</f>
        <v/>
      </c>
      <c r="EM74" s="39"/>
      <c r="EN74" s="40" t="str">
        <f aca="false">IF(OR(INDEX(Undirviðmið!$G$6:$G$105,(COLUMN()-7-1)/2+1)&lt;&gt;"Starfsbundið",EM74="",EM$8="",EM$7=""),"",ROUND(EM74/EM$8*EM$7*KVARDI,2))</f>
        <v/>
      </c>
      <c r="EO74" s="39"/>
      <c r="EP74" s="40" t="str">
        <f aca="false">IF(OR(INDEX(Undirviðmið!$G$6:$G$105,(COLUMN()-7-1)/2+1)&lt;&gt;"Starfsbundið",EO74="",EO$8="",EO$7=""),"",ROUND(EO74/EO$8*EO$7*KVARDI,2))</f>
        <v/>
      </c>
      <c r="EQ74" s="39"/>
      <c r="ER74" s="40" t="str">
        <f aca="false">IF(OR(INDEX(Undirviðmið!$G$6:$G$105,(COLUMN()-7-1)/2+1)&lt;&gt;"Starfsbundið",EQ74="",EQ$8="",EQ$7=""),"",ROUND(EQ74/EQ$8*EQ$7*KVARDI,2))</f>
        <v/>
      </c>
      <c r="ES74" s="39"/>
      <c r="ET74" s="40" t="str">
        <f aca="false">IF(OR(INDEX(Undirviðmið!$G$6:$G$105,(COLUMN()-7-1)/2+1)&lt;&gt;"Starfsbundið",ES74="",ES$8="",ES$7=""),"",ROUND(ES74/ES$8*ES$7*KVARDI,2))</f>
        <v/>
      </c>
      <c r="EU74" s="39"/>
      <c r="EV74" s="40" t="str">
        <f aca="false">IF(OR(INDEX(Undirviðmið!$G$6:$G$105,(COLUMN()-7-1)/2+1)&lt;&gt;"Starfsbundið",EU74="",EU$8="",EU$7=""),"",ROUND(EU74/EU$8*EU$7*KVARDI,2))</f>
        <v/>
      </c>
      <c r="EW74" s="39"/>
      <c r="EX74" s="40" t="str">
        <f aca="false">IF(OR(INDEX(Undirviðmið!$G$6:$G$105,(COLUMN()-7-1)/2+1)&lt;&gt;"Starfsbundið",EW74="",EW$8="",EW$7=""),"",ROUND(EW74/EW$8*EW$7*KVARDI,2))</f>
        <v/>
      </c>
      <c r="EY74" s="39"/>
      <c r="EZ74" s="40" t="str">
        <f aca="false">IF(OR(INDEX(Undirviðmið!$G$6:$G$105,(COLUMN()-7-1)/2+1)&lt;&gt;"Starfsbundið",EY74="",EY$8="",EY$7=""),"",ROUND(EY74/EY$8*EY$7*KVARDI,2))</f>
        <v/>
      </c>
      <c r="FA74" s="39"/>
      <c r="FB74" s="40" t="str">
        <f aca="false">IF(OR(INDEX(Undirviðmið!$G$6:$G$105,(COLUMN()-7-1)/2+1)&lt;&gt;"Starfsbundið",FA74="",FA$8="",FA$7=""),"",ROUND(FA74/FA$8*FA$7*KVARDI,2))</f>
        <v/>
      </c>
      <c r="FC74" s="39"/>
      <c r="FD74" s="40" t="str">
        <f aca="false">IF(OR(INDEX(Undirviðmið!$G$6:$G$105,(COLUMN()-7-1)/2+1)&lt;&gt;"Starfsbundið",FC74="",FC$8="",FC$7=""),"",ROUND(FC74/FC$8*FC$7*KVARDI,2))</f>
        <v/>
      </c>
      <c r="FE74" s="39"/>
      <c r="FF74" s="40" t="str">
        <f aca="false">IF(OR(INDEX(Undirviðmið!$G$6:$G$105,(COLUMN()-7-1)/2+1)&lt;&gt;"Starfsbundið",FE74="",FE$8="",FE$7=""),"",ROUND(FE74/FE$8*FE$7*KVARDI,2))</f>
        <v/>
      </c>
      <c r="FG74" s="39"/>
      <c r="FH74" s="40" t="str">
        <f aca="false">IF(OR(INDEX(Undirviðmið!$G$6:$G$105,(COLUMN()-7-1)/2+1)&lt;&gt;"Starfsbundið",FG74="",FG$8="",FG$7=""),"",ROUND(FG74/FG$8*FG$7*KVARDI,2))</f>
        <v/>
      </c>
      <c r="FI74" s="39"/>
      <c r="FJ74" s="40" t="str">
        <f aca="false">IF(OR(INDEX(Undirviðmið!$G$6:$G$105,(COLUMN()-7-1)/2+1)&lt;&gt;"Starfsbundið",FI74="",FI$8="",FI$7=""),"",ROUND(FI74/FI$8*FI$7*KVARDI,2))</f>
        <v/>
      </c>
      <c r="FK74" s="39"/>
      <c r="FL74" s="40" t="str">
        <f aca="false">IF(OR(INDEX(Undirviðmið!$G$6:$G$105,(COLUMN()-7-1)/2+1)&lt;&gt;"Starfsbundið",FK74="",FK$8="",FK$7=""),"",ROUND(FK74/FK$8*FK$7*KVARDI,2))</f>
        <v/>
      </c>
      <c r="FM74" s="39"/>
      <c r="FN74" s="40" t="str">
        <f aca="false">IF(OR(INDEX(Undirviðmið!$G$6:$G$105,(COLUMN()-7-1)/2+1)&lt;&gt;"Starfsbundið",FM74="",FM$8="",FM$7=""),"",ROUND(FM74/FM$8*FM$7*KVARDI,2))</f>
        <v/>
      </c>
      <c r="FO74" s="39"/>
      <c r="FP74" s="40" t="str">
        <f aca="false">IF(OR(INDEX(Undirviðmið!$G$6:$G$105,(COLUMN()-7-1)/2+1)&lt;&gt;"Starfsbundið",FO74="",FO$8="",FO$7=""),"",ROUND(FO74/FO$8*FO$7*KVARDI,2))</f>
        <v/>
      </c>
      <c r="FQ74" s="39"/>
      <c r="FR74" s="40" t="str">
        <f aca="false">IF(OR(INDEX(Undirviðmið!$G$6:$G$105,(COLUMN()-7-1)/2+1)&lt;&gt;"Starfsbundið",FQ74="",FQ$8="",FQ$7=""),"",ROUND(FQ74/FQ$8*FQ$7*KVARDI,2))</f>
        <v/>
      </c>
      <c r="FS74" s="39"/>
      <c r="FT74" s="40" t="str">
        <f aca="false">IF(OR(INDEX(Undirviðmið!$G$6:$G$105,(COLUMN()-7-1)/2+1)&lt;&gt;"Starfsbundið",FS74="",FS$8="",FS$7=""),"",ROUND(FS74/FS$8*FS$7*KVARDI,2))</f>
        <v/>
      </c>
      <c r="FU74" s="39"/>
      <c r="FV74" s="40" t="str">
        <f aca="false">IF(OR(INDEX(Undirviðmið!$G$6:$G$105,(COLUMN()-7-1)/2+1)&lt;&gt;"Starfsbundið",FU74="",FU$8="",FU$7=""),"",ROUND(FU74/FU$8*FU$7*KVARDI,2))</f>
        <v/>
      </c>
      <c r="FW74" s="39"/>
      <c r="FX74" s="40" t="str">
        <f aca="false">IF(OR(INDEX(Undirviðmið!$G$6:$G$105,(COLUMN()-7-1)/2+1)&lt;&gt;"Starfsbundið",FW74="",FW$8="",FW$7=""),"",ROUND(FW74/FW$8*FW$7*KVARDI,2))</f>
        <v/>
      </c>
      <c r="FY74" s="39"/>
      <c r="FZ74" s="40" t="str">
        <f aca="false">IF(OR(INDEX(Undirviðmið!$G$6:$G$105,(COLUMN()-7-1)/2+1)&lt;&gt;"Starfsbundið",FY74="",FY$8="",FY$7=""),"",ROUND(FY74/FY$8*FY$7*KVARDI,2))</f>
        <v/>
      </c>
      <c r="GA74" s="39"/>
      <c r="GB74" s="40" t="str">
        <f aca="false">IF(OR(INDEX(Undirviðmið!$G$6:$G$105,(COLUMN()-7-1)/2+1)&lt;&gt;"Starfsbundið",GA74="",GA$8="",GA$7=""),"",ROUND(GA74/GA$8*GA$7*KVARDI,2))</f>
        <v/>
      </c>
      <c r="GC74" s="39"/>
      <c r="GD74" s="40" t="str">
        <f aca="false">IF(OR(INDEX(Undirviðmið!$G$6:$G$105,(COLUMN()-7-1)/2+1)&lt;&gt;"Starfsbundið",GC74="",GC$8="",GC$7=""),"",ROUND(GC74/GC$8*GC$7*KVARDI,2))</f>
        <v/>
      </c>
      <c r="GE74" s="39"/>
      <c r="GF74" s="40" t="str">
        <f aca="false">IF(OR(INDEX(Undirviðmið!$G$6:$G$105,(COLUMN()-7-1)/2+1)&lt;&gt;"Starfsbundið",GE74="",GE$8="",GE$7=""),"",ROUND(GE74/GE$8*GE$7*KVARDI,2))</f>
        <v/>
      </c>
      <c r="GG74" s="39"/>
      <c r="GH74" s="40" t="str">
        <f aca="false">IF(OR(INDEX(Undirviðmið!$G$6:$G$105,(COLUMN()-7-1)/2+1)&lt;&gt;"Starfsbundið",GG74="",GG$8="",GG$7=""),"",ROUND(GG74/GG$8*GG$7*KVARDI,2))</f>
        <v/>
      </c>
      <c r="GI74" s="39"/>
      <c r="GJ74" s="40" t="str">
        <f aca="false">IF(OR(INDEX(Undirviðmið!$G$6:$G$105,(COLUMN()-7-1)/2+1)&lt;&gt;"Starfsbundið",GI74="",GI$8="",GI$7=""),"",ROUND(GI74/GI$8*GI$7*KVARDI,2))</f>
        <v/>
      </c>
      <c r="GK74" s="39"/>
      <c r="GL74" s="40" t="str">
        <f aca="false">IF(OR(INDEX(Undirviðmið!$G$6:$G$105,(COLUMN()-7-1)/2+1)&lt;&gt;"Starfsbundið",GK74="",GK$8="",GK$7=""),"",ROUND(GK74/GK$8*GK$7*KVARDI,2))</f>
        <v/>
      </c>
      <c r="GM74" s="39"/>
      <c r="GN74" s="40" t="str">
        <f aca="false">IF(OR(INDEX(Undirviðmið!$G$6:$G$105,(COLUMN()-7-1)/2+1)&lt;&gt;"Starfsbundið",GM74="",GM$8="",GM$7=""),"",ROUND(GM74/GM$8*GM$7*KVARDI,2))</f>
        <v/>
      </c>
      <c r="GO74" s="39"/>
      <c r="GP74" s="40" t="str">
        <f aca="false">IF(OR(INDEX(Undirviðmið!$G$6:$G$105,(COLUMN()-7-1)/2+1)&lt;&gt;"Starfsbundið",GO74="",GO$8="",GO$7=""),"",ROUND(GO74/GO$8*GO$7*KVARDI,2))</f>
        <v/>
      </c>
      <c r="GQ74" s="39"/>
      <c r="GR74" s="40" t="str">
        <f aca="false">IF(OR(INDEX(Undirviðmið!$G$6:$G$105,(COLUMN()-7-1)/2+1)&lt;&gt;"Starfsbundið",GQ74="",GQ$8="",GQ$7=""),"",ROUND(GQ74/GQ$8*GQ$7*KVARDI,2))</f>
        <v/>
      </c>
      <c r="GS74" s="39"/>
      <c r="GT74" s="40" t="str">
        <f aca="false">IF(OR(INDEX(Undirviðmið!$G$6:$G$105,(COLUMN()-7-1)/2+1)&lt;&gt;"Starfsbundið",GS74="",GS$8="",GS$7=""),"",ROUND(GS74/GS$8*GS$7*KVARDI,2))</f>
        <v/>
      </c>
      <c r="GU74" s="39"/>
      <c r="GV74" s="40" t="str">
        <f aca="false">IF(OR(INDEX(Undirviðmið!$G$6:$G$105,(COLUMN()-7-1)/2+1)&lt;&gt;"Starfsbundið",GU74="",GU$8="",GU$7=""),"",ROUND(GU74/GU$8*GU$7*KVARDI,2))</f>
        <v/>
      </c>
      <c r="GW74" s="39"/>
      <c r="GX74" s="40" t="str">
        <f aca="false">IF(OR(INDEX(Undirviðmið!$G$6:$G$105,(COLUMN()-7-1)/2+1)&lt;&gt;"Starfsbundið",GW74="",GW$8="",GW$7=""),"",ROUND(GW74/GW$8*GW$7*KVARDI,2))</f>
        <v/>
      </c>
      <c r="GZ74" s="20"/>
    </row>
    <row r="75" customFormat="false" ht="15" hidden="true" customHeight="true" outlineLevel="1" collapsed="false">
      <c r="B75" s="37" t="str">
        <f aca="false" t="array" ref="B75:B75">IFERROR(INDEX(Starfsmenn!$C$6:$C$10005,MATCH(0,COUNTIF($B$11:B74,Starfsmenn!$C$6:$C$10005)+(Starfsmenn!$C$6:$C$10005=""),0)),"")</f>
        <v/>
      </c>
      <c r="C75" s="38" t="n">
        <f aca="false">IFERROR(SUMIF($G$10:$GX$10,"Stig",$G75:$GX75),0)</f>
        <v>0</v>
      </c>
      <c r="G75" s="39"/>
      <c r="H75" s="40" t="str">
        <f aca="false">IF(OR(INDEX(Undirviðmið!$G$6:$G$105,(COLUMN()-7-1)/2+1)&lt;&gt;"Starfsbundið",G75="",G$8="",G$7=""),"",ROUND(G75/G$8*G$7*KVARDI,2))</f>
        <v/>
      </c>
      <c r="I75" s="39"/>
      <c r="J75" s="40" t="str">
        <f aca="false">IF(OR(INDEX(Undirviðmið!$G$6:$G$105,(COLUMN()-7-1)/2+1)&lt;&gt;"Starfsbundið",I75="",I$8="",I$7=""),"",ROUND(I75/I$8*I$7*KVARDI,2))</f>
        <v/>
      </c>
      <c r="K75" s="39"/>
      <c r="L75" s="40" t="str">
        <f aca="false">IF(OR(INDEX(Undirviðmið!$G$6:$G$105,(COLUMN()-7-1)/2+1)&lt;&gt;"Starfsbundið",K75="",K$8="",K$7=""),"",ROUND(K75/K$8*K$7*KVARDI,2))</f>
        <v/>
      </c>
      <c r="M75" s="39"/>
      <c r="N75" s="40" t="str">
        <f aca="false">IF(OR(INDEX(Undirviðmið!$G$6:$G$105,(COLUMN()-7-1)/2+1)&lt;&gt;"Starfsbundið",M75="",M$8="",M$7=""),"",ROUND(M75/M$8*M$7*KVARDI,2))</f>
        <v/>
      </c>
      <c r="O75" s="39"/>
      <c r="P75" s="40" t="str">
        <f aca="false">IF(OR(INDEX(Undirviðmið!$G$6:$G$105,(COLUMN()-7-1)/2+1)&lt;&gt;"Starfsbundið",O75="",O$8="",O$7=""),"",ROUND(O75/O$8*O$7*KVARDI,2))</f>
        <v/>
      </c>
      <c r="Q75" s="39"/>
      <c r="R75" s="40" t="str">
        <f aca="false">IF(OR(INDEX(Undirviðmið!$G$6:$G$105,(COLUMN()-7-1)/2+1)&lt;&gt;"Starfsbundið",Q75="",Q$8="",Q$7=""),"",ROUND(Q75/Q$8*Q$7*KVARDI,2))</f>
        <v/>
      </c>
      <c r="S75" s="39"/>
      <c r="T75" s="40" t="str">
        <f aca="false">IF(OR(INDEX(Undirviðmið!$G$6:$G$105,(COLUMN()-7-1)/2+1)&lt;&gt;"Starfsbundið",S75="",S$8="",S$7=""),"",ROUND(S75/S$8*S$7*KVARDI,2))</f>
        <v/>
      </c>
      <c r="U75" s="39"/>
      <c r="V75" s="40" t="str">
        <f aca="false">IF(OR(INDEX(Undirviðmið!$G$6:$G$105,(COLUMN()-7-1)/2+1)&lt;&gt;"Starfsbundið",U75="",U$8="",U$7=""),"",ROUND(U75/U$8*U$7*KVARDI,2))</f>
        <v/>
      </c>
      <c r="W75" s="39"/>
      <c r="X75" s="40" t="str">
        <f aca="false">IF(OR(INDEX(Undirviðmið!$G$6:$G$105,(COLUMN()-7-1)/2+1)&lt;&gt;"Starfsbundið",W75="",W$8="",W$7=""),"",ROUND(W75/W$8*W$7*KVARDI,2))</f>
        <v/>
      </c>
      <c r="Y75" s="39"/>
      <c r="Z75" s="40" t="str">
        <f aca="false">IF(OR(INDEX(Undirviðmið!$G$6:$G$105,(COLUMN()-7-1)/2+1)&lt;&gt;"Starfsbundið",Y75="",Y$8="",Y$7=""),"",ROUND(Y75/Y$8*Y$7*KVARDI,2))</f>
        <v/>
      </c>
      <c r="AA75" s="39"/>
      <c r="AB75" s="40" t="str">
        <f aca="false">IF(OR(INDEX(Undirviðmið!$G$6:$G$105,(COLUMN()-7-1)/2+1)&lt;&gt;"Starfsbundið",AA75="",AA$8="",AA$7=""),"",ROUND(AA75/AA$8*AA$7*KVARDI,2))</f>
        <v/>
      </c>
      <c r="AC75" s="39"/>
      <c r="AD75" s="40" t="str">
        <f aca="false">IF(OR(INDEX(Undirviðmið!$G$6:$G$105,(COLUMN()-7-1)/2+1)&lt;&gt;"Starfsbundið",AC75="",AC$8="",AC$7=""),"",ROUND(AC75/AC$8*AC$7*KVARDI,2))</f>
        <v/>
      </c>
      <c r="AE75" s="39"/>
      <c r="AF75" s="40" t="str">
        <f aca="false">IF(OR(INDEX(Undirviðmið!$G$6:$G$105,(COLUMN()-7-1)/2+1)&lt;&gt;"Starfsbundið",AE75="",AE$8="",AE$7=""),"",ROUND(AE75/AE$8*AE$7*KVARDI,2))</f>
        <v/>
      </c>
      <c r="AG75" s="39"/>
      <c r="AH75" s="40" t="str">
        <f aca="false">IF(OR(INDEX(Undirviðmið!$G$6:$G$105,(COLUMN()-7-1)/2+1)&lt;&gt;"Starfsbundið",AG75="",AG$8="",AG$7=""),"",ROUND(AG75/AG$8*AG$7*KVARDI,2))</f>
        <v/>
      </c>
      <c r="AI75" s="39"/>
      <c r="AJ75" s="40" t="str">
        <f aca="false">IF(OR(INDEX(Undirviðmið!$G$6:$G$105,(COLUMN()-7-1)/2+1)&lt;&gt;"Starfsbundið",AI75="",AI$8="",AI$7=""),"",ROUND(AI75/AI$8*AI$7*KVARDI,2))</f>
        <v/>
      </c>
      <c r="AK75" s="39"/>
      <c r="AL75" s="40" t="str">
        <f aca="false">IF(OR(INDEX(Undirviðmið!$G$6:$G$105,(COLUMN()-7-1)/2+1)&lt;&gt;"Starfsbundið",AK75="",AK$8="",AK$7=""),"",ROUND(AK75/AK$8*AK$7*KVARDI,2))</f>
        <v/>
      </c>
      <c r="AM75" s="39"/>
      <c r="AN75" s="40" t="str">
        <f aca="false">IF(OR(INDEX(Undirviðmið!$G$6:$G$105,(COLUMN()-7-1)/2+1)&lt;&gt;"Starfsbundið",AM75="",AM$8="",AM$7=""),"",ROUND(AM75/AM$8*AM$7*KVARDI,2))</f>
        <v/>
      </c>
      <c r="AO75" s="39"/>
      <c r="AP75" s="40" t="str">
        <f aca="false">IF(OR(INDEX(Undirviðmið!$G$6:$G$105,(COLUMN()-7-1)/2+1)&lt;&gt;"Starfsbundið",AO75="",AO$8="",AO$7=""),"",ROUND(AO75/AO$8*AO$7*KVARDI,2))</f>
        <v/>
      </c>
      <c r="AQ75" s="39"/>
      <c r="AR75" s="40" t="str">
        <f aca="false">IF(OR(INDEX(Undirviðmið!$G$6:$G$105,(COLUMN()-7-1)/2+1)&lt;&gt;"Starfsbundið",AQ75="",AQ$8="",AQ$7=""),"",ROUND(AQ75/AQ$8*AQ$7*KVARDI,2))</f>
        <v/>
      </c>
      <c r="AS75" s="39"/>
      <c r="AT75" s="40" t="str">
        <f aca="false">IF(OR(INDEX(Undirviðmið!$G$6:$G$105,(COLUMN()-7-1)/2+1)&lt;&gt;"Starfsbundið",AS75="",AS$8="",AS$7=""),"",ROUND(AS75/AS$8*AS$7*KVARDI,2))</f>
        <v/>
      </c>
      <c r="AU75" s="39"/>
      <c r="AV75" s="40" t="str">
        <f aca="false">IF(OR(INDEX(Undirviðmið!$G$6:$G$105,(COLUMN()-7-1)/2+1)&lt;&gt;"Starfsbundið",AU75="",AU$8="",AU$7=""),"",ROUND(AU75/AU$8*AU$7*KVARDI,2))</f>
        <v/>
      </c>
      <c r="AW75" s="39"/>
      <c r="AX75" s="40" t="str">
        <f aca="false">IF(OR(INDEX(Undirviðmið!$G$6:$G$105,(COLUMN()-7-1)/2+1)&lt;&gt;"Starfsbundið",AW75="",AW$8="",AW$7=""),"",ROUND(AW75/AW$8*AW$7*KVARDI,2))</f>
        <v/>
      </c>
      <c r="AY75" s="39"/>
      <c r="AZ75" s="40" t="str">
        <f aca="false">IF(OR(INDEX(Undirviðmið!$G$6:$G$105,(COLUMN()-7-1)/2+1)&lt;&gt;"Starfsbundið",AY75="",AY$8="",AY$7=""),"",ROUND(AY75/AY$8*AY$7*KVARDI,2))</f>
        <v/>
      </c>
      <c r="BA75" s="39"/>
      <c r="BB75" s="40" t="str">
        <f aca="false">IF(OR(INDEX(Undirviðmið!$G$6:$G$105,(COLUMN()-7-1)/2+1)&lt;&gt;"Starfsbundið",BA75="",BA$8="",BA$7=""),"",ROUND(BA75/BA$8*BA$7*KVARDI,2))</f>
        <v/>
      </c>
      <c r="BC75" s="39"/>
      <c r="BD75" s="40" t="str">
        <f aca="false">IF(OR(INDEX(Undirviðmið!$G$6:$G$105,(COLUMN()-7-1)/2+1)&lt;&gt;"Starfsbundið",BC75="",BC$8="",BC$7=""),"",ROUND(BC75/BC$8*BC$7*KVARDI,2))</f>
        <v/>
      </c>
      <c r="BE75" s="39"/>
      <c r="BF75" s="40" t="str">
        <f aca="false">IF(OR(INDEX(Undirviðmið!$G$6:$G$105,(COLUMN()-7-1)/2+1)&lt;&gt;"Starfsbundið",BE75="",BE$8="",BE$7=""),"",ROUND(BE75/BE$8*BE$7*KVARDI,2))</f>
        <v/>
      </c>
      <c r="BG75" s="39"/>
      <c r="BH75" s="40" t="str">
        <f aca="false">IF(OR(INDEX(Undirviðmið!$G$6:$G$105,(COLUMN()-7-1)/2+1)&lt;&gt;"Starfsbundið",BG75="",BG$8="",BG$7=""),"",ROUND(BG75/BG$8*BG$7*KVARDI,2))</f>
        <v/>
      </c>
      <c r="BI75" s="39"/>
      <c r="BJ75" s="40" t="str">
        <f aca="false">IF(OR(INDEX(Undirviðmið!$G$6:$G$105,(COLUMN()-7-1)/2+1)&lt;&gt;"Starfsbundið",BI75="",BI$8="",BI$7=""),"",ROUND(BI75/BI$8*BI$7*KVARDI,2))</f>
        <v/>
      </c>
      <c r="BK75" s="39"/>
      <c r="BL75" s="40" t="str">
        <f aca="false">IF(OR(INDEX(Undirviðmið!$G$6:$G$105,(COLUMN()-7-1)/2+1)&lt;&gt;"Starfsbundið",BK75="",BK$8="",BK$7=""),"",ROUND(BK75/BK$8*BK$7*KVARDI,2))</f>
        <v/>
      </c>
      <c r="BM75" s="39"/>
      <c r="BN75" s="40" t="str">
        <f aca="false">IF(OR(INDEX(Undirviðmið!$G$6:$G$105,(COLUMN()-7-1)/2+1)&lt;&gt;"Starfsbundið",BM75="",BM$8="",BM$7=""),"",ROUND(BM75/BM$8*BM$7*KVARDI,2))</f>
        <v/>
      </c>
      <c r="BO75" s="39"/>
      <c r="BP75" s="40" t="str">
        <f aca="false">IF(OR(INDEX(Undirviðmið!$G$6:$G$105,(COLUMN()-7-1)/2+1)&lt;&gt;"Starfsbundið",BO75="",BO$8="",BO$7=""),"",ROUND(BO75/BO$8*BO$7*KVARDI,2))</f>
        <v/>
      </c>
      <c r="BQ75" s="39"/>
      <c r="BR75" s="40" t="str">
        <f aca="false">IF(OR(INDEX(Undirviðmið!$G$6:$G$105,(COLUMN()-7-1)/2+1)&lt;&gt;"Starfsbundið",BQ75="",BQ$8="",BQ$7=""),"",ROUND(BQ75/BQ$8*BQ$7*KVARDI,2))</f>
        <v/>
      </c>
      <c r="BS75" s="39"/>
      <c r="BT75" s="40" t="str">
        <f aca="false">IF(OR(INDEX(Undirviðmið!$G$6:$G$105,(COLUMN()-7-1)/2+1)&lt;&gt;"Starfsbundið",BS75="",BS$8="",BS$7=""),"",ROUND(BS75/BS$8*BS$7*KVARDI,2))</f>
        <v/>
      </c>
      <c r="BU75" s="39"/>
      <c r="BV75" s="40" t="str">
        <f aca="false">IF(OR(INDEX(Undirviðmið!$G$6:$G$105,(COLUMN()-7-1)/2+1)&lt;&gt;"Starfsbundið",BU75="",BU$8="",BU$7=""),"",ROUND(BU75/BU$8*BU$7*KVARDI,2))</f>
        <v/>
      </c>
      <c r="BW75" s="39"/>
      <c r="BX75" s="40" t="str">
        <f aca="false">IF(OR(INDEX(Undirviðmið!$G$6:$G$105,(COLUMN()-7-1)/2+1)&lt;&gt;"Starfsbundið",BW75="",BW$8="",BW$7=""),"",ROUND(BW75/BW$8*BW$7*KVARDI,2))</f>
        <v/>
      </c>
      <c r="BY75" s="39"/>
      <c r="BZ75" s="40" t="str">
        <f aca="false">IF(OR(INDEX(Undirviðmið!$G$6:$G$105,(COLUMN()-7-1)/2+1)&lt;&gt;"Starfsbundið",BY75="",BY$8="",BY$7=""),"",ROUND(BY75/BY$8*BY$7*KVARDI,2))</f>
        <v/>
      </c>
      <c r="CA75" s="39"/>
      <c r="CB75" s="40" t="str">
        <f aca="false">IF(OR(INDEX(Undirviðmið!$G$6:$G$105,(COLUMN()-7-1)/2+1)&lt;&gt;"Starfsbundið",CA75="",CA$8="",CA$7=""),"",ROUND(CA75/CA$8*CA$7*KVARDI,2))</f>
        <v/>
      </c>
      <c r="CC75" s="39"/>
      <c r="CD75" s="40" t="str">
        <f aca="false">IF(OR(INDEX(Undirviðmið!$G$6:$G$105,(COLUMN()-7-1)/2+1)&lt;&gt;"Starfsbundið",CC75="",CC$8="",CC$7=""),"",ROUND(CC75/CC$8*CC$7*KVARDI,2))</f>
        <v/>
      </c>
      <c r="CE75" s="39"/>
      <c r="CF75" s="40" t="str">
        <f aca="false">IF(OR(INDEX(Undirviðmið!$G$6:$G$105,(COLUMN()-7-1)/2+1)&lt;&gt;"Starfsbundið",CE75="",CE$8="",CE$7=""),"",ROUND(CE75/CE$8*CE$7*KVARDI,2))</f>
        <v/>
      </c>
      <c r="CG75" s="39"/>
      <c r="CH75" s="40" t="str">
        <f aca="false">IF(OR(INDEX(Undirviðmið!$G$6:$G$105,(COLUMN()-7-1)/2+1)&lt;&gt;"Starfsbundið",CG75="",CG$8="",CG$7=""),"",ROUND(CG75/CG$8*CG$7*KVARDI,2))</f>
        <v/>
      </c>
      <c r="CI75" s="39"/>
      <c r="CJ75" s="40" t="str">
        <f aca="false">IF(OR(INDEX(Undirviðmið!$G$6:$G$105,(COLUMN()-7-1)/2+1)&lt;&gt;"Starfsbundið",CI75="",CI$8="",CI$7=""),"",ROUND(CI75/CI$8*CI$7*KVARDI,2))</f>
        <v/>
      </c>
      <c r="CK75" s="39"/>
      <c r="CL75" s="40" t="str">
        <f aca="false">IF(OR(INDEX(Undirviðmið!$G$6:$G$105,(COLUMN()-7-1)/2+1)&lt;&gt;"Starfsbundið",CK75="",CK$8="",CK$7=""),"",ROUND(CK75/CK$8*CK$7*KVARDI,2))</f>
        <v/>
      </c>
      <c r="CM75" s="39"/>
      <c r="CN75" s="40" t="str">
        <f aca="false">IF(OR(INDEX(Undirviðmið!$G$6:$G$105,(COLUMN()-7-1)/2+1)&lt;&gt;"Starfsbundið",CM75="",CM$8="",CM$7=""),"",ROUND(CM75/CM$8*CM$7*KVARDI,2))</f>
        <v/>
      </c>
      <c r="CO75" s="39"/>
      <c r="CP75" s="40" t="str">
        <f aca="false">IF(OR(INDEX(Undirviðmið!$G$6:$G$105,(COLUMN()-7-1)/2+1)&lt;&gt;"Starfsbundið",CO75="",CO$8="",CO$7=""),"",ROUND(CO75/CO$8*CO$7*KVARDI,2))</f>
        <v/>
      </c>
      <c r="CQ75" s="39"/>
      <c r="CR75" s="40" t="str">
        <f aca="false">IF(OR(INDEX(Undirviðmið!$G$6:$G$105,(COLUMN()-7-1)/2+1)&lt;&gt;"Starfsbundið",CQ75="",CQ$8="",CQ$7=""),"",ROUND(CQ75/CQ$8*CQ$7*KVARDI,2))</f>
        <v/>
      </c>
      <c r="CS75" s="39"/>
      <c r="CT75" s="40" t="str">
        <f aca="false">IF(OR(INDEX(Undirviðmið!$G$6:$G$105,(COLUMN()-7-1)/2+1)&lt;&gt;"Starfsbundið",CS75="",CS$8="",CS$7=""),"",ROUND(CS75/CS$8*CS$7*KVARDI,2))</f>
        <v/>
      </c>
      <c r="CU75" s="39"/>
      <c r="CV75" s="40" t="str">
        <f aca="false">IF(OR(INDEX(Undirviðmið!$G$6:$G$105,(COLUMN()-7-1)/2+1)&lt;&gt;"Starfsbundið",CU75="",CU$8="",CU$7=""),"",ROUND(CU75/CU$8*CU$7*KVARDI,2))</f>
        <v/>
      </c>
      <c r="CW75" s="39"/>
      <c r="CX75" s="40" t="str">
        <f aca="false">IF(OR(INDEX(Undirviðmið!$G$6:$G$105,(COLUMN()-7-1)/2+1)&lt;&gt;"Starfsbundið",CW75="",CW$8="",CW$7=""),"",ROUND(CW75/CW$8*CW$7*KVARDI,2))</f>
        <v/>
      </c>
      <c r="CY75" s="39"/>
      <c r="CZ75" s="40" t="str">
        <f aca="false">IF(OR(INDEX(Undirviðmið!$G$6:$G$105,(COLUMN()-7-1)/2+1)&lt;&gt;"Starfsbundið",CY75="",CY$8="",CY$7=""),"",ROUND(CY75/CY$8*CY$7*KVARDI,2))</f>
        <v/>
      </c>
      <c r="DA75" s="39"/>
      <c r="DB75" s="40" t="str">
        <f aca="false">IF(OR(INDEX(Undirviðmið!$G$6:$G$105,(COLUMN()-7-1)/2+1)&lt;&gt;"Starfsbundið",DA75="",DA$8="",DA$7=""),"",ROUND(DA75/DA$8*DA$7*KVARDI,2))</f>
        <v/>
      </c>
      <c r="DC75" s="39"/>
      <c r="DD75" s="40" t="str">
        <f aca="false">IF(OR(INDEX(Undirviðmið!$G$6:$G$105,(COLUMN()-7-1)/2+1)&lt;&gt;"Starfsbundið",DC75="",DC$8="",DC$7=""),"",ROUND(DC75/DC$8*DC$7*KVARDI,2))</f>
        <v/>
      </c>
      <c r="DE75" s="39"/>
      <c r="DF75" s="40" t="str">
        <f aca="false">IF(OR(INDEX(Undirviðmið!$G$6:$G$105,(COLUMN()-7-1)/2+1)&lt;&gt;"Starfsbundið",DE75="",DE$8="",DE$7=""),"",ROUND(DE75/DE$8*DE$7*KVARDI,2))</f>
        <v/>
      </c>
      <c r="DG75" s="39"/>
      <c r="DH75" s="40" t="str">
        <f aca="false">IF(OR(INDEX(Undirviðmið!$G$6:$G$105,(COLUMN()-7-1)/2+1)&lt;&gt;"Starfsbundið",DG75="",DG$8="",DG$7=""),"",ROUND(DG75/DG$8*DG$7*KVARDI,2))</f>
        <v/>
      </c>
      <c r="DI75" s="39"/>
      <c r="DJ75" s="40" t="str">
        <f aca="false">IF(OR(INDEX(Undirviðmið!$G$6:$G$105,(COLUMN()-7-1)/2+1)&lt;&gt;"Starfsbundið",DI75="",DI$8="",DI$7=""),"",ROUND(DI75/DI$8*DI$7*KVARDI,2))</f>
        <v/>
      </c>
      <c r="DK75" s="39"/>
      <c r="DL75" s="40" t="str">
        <f aca="false">IF(OR(INDEX(Undirviðmið!$G$6:$G$105,(COLUMN()-7-1)/2+1)&lt;&gt;"Starfsbundið",DK75="",DK$8="",DK$7=""),"",ROUND(DK75/DK$8*DK$7*KVARDI,2))</f>
        <v/>
      </c>
      <c r="DM75" s="39"/>
      <c r="DN75" s="40" t="str">
        <f aca="false">IF(OR(INDEX(Undirviðmið!$G$6:$G$105,(COLUMN()-7-1)/2+1)&lt;&gt;"Starfsbundið",DM75="",DM$8="",DM$7=""),"",ROUND(DM75/DM$8*DM$7*KVARDI,2))</f>
        <v/>
      </c>
      <c r="DO75" s="39"/>
      <c r="DP75" s="40" t="str">
        <f aca="false">IF(OR(INDEX(Undirviðmið!$G$6:$G$105,(COLUMN()-7-1)/2+1)&lt;&gt;"Starfsbundið",DO75="",DO$8="",DO$7=""),"",ROUND(DO75/DO$8*DO$7*KVARDI,2))</f>
        <v/>
      </c>
      <c r="DQ75" s="39"/>
      <c r="DR75" s="40" t="str">
        <f aca="false">IF(OR(INDEX(Undirviðmið!$G$6:$G$105,(COLUMN()-7-1)/2+1)&lt;&gt;"Starfsbundið",DQ75="",DQ$8="",DQ$7=""),"",ROUND(DQ75/DQ$8*DQ$7*KVARDI,2))</f>
        <v/>
      </c>
      <c r="DS75" s="39"/>
      <c r="DT75" s="40" t="str">
        <f aca="false">IF(OR(INDEX(Undirviðmið!$G$6:$G$105,(COLUMN()-7-1)/2+1)&lt;&gt;"Starfsbundið",DS75="",DS$8="",DS$7=""),"",ROUND(DS75/DS$8*DS$7*KVARDI,2))</f>
        <v/>
      </c>
      <c r="DU75" s="39"/>
      <c r="DV75" s="40" t="str">
        <f aca="false">IF(OR(INDEX(Undirviðmið!$G$6:$G$105,(COLUMN()-7-1)/2+1)&lt;&gt;"Starfsbundið",DU75="",DU$8="",DU$7=""),"",ROUND(DU75/DU$8*DU$7*KVARDI,2))</f>
        <v/>
      </c>
      <c r="DW75" s="39"/>
      <c r="DX75" s="40" t="str">
        <f aca="false">IF(OR(INDEX(Undirviðmið!$G$6:$G$105,(COLUMN()-7-1)/2+1)&lt;&gt;"Starfsbundið",DW75="",DW$8="",DW$7=""),"",ROUND(DW75/DW$8*DW$7*KVARDI,2))</f>
        <v/>
      </c>
      <c r="DY75" s="39"/>
      <c r="DZ75" s="40" t="str">
        <f aca="false">IF(OR(INDEX(Undirviðmið!$G$6:$G$105,(COLUMN()-7-1)/2+1)&lt;&gt;"Starfsbundið",DY75="",DY$8="",DY$7=""),"",ROUND(DY75/DY$8*DY$7*KVARDI,2))</f>
        <v/>
      </c>
      <c r="EA75" s="39"/>
      <c r="EB75" s="40" t="str">
        <f aca="false">IF(OR(INDEX(Undirviðmið!$G$6:$G$105,(COLUMN()-7-1)/2+1)&lt;&gt;"Starfsbundið",EA75="",EA$8="",EA$7=""),"",ROUND(EA75/EA$8*EA$7*KVARDI,2))</f>
        <v/>
      </c>
      <c r="EC75" s="39"/>
      <c r="ED75" s="40" t="str">
        <f aca="false">IF(OR(INDEX(Undirviðmið!$G$6:$G$105,(COLUMN()-7-1)/2+1)&lt;&gt;"Starfsbundið",EC75="",EC$8="",EC$7=""),"",ROUND(EC75/EC$8*EC$7*KVARDI,2))</f>
        <v/>
      </c>
      <c r="EE75" s="39"/>
      <c r="EF75" s="40" t="str">
        <f aca="false">IF(OR(INDEX(Undirviðmið!$G$6:$G$105,(COLUMN()-7-1)/2+1)&lt;&gt;"Starfsbundið",EE75="",EE$8="",EE$7=""),"",ROUND(EE75/EE$8*EE$7*KVARDI,2))</f>
        <v/>
      </c>
      <c r="EG75" s="39"/>
      <c r="EH75" s="40" t="str">
        <f aca="false">IF(OR(INDEX(Undirviðmið!$G$6:$G$105,(COLUMN()-7-1)/2+1)&lt;&gt;"Starfsbundið",EG75="",EG$8="",EG$7=""),"",ROUND(EG75/EG$8*EG$7*KVARDI,2))</f>
        <v/>
      </c>
      <c r="EI75" s="39"/>
      <c r="EJ75" s="40" t="str">
        <f aca="false">IF(OR(INDEX(Undirviðmið!$G$6:$G$105,(COLUMN()-7-1)/2+1)&lt;&gt;"Starfsbundið",EI75="",EI$8="",EI$7=""),"",ROUND(EI75/EI$8*EI$7*KVARDI,2))</f>
        <v/>
      </c>
      <c r="EK75" s="39"/>
      <c r="EL75" s="40" t="str">
        <f aca="false">IF(OR(INDEX(Undirviðmið!$G$6:$G$105,(COLUMN()-7-1)/2+1)&lt;&gt;"Starfsbundið",EK75="",EK$8="",EK$7=""),"",ROUND(EK75/EK$8*EK$7*KVARDI,2))</f>
        <v/>
      </c>
      <c r="EM75" s="39"/>
      <c r="EN75" s="40" t="str">
        <f aca="false">IF(OR(INDEX(Undirviðmið!$G$6:$G$105,(COLUMN()-7-1)/2+1)&lt;&gt;"Starfsbundið",EM75="",EM$8="",EM$7=""),"",ROUND(EM75/EM$8*EM$7*KVARDI,2))</f>
        <v/>
      </c>
      <c r="EO75" s="39"/>
      <c r="EP75" s="40" t="str">
        <f aca="false">IF(OR(INDEX(Undirviðmið!$G$6:$G$105,(COLUMN()-7-1)/2+1)&lt;&gt;"Starfsbundið",EO75="",EO$8="",EO$7=""),"",ROUND(EO75/EO$8*EO$7*KVARDI,2))</f>
        <v/>
      </c>
      <c r="EQ75" s="39"/>
      <c r="ER75" s="40" t="str">
        <f aca="false">IF(OR(INDEX(Undirviðmið!$G$6:$G$105,(COLUMN()-7-1)/2+1)&lt;&gt;"Starfsbundið",EQ75="",EQ$8="",EQ$7=""),"",ROUND(EQ75/EQ$8*EQ$7*KVARDI,2))</f>
        <v/>
      </c>
      <c r="ES75" s="39"/>
      <c r="ET75" s="40" t="str">
        <f aca="false">IF(OR(INDEX(Undirviðmið!$G$6:$G$105,(COLUMN()-7-1)/2+1)&lt;&gt;"Starfsbundið",ES75="",ES$8="",ES$7=""),"",ROUND(ES75/ES$8*ES$7*KVARDI,2))</f>
        <v/>
      </c>
      <c r="EU75" s="39"/>
      <c r="EV75" s="40" t="str">
        <f aca="false">IF(OR(INDEX(Undirviðmið!$G$6:$G$105,(COLUMN()-7-1)/2+1)&lt;&gt;"Starfsbundið",EU75="",EU$8="",EU$7=""),"",ROUND(EU75/EU$8*EU$7*KVARDI,2))</f>
        <v/>
      </c>
      <c r="EW75" s="39"/>
      <c r="EX75" s="40" t="str">
        <f aca="false">IF(OR(INDEX(Undirviðmið!$G$6:$G$105,(COLUMN()-7-1)/2+1)&lt;&gt;"Starfsbundið",EW75="",EW$8="",EW$7=""),"",ROUND(EW75/EW$8*EW$7*KVARDI,2))</f>
        <v/>
      </c>
      <c r="EY75" s="39"/>
      <c r="EZ75" s="40" t="str">
        <f aca="false">IF(OR(INDEX(Undirviðmið!$G$6:$G$105,(COLUMN()-7-1)/2+1)&lt;&gt;"Starfsbundið",EY75="",EY$8="",EY$7=""),"",ROUND(EY75/EY$8*EY$7*KVARDI,2))</f>
        <v/>
      </c>
      <c r="FA75" s="39"/>
      <c r="FB75" s="40" t="str">
        <f aca="false">IF(OR(INDEX(Undirviðmið!$G$6:$G$105,(COLUMN()-7-1)/2+1)&lt;&gt;"Starfsbundið",FA75="",FA$8="",FA$7=""),"",ROUND(FA75/FA$8*FA$7*KVARDI,2))</f>
        <v/>
      </c>
      <c r="FC75" s="39"/>
      <c r="FD75" s="40" t="str">
        <f aca="false">IF(OR(INDEX(Undirviðmið!$G$6:$G$105,(COLUMN()-7-1)/2+1)&lt;&gt;"Starfsbundið",FC75="",FC$8="",FC$7=""),"",ROUND(FC75/FC$8*FC$7*KVARDI,2))</f>
        <v/>
      </c>
      <c r="FE75" s="39"/>
      <c r="FF75" s="40" t="str">
        <f aca="false">IF(OR(INDEX(Undirviðmið!$G$6:$G$105,(COLUMN()-7-1)/2+1)&lt;&gt;"Starfsbundið",FE75="",FE$8="",FE$7=""),"",ROUND(FE75/FE$8*FE$7*KVARDI,2))</f>
        <v/>
      </c>
      <c r="FG75" s="39"/>
      <c r="FH75" s="40" t="str">
        <f aca="false">IF(OR(INDEX(Undirviðmið!$G$6:$G$105,(COLUMN()-7-1)/2+1)&lt;&gt;"Starfsbundið",FG75="",FG$8="",FG$7=""),"",ROUND(FG75/FG$8*FG$7*KVARDI,2))</f>
        <v/>
      </c>
      <c r="FI75" s="39"/>
      <c r="FJ75" s="40" t="str">
        <f aca="false">IF(OR(INDEX(Undirviðmið!$G$6:$G$105,(COLUMN()-7-1)/2+1)&lt;&gt;"Starfsbundið",FI75="",FI$8="",FI$7=""),"",ROUND(FI75/FI$8*FI$7*KVARDI,2))</f>
        <v/>
      </c>
      <c r="FK75" s="39"/>
      <c r="FL75" s="40" t="str">
        <f aca="false">IF(OR(INDEX(Undirviðmið!$G$6:$G$105,(COLUMN()-7-1)/2+1)&lt;&gt;"Starfsbundið",FK75="",FK$8="",FK$7=""),"",ROUND(FK75/FK$8*FK$7*KVARDI,2))</f>
        <v/>
      </c>
      <c r="FM75" s="39"/>
      <c r="FN75" s="40" t="str">
        <f aca="false">IF(OR(INDEX(Undirviðmið!$G$6:$G$105,(COLUMN()-7-1)/2+1)&lt;&gt;"Starfsbundið",FM75="",FM$8="",FM$7=""),"",ROUND(FM75/FM$8*FM$7*KVARDI,2))</f>
        <v/>
      </c>
      <c r="FO75" s="39"/>
      <c r="FP75" s="40" t="str">
        <f aca="false">IF(OR(INDEX(Undirviðmið!$G$6:$G$105,(COLUMN()-7-1)/2+1)&lt;&gt;"Starfsbundið",FO75="",FO$8="",FO$7=""),"",ROUND(FO75/FO$8*FO$7*KVARDI,2))</f>
        <v/>
      </c>
      <c r="FQ75" s="39"/>
      <c r="FR75" s="40" t="str">
        <f aca="false">IF(OR(INDEX(Undirviðmið!$G$6:$G$105,(COLUMN()-7-1)/2+1)&lt;&gt;"Starfsbundið",FQ75="",FQ$8="",FQ$7=""),"",ROUND(FQ75/FQ$8*FQ$7*KVARDI,2))</f>
        <v/>
      </c>
      <c r="FS75" s="39"/>
      <c r="FT75" s="40" t="str">
        <f aca="false">IF(OR(INDEX(Undirviðmið!$G$6:$G$105,(COLUMN()-7-1)/2+1)&lt;&gt;"Starfsbundið",FS75="",FS$8="",FS$7=""),"",ROUND(FS75/FS$8*FS$7*KVARDI,2))</f>
        <v/>
      </c>
      <c r="FU75" s="39"/>
      <c r="FV75" s="40" t="str">
        <f aca="false">IF(OR(INDEX(Undirviðmið!$G$6:$G$105,(COLUMN()-7-1)/2+1)&lt;&gt;"Starfsbundið",FU75="",FU$8="",FU$7=""),"",ROUND(FU75/FU$8*FU$7*KVARDI,2))</f>
        <v/>
      </c>
      <c r="FW75" s="39"/>
      <c r="FX75" s="40" t="str">
        <f aca="false">IF(OR(INDEX(Undirviðmið!$G$6:$G$105,(COLUMN()-7-1)/2+1)&lt;&gt;"Starfsbundið",FW75="",FW$8="",FW$7=""),"",ROUND(FW75/FW$8*FW$7*KVARDI,2))</f>
        <v/>
      </c>
      <c r="FY75" s="39"/>
      <c r="FZ75" s="40" t="str">
        <f aca="false">IF(OR(INDEX(Undirviðmið!$G$6:$G$105,(COLUMN()-7-1)/2+1)&lt;&gt;"Starfsbundið",FY75="",FY$8="",FY$7=""),"",ROUND(FY75/FY$8*FY$7*KVARDI,2))</f>
        <v/>
      </c>
      <c r="GA75" s="39"/>
      <c r="GB75" s="40" t="str">
        <f aca="false">IF(OR(INDEX(Undirviðmið!$G$6:$G$105,(COLUMN()-7-1)/2+1)&lt;&gt;"Starfsbundið",GA75="",GA$8="",GA$7=""),"",ROUND(GA75/GA$8*GA$7*KVARDI,2))</f>
        <v/>
      </c>
      <c r="GC75" s="39"/>
      <c r="GD75" s="40" t="str">
        <f aca="false">IF(OR(INDEX(Undirviðmið!$G$6:$G$105,(COLUMN()-7-1)/2+1)&lt;&gt;"Starfsbundið",GC75="",GC$8="",GC$7=""),"",ROUND(GC75/GC$8*GC$7*KVARDI,2))</f>
        <v/>
      </c>
      <c r="GE75" s="39"/>
      <c r="GF75" s="40" t="str">
        <f aca="false">IF(OR(INDEX(Undirviðmið!$G$6:$G$105,(COLUMN()-7-1)/2+1)&lt;&gt;"Starfsbundið",GE75="",GE$8="",GE$7=""),"",ROUND(GE75/GE$8*GE$7*KVARDI,2))</f>
        <v/>
      </c>
      <c r="GG75" s="39"/>
      <c r="GH75" s="40" t="str">
        <f aca="false">IF(OR(INDEX(Undirviðmið!$G$6:$G$105,(COLUMN()-7-1)/2+1)&lt;&gt;"Starfsbundið",GG75="",GG$8="",GG$7=""),"",ROUND(GG75/GG$8*GG$7*KVARDI,2))</f>
        <v/>
      </c>
      <c r="GI75" s="39"/>
      <c r="GJ75" s="40" t="str">
        <f aca="false">IF(OR(INDEX(Undirviðmið!$G$6:$G$105,(COLUMN()-7-1)/2+1)&lt;&gt;"Starfsbundið",GI75="",GI$8="",GI$7=""),"",ROUND(GI75/GI$8*GI$7*KVARDI,2))</f>
        <v/>
      </c>
      <c r="GK75" s="39"/>
      <c r="GL75" s="40" t="str">
        <f aca="false">IF(OR(INDEX(Undirviðmið!$G$6:$G$105,(COLUMN()-7-1)/2+1)&lt;&gt;"Starfsbundið",GK75="",GK$8="",GK$7=""),"",ROUND(GK75/GK$8*GK$7*KVARDI,2))</f>
        <v/>
      </c>
      <c r="GM75" s="39"/>
      <c r="GN75" s="40" t="str">
        <f aca="false">IF(OR(INDEX(Undirviðmið!$G$6:$G$105,(COLUMN()-7-1)/2+1)&lt;&gt;"Starfsbundið",GM75="",GM$8="",GM$7=""),"",ROUND(GM75/GM$8*GM$7*KVARDI,2))</f>
        <v/>
      </c>
      <c r="GO75" s="39"/>
      <c r="GP75" s="40" t="str">
        <f aca="false">IF(OR(INDEX(Undirviðmið!$G$6:$G$105,(COLUMN()-7-1)/2+1)&lt;&gt;"Starfsbundið",GO75="",GO$8="",GO$7=""),"",ROUND(GO75/GO$8*GO$7*KVARDI,2))</f>
        <v/>
      </c>
      <c r="GQ75" s="39"/>
      <c r="GR75" s="40" t="str">
        <f aca="false">IF(OR(INDEX(Undirviðmið!$G$6:$G$105,(COLUMN()-7-1)/2+1)&lt;&gt;"Starfsbundið",GQ75="",GQ$8="",GQ$7=""),"",ROUND(GQ75/GQ$8*GQ$7*KVARDI,2))</f>
        <v/>
      </c>
      <c r="GS75" s="39"/>
      <c r="GT75" s="40" t="str">
        <f aca="false">IF(OR(INDEX(Undirviðmið!$G$6:$G$105,(COLUMN()-7-1)/2+1)&lt;&gt;"Starfsbundið",GS75="",GS$8="",GS$7=""),"",ROUND(GS75/GS$8*GS$7*KVARDI,2))</f>
        <v/>
      </c>
      <c r="GU75" s="39"/>
      <c r="GV75" s="40" t="str">
        <f aca="false">IF(OR(INDEX(Undirviðmið!$G$6:$G$105,(COLUMN()-7-1)/2+1)&lt;&gt;"Starfsbundið",GU75="",GU$8="",GU$7=""),"",ROUND(GU75/GU$8*GU$7*KVARDI,2))</f>
        <v/>
      </c>
      <c r="GW75" s="39"/>
      <c r="GX75" s="40" t="str">
        <f aca="false">IF(OR(INDEX(Undirviðmið!$G$6:$G$105,(COLUMN()-7-1)/2+1)&lt;&gt;"Starfsbundið",GW75="",GW$8="",GW$7=""),"",ROUND(GW75/GW$8*GW$7*KVARDI,2))</f>
        <v/>
      </c>
      <c r="GZ75" s="20"/>
    </row>
    <row r="76" customFormat="false" ht="15" hidden="true" customHeight="true" outlineLevel="1" collapsed="false">
      <c r="B76" s="37" t="str">
        <f aca="false" t="array" ref="B76:B76">IFERROR(INDEX(Starfsmenn!$C$6:$C$10005,MATCH(0,COUNTIF($B$11:B75,Starfsmenn!$C$6:$C$10005)+(Starfsmenn!$C$6:$C$10005=""),0)),"")</f>
        <v/>
      </c>
      <c r="C76" s="38" t="n">
        <f aca="false">IFERROR(SUMIF($G$10:$GX$10,"Stig",$G76:$GX76),0)</f>
        <v>0</v>
      </c>
      <c r="G76" s="39"/>
      <c r="H76" s="40" t="str">
        <f aca="false">IF(OR(INDEX(Undirviðmið!$G$6:$G$105,(COLUMN()-7-1)/2+1)&lt;&gt;"Starfsbundið",G76="",G$8="",G$7=""),"",ROUND(G76/G$8*G$7*KVARDI,2))</f>
        <v/>
      </c>
      <c r="I76" s="39"/>
      <c r="J76" s="40" t="str">
        <f aca="false">IF(OR(INDEX(Undirviðmið!$G$6:$G$105,(COLUMN()-7-1)/2+1)&lt;&gt;"Starfsbundið",I76="",I$8="",I$7=""),"",ROUND(I76/I$8*I$7*KVARDI,2))</f>
        <v/>
      </c>
      <c r="K76" s="39"/>
      <c r="L76" s="40" t="str">
        <f aca="false">IF(OR(INDEX(Undirviðmið!$G$6:$G$105,(COLUMN()-7-1)/2+1)&lt;&gt;"Starfsbundið",K76="",K$8="",K$7=""),"",ROUND(K76/K$8*K$7*KVARDI,2))</f>
        <v/>
      </c>
      <c r="M76" s="39"/>
      <c r="N76" s="40" t="str">
        <f aca="false">IF(OR(INDEX(Undirviðmið!$G$6:$G$105,(COLUMN()-7-1)/2+1)&lt;&gt;"Starfsbundið",M76="",M$8="",M$7=""),"",ROUND(M76/M$8*M$7*KVARDI,2))</f>
        <v/>
      </c>
      <c r="O76" s="39"/>
      <c r="P76" s="40" t="str">
        <f aca="false">IF(OR(INDEX(Undirviðmið!$G$6:$G$105,(COLUMN()-7-1)/2+1)&lt;&gt;"Starfsbundið",O76="",O$8="",O$7=""),"",ROUND(O76/O$8*O$7*KVARDI,2))</f>
        <v/>
      </c>
      <c r="Q76" s="39"/>
      <c r="R76" s="40" t="str">
        <f aca="false">IF(OR(INDEX(Undirviðmið!$G$6:$G$105,(COLUMN()-7-1)/2+1)&lt;&gt;"Starfsbundið",Q76="",Q$8="",Q$7=""),"",ROUND(Q76/Q$8*Q$7*KVARDI,2))</f>
        <v/>
      </c>
      <c r="S76" s="39"/>
      <c r="T76" s="40" t="str">
        <f aca="false">IF(OR(INDEX(Undirviðmið!$G$6:$G$105,(COLUMN()-7-1)/2+1)&lt;&gt;"Starfsbundið",S76="",S$8="",S$7=""),"",ROUND(S76/S$8*S$7*KVARDI,2))</f>
        <v/>
      </c>
      <c r="U76" s="39"/>
      <c r="V76" s="40" t="str">
        <f aca="false">IF(OR(INDEX(Undirviðmið!$G$6:$G$105,(COLUMN()-7-1)/2+1)&lt;&gt;"Starfsbundið",U76="",U$8="",U$7=""),"",ROUND(U76/U$8*U$7*KVARDI,2))</f>
        <v/>
      </c>
      <c r="W76" s="39"/>
      <c r="X76" s="40" t="str">
        <f aca="false">IF(OR(INDEX(Undirviðmið!$G$6:$G$105,(COLUMN()-7-1)/2+1)&lt;&gt;"Starfsbundið",W76="",W$8="",W$7=""),"",ROUND(W76/W$8*W$7*KVARDI,2))</f>
        <v/>
      </c>
      <c r="Y76" s="39"/>
      <c r="Z76" s="40" t="str">
        <f aca="false">IF(OR(INDEX(Undirviðmið!$G$6:$G$105,(COLUMN()-7-1)/2+1)&lt;&gt;"Starfsbundið",Y76="",Y$8="",Y$7=""),"",ROUND(Y76/Y$8*Y$7*KVARDI,2))</f>
        <v/>
      </c>
      <c r="AA76" s="39"/>
      <c r="AB76" s="40" t="str">
        <f aca="false">IF(OR(INDEX(Undirviðmið!$G$6:$G$105,(COLUMN()-7-1)/2+1)&lt;&gt;"Starfsbundið",AA76="",AA$8="",AA$7=""),"",ROUND(AA76/AA$8*AA$7*KVARDI,2))</f>
        <v/>
      </c>
      <c r="AC76" s="39"/>
      <c r="AD76" s="40" t="str">
        <f aca="false">IF(OR(INDEX(Undirviðmið!$G$6:$G$105,(COLUMN()-7-1)/2+1)&lt;&gt;"Starfsbundið",AC76="",AC$8="",AC$7=""),"",ROUND(AC76/AC$8*AC$7*KVARDI,2))</f>
        <v/>
      </c>
      <c r="AE76" s="39"/>
      <c r="AF76" s="40" t="str">
        <f aca="false">IF(OR(INDEX(Undirviðmið!$G$6:$G$105,(COLUMN()-7-1)/2+1)&lt;&gt;"Starfsbundið",AE76="",AE$8="",AE$7=""),"",ROUND(AE76/AE$8*AE$7*KVARDI,2))</f>
        <v/>
      </c>
      <c r="AG76" s="39"/>
      <c r="AH76" s="40" t="str">
        <f aca="false">IF(OR(INDEX(Undirviðmið!$G$6:$G$105,(COLUMN()-7-1)/2+1)&lt;&gt;"Starfsbundið",AG76="",AG$8="",AG$7=""),"",ROUND(AG76/AG$8*AG$7*KVARDI,2))</f>
        <v/>
      </c>
      <c r="AI76" s="39"/>
      <c r="AJ76" s="40" t="str">
        <f aca="false">IF(OR(INDEX(Undirviðmið!$G$6:$G$105,(COLUMN()-7-1)/2+1)&lt;&gt;"Starfsbundið",AI76="",AI$8="",AI$7=""),"",ROUND(AI76/AI$8*AI$7*KVARDI,2))</f>
        <v/>
      </c>
      <c r="AK76" s="39"/>
      <c r="AL76" s="40" t="str">
        <f aca="false">IF(OR(INDEX(Undirviðmið!$G$6:$G$105,(COLUMN()-7-1)/2+1)&lt;&gt;"Starfsbundið",AK76="",AK$8="",AK$7=""),"",ROUND(AK76/AK$8*AK$7*KVARDI,2))</f>
        <v/>
      </c>
      <c r="AM76" s="39"/>
      <c r="AN76" s="40" t="str">
        <f aca="false">IF(OR(INDEX(Undirviðmið!$G$6:$G$105,(COLUMN()-7-1)/2+1)&lt;&gt;"Starfsbundið",AM76="",AM$8="",AM$7=""),"",ROUND(AM76/AM$8*AM$7*KVARDI,2))</f>
        <v/>
      </c>
      <c r="AO76" s="39"/>
      <c r="AP76" s="40" t="str">
        <f aca="false">IF(OR(INDEX(Undirviðmið!$G$6:$G$105,(COLUMN()-7-1)/2+1)&lt;&gt;"Starfsbundið",AO76="",AO$8="",AO$7=""),"",ROUND(AO76/AO$8*AO$7*KVARDI,2))</f>
        <v/>
      </c>
      <c r="AQ76" s="39"/>
      <c r="AR76" s="40" t="str">
        <f aca="false">IF(OR(INDEX(Undirviðmið!$G$6:$G$105,(COLUMN()-7-1)/2+1)&lt;&gt;"Starfsbundið",AQ76="",AQ$8="",AQ$7=""),"",ROUND(AQ76/AQ$8*AQ$7*KVARDI,2))</f>
        <v/>
      </c>
      <c r="AS76" s="39"/>
      <c r="AT76" s="40" t="str">
        <f aca="false">IF(OR(INDEX(Undirviðmið!$G$6:$G$105,(COLUMN()-7-1)/2+1)&lt;&gt;"Starfsbundið",AS76="",AS$8="",AS$7=""),"",ROUND(AS76/AS$8*AS$7*KVARDI,2))</f>
        <v/>
      </c>
      <c r="AU76" s="39"/>
      <c r="AV76" s="40" t="str">
        <f aca="false">IF(OR(INDEX(Undirviðmið!$G$6:$G$105,(COLUMN()-7-1)/2+1)&lt;&gt;"Starfsbundið",AU76="",AU$8="",AU$7=""),"",ROUND(AU76/AU$8*AU$7*KVARDI,2))</f>
        <v/>
      </c>
      <c r="AW76" s="39"/>
      <c r="AX76" s="40" t="str">
        <f aca="false">IF(OR(INDEX(Undirviðmið!$G$6:$G$105,(COLUMN()-7-1)/2+1)&lt;&gt;"Starfsbundið",AW76="",AW$8="",AW$7=""),"",ROUND(AW76/AW$8*AW$7*KVARDI,2))</f>
        <v/>
      </c>
      <c r="AY76" s="39"/>
      <c r="AZ76" s="40" t="str">
        <f aca="false">IF(OR(INDEX(Undirviðmið!$G$6:$G$105,(COLUMN()-7-1)/2+1)&lt;&gt;"Starfsbundið",AY76="",AY$8="",AY$7=""),"",ROUND(AY76/AY$8*AY$7*KVARDI,2))</f>
        <v/>
      </c>
      <c r="BA76" s="39"/>
      <c r="BB76" s="40" t="str">
        <f aca="false">IF(OR(INDEX(Undirviðmið!$G$6:$G$105,(COLUMN()-7-1)/2+1)&lt;&gt;"Starfsbundið",BA76="",BA$8="",BA$7=""),"",ROUND(BA76/BA$8*BA$7*KVARDI,2))</f>
        <v/>
      </c>
      <c r="BC76" s="39"/>
      <c r="BD76" s="40" t="str">
        <f aca="false">IF(OR(INDEX(Undirviðmið!$G$6:$G$105,(COLUMN()-7-1)/2+1)&lt;&gt;"Starfsbundið",BC76="",BC$8="",BC$7=""),"",ROUND(BC76/BC$8*BC$7*KVARDI,2))</f>
        <v/>
      </c>
      <c r="BE76" s="39"/>
      <c r="BF76" s="40" t="str">
        <f aca="false">IF(OR(INDEX(Undirviðmið!$G$6:$G$105,(COLUMN()-7-1)/2+1)&lt;&gt;"Starfsbundið",BE76="",BE$8="",BE$7=""),"",ROUND(BE76/BE$8*BE$7*KVARDI,2))</f>
        <v/>
      </c>
      <c r="BG76" s="39"/>
      <c r="BH76" s="40" t="str">
        <f aca="false">IF(OR(INDEX(Undirviðmið!$G$6:$G$105,(COLUMN()-7-1)/2+1)&lt;&gt;"Starfsbundið",BG76="",BG$8="",BG$7=""),"",ROUND(BG76/BG$8*BG$7*KVARDI,2))</f>
        <v/>
      </c>
      <c r="BI76" s="39"/>
      <c r="BJ76" s="40" t="str">
        <f aca="false">IF(OR(INDEX(Undirviðmið!$G$6:$G$105,(COLUMN()-7-1)/2+1)&lt;&gt;"Starfsbundið",BI76="",BI$8="",BI$7=""),"",ROUND(BI76/BI$8*BI$7*KVARDI,2))</f>
        <v/>
      </c>
      <c r="BK76" s="39"/>
      <c r="BL76" s="40" t="str">
        <f aca="false">IF(OR(INDEX(Undirviðmið!$G$6:$G$105,(COLUMN()-7-1)/2+1)&lt;&gt;"Starfsbundið",BK76="",BK$8="",BK$7=""),"",ROUND(BK76/BK$8*BK$7*KVARDI,2))</f>
        <v/>
      </c>
      <c r="BM76" s="39"/>
      <c r="BN76" s="40" t="str">
        <f aca="false">IF(OR(INDEX(Undirviðmið!$G$6:$G$105,(COLUMN()-7-1)/2+1)&lt;&gt;"Starfsbundið",BM76="",BM$8="",BM$7=""),"",ROUND(BM76/BM$8*BM$7*KVARDI,2))</f>
        <v/>
      </c>
      <c r="BO76" s="39"/>
      <c r="BP76" s="40" t="str">
        <f aca="false">IF(OR(INDEX(Undirviðmið!$G$6:$G$105,(COLUMN()-7-1)/2+1)&lt;&gt;"Starfsbundið",BO76="",BO$8="",BO$7=""),"",ROUND(BO76/BO$8*BO$7*KVARDI,2))</f>
        <v/>
      </c>
      <c r="BQ76" s="39"/>
      <c r="BR76" s="40" t="str">
        <f aca="false">IF(OR(INDEX(Undirviðmið!$G$6:$G$105,(COLUMN()-7-1)/2+1)&lt;&gt;"Starfsbundið",BQ76="",BQ$8="",BQ$7=""),"",ROUND(BQ76/BQ$8*BQ$7*KVARDI,2))</f>
        <v/>
      </c>
      <c r="BS76" s="39"/>
      <c r="BT76" s="40" t="str">
        <f aca="false">IF(OR(INDEX(Undirviðmið!$G$6:$G$105,(COLUMN()-7-1)/2+1)&lt;&gt;"Starfsbundið",BS76="",BS$8="",BS$7=""),"",ROUND(BS76/BS$8*BS$7*KVARDI,2))</f>
        <v/>
      </c>
      <c r="BU76" s="39"/>
      <c r="BV76" s="40" t="str">
        <f aca="false">IF(OR(INDEX(Undirviðmið!$G$6:$G$105,(COLUMN()-7-1)/2+1)&lt;&gt;"Starfsbundið",BU76="",BU$8="",BU$7=""),"",ROUND(BU76/BU$8*BU$7*KVARDI,2))</f>
        <v/>
      </c>
      <c r="BW76" s="39"/>
      <c r="BX76" s="40" t="str">
        <f aca="false">IF(OR(INDEX(Undirviðmið!$G$6:$G$105,(COLUMN()-7-1)/2+1)&lt;&gt;"Starfsbundið",BW76="",BW$8="",BW$7=""),"",ROUND(BW76/BW$8*BW$7*KVARDI,2))</f>
        <v/>
      </c>
      <c r="BY76" s="39"/>
      <c r="BZ76" s="40" t="str">
        <f aca="false">IF(OR(INDEX(Undirviðmið!$G$6:$G$105,(COLUMN()-7-1)/2+1)&lt;&gt;"Starfsbundið",BY76="",BY$8="",BY$7=""),"",ROUND(BY76/BY$8*BY$7*KVARDI,2))</f>
        <v/>
      </c>
      <c r="CA76" s="39"/>
      <c r="CB76" s="40" t="str">
        <f aca="false">IF(OR(INDEX(Undirviðmið!$G$6:$G$105,(COLUMN()-7-1)/2+1)&lt;&gt;"Starfsbundið",CA76="",CA$8="",CA$7=""),"",ROUND(CA76/CA$8*CA$7*KVARDI,2))</f>
        <v/>
      </c>
      <c r="CC76" s="39"/>
      <c r="CD76" s="40" t="str">
        <f aca="false">IF(OR(INDEX(Undirviðmið!$G$6:$G$105,(COLUMN()-7-1)/2+1)&lt;&gt;"Starfsbundið",CC76="",CC$8="",CC$7=""),"",ROUND(CC76/CC$8*CC$7*KVARDI,2))</f>
        <v/>
      </c>
      <c r="CE76" s="39"/>
      <c r="CF76" s="40" t="str">
        <f aca="false">IF(OR(INDEX(Undirviðmið!$G$6:$G$105,(COLUMN()-7-1)/2+1)&lt;&gt;"Starfsbundið",CE76="",CE$8="",CE$7=""),"",ROUND(CE76/CE$8*CE$7*KVARDI,2))</f>
        <v/>
      </c>
      <c r="CG76" s="39"/>
      <c r="CH76" s="40" t="str">
        <f aca="false">IF(OR(INDEX(Undirviðmið!$G$6:$G$105,(COLUMN()-7-1)/2+1)&lt;&gt;"Starfsbundið",CG76="",CG$8="",CG$7=""),"",ROUND(CG76/CG$8*CG$7*KVARDI,2))</f>
        <v/>
      </c>
      <c r="CI76" s="39"/>
      <c r="CJ76" s="40" t="str">
        <f aca="false">IF(OR(INDEX(Undirviðmið!$G$6:$G$105,(COLUMN()-7-1)/2+1)&lt;&gt;"Starfsbundið",CI76="",CI$8="",CI$7=""),"",ROUND(CI76/CI$8*CI$7*KVARDI,2))</f>
        <v/>
      </c>
      <c r="CK76" s="39"/>
      <c r="CL76" s="40" t="str">
        <f aca="false">IF(OR(INDEX(Undirviðmið!$G$6:$G$105,(COLUMN()-7-1)/2+1)&lt;&gt;"Starfsbundið",CK76="",CK$8="",CK$7=""),"",ROUND(CK76/CK$8*CK$7*KVARDI,2))</f>
        <v/>
      </c>
      <c r="CM76" s="39"/>
      <c r="CN76" s="40" t="str">
        <f aca="false">IF(OR(INDEX(Undirviðmið!$G$6:$G$105,(COLUMN()-7-1)/2+1)&lt;&gt;"Starfsbundið",CM76="",CM$8="",CM$7=""),"",ROUND(CM76/CM$8*CM$7*KVARDI,2))</f>
        <v/>
      </c>
      <c r="CO76" s="39"/>
      <c r="CP76" s="40" t="str">
        <f aca="false">IF(OR(INDEX(Undirviðmið!$G$6:$G$105,(COLUMN()-7-1)/2+1)&lt;&gt;"Starfsbundið",CO76="",CO$8="",CO$7=""),"",ROUND(CO76/CO$8*CO$7*KVARDI,2))</f>
        <v/>
      </c>
      <c r="CQ76" s="39"/>
      <c r="CR76" s="40" t="str">
        <f aca="false">IF(OR(INDEX(Undirviðmið!$G$6:$G$105,(COLUMN()-7-1)/2+1)&lt;&gt;"Starfsbundið",CQ76="",CQ$8="",CQ$7=""),"",ROUND(CQ76/CQ$8*CQ$7*KVARDI,2))</f>
        <v/>
      </c>
      <c r="CS76" s="39"/>
      <c r="CT76" s="40" t="str">
        <f aca="false">IF(OR(INDEX(Undirviðmið!$G$6:$G$105,(COLUMN()-7-1)/2+1)&lt;&gt;"Starfsbundið",CS76="",CS$8="",CS$7=""),"",ROUND(CS76/CS$8*CS$7*KVARDI,2))</f>
        <v/>
      </c>
      <c r="CU76" s="39"/>
      <c r="CV76" s="40" t="str">
        <f aca="false">IF(OR(INDEX(Undirviðmið!$G$6:$G$105,(COLUMN()-7-1)/2+1)&lt;&gt;"Starfsbundið",CU76="",CU$8="",CU$7=""),"",ROUND(CU76/CU$8*CU$7*KVARDI,2))</f>
        <v/>
      </c>
      <c r="CW76" s="39"/>
      <c r="CX76" s="40" t="str">
        <f aca="false">IF(OR(INDEX(Undirviðmið!$G$6:$G$105,(COLUMN()-7-1)/2+1)&lt;&gt;"Starfsbundið",CW76="",CW$8="",CW$7=""),"",ROUND(CW76/CW$8*CW$7*KVARDI,2))</f>
        <v/>
      </c>
      <c r="CY76" s="39"/>
      <c r="CZ76" s="40" t="str">
        <f aca="false">IF(OR(INDEX(Undirviðmið!$G$6:$G$105,(COLUMN()-7-1)/2+1)&lt;&gt;"Starfsbundið",CY76="",CY$8="",CY$7=""),"",ROUND(CY76/CY$8*CY$7*KVARDI,2))</f>
        <v/>
      </c>
      <c r="DA76" s="39"/>
      <c r="DB76" s="40" t="str">
        <f aca="false">IF(OR(INDEX(Undirviðmið!$G$6:$G$105,(COLUMN()-7-1)/2+1)&lt;&gt;"Starfsbundið",DA76="",DA$8="",DA$7=""),"",ROUND(DA76/DA$8*DA$7*KVARDI,2))</f>
        <v/>
      </c>
      <c r="DC76" s="39"/>
      <c r="DD76" s="40" t="str">
        <f aca="false">IF(OR(INDEX(Undirviðmið!$G$6:$G$105,(COLUMN()-7-1)/2+1)&lt;&gt;"Starfsbundið",DC76="",DC$8="",DC$7=""),"",ROUND(DC76/DC$8*DC$7*KVARDI,2))</f>
        <v/>
      </c>
      <c r="DE76" s="39"/>
      <c r="DF76" s="40" t="str">
        <f aca="false">IF(OR(INDEX(Undirviðmið!$G$6:$G$105,(COLUMN()-7-1)/2+1)&lt;&gt;"Starfsbundið",DE76="",DE$8="",DE$7=""),"",ROUND(DE76/DE$8*DE$7*KVARDI,2))</f>
        <v/>
      </c>
      <c r="DG76" s="39"/>
      <c r="DH76" s="40" t="str">
        <f aca="false">IF(OR(INDEX(Undirviðmið!$G$6:$G$105,(COLUMN()-7-1)/2+1)&lt;&gt;"Starfsbundið",DG76="",DG$8="",DG$7=""),"",ROUND(DG76/DG$8*DG$7*KVARDI,2))</f>
        <v/>
      </c>
      <c r="DI76" s="39"/>
      <c r="DJ76" s="40" t="str">
        <f aca="false">IF(OR(INDEX(Undirviðmið!$G$6:$G$105,(COLUMN()-7-1)/2+1)&lt;&gt;"Starfsbundið",DI76="",DI$8="",DI$7=""),"",ROUND(DI76/DI$8*DI$7*KVARDI,2))</f>
        <v/>
      </c>
      <c r="DK76" s="39"/>
      <c r="DL76" s="40" t="str">
        <f aca="false">IF(OR(INDEX(Undirviðmið!$G$6:$G$105,(COLUMN()-7-1)/2+1)&lt;&gt;"Starfsbundið",DK76="",DK$8="",DK$7=""),"",ROUND(DK76/DK$8*DK$7*KVARDI,2))</f>
        <v/>
      </c>
      <c r="DM76" s="39"/>
      <c r="DN76" s="40" t="str">
        <f aca="false">IF(OR(INDEX(Undirviðmið!$G$6:$G$105,(COLUMN()-7-1)/2+1)&lt;&gt;"Starfsbundið",DM76="",DM$8="",DM$7=""),"",ROUND(DM76/DM$8*DM$7*KVARDI,2))</f>
        <v/>
      </c>
      <c r="DO76" s="39"/>
      <c r="DP76" s="40" t="str">
        <f aca="false">IF(OR(INDEX(Undirviðmið!$G$6:$G$105,(COLUMN()-7-1)/2+1)&lt;&gt;"Starfsbundið",DO76="",DO$8="",DO$7=""),"",ROUND(DO76/DO$8*DO$7*KVARDI,2))</f>
        <v/>
      </c>
      <c r="DQ76" s="39"/>
      <c r="DR76" s="40" t="str">
        <f aca="false">IF(OR(INDEX(Undirviðmið!$G$6:$G$105,(COLUMN()-7-1)/2+1)&lt;&gt;"Starfsbundið",DQ76="",DQ$8="",DQ$7=""),"",ROUND(DQ76/DQ$8*DQ$7*KVARDI,2))</f>
        <v/>
      </c>
      <c r="DS76" s="39"/>
      <c r="DT76" s="40" t="str">
        <f aca="false">IF(OR(INDEX(Undirviðmið!$G$6:$G$105,(COLUMN()-7-1)/2+1)&lt;&gt;"Starfsbundið",DS76="",DS$8="",DS$7=""),"",ROUND(DS76/DS$8*DS$7*KVARDI,2))</f>
        <v/>
      </c>
      <c r="DU76" s="39"/>
      <c r="DV76" s="40" t="str">
        <f aca="false">IF(OR(INDEX(Undirviðmið!$G$6:$G$105,(COLUMN()-7-1)/2+1)&lt;&gt;"Starfsbundið",DU76="",DU$8="",DU$7=""),"",ROUND(DU76/DU$8*DU$7*KVARDI,2))</f>
        <v/>
      </c>
      <c r="DW76" s="39"/>
      <c r="DX76" s="40" t="str">
        <f aca="false">IF(OR(INDEX(Undirviðmið!$G$6:$G$105,(COLUMN()-7-1)/2+1)&lt;&gt;"Starfsbundið",DW76="",DW$8="",DW$7=""),"",ROUND(DW76/DW$8*DW$7*KVARDI,2))</f>
        <v/>
      </c>
      <c r="DY76" s="39"/>
      <c r="DZ76" s="40" t="str">
        <f aca="false">IF(OR(INDEX(Undirviðmið!$G$6:$G$105,(COLUMN()-7-1)/2+1)&lt;&gt;"Starfsbundið",DY76="",DY$8="",DY$7=""),"",ROUND(DY76/DY$8*DY$7*KVARDI,2))</f>
        <v/>
      </c>
      <c r="EA76" s="39"/>
      <c r="EB76" s="40" t="str">
        <f aca="false">IF(OR(INDEX(Undirviðmið!$G$6:$G$105,(COLUMN()-7-1)/2+1)&lt;&gt;"Starfsbundið",EA76="",EA$8="",EA$7=""),"",ROUND(EA76/EA$8*EA$7*KVARDI,2))</f>
        <v/>
      </c>
      <c r="EC76" s="39"/>
      <c r="ED76" s="40" t="str">
        <f aca="false">IF(OR(INDEX(Undirviðmið!$G$6:$G$105,(COLUMN()-7-1)/2+1)&lt;&gt;"Starfsbundið",EC76="",EC$8="",EC$7=""),"",ROUND(EC76/EC$8*EC$7*KVARDI,2))</f>
        <v/>
      </c>
      <c r="EE76" s="39"/>
      <c r="EF76" s="40" t="str">
        <f aca="false">IF(OR(INDEX(Undirviðmið!$G$6:$G$105,(COLUMN()-7-1)/2+1)&lt;&gt;"Starfsbundið",EE76="",EE$8="",EE$7=""),"",ROUND(EE76/EE$8*EE$7*KVARDI,2))</f>
        <v/>
      </c>
      <c r="EG76" s="39"/>
      <c r="EH76" s="40" t="str">
        <f aca="false">IF(OR(INDEX(Undirviðmið!$G$6:$G$105,(COLUMN()-7-1)/2+1)&lt;&gt;"Starfsbundið",EG76="",EG$8="",EG$7=""),"",ROUND(EG76/EG$8*EG$7*KVARDI,2))</f>
        <v/>
      </c>
      <c r="EI76" s="39"/>
      <c r="EJ76" s="40" t="str">
        <f aca="false">IF(OR(INDEX(Undirviðmið!$G$6:$G$105,(COLUMN()-7-1)/2+1)&lt;&gt;"Starfsbundið",EI76="",EI$8="",EI$7=""),"",ROUND(EI76/EI$8*EI$7*KVARDI,2))</f>
        <v/>
      </c>
      <c r="EK76" s="39"/>
      <c r="EL76" s="40" t="str">
        <f aca="false">IF(OR(INDEX(Undirviðmið!$G$6:$G$105,(COLUMN()-7-1)/2+1)&lt;&gt;"Starfsbundið",EK76="",EK$8="",EK$7=""),"",ROUND(EK76/EK$8*EK$7*KVARDI,2))</f>
        <v/>
      </c>
      <c r="EM76" s="39"/>
      <c r="EN76" s="40" t="str">
        <f aca="false">IF(OR(INDEX(Undirviðmið!$G$6:$G$105,(COLUMN()-7-1)/2+1)&lt;&gt;"Starfsbundið",EM76="",EM$8="",EM$7=""),"",ROUND(EM76/EM$8*EM$7*KVARDI,2))</f>
        <v/>
      </c>
      <c r="EO76" s="39"/>
      <c r="EP76" s="40" t="str">
        <f aca="false">IF(OR(INDEX(Undirviðmið!$G$6:$G$105,(COLUMN()-7-1)/2+1)&lt;&gt;"Starfsbundið",EO76="",EO$8="",EO$7=""),"",ROUND(EO76/EO$8*EO$7*KVARDI,2))</f>
        <v/>
      </c>
      <c r="EQ76" s="39"/>
      <c r="ER76" s="40" t="str">
        <f aca="false">IF(OR(INDEX(Undirviðmið!$G$6:$G$105,(COLUMN()-7-1)/2+1)&lt;&gt;"Starfsbundið",EQ76="",EQ$8="",EQ$7=""),"",ROUND(EQ76/EQ$8*EQ$7*KVARDI,2))</f>
        <v/>
      </c>
      <c r="ES76" s="39"/>
      <c r="ET76" s="40" t="str">
        <f aca="false">IF(OR(INDEX(Undirviðmið!$G$6:$G$105,(COLUMN()-7-1)/2+1)&lt;&gt;"Starfsbundið",ES76="",ES$8="",ES$7=""),"",ROUND(ES76/ES$8*ES$7*KVARDI,2))</f>
        <v/>
      </c>
      <c r="EU76" s="39"/>
      <c r="EV76" s="40" t="str">
        <f aca="false">IF(OR(INDEX(Undirviðmið!$G$6:$G$105,(COLUMN()-7-1)/2+1)&lt;&gt;"Starfsbundið",EU76="",EU$8="",EU$7=""),"",ROUND(EU76/EU$8*EU$7*KVARDI,2))</f>
        <v/>
      </c>
      <c r="EW76" s="39"/>
      <c r="EX76" s="40" t="str">
        <f aca="false">IF(OR(INDEX(Undirviðmið!$G$6:$G$105,(COLUMN()-7-1)/2+1)&lt;&gt;"Starfsbundið",EW76="",EW$8="",EW$7=""),"",ROUND(EW76/EW$8*EW$7*KVARDI,2))</f>
        <v/>
      </c>
      <c r="EY76" s="39"/>
      <c r="EZ76" s="40" t="str">
        <f aca="false">IF(OR(INDEX(Undirviðmið!$G$6:$G$105,(COLUMN()-7-1)/2+1)&lt;&gt;"Starfsbundið",EY76="",EY$8="",EY$7=""),"",ROUND(EY76/EY$8*EY$7*KVARDI,2))</f>
        <v/>
      </c>
      <c r="FA76" s="39"/>
      <c r="FB76" s="40" t="str">
        <f aca="false">IF(OR(INDEX(Undirviðmið!$G$6:$G$105,(COLUMN()-7-1)/2+1)&lt;&gt;"Starfsbundið",FA76="",FA$8="",FA$7=""),"",ROUND(FA76/FA$8*FA$7*KVARDI,2))</f>
        <v/>
      </c>
      <c r="FC76" s="39"/>
      <c r="FD76" s="40" t="str">
        <f aca="false">IF(OR(INDEX(Undirviðmið!$G$6:$G$105,(COLUMN()-7-1)/2+1)&lt;&gt;"Starfsbundið",FC76="",FC$8="",FC$7=""),"",ROUND(FC76/FC$8*FC$7*KVARDI,2))</f>
        <v/>
      </c>
      <c r="FE76" s="39"/>
      <c r="FF76" s="40" t="str">
        <f aca="false">IF(OR(INDEX(Undirviðmið!$G$6:$G$105,(COLUMN()-7-1)/2+1)&lt;&gt;"Starfsbundið",FE76="",FE$8="",FE$7=""),"",ROUND(FE76/FE$8*FE$7*KVARDI,2))</f>
        <v/>
      </c>
      <c r="FG76" s="39"/>
      <c r="FH76" s="40" t="str">
        <f aca="false">IF(OR(INDEX(Undirviðmið!$G$6:$G$105,(COLUMN()-7-1)/2+1)&lt;&gt;"Starfsbundið",FG76="",FG$8="",FG$7=""),"",ROUND(FG76/FG$8*FG$7*KVARDI,2))</f>
        <v/>
      </c>
      <c r="FI76" s="39"/>
      <c r="FJ76" s="40" t="str">
        <f aca="false">IF(OR(INDEX(Undirviðmið!$G$6:$G$105,(COLUMN()-7-1)/2+1)&lt;&gt;"Starfsbundið",FI76="",FI$8="",FI$7=""),"",ROUND(FI76/FI$8*FI$7*KVARDI,2))</f>
        <v/>
      </c>
      <c r="FK76" s="39"/>
      <c r="FL76" s="40" t="str">
        <f aca="false">IF(OR(INDEX(Undirviðmið!$G$6:$G$105,(COLUMN()-7-1)/2+1)&lt;&gt;"Starfsbundið",FK76="",FK$8="",FK$7=""),"",ROUND(FK76/FK$8*FK$7*KVARDI,2))</f>
        <v/>
      </c>
      <c r="FM76" s="39"/>
      <c r="FN76" s="40" t="str">
        <f aca="false">IF(OR(INDEX(Undirviðmið!$G$6:$G$105,(COLUMN()-7-1)/2+1)&lt;&gt;"Starfsbundið",FM76="",FM$8="",FM$7=""),"",ROUND(FM76/FM$8*FM$7*KVARDI,2))</f>
        <v/>
      </c>
      <c r="FO76" s="39"/>
      <c r="FP76" s="40" t="str">
        <f aca="false">IF(OR(INDEX(Undirviðmið!$G$6:$G$105,(COLUMN()-7-1)/2+1)&lt;&gt;"Starfsbundið",FO76="",FO$8="",FO$7=""),"",ROUND(FO76/FO$8*FO$7*KVARDI,2))</f>
        <v/>
      </c>
      <c r="FQ76" s="39"/>
      <c r="FR76" s="40" t="str">
        <f aca="false">IF(OR(INDEX(Undirviðmið!$G$6:$G$105,(COLUMN()-7-1)/2+1)&lt;&gt;"Starfsbundið",FQ76="",FQ$8="",FQ$7=""),"",ROUND(FQ76/FQ$8*FQ$7*KVARDI,2))</f>
        <v/>
      </c>
      <c r="FS76" s="39"/>
      <c r="FT76" s="40" t="str">
        <f aca="false">IF(OR(INDEX(Undirviðmið!$G$6:$G$105,(COLUMN()-7-1)/2+1)&lt;&gt;"Starfsbundið",FS76="",FS$8="",FS$7=""),"",ROUND(FS76/FS$8*FS$7*KVARDI,2))</f>
        <v/>
      </c>
      <c r="FU76" s="39"/>
      <c r="FV76" s="40" t="str">
        <f aca="false">IF(OR(INDEX(Undirviðmið!$G$6:$G$105,(COLUMN()-7-1)/2+1)&lt;&gt;"Starfsbundið",FU76="",FU$8="",FU$7=""),"",ROUND(FU76/FU$8*FU$7*KVARDI,2))</f>
        <v/>
      </c>
      <c r="FW76" s="39"/>
      <c r="FX76" s="40" t="str">
        <f aca="false">IF(OR(INDEX(Undirviðmið!$G$6:$G$105,(COLUMN()-7-1)/2+1)&lt;&gt;"Starfsbundið",FW76="",FW$8="",FW$7=""),"",ROUND(FW76/FW$8*FW$7*KVARDI,2))</f>
        <v/>
      </c>
      <c r="FY76" s="39"/>
      <c r="FZ76" s="40" t="str">
        <f aca="false">IF(OR(INDEX(Undirviðmið!$G$6:$G$105,(COLUMN()-7-1)/2+1)&lt;&gt;"Starfsbundið",FY76="",FY$8="",FY$7=""),"",ROUND(FY76/FY$8*FY$7*KVARDI,2))</f>
        <v/>
      </c>
      <c r="GA76" s="39"/>
      <c r="GB76" s="40" t="str">
        <f aca="false">IF(OR(INDEX(Undirviðmið!$G$6:$G$105,(COLUMN()-7-1)/2+1)&lt;&gt;"Starfsbundið",GA76="",GA$8="",GA$7=""),"",ROUND(GA76/GA$8*GA$7*KVARDI,2))</f>
        <v/>
      </c>
      <c r="GC76" s="39"/>
      <c r="GD76" s="40" t="str">
        <f aca="false">IF(OR(INDEX(Undirviðmið!$G$6:$G$105,(COLUMN()-7-1)/2+1)&lt;&gt;"Starfsbundið",GC76="",GC$8="",GC$7=""),"",ROUND(GC76/GC$8*GC$7*KVARDI,2))</f>
        <v/>
      </c>
      <c r="GE76" s="39"/>
      <c r="GF76" s="40" t="str">
        <f aca="false">IF(OR(INDEX(Undirviðmið!$G$6:$G$105,(COLUMN()-7-1)/2+1)&lt;&gt;"Starfsbundið",GE76="",GE$8="",GE$7=""),"",ROUND(GE76/GE$8*GE$7*KVARDI,2))</f>
        <v/>
      </c>
      <c r="GG76" s="39"/>
      <c r="GH76" s="40" t="str">
        <f aca="false">IF(OR(INDEX(Undirviðmið!$G$6:$G$105,(COLUMN()-7-1)/2+1)&lt;&gt;"Starfsbundið",GG76="",GG$8="",GG$7=""),"",ROUND(GG76/GG$8*GG$7*KVARDI,2))</f>
        <v/>
      </c>
      <c r="GI76" s="39"/>
      <c r="GJ76" s="40" t="str">
        <f aca="false">IF(OR(INDEX(Undirviðmið!$G$6:$G$105,(COLUMN()-7-1)/2+1)&lt;&gt;"Starfsbundið",GI76="",GI$8="",GI$7=""),"",ROUND(GI76/GI$8*GI$7*KVARDI,2))</f>
        <v/>
      </c>
      <c r="GK76" s="39"/>
      <c r="GL76" s="40" t="str">
        <f aca="false">IF(OR(INDEX(Undirviðmið!$G$6:$G$105,(COLUMN()-7-1)/2+1)&lt;&gt;"Starfsbundið",GK76="",GK$8="",GK$7=""),"",ROUND(GK76/GK$8*GK$7*KVARDI,2))</f>
        <v/>
      </c>
      <c r="GM76" s="39"/>
      <c r="GN76" s="40" t="str">
        <f aca="false">IF(OR(INDEX(Undirviðmið!$G$6:$G$105,(COLUMN()-7-1)/2+1)&lt;&gt;"Starfsbundið",GM76="",GM$8="",GM$7=""),"",ROUND(GM76/GM$8*GM$7*KVARDI,2))</f>
        <v/>
      </c>
      <c r="GO76" s="39"/>
      <c r="GP76" s="40" t="str">
        <f aca="false">IF(OR(INDEX(Undirviðmið!$G$6:$G$105,(COLUMN()-7-1)/2+1)&lt;&gt;"Starfsbundið",GO76="",GO$8="",GO$7=""),"",ROUND(GO76/GO$8*GO$7*KVARDI,2))</f>
        <v/>
      </c>
      <c r="GQ76" s="39"/>
      <c r="GR76" s="40" t="str">
        <f aca="false">IF(OR(INDEX(Undirviðmið!$G$6:$G$105,(COLUMN()-7-1)/2+1)&lt;&gt;"Starfsbundið",GQ76="",GQ$8="",GQ$7=""),"",ROUND(GQ76/GQ$8*GQ$7*KVARDI,2))</f>
        <v/>
      </c>
      <c r="GS76" s="39"/>
      <c r="GT76" s="40" t="str">
        <f aca="false">IF(OR(INDEX(Undirviðmið!$G$6:$G$105,(COLUMN()-7-1)/2+1)&lt;&gt;"Starfsbundið",GS76="",GS$8="",GS$7=""),"",ROUND(GS76/GS$8*GS$7*KVARDI,2))</f>
        <v/>
      </c>
      <c r="GU76" s="39"/>
      <c r="GV76" s="40" t="str">
        <f aca="false">IF(OR(INDEX(Undirviðmið!$G$6:$G$105,(COLUMN()-7-1)/2+1)&lt;&gt;"Starfsbundið",GU76="",GU$8="",GU$7=""),"",ROUND(GU76/GU$8*GU$7*KVARDI,2))</f>
        <v/>
      </c>
      <c r="GW76" s="39"/>
      <c r="GX76" s="40" t="str">
        <f aca="false">IF(OR(INDEX(Undirviðmið!$G$6:$G$105,(COLUMN()-7-1)/2+1)&lt;&gt;"Starfsbundið",GW76="",GW$8="",GW$7=""),"",ROUND(GW76/GW$8*GW$7*KVARDI,2))</f>
        <v/>
      </c>
      <c r="GZ76" s="20"/>
    </row>
    <row r="77" customFormat="false" ht="15" hidden="true" customHeight="true" outlineLevel="1" collapsed="false">
      <c r="B77" s="37" t="str">
        <f aca="false" t="array" ref="B77:B77">IFERROR(INDEX(Starfsmenn!$C$6:$C$10005,MATCH(0,COUNTIF($B$11:B76,Starfsmenn!$C$6:$C$10005)+(Starfsmenn!$C$6:$C$10005=""),0)),"")</f>
        <v/>
      </c>
      <c r="C77" s="38" t="n">
        <f aca="false">IFERROR(SUMIF($G$10:$GX$10,"Stig",$G77:$GX77),0)</f>
        <v>0</v>
      </c>
      <c r="G77" s="39"/>
      <c r="H77" s="40" t="str">
        <f aca="false">IF(OR(INDEX(Undirviðmið!$G$6:$G$105,(COLUMN()-7-1)/2+1)&lt;&gt;"Starfsbundið",G77="",G$8="",G$7=""),"",ROUND(G77/G$8*G$7*KVARDI,2))</f>
        <v/>
      </c>
      <c r="I77" s="39"/>
      <c r="J77" s="40" t="str">
        <f aca="false">IF(OR(INDEX(Undirviðmið!$G$6:$G$105,(COLUMN()-7-1)/2+1)&lt;&gt;"Starfsbundið",I77="",I$8="",I$7=""),"",ROUND(I77/I$8*I$7*KVARDI,2))</f>
        <v/>
      </c>
      <c r="K77" s="39"/>
      <c r="L77" s="40" t="str">
        <f aca="false">IF(OR(INDEX(Undirviðmið!$G$6:$G$105,(COLUMN()-7-1)/2+1)&lt;&gt;"Starfsbundið",K77="",K$8="",K$7=""),"",ROUND(K77/K$8*K$7*KVARDI,2))</f>
        <v/>
      </c>
      <c r="M77" s="39"/>
      <c r="N77" s="40" t="str">
        <f aca="false">IF(OR(INDEX(Undirviðmið!$G$6:$G$105,(COLUMN()-7-1)/2+1)&lt;&gt;"Starfsbundið",M77="",M$8="",M$7=""),"",ROUND(M77/M$8*M$7*KVARDI,2))</f>
        <v/>
      </c>
      <c r="O77" s="39"/>
      <c r="P77" s="40" t="str">
        <f aca="false">IF(OR(INDEX(Undirviðmið!$G$6:$G$105,(COLUMN()-7-1)/2+1)&lt;&gt;"Starfsbundið",O77="",O$8="",O$7=""),"",ROUND(O77/O$8*O$7*KVARDI,2))</f>
        <v/>
      </c>
      <c r="Q77" s="39"/>
      <c r="R77" s="40" t="str">
        <f aca="false">IF(OR(INDEX(Undirviðmið!$G$6:$G$105,(COLUMN()-7-1)/2+1)&lt;&gt;"Starfsbundið",Q77="",Q$8="",Q$7=""),"",ROUND(Q77/Q$8*Q$7*KVARDI,2))</f>
        <v/>
      </c>
      <c r="S77" s="39"/>
      <c r="T77" s="40" t="str">
        <f aca="false">IF(OR(INDEX(Undirviðmið!$G$6:$G$105,(COLUMN()-7-1)/2+1)&lt;&gt;"Starfsbundið",S77="",S$8="",S$7=""),"",ROUND(S77/S$8*S$7*KVARDI,2))</f>
        <v/>
      </c>
      <c r="U77" s="39"/>
      <c r="V77" s="40" t="str">
        <f aca="false">IF(OR(INDEX(Undirviðmið!$G$6:$G$105,(COLUMN()-7-1)/2+1)&lt;&gt;"Starfsbundið",U77="",U$8="",U$7=""),"",ROUND(U77/U$8*U$7*KVARDI,2))</f>
        <v/>
      </c>
      <c r="W77" s="39"/>
      <c r="X77" s="40" t="str">
        <f aca="false">IF(OR(INDEX(Undirviðmið!$G$6:$G$105,(COLUMN()-7-1)/2+1)&lt;&gt;"Starfsbundið",W77="",W$8="",W$7=""),"",ROUND(W77/W$8*W$7*KVARDI,2))</f>
        <v/>
      </c>
      <c r="Y77" s="39"/>
      <c r="Z77" s="40" t="str">
        <f aca="false">IF(OR(INDEX(Undirviðmið!$G$6:$G$105,(COLUMN()-7-1)/2+1)&lt;&gt;"Starfsbundið",Y77="",Y$8="",Y$7=""),"",ROUND(Y77/Y$8*Y$7*KVARDI,2))</f>
        <v/>
      </c>
      <c r="AA77" s="39"/>
      <c r="AB77" s="40" t="str">
        <f aca="false">IF(OR(INDEX(Undirviðmið!$G$6:$G$105,(COLUMN()-7-1)/2+1)&lt;&gt;"Starfsbundið",AA77="",AA$8="",AA$7=""),"",ROUND(AA77/AA$8*AA$7*KVARDI,2))</f>
        <v/>
      </c>
      <c r="AC77" s="39"/>
      <c r="AD77" s="40" t="str">
        <f aca="false">IF(OR(INDEX(Undirviðmið!$G$6:$G$105,(COLUMN()-7-1)/2+1)&lt;&gt;"Starfsbundið",AC77="",AC$8="",AC$7=""),"",ROUND(AC77/AC$8*AC$7*KVARDI,2))</f>
        <v/>
      </c>
      <c r="AE77" s="39"/>
      <c r="AF77" s="40" t="str">
        <f aca="false">IF(OR(INDEX(Undirviðmið!$G$6:$G$105,(COLUMN()-7-1)/2+1)&lt;&gt;"Starfsbundið",AE77="",AE$8="",AE$7=""),"",ROUND(AE77/AE$8*AE$7*KVARDI,2))</f>
        <v/>
      </c>
      <c r="AG77" s="39"/>
      <c r="AH77" s="40" t="str">
        <f aca="false">IF(OR(INDEX(Undirviðmið!$G$6:$G$105,(COLUMN()-7-1)/2+1)&lt;&gt;"Starfsbundið",AG77="",AG$8="",AG$7=""),"",ROUND(AG77/AG$8*AG$7*KVARDI,2))</f>
        <v/>
      </c>
      <c r="AI77" s="39"/>
      <c r="AJ77" s="40" t="str">
        <f aca="false">IF(OR(INDEX(Undirviðmið!$G$6:$G$105,(COLUMN()-7-1)/2+1)&lt;&gt;"Starfsbundið",AI77="",AI$8="",AI$7=""),"",ROUND(AI77/AI$8*AI$7*KVARDI,2))</f>
        <v/>
      </c>
      <c r="AK77" s="39"/>
      <c r="AL77" s="40" t="str">
        <f aca="false">IF(OR(INDEX(Undirviðmið!$G$6:$G$105,(COLUMN()-7-1)/2+1)&lt;&gt;"Starfsbundið",AK77="",AK$8="",AK$7=""),"",ROUND(AK77/AK$8*AK$7*KVARDI,2))</f>
        <v/>
      </c>
      <c r="AM77" s="39"/>
      <c r="AN77" s="40" t="str">
        <f aca="false">IF(OR(INDEX(Undirviðmið!$G$6:$G$105,(COLUMN()-7-1)/2+1)&lt;&gt;"Starfsbundið",AM77="",AM$8="",AM$7=""),"",ROUND(AM77/AM$8*AM$7*KVARDI,2))</f>
        <v/>
      </c>
      <c r="AO77" s="39"/>
      <c r="AP77" s="40" t="str">
        <f aca="false">IF(OR(INDEX(Undirviðmið!$G$6:$G$105,(COLUMN()-7-1)/2+1)&lt;&gt;"Starfsbundið",AO77="",AO$8="",AO$7=""),"",ROUND(AO77/AO$8*AO$7*KVARDI,2))</f>
        <v/>
      </c>
      <c r="AQ77" s="39"/>
      <c r="AR77" s="40" t="str">
        <f aca="false">IF(OR(INDEX(Undirviðmið!$G$6:$G$105,(COLUMN()-7-1)/2+1)&lt;&gt;"Starfsbundið",AQ77="",AQ$8="",AQ$7=""),"",ROUND(AQ77/AQ$8*AQ$7*KVARDI,2))</f>
        <v/>
      </c>
      <c r="AS77" s="39"/>
      <c r="AT77" s="40" t="str">
        <f aca="false">IF(OR(INDEX(Undirviðmið!$G$6:$G$105,(COLUMN()-7-1)/2+1)&lt;&gt;"Starfsbundið",AS77="",AS$8="",AS$7=""),"",ROUND(AS77/AS$8*AS$7*KVARDI,2))</f>
        <v/>
      </c>
      <c r="AU77" s="39"/>
      <c r="AV77" s="40" t="str">
        <f aca="false">IF(OR(INDEX(Undirviðmið!$G$6:$G$105,(COLUMN()-7-1)/2+1)&lt;&gt;"Starfsbundið",AU77="",AU$8="",AU$7=""),"",ROUND(AU77/AU$8*AU$7*KVARDI,2))</f>
        <v/>
      </c>
      <c r="AW77" s="39"/>
      <c r="AX77" s="40" t="str">
        <f aca="false">IF(OR(INDEX(Undirviðmið!$G$6:$G$105,(COLUMN()-7-1)/2+1)&lt;&gt;"Starfsbundið",AW77="",AW$8="",AW$7=""),"",ROUND(AW77/AW$8*AW$7*KVARDI,2))</f>
        <v/>
      </c>
      <c r="AY77" s="39"/>
      <c r="AZ77" s="40" t="str">
        <f aca="false">IF(OR(INDEX(Undirviðmið!$G$6:$G$105,(COLUMN()-7-1)/2+1)&lt;&gt;"Starfsbundið",AY77="",AY$8="",AY$7=""),"",ROUND(AY77/AY$8*AY$7*KVARDI,2))</f>
        <v/>
      </c>
      <c r="BA77" s="39"/>
      <c r="BB77" s="40" t="str">
        <f aca="false">IF(OR(INDEX(Undirviðmið!$G$6:$G$105,(COLUMN()-7-1)/2+1)&lt;&gt;"Starfsbundið",BA77="",BA$8="",BA$7=""),"",ROUND(BA77/BA$8*BA$7*KVARDI,2))</f>
        <v/>
      </c>
      <c r="BC77" s="39"/>
      <c r="BD77" s="40" t="str">
        <f aca="false">IF(OR(INDEX(Undirviðmið!$G$6:$G$105,(COLUMN()-7-1)/2+1)&lt;&gt;"Starfsbundið",BC77="",BC$8="",BC$7=""),"",ROUND(BC77/BC$8*BC$7*KVARDI,2))</f>
        <v/>
      </c>
      <c r="BE77" s="39"/>
      <c r="BF77" s="40" t="str">
        <f aca="false">IF(OR(INDEX(Undirviðmið!$G$6:$G$105,(COLUMN()-7-1)/2+1)&lt;&gt;"Starfsbundið",BE77="",BE$8="",BE$7=""),"",ROUND(BE77/BE$8*BE$7*KVARDI,2))</f>
        <v/>
      </c>
      <c r="BG77" s="39"/>
      <c r="BH77" s="40" t="str">
        <f aca="false">IF(OR(INDEX(Undirviðmið!$G$6:$G$105,(COLUMN()-7-1)/2+1)&lt;&gt;"Starfsbundið",BG77="",BG$8="",BG$7=""),"",ROUND(BG77/BG$8*BG$7*KVARDI,2))</f>
        <v/>
      </c>
      <c r="BI77" s="39"/>
      <c r="BJ77" s="40" t="str">
        <f aca="false">IF(OR(INDEX(Undirviðmið!$G$6:$G$105,(COLUMN()-7-1)/2+1)&lt;&gt;"Starfsbundið",BI77="",BI$8="",BI$7=""),"",ROUND(BI77/BI$8*BI$7*KVARDI,2))</f>
        <v/>
      </c>
      <c r="BK77" s="39"/>
      <c r="BL77" s="40" t="str">
        <f aca="false">IF(OR(INDEX(Undirviðmið!$G$6:$G$105,(COLUMN()-7-1)/2+1)&lt;&gt;"Starfsbundið",BK77="",BK$8="",BK$7=""),"",ROUND(BK77/BK$8*BK$7*KVARDI,2))</f>
        <v/>
      </c>
      <c r="BM77" s="39"/>
      <c r="BN77" s="40" t="str">
        <f aca="false">IF(OR(INDEX(Undirviðmið!$G$6:$G$105,(COLUMN()-7-1)/2+1)&lt;&gt;"Starfsbundið",BM77="",BM$8="",BM$7=""),"",ROUND(BM77/BM$8*BM$7*KVARDI,2))</f>
        <v/>
      </c>
      <c r="BO77" s="39"/>
      <c r="BP77" s="40" t="str">
        <f aca="false">IF(OR(INDEX(Undirviðmið!$G$6:$G$105,(COLUMN()-7-1)/2+1)&lt;&gt;"Starfsbundið",BO77="",BO$8="",BO$7=""),"",ROUND(BO77/BO$8*BO$7*KVARDI,2))</f>
        <v/>
      </c>
      <c r="BQ77" s="39"/>
      <c r="BR77" s="40" t="str">
        <f aca="false">IF(OR(INDEX(Undirviðmið!$G$6:$G$105,(COLUMN()-7-1)/2+1)&lt;&gt;"Starfsbundið",BQ77="",BQ$8="",BQ$7=""),"",ROUND(BQ77/BQ$8*BQ$7*KVARDI,2))</f>
        <v/>
      </c>
      <c r="BS77" s="39"/>
      <c r="BT77" s="40" t="str">
        <f aca="false">IF(OR(INDEX(Undirviðmið!$G$6:$G$105,(COLUMN()-7-1)/2+1)&lt;&gt;"Starfsbundið",BS77="",BS$8="",BS$7=""),"",ROUND(BS77/BS$8*BS$7*KVARDI,2))</f>
        <v/>
      </c>
      <c r="BU77" s="39"/>
      <c r="BV77" s="40" t="str">
        <f aca="false">IF(OR(INDEX(Undirviðmið!$G$6:$G$105,(COLUMN()-7-1)/2+1)&lt;&gt;"Starfsbundið",BU77="",BU$8="",BU$7=""),"",ROUND(BU77/BU$8*BU$7*KVARDI,2))</f>
        <v/>
      </c>
      <c r="BW77" s="39"/>
      <c r="BX77" s="40" t="str">
        <f aca="false">IF(OR(INDEX(Undirviðmið!$G$6:$G$105,(COLUMN()-7-1)/2+1)&lt;&gt;"Starfsbundið",BW77="",BW$8="",BW$7=""),"",ROUND(BW77/BW$8*BW$7*KVARDI,2))</f>
        <v/>
      </c>
      <c r="BY77" s="39"/>
      <c r="BZ77" s="40" t="str">
        <f aca="false">IF(OR(INDEX(Undirviðmið!$G$6:$G$105,(COLUMN()-7-1)/2+1)&lt;&gt;"Starfsbundið",BY77="",BY$8="",BY$7=""),"",ROUND(BY77/BY$8*BY$7*KVARDI,2))</f>
        <v/>
      </c>
      <c r="CA77" s="39"/>
      <c r="CB77" s="40" t="str">
        <f aca="false">IF(OR(INDEX(Undirviðmið!$G$6:$G$105,(COLUMN()-7-1)/2+1)&lt;&gt;"Starfsbundið",CA77="",CA$8="",CA$7=""),"",ROUND(CA77/CA$8*CA$7*KVARDI,2))</f>
        <v/>
      </c>
      <c r="CC77" s="39"/>
      <c r="CD77" s="40" t="str">
        <f aca="false">IF(OR(INDEX(Undirviðmið!$G$6:$G$105,(COLUMN()-7-1)/2+1)&lt;&gt;"Starfsbundið",CC77="",CC$8="",CC$7=""),"",ROUND(CC77/CC$8*CC$7*KVARDI,2))</f>
        <v/>
      </c>
      <c r="CE77" s="39"/>
      <c r="CF77" s="40" t="str">
        <f aca="false">IF(OR(INDEX(Undirviðmið!$G$6:$G$105,(COLUMN()-7-1)/2+1)&lt;&gt;"Starfsbundið",CE77="",CE$8="",CE$7=""),"",ROUND(CE77/CE$8*CE$7*KVARDI,2))</f>
        <v/>
      </c>
      <c r="CG77" s="39"/>
      <c r="CH77" s="40" t="str">
        <f aca="false">IF(OR(INDEX(Undirviðmið!$G$6:$G$105,(COLUMN()-7-1)/2+1)&lt;&gt;"Starfsbundið",CG77="",CG$8="",CG$7=""),"",ROUND(CG77/CG$8*CG$7*KVARDI,2))</f>
        <v/>
      </c>
      <c r="CI77" s="39"/>
      <c r="CJ77" s="40" t="str">
        <f aca="false">IF(OR(INDEX(Undirviðmið!$G$6:$G$105,(COLUMN()-7-1)/2+1)&lt;&gt;"Starfsbundið",CI77="",CI$8="",CI$7=""),"",ROUND(CI77/CI$8*CI$7*KVARDI,2))</f>
        <v/>
      </c>
      <c r="CK77" s="39"/>
      <c r="CL77" s="40" t="str">
        <f aca="false">IF(OR(INDEX(Undirviðmið!$G$6:$G$105,(COLUMN()-7-1)/2+1)&lt;&gt;"Starfsbundið",CK77="",CK$8="",CK$7=""),"",ROUND(CK77/CK$8*CK$7*KVARDI,2))</f>
        <v/>
      </c>
      <c r="CM77" s="39"/>
      <c r="CN77" s="40" t="str">
        <f aca="false">IF(OR(INDEX(Undirviðmið!$G$6:$G$105,(COLUMN()-7-1)/2+1)&lt;&gt;"Starfsbundið",CM77="",CM$8="",CM$7=""),"",ROUND(CM77/CM$8*CM$7*KVARDI,2))</f>
        <v/>
      </c>
      <c r="CO77" s="39"/>
      <c r="CP77" s="40" t="str">
        <f aca="false">IF(OR(INDEX(Undirviðmið!$G$6:$G$105,(COLUMN()-7-1)/2+1)&lt;&gt;"Starfsbundið",CO77="",CO$8="",CO$7=""),"",ROUND(CO77/CO$8*CO$7*KVARDI,2))</f>
        <v/>
      </c>
      <c r="CQ77" s="39"/>
      <c r="CR77" s="40" t="str">
        <f aca="false">IF(OR(INDEX(Undirviðmið!$G$6:$G$105,(COLUMN()-7-1)/2+1)&lt;&gt;"Starfsbundið",CQ77="",CQ$8="",CQ$7=""),"",ROUND(CQ77/CQ$8*CQ$7*KVARDI,2))</f>
        <v/>
      </c>
      <c r="CS77" s="39"/>
      <c r="CT77" s="40" t="str">
        <f aca="false">IF(OR(INDEX(Undirviðmið!$G$6:$G$105,(COLUMN()-7-1)/2+1)&lt;&gt;"Starfsbundið",CS77="",CS$8="",CS$7=""),"",ROUND(CS77/CS$8*CS$7*KVARDI,2))</f>
        <v/>
      </c>
      <c r="CU77" s="39"/>
      <c r="CV77" s="40" t="str">
        <f aca="false">IF(OR(INDEX(Undirviðmið!$G$6:$G$105,(COLUMN()-7-1)/2+1)&lt;&gt;"Starfsbundið",CU77="",CU$8="",CU$7=""),"",ROUND(CU77/CU$8*CU$7*KVARDI,2))</f>
        <v/>
      </c>
      <c r="CW77" s="39"/>
      <c r="CX77" s="40" t="str">
        <f aca="false">IF(OR(INDEX(Undirviðmið!$G$6:$G$105,(COLUMN()-7-1)/2+1)&lt;&gt;"Starfsbundið",CW77="",CW$8="",CW$7=""),"",ROUND(CW77/CW$8*CW$7*KVARDI,2))</f>
        <v/>
      </c>
      <c r="CY77" s="39"/>
      <c r="CZ77" s="40" t="str">
        <f aca="false">IF(OR(INDEX(Undirviðmið!$G$6:$G$105,(COLUMN()-7-1)/2+1)&lt;&gt;"Starfsbundið",CY77="",CY$8="",CY$7=""),"",ROUND(CY77/CY$8*CY$7*KVARDI,2))</f>
        <v/>
      </c>
      <c r="DA77" s="39"/>
      <c r="DB77" s="40" t="str">
        <f aca="false">IF(OR(INDEX(Undirviðmið!$G$6:$G$105,(COLUMN()-7-1)/2+1)&lt;&gt;"Starfsbundið",DA77="",DA$8="",DA$7=""),"",ROUND(DA77/DA$8*DA$7*KVARDI,2))</f>
        <v/>
      </c>
      <c r="DC77" s="39"/>
      <c r="DD77" s="40" t="str">
        <f aca="false">IF(OR(INDEX(Undirviðmið!$G$6:$G$105,(COLUMN()-7-1)/2+1)&lt;&gt;"Starfsbundið",DC77="",DC$8="",DC$7=""),"",ROUND(DC77/DC$8*DC$7*KVARDI,2))</f>
        <v/>
      </c>
      <c r="DE77" s="39"/>
      <c r="DF77" s="40" t="str">
        <f aca="false">IF(OR(INDEX(Undirviðmið!$G$6:$G$105,(COLUMN()-7-1)/2+1)&lt;&gt;"Starfsbundið",DE77="",DE$8="",DE$7=""),"",ROUND(DE77/DE$8*DE$7*KVARDI,2))</f>
        <v/>
      </c>
      <c r="DG77" s="39"/>
      <c r="DH77" s="40" t="str">
        <f aca="false">IF(OR(INDEX(Undirviðmið!$G$6:$G$105,(COLUMN()-7-1)/2+1)&lt;&gt;"Starfsbundið",DG77="",DG$8="",DG$7=""),"",ROUND(DG77/DG$8*DG$7*KVARDI,2))</f>
        <v/>
      </c>
      <c r="DI77" s="39"/>
      <c r="DJ77" s="40" t="str">
        <f aca="false">IF(OR(INDEX(Undirviðmið!$G$6:$G$105,(COLUMN()-7-1)/2+1)&lt;&gt;"Starfsbundið",DI77="",DI$8="",DI$7=""),"",ROUND(DI77/DI$8*DI$7*KVARDI,2))</f>
        <v/>
      </c>
      <c r="DK77" s="39"/>
      <c r="DL77" s="40" t="str">
        <f aca="false">IF(OR(INDEX(Undirviðmið!$G$6:$G$105,(COLUMN()-7-1)/2+1)&lt;&gt;"Starfsbundið",DK77="",DK$8="",DK$7=""),"",ROUND(DK77/DK$8*DK$7*KVARDI,2))</f>
        <v/>
      </c>
      <c r="DM77" s="39"/>
      <c r="DN77" s="40" t="str">
        <f aca="false">IF(OR(INDEX(Undirviðmið!$G$6:$G$105,(COLUMN()-7-1)/2+1)&lt;&gt;"Starfsbundið",DM77="",DM$8="",DM$7=""),"",ROUND(DM77/DM$8*DM$7*KVARDI,2))</f>
        <v/>
      </c>
      <c r="DO77" s="39"/>
      <c r="DP77" s="40" t="str">
        <f aca="false">IF(OR(INDEX(Undirviðmið!$G$6:$G$105,(COLUMN()-7-1)/2+1)&lt;&gt;"Starfsbundið",DO77="",DO$8="",DO$7=""),"",ROUND(DO77/DO$8*DO$7*KVARDI,2))</f>
        <v/>
      </c>
      <c r="DQ77" s="39"/>
      <c r="DR77" s="40" t="str">
        <f aca="false">IF(OR(INDEX(Undirviðmið!$G$6:$G$105,(COLUMN()-7-1)/2+1)&lt;&gt;"Starfsbundið",DQ77="",DQ$8="",DQ$7=""),"",ROUND(DQ77/DQ$8*DQ$7*KVARDI,2))</f>
        <v/>
      </c>
      <c r="DS77" s="39"/>
      <c r="DT77" s="40" t="str">
        <f aca="false">IF(OR(INDEX(Undirviðmið!$G$6:$G$105,(COLUMN()-7-1)/2+1)&lt;&gt;"Starfsbundið",DS77="",DS$8="",DS$7=""),"",ROUND(DS77/DS$8*DS$7*KVARDI,2))</f>
        <v/>
      </c>
      <c r="DU77" s="39"/>
      <c r="DV77" s="40" t="str">
        <f aca="false">IF(OR(INDEX(Undirviðmið!$G$6:$G$105,(COLUMN()-7-1)/2+1)&lt;&gt;"Starfsbundið",DU77="",DU$8="",DU$7=""),"",ROUND(DU77/DU$8*DU$7*KVARDI,2))</f>
        <v/>
      </c>
      <c r="DW77" s="39"/>
      <c r="DX77" s="40" t="str">
        <f aca="false">IF(OR(INDEX(Undirviðmið!$G$6:$G$105,(COLUMN()-7-1)/2+1)&lt;&gt;"Starfsbundið",DW77="",DW$8="",DW$7=""),"",ROUND(DW77/DW$8*DW$7*KVARDI,2))</f>
        <v/>
      </c>
      <c r="DY77" s="39"/>
      <c r="DZ77" s="40" t="str">
        <f aca="false">IF(OR(INDEX(Undirviðmið!$G$6:$G$105,(COLUMN()-7-1)/2+1)&lt;&gt;"Starfsbundið",DY77="",DY$8="",DY$7=""),"",ROUND(DY77/DY$8*DY$7*KVARDI,2))</f>
        <v/>
      </c>
      <c r="EA77" s="39"/>
      <c r="EB77" s="40" t="str">
        <f aca="false">IF(OR(INDEX(Undirviðmið!$G$6:$G$105,(COLUMN()-7-1)/2+1)&lt;&gt;"Starfsbundið",EA77="",EA$8="",EA$7=""),"",ROUND(EA77/EA$8*EA$7*KVARDI,2))</f>
        <v/>
      </c>
      <c r="EC77" s="39"/>
      <c r="ED77" s="40" t="str">
        <f aca="false">IF(OR(INDEX(Undirviðmið!$G$6:$G$105,(COLUMN()-7-1)/2+1)&lt;&gt;"Starfsbundið",EC77="",EC$8="",EC$7=""),"",ROUND(EC77/EC$8*EC$7*KVARDI,2))</f>
        <v/>
      </c>
      <c r="EE77" s="39"/>
      <c r="EF77" s="40" t="str">
        <f aca="false">IF(OR(INDEX(Undirviðmið!$G$6:$G$105,(COLUMN()-7-1)/2+1)&lt;&gt;"Starfsbundið",EE77="",EE$8="",EE$7=""),"",ROUND(EE77/EE$8*EE$7*KVARDI,2))</f>
        <v/>
      </c>
      <c r="EG77" s="39"/>
      <c r="EH77" s="40" t="str">
        <f aca="false">IF(OR(INDEX(Undirviðmið!$G$6:$G$105,(COLUMN()-7-1)/2+1)&lt;&gt;"Starfsbundið",EG77="",EG$8="",EG$7=""),"",ROUND(EG77/EG$8*EG$7*KVARDI,2))</f>
        <v/>
      </c>
      <c r="EI77" s="39"/>
      <c r="EJ77" s="40" t="str">
        <f aca="false">IF(OR(INDEX(Undirviðmið!$G$6:$G$105,(COLUMN()-7-1)/2+1)&lt;&gt;"Starfsbundið",EI77="",EI$8="",EI$7=""),"",ROUND(EI77/EI$8*EI$7*KVARDI,2))</f>
        <v/>
      </c>
      <c r="EK77" s="39"/>
      <c r="EL77" s="40" t="str">
        <f aca="false">IF(OR(INDEX(Undirviðmið!$G$6:$G$105,(COLUMN()-7-1)/2+1)&lt;&gt;"Starfsbundið",EK77="",EK$8="",EK$7=""),"",ROUND(EK77/EK$8*EK$7*KVARDI,2))</f>
        <v/>
      </c>
      <c r="EM77" s="39"/>
      <c r="EN77" s="40" t="str">
        <f aca="false">IF(OR(INDEX(Undirviðmið!$G$6:$G$105,(COLUMN()-7-1)/2+1)&lt;&gt;"Starfsbundið",EM77="",EM$8="",EM$7=""),"",ROUND(EM77/EM$8*EM$7*KVARDI,2))</f>
        <v/>
      </c>
      <c r="EO77" s="39"/>
      <c r="EP77" s="40" t="str">
        <f aca="false">IF(OR(INDEX(Undirviðmið!$G$6:$G$105,(COLUMN()-7-1)/2+1)&lt;&gt;"Starfsbundið",EO77="",EO$8="",EO$7=""),"",ROUND(EO77/EO$8*EO$7*KVARDI,2))</f>
        <v/>
      </c>
      <c r="EQ77" s="39"/>
      <c r="ER77" s="40" t="str">
        <f aca="false">IF(OR(INDEX(Undirviðmið!$G$6:$G$105,(COLUMN()-7-1)/2+1)&lt;&gt;"Starfsbundið",EQ77="",EQ$8="",EQ$7=""),"",ROUND(EQ77/EQ$8*EQ$7*KVARDI,2))</f>
        <v/>
      </c>
      <c r="ES77" s="39"/>
      <c r="ET77" s="40" t="str">
        <f aca="false">IF(OR(INDEX(Undirviðmið!$G$6:$G$105,(COLUMN()-7-1)/2+1)&lt;&gt;"Starfsbundið",ES77="",ES$8="",ES$7=""),"",ROUND(ES77/ES$8*ES$7*KVARDI,2))</f>
        <v/>
      </c>
      <c r="EU77" s="39"/>
      <c r="EV77" s="40" t="str">
        <f aca="false">IF(OR(INDEX(Undirviðmið!$G$6:$G$105,(COLUMN()-7-1)/2+1)&lt;&gt;"Starfsbundið",EU77="",EU$8="",EU$7=""),"",ROUND(EU77/EU$8*EU$7*KVARDI,2))</f>
        <v/>
      </c>
      <c r="EW77" s="39"/>
      <c r="EX77" s="40" t="str">
        <f aca="false">IF(OR(INDEX(Undirviðmið!$G$6:$G$105,(COLUMN()-7-1)/2+1)&lt;&gt;"Starfsbundið",EW77="",EW$8="",EW$7=""),"",ROUND(EW77/EW$8*EW$7*KVARDI,2))</f>
        <v/>
      </c>
      <c r="EY77" s="39"/>
      <c r="EZ77" s="40" t="str">
        <f aca="false">IF(OR(INDEX(Undirviðmið!$G$6:$G$105,(COLUMN()-7-1)/2+1)&lt;&gt;"Starfsbundið",EY77="",EY$8="",EY$7=""),"",ROUND(EY77/EY$8*EY$7*KVARDI,2))</f>
        <v/>
      </c>
      <c r="FA77" s="39"/>
      <c r="FB77" s="40" t="str">
        <f aca="false">IF(OR(INDEX(Undirviðmið!$G$6:$G$105,(COLUMN()-7-1)/2+1)&lt;&gt;"Starfsbundið",FA77="",FA$8="",FA$7=""),"",ROUND(FA77/FA$8*FA$7*KVARDI,2))</f>
        <v/>
      </c>
      <c r="FC77" s="39"/>
      <c r="FD77" s="40" t="str">
        <f aca="false">IF(OR(INDEX(Undirviðmið!$G$6:$G$105,(COLUMN()-7-1)/2+1)&lt;&gt;"Starfsbundið",FC77="",FC$8="",FC$7=""),"",ROUND(FC77/FC$8*FC$7*KVARDI,2))</f>
        <v/>
      </c>
      <c r="FE77" s="39"/>
      <c r="FF77" s="40" t="str">
        <f aca="false">IF(OR(INDEX(Undirviðmið!$G$6:$G$105,(COLUMN()-7-1)/2+1)&lt;&gt;"Starfsbundið",FE77="",FE$8="",FE$7=""),"",ROUND(FE77/FE$8*FE$7*KVARDI,2))</f>
        <v/>
      </c>
      <c r="FG77" s="39"/>
      <c r="FH77" s="40" t="str">
        <f aca="false">IF(OR(INDEX(Undirviðmið!$G$6:$G$105,(COLUMN()-7-1)/2+1)&lt;&gt;"Starfsbundið",FG77="",FG$8="",FG$7=""),"",ROUND(FG77/FG$8*FG$7*KVARDI,2))</f>
        <v/>
      </c>
      <c r="FI77" s="39"/>
      <c r="FJ77" s="40" t="str">
        <f aca="false">IF(OR(INDEX(Undirviðmið!$G$6:$G$105,(COLUMN()-7-1)/2+1)&lt;&gt;"Starfsbundið",FI77="",FI$8="",FI$7=""),"",ROUND(FI77/FI$8*FI$7*KVARDI,2))</f>
        <v/>
      </c>
      <c r="FK77" s="39"/>
      <c r="FL77" s="40" t="str">
        <f aca="false">IF(OR(INDEX(Undirviðmið!$G$6:$G$105,(COLUMN()-7-1)/2+1)&lt;&gt;"Starfsbundið",FK77="",FK$8="",FK$7=""),"",ROUND(FK77/FK$8*FK$7*KVARDI,2))</f>
        <v/>
      </c>
      <c r="FM77" s="39"/>
      <c r="FN77" s="40" t="str">
        <f aca="false">IF(OR(INDEX(Undirviðmið!$G$6:$G$105,(COLUMN()-7-1)/2+1)&lt;&gt;"Starfsbundið",FM77="",FM$8="",FM$7=""),"",ROUND(FM77/FM$8*FM$7*KVARDI,2))</f>
        <v/>
      </c>
      <c r="FO77" s="39"/>
      <c r="FP77" s="40" t="str">
        <f aca="false">IF(OR(INDEX(Undirviðmið!$G$6:$G$105,(COLUMN()-7-1)/2+1)&lt;&gt;"Starfsbundið",FO77="",FO$8="",FO$7=""),"",ROUND(FO77/FO$8*FO$7*KVARDI,2))</f>
        <v/>
      </c>
      <c r="FQ77" s="39"/>
      <c r="FR77" s="40" t="str">
        <f aca="false">IF(OR(INDEX(Undirviðmið!$G$6:$G$105,(COLUMN()-7-1)/2+1)&lt;&gt;"Starfsbundið",FQ77="",FQ$8="",FQ$7=""),"",ROUND(FQ77/FQ$8*FQ$7*KVARDI,2))</f>
        <v/>
      </c>
      <c r="FS77" s="39"/>
      <c r="FT77" s="40" t="str">
        <f aca="false">IF(OR(INDEX(Undirviðmið!$G$6:$G$105,(COLUMN()-7-1)/2+1)&lt;&gt;"Starfsbundið",FS77="",FS$8="",FS$7=""),"",ROUND(FS77/FS$8*FS$7*KVARDI,2))</f>
        <v/>
      </c>
      <c r="FU77" s="39"/>
      <c r="FV77" s="40" t="str">
        <f aca="false">IF(OR(INDEX(Undirviðmið!$G$6:$G$105,(COLUMN()-7-1)/2+1)&lt;&gt;"Starfsbundið",FU77="",FU$8="",FU$7=""),"",ROUND(FU77/FU$8*FU$7*KVARDI,2))</f>
        <v/>
      </c>
      <c r="FW77" s="39"/>
      <c r="FX77" s="40" t="str">
        <f aca="false">IF(OR(INDEX(Undirviðmið!$G$6:$G$105,(COLUMN()-7-1)/2+1)&lt;&gt;"Starfsbundið",FW77="",FW$8="",FW$7=""),"",ROUND(FW77/FW$8*FW$7*KVARDI,2))</f>
        <v/>
      </c>
      <c r="FY77" s="39"/>
      <c r="FZ77" s="40" t="str">
        <f aca="false">IF(OR(INDEX(Undirviðmið!$G$6:$G$105,(COLUMN()-7-1)/2+1)&lt;&gt;"Starfsbundið",FY77="",FY$8="",FY$7=""),"",ROUND(FY77/FY$8*FY$7*KVARDI,2))</f>
        <v/>
      </c>
      <c r="GA77" s="39"/>
      <c r="GB77" s="40" t="str">
        <f aca="false">IF(OR(INDEX(Undirviðmið!$G$6:$G$105,(COLUMN()-7-1)/2+1)&lt;&gt;"Starfsbundið",GA77="",GA$8="",GA$7=""),"",ROUND(GA77/GA$8*GA$7*KVARDI,2))</f>
        <v/>
      </c>
      <c r="GC77" s="39"/>
      <c r="GD77" s="40" t="str">
        <f aca="false">IF(OR(INDEX(Undirviðmið!$G$6:$G$105,(COLUMN()-7-1)/2+1)&lt;&gt;"Starfsbundið",GC77="",GC$8="",GC$7=""),"",ROUND(GC77/GC$8*GC$7*KVARDI,2))</f>
        <v/>
      </c>
      <c r="GE77" s="39"/>
      <c r="GF77" s="40" t="str">
        <f aca="false">IF(OR(INDEX(Undirviðmið!$G$6:$G$105,(COLUMN()-7-1)/2+1)&lt;&gt;"Starfsbundið",GE77="",GE$8="",GE$7=""),"",ROUND(GE77/GE$8*GE$7*KVARDI,2))</f>
        <v/>
      </c>
      <c r="GG77" s="39"/>
      <c r="GH77" s="40" t="str">
        <f aca="false">IF(OR(INDEX(Undirviðmið!$G$6:$G$105,(COLUMN()-7-1)/2+1)&lt;&gt;"Starfsbundið",GG77="",GG$8="",GG$7=""),"",ROUND(GG77/GG$8*GG$7*KVARDI,2))</f>
        <v/>
      </c>
      <c r="GI77" s="39"/>
      <c r="GJ77" s="40" t="str">
        <f aca="false">IF(OR(INDEX(Undirviðmið!$G$6:$G$105,(COLUMN()-7-1)/2+1)&lt;&gt;"Starfsbundið",GI77="",GI$8="",GI$7=""),"",ROUND(GI77/GI$8*GI$7*KVARDI,2))</f>
        <v/>
      </c>
      <c r="GK77" s="39"/>
      <c r="GL77" s="40" t="str">
        <f aca="false">IF(OR(INDEX(Undirviðmið!$G$6:$G$105,(COLUMN()-7-1)/2+1)&lt;&gt;"Starfsbundið",GK77="",GK$8="",GK$7=""),"",ROUND(GK77/GK$8*GK$7*KVARDI,2))</f>
        <v/>
      </c>
      <c r="GM77" s="39"/>
      <c r="GN77" s="40" t="str">
        <f aca="false">IF(OR(INDEX(Undirviðmið!$G$6:$G$105,(COLUMN()-7-1)/2+1)&lt;&gt;"Starfsbundið",GM77="",GM$8="",GM$7=""),"",ROUND(GM77/GM$8*GM$7*KVARDI,2))</f>
        <v/>
      </c>
      <c r="GO77" s="39"/>
      <c r="GP77" s="40" t="str">
        <f aca="false">IF(OR(INDEX(Undirviðmið!$G$6:$G$105,(COLUMN()-7-1)/2+1)&lt;&gt;"Starfsbundið",GO77="",GO$8="",GO$7=""),"",ROUND(GO77/GO$8*GO$7*KVARDI,2))</f>
        <v/>
      </c>
      <c r="GQ77" s="39"/>
      <c r="GR77" s="40" t="str">
        <f aca="false">IF(OR(INDEX(Undirviðmið!$G$6:$G$105,(COLUMN()-7-1)/2+1)&lt;&gt;"Starfsbundið",GQ77="",GQ$8="",GQ$7=""),"",ROUND(GQ77/GQ$8*GQ$7*KVARDI,2))</f>
        <v/>
      </c>
      <c r="GS77" s="39"/>
      <c r="GT77" s="40" t="str">
        <f aca="false">IF(OR(INDEX(Undirviðmið!$G$6:$G$105,(COLUMN()-7-1)/2+1)&lt;&gt;"Starfsbundið",GS77="",GS$8="",GS$7=""),"",ROUND(GS77/GS$8*GS$7*KVARDI,2))</f>
        <v/>
      </c>
      <c r="GU77" s="39"/>
      <c r="GV77" s="40" t="str">
        <f aca="false">IF(OR(INDEX(Undirviðmið!$G$6:$G$105,(COLUMN()-7-1)/2+1)&lt;&gt;"Starfsbundið",GU77="",GU$8="",GU$7=""),"",ROUND(GU77/GU$8*GU$7*KVARDI,2))</f>
        <v/>
      </c>
      <c r="GW77" s="39"/>
      <c r="GX77" s="40" t="str">
        <f aca="false">IF(OR(INDEX(Undirviðmið!$G$6:$G$105,(COLUMN()-7-1)/2+1)&lt;&gt;"Starfsbundið",GW77="",GW$8="",GW$7=""),"",ROUND(GW77/GW$8*GW$7*KVARDI,2))</f>
        <v/>
      </c>
      <c r="GZ77" s="20"/>
    </row>
    <row r="78" customFormat="false" ht="15" hidden="true" customHeight="true" outlineLevel="1" collapsed="false">
      <c r="B78" s="37" t="str">
        <f aca="false" t="array" ref="B78:B78">IFERROR(INDEX(Starfsmenn!$C$6:$C$10005,MATCH(0,COUNTIF($B$11:B77,Starfsmenn!$C$6:$C$10005)+(Starfsmenn!$C$6:$C$10005=""),0)),"")</f>
        <v/>
      </c>
      <c r="C78" s="38" t="n">
        <f aca="false">IFERROR(SUMIF($G$10:$GX$10,"Stig",$G78:$GX78),0)</f>
        <v>0</v>
      </c>
      <c r="G78" s="39"/>
      <c r="H78" s="40" t="str">
        <f aca="false">IF(OR(INDEX(Undirviðmið!$G$6:$G$105,(COLUMN()-7-1)/2+1)&lt;&gt;"Starfsbundið",G78="",G$8="",G$7=""),"",ROUND(G78/G$8*G$7*KVARDI,2))</f>
        <v/>
      </c>
      <c r="I78" s="39"/>
      <c r="J78" s="40" t="str">
        <f aca="false">IF(OR(INDEX(Undirviðmið!$G$6:$G$105,(COLUMN()-7-1)/2+1)&lt;&gt;"Starfsbundið",I78="",I$8="",I$7=""),"",ROUND(I78/I$8*I$7*KVARDI,2))</f>
        <v/>
      </c>
      <c r="K78" s="39"/>
      <c r="L78" s="40" t="str">
        <f aca="false">IF(OR(INDEX(Undirviðmið!$G$6:$G$105,(COLUMN()-7-1)/2+1)&lt;&gt;"Starfsbundið",K78="",K$8="",K$7=""),"",ROUND(K78/K$8*K$7*KVARDI,2))</f>
        <v/>
      </c>
      <c r="M78" s="39"/>
      <c r="N78" s="40" t="str">
        <f aca="false">IF(OR(INDEX(Undirviðmið!$G$6:$G$105,(COLUMN()-7-1)/2+1)&lt;&gt;"Starfsbundið",M78="",M$8="",M$7=""),"",ROUND(M78/M$8*M$7*KVARDI,2))</f>
        <v/>
      </c>
      <c r="O78" s="39"/>
      <c r="P78" s="40" t="str">
        <f aca="false">IF(OR(INDEX(Undirviðmið!$G$6:$G$105,(COLUMN()-7-1)/2+1)&lt;&gt;"Starfsbundið",O78="",O$8="",O$7=""),"",ROUND(O78/O$8*O$7*KVARDI,2))</f>
        <v/>
      </c>
      <c r="Q78" s="39"/>
      <c r="R78" s="40" t="str">
        <f aca="false">IF(OR(INDEX(Undirviðmið!$G$6:$G$105,(COLUMN()-7-1)/2+1)&lt;&gt;"Starfsbundið",Q78="",Q$8="",Q$7=""),"",ROUND(Q78/Q$8*Q$7*KVARDI,2))</f>
        <v/>
      </c>
      <c r="S78" s="39"/>
      <c r="T78" s="40" t="str">
        <f aca="false">IF(OR(INDEX(Undirviðmið!$G$6:$G$105,(COLUMN()-7-1)/2+1)&lt;&gt;"Starfsbundið",S78="",S$8="",S$7=""),"",ROUND(S78/S$8*S$7*KVARDI,2))</f>
        <v/>
      </c>
      <c r="U78" s="39"/>
      <c r="V78" s="40" t="str">
        <f aca="false">IF(OR(INDEX(Undirviðmið!$G$6:$G$105,(COLUMN()-7-1)/2+1)&lt;&gt;"Starfsbundið",U78="",U$8="",U$7=""),"",ROUND(U78/U$8*U$7*KVARDI,2))</f>
        <v/>
      </c>
      <c r="W78" s="39"/>
      <c r="X78" s="40" t="str">
        <f aca="false">IF(OR(INDEX(Undirviðmið!$G$6:$G$105,(COLUMN()-7-1)/2+1)&lt;&gt;"Starfsbundið",W78="",W$8="",W$7=""),"",ROUND(W78/W$8*W$7*KVARDI,2))</f>
        <v/>
      </c>
      <c r="Y78" s="39"/>
      <c r="Z78" s="40" t="str">
        <f aca="false">IF(OR(INDEX(Undirviðmið!$G$6:$G$105,(COLUMN()-7-1)/2+1)&lt;&gt;"Starfsbundið",Y78="",Y$8="",Y$7=""),"",ROUND(Y78/Y$8*Y$7*KVARDI,2))</f>
        <v/>
      </c>
      <c r="AA78" s="39"/>
      <c r="AB78" s="40" t="str">
        <f aca="false">IF(OR(INDEX(Undirviðmið!$G$6:$G$105,(COLUMN()-7-1)/2+1)&lt;&gt;"Starfsbundið",AA78="",AA$8="",AA$7=""),"",ROUND(AA78/AA$8*AA$7*KVARDI,2))</f>
        <v/>
      </c>
      <c r="AC78" s="39"/>
      <c r="AD78" s="40" t="str">
        <f aca="false">IF(OR(INDEX(Undirviðmið!$G$6:$G$105,(COLUMN()-7-1)/2+1)&lt;&gt;"Starfsbundið",AC78="",AC$8="",AC$7=""),"",ROUND(AC78/AC$8*AC$7*KVARDI,2))</f>
        <v/>
      </c>
      <c r="AE78" s="39"/>
      <c r="AF78" s="40" t="str">
        <f aca="false">IF(OR(INDEX(Undirviðmið!$G$6:$G$105,(COLUMN()-7-1)/2+1)&lt;&gt;"Starfsbundið",AE78="",AE$8="",AE$7=""),"",ROUND(AE78/AE$8*AE$7*KVARDI,2))</f>
        <v/>
      </c>
      <c r="AG78" s="39"/>
      <c r="AH78" s="40" t="str">
        <f aca="false">IF(OR(INDEX(Undirviðmið!$G$6:$G$105,(COLUMN()-7-1)/2+1)&lt;&gt;"Starfsbundið",AG78="",AG$8="",AG$7=""),"",ROUND(AG78/AG$8*AG$7*KVARDI,2))</f>
        <v/>
      </c>
      <c r="AI78" s="39"/>
      <c r="AJ78" s="40" t="str">
        <f aca="false">IF(OR(INDEX(Undirviðmið!$G$6:$G$105,(COLUMN()-7-1)/2+1)&lt;&gt;"Starfsbundið",AI78="",AI$8="",AI$7=""),"",ROUND(AI78/AI$8*AI$7*KVARDI,2))</f>
        <v/>
      </c>
      <c r="AK78" s="39"/>
      <c r="AL78" s="40" t="str">
        <f aca="false">IF(OR(INDEX(Undirviðmið!$G$6:$G$105,(COLUMN()-7-1)/2+1)&lt;&gt;"Starfsbundið",AK78="",AK$8="",AK$7=""),"",ROUND(AK78/AK$8*AK$7*KVARDI,2))</f>
        <v/>
      </c>
      <c r="AM78" s="39"/>
      <c r="AN78" s="40" t="str">
        <f aca="false">IF(OR(INDEX(Undirviðmið!$G$6:$G$105,(COLUMN()-7-1)/2+1)&lt;&gt;"Starfsbundið",AM78="",AM$8="",AM$7=""),"",ROUND(AM78/AM$8*AM$7*KVARDI,2))</f>
        <v/>
      </c>
      <c r="AO78" s="39"/>
      <c r="AP78" s="40" t="str">
        <f aca="false">IF(OR(INDEX(Undirviðmið!$G$6:$G$105,(COLUMN()-7-1)/2+1)&lt;&gt;"Starfsbundið",AO78="",AO$8="",AO$7=""),"",ROUND(AO78/AO$8*AO$7*KVARDI,2))</f>
        <v/>
      </c>
      <c r="AQ78" s="39"/>
      <c r="AR78" s="40" t="str">
        <f aca="false">IF(OR(INDEX(Undirviðmið!$G$6:$G$105,(COLUMN()-7-1)/2+1)&lt;&gt;"Starfsbundið",AQ78="",AQ$8="",AQ$7=""),"",ROUND(AQ78/AQ$8*AQ$7*KVARDI,2))</f>
        <v/>
      </c>
      <c r="AS78" s="39"/>
      <c r="AT78" s="40" t="str">
        <f aca="false">IF(OR(INDEX(Undirviðmið!$G$6:$G$105,(COLUMN()-7-1)/2+1)&lt;&gt;"Starfsbundið",AS78="",AS$8="",AS$7=""),"",ROUND(AS78/AS$8*AS$7*KVARDI,2))</f>
        <v/>
      </c>
      <c r="AU78" s="39"/>
      <c r="AV78" s="40" t="str">
        <f aca="false">IF(OR(INDEX(Undirviðmið!$G$6:$G$105,(COLUMN()-7-1)/2+1)&lt;&gt;"Starfsbundið",AU78="",AU$8="",AU$7=""),"",ROUND(AU78/AU$8*AU$7*KVARDI,2))</f>
        <v/>
      </c>
      <c r="AW78" s="39"/>
      <c r="AX78" s="40" t="str">
        <f aca="false">IF(OR(INDEX(Undirviðmið!$G$6:$G$105,(COLUMN()-7-1)/2+1)&lt;&gt;"Starfsbundið",AW78="",AW$8="",AW$7=""),"",ROUND(AW78/AW$8*AW$7*KVARDI,2))</f>
        <v/>
      </c>
      <c r="AY78" s="39"/>
      <c r="AZ78" s="40" t="str">
        <f aca="false">IF(OR(INDEX(Undirviðmið!$G$6:$G$105,(COLUMN()-7-1)/2+1)&lt;&gt;"Starfsbundið",AY78="",AY$8="",AY$7=""),"",ROUND(AY78/AY$8*AY$7*KVARDI,2))</f>
        <v/>
      </c>
      <c r="BA78" s="39"/>
      <c r="BB78" s="40" t="str">
        <f aca="false">IF(OR(INDEX(Undirviðmið!$G$6:$G$105,(COLUMN()-7-1)/2+1)&lt;&gt;"Starfsbundið",BA78="",BA$8="",BA$7=""),"",ROUND(BA78/BA$8*BA$7*KVARDI,2))</f>
        <v/>
      </c>
      <c r="BC78" s="39"/>
      <c r="BD78" s="40" t="str">
        <f aca="false">IF(OR(INDEX(Undirviðmið!$G$6:$G$105,(COLUMN()-7-1)/2+1)&lt;&gt;"Starfsbundið",BC78="",BC$8="",BC$7=""),"",ROUND(BC78/BC$8*BC$7*KVARDI,2))</f>
        <v/>
      </c>
      <c r="BE78" s="39"/>
      <c r="BF78" s="40" t="str">
        <f aca="false">IF(OR(INDEX(Undirviðmið!$G$6:$G$105,(COLUMN()-7-1)/2+1)&lt;&gt;"Starfsbundið",BE78="",BE$8="",BE$7=""),"",ROUND(BE78/BE$8*BE$7*KVARDI,2))</f>
        <v/>
      </c>
      <c r="BG78" s="39"/>
      <c r="BH78" s="40" t="str">
        <f aca="false">IF(OR(INDEX(Undirviðmið!$G$6:$G$105,(COLUMN()-7-1)/2+1)&lt;&gt;"Starfsbundið",BG78="",BG$8="",BG$7=""),"",ROUND(BG78/BG$8*BG$7*KVARDI,2))</f>
        <v/>
      </c>
      <c r="BI78" s="39"/>
      <c r="BJ78" s="40" t="str">
        <f aca="false">IF(OR(INDEX(Undirviðmið!$G$6:$G$105,(COLUMN()-7-1)/2+1)&lt;&gt;"Starfsbundið",BI78="",BI$8="",BI$7=""),"",ROUND(BI78/BI$8*BI$7*KVARDI,2))</f>
        <v/>
      </c>
      <c r="BK78" s="39"/>
      <c r="BL78" s="40" t="str">
        <f aca="false">IF(OR(INDEX(Undirviðmið!$G$6:$G$105,(COLUMN()-7-1)/2+1)&lt;&gt;"Starfsbundið",BK78="",BK$8="",BK$7=""),"",ROUND(BK78/BK$8*BK$7*KVARDI,2))</f>
        <v/>
      </c>
      <c r="BM78" s="39"/>
      <c r="BN78" s="40" t="str">
        <f aca="false">IF(OR(INDEX(Undirviðmið!$G$6:$G$105,(COLUMN()-7-1)/2+1)&lt;&gt;"Starfsbundið",BM78="",BM$8="",BM$7=""),"",ROUND(BM78/BM$8*BM$7*KVARDI,2))</f>
        <v/>
      </c>
      <c r="BO78" s="39"/>
      <c r="BP78" s="40" t="str">
        <f aca="false">IF(OR(INDEX(Undirviðmið!$G$6:$G$105,(COLUMN()-7-1)/2+1)&lt;&gt;"Starfsbundið",BO78="",BO$8="",BO$7=""),"",ROUND(BO78/BO$8*BO$7*KVARDI,2))</f>
        <v/>
      </c>
      <c r="BQ78" s="39"/>
      <c r="BR78" s="40" t="str">
        <f aca="false">IF(OR(INDEX(Undirviðmið!$G$6:$G$105,(COLUMN()-7-1)/2+1)&lt;&gt;"Starfsbundið",BQ78="",BQ$8="",BQ$7=""),"",ROUND(BQ78/BQ$8*BQ$7*KVARDI,2))</f>
        <v/>
      </c>
      <c r="BS78" s="39"/>
      <c r="BT78" s="40" t="str">
        <f aca="false">IF(OR(INDEX(Undirviðmið!$G$6:$G$105,(COLUMN()-7-1)/2+1)&lt;&gt;"Starfsbundið",BS78="",BS$8="",BS$7=""),"",ROUND(BS78/BS$8*BS$7*KVARDI,2))</f>
        <v/>
      </c>
      <c r="BU78" s="39"/>
      <c r="BV78" s="40" t="str">
        <f aca="false">IF(OR(INDEX(Undirviðmið!$G$6:$G$105,(COLUMN()-7-1)/2+1)&lt;&gt;"Starfsbundið",BU78="",BU$8="",BU$7=""),"",ROUND(BU78/BU$8*BU$7*KVARDI,2))</f>
        <v/>
      </c>
      <c r="BW78" s="39"/>
      <c r="BX78" s="40" t="str">
        <f aca="false">IF(OR(INDEX(Undirviðmið!$G$6:$G$105,(COLUMN()-7-1)/2+1)&lt;&gt;"Starfsbundið",BW78="",BW$8="",BW$7=""),"",ROUND(BW78/BW$8*BW$7*KVARDI,2))</f>
        <v/>
      </c>
      <c r="BY78" s="39"/>
      <c r="BZ78" s="40" t="str">
        <f aca="false">IF(OR(INDEX(Undirviðmið!$G$6:$G$105,(COLUMN()-7-1)/2+1)&lt;&gt;"Starfsbundið",BY78="",BY$8="",BY$7=""),"",ROUND(BY78/BY$8*BY$7*KVARDI,2))</f>
        <v/>
      </c>
      <c r="CA78" s="39"/>
      <c r="CB78" s="40" t="str">
        <f aca="false">IF(OR(INDEX(Undirviðmið!$G$6:$G$105,(COLUMN()-7-1)/2+1)&lt;&gt;"Starfsbundið",CA78="",CA$8="",CA$7=""),"",ROUND(CA78/CA$8*CA$7*KVARDI,2))</f>
        <v/>
      </c>
      <c r="CC78" s="39"/>
      <c r="CD78" s="40" t="str">
        <f aca="false">IF(OR(INDEX(Undirviðmið!$G$6:$G$105,(COLUMN()-7-1)/2+1)&lt;&gt;"Starfsbundið",CC78="",CC$8="",CC$7=""),"",ROUND(CC78/CC$8*CC$7*KVARDI,2))</f>
        <v/>
      </c>
      <c r="CE78" s="39"/>
      <c r="CF78" s="40" t="str">
        <f aca="false">IF(OR(INDEX(Undirviðmið!$G$6:$G$105,(COLUMN()-7-1)/2+1)&lt;&gt;"Starfsbundið",CE78="",CE$8="",CE$7=""),"",ROUND(CE78/CE$8*CE$7*KVARDI,2))</f>
        <v/>
      </c>
      <c r="CG78" s="39"/>
      <c r="CH78" s="40" t="str">
        <f aca="false">IF(OR(INDEX(Undirviðmið!$G$6:$G$105,(COLUMN()-7-1)/2+1)&lt;&gt;"Starfsbundið",CG78="",CG$8="",CG$7=""),"",ROUND(CG78/CG$8*CG$7*KVARDI,2))</f>
        <v/>
      </c>
      <c r="CI78" s="39"/>
      <c r="CJ78" s="40" t="str">
        <f aca="false">IF(OR(INDEX(Undirviðmið!$G$6:$G$105,(COLUMN()-7-1)/2+1)&lt;&gt;"Starfsbundið",CI78="",CI$8="",CI$7=""),"",ROUND(CI78/CI$8*CI$7*KVARDI,2))</f>
        <v/>
      </c>
      <c r="CK78" s="39"/>
      <c r="CL78" s="40" t="str">
        <f aca="false">IF(OR(INDEX(Undirviðmið!$G$6:$G$105,(COLUMN()-7-1)/2+1)&lt;&gt;"Starfsbundið",CK78="",CK$8="",CK$7=""),"",ROUND(CK78/CK$8*CK$7*KVARDI,2))</f>
        <v/>
      </c>
      <c r="CM78" s="39"/>
      <c r="CN78" s="40" t="str">
        <f aca="false">IF(OR(INDEX(Undirviðmið!$G$6:$G$105,(COLUMN()-7-1)/2+1)&lt;&gt;"Starfsbundið",CM78="",CM$8="",CM$7=""),"",ROUND(CM78/CM$8*CM$7*KVARDI,2))</f>
        <v/>
      </c>
      <c r="CO78" s="39"/>
      <c r="CP78" s="40" t="str">
        <f aca="false">IF(OR(INDEX(Undirviðmið!$G$6:$G$105,(COLUMN()-7-1)/2+1)&lt;&gt;"Starfsbundið",CO78="",CO$8="",CO$7=""),"",ROUND(CO78/CO$8*CO$7*KVARDI,2))</f>
        <v/>
      </c>
      <c r="CQ78" s="39"/>
      <c r="CR78" s="40" t="str">
        <f aca="false">IF(OR(INDEX(Undirviðmið!$G$6:$G$105,(COLUMN()-7-1)/2+1)&lt;&gt;"Starfsbundið",CQ78="",CQ$8="",CQ$7=""),"",ROUND(CQ78/CQ$8*CQ$7*KVARDI,2))</f>
        <v/>
      </c>
      <c r="CS78" s="39"/>
      <c r="CT78" s="40" t="str">
        <f aca="false">IF(OR(INDEX(Undirviðmið!$G$6:$G$105,(COLUMN()-7-1)/2+1)&lt;&gt;"Starfsbundið",CS78="",CS$8="",CS$7=""),"",ROUND(CS78/CS$8*CS$7*KVARDI,2))</f>
        <v/>
      </c>
      <c r="CU78" s="39"/>
      <c r="CV78" s="40" t="str">
        <f aca="false">IF(OR(INDEX(Undirviðmið!$G$6:$G$105,(COLUMN()-7-1)/2+1)&lt;&gt;"Starfsbundið",CU78="",CU$8="",CU$7=""),"",ROUND(CU78/CU$8*CU$7*KVARDI,2))</f>
        <v/>
      </c>
      <c r="CW78" s="39"/>
      <c r="CX78" s="40" t="str">
        <f aca="false">IF(OR(INDEX(Undirviðmið!$G$6:$G$105,(COLUMN()-7-1)/2+1)&lt;&gt;"Starfsbundið",CW78="",CW$8="",CW$7=""),"",ROUND(CW78/CW$8*CW$7*KVARDI,2))</f>
        <v/>
      </c>
      <c r="CY78" s="39"/>
      <c r="CZ78" s="40" t="str">
        <f aca="false">IF(OR(INDEX(Undirviðmið!$G$6:$G$105,(COLUMN()-7-1)/2+1)&lt;&gt;"Starfsbundið",CY78="",CY$8="",CY$7=""),"",ROUND(CY78/CY$8*CY$7*KVARDI,2))</f>
        <v/>
      </c>
      <c r="DA78" s="39"/>
      <c r="DB78" s="40" t="str">
        <f aca="false">IF(OR(INDEX(Undirviðmið!$G$6:$G$105,(COLUMN()-7-1)/2+1)&lt;&gt;"Starfsbundið",DA78="",DA$8="",DA$7=""),"",ROUND(DA78/DA$8*DA$7*KVARDI,2))</f>
        <v/>
      </c>
      <c r="DC78" s="39"/>
      <c r="DD78" s="40" t="str">
        <f aca="false">IF(OR(INDEX(Undirviðmið!$G$6:$G$105,(COLUMN()-7-1)/2+1)&lt;&gt;"Starfsbundið",DC78="",DC$8="",DC$7=""),"",ROUND(DC78/DC$8*DC$7*KVARDI,2))</f>
        <v/>
      </c>
      <c r="DE78" s="39"/>
      <c r="DF78" s="40" t="str">
        <f aca="false">IF(OR(INDEX(Undirviðmið!$G$6:$G$105,(COLUMN()-7-1)/2+1)&lt;&gt;"Starfsbundið",DE78="",DE$8="",DE$7=""),"",ROUND(DE78/DE$8*DE$7*KVARDI,2))</f>
        <v/>
      </c>
      <c r="DG78" s="39"/>
      <c r="DH78" s="40" t="str">
        <f aca="false">IF(OR(INDEX(Undirviðmið!$G$6:$G$105,(COLUMN()-7-1)/2+1)&lt;&gt;"Starfsbundið",DG78="",DG$8="",DG$7=""),"",ROUND(DG78/DG$8*DG$7*KVARDI,2))</f>
        <v/>
      </c>
      <c r="DI78" s="39"/>
      <c r="DJ78" s="40" t="str">
        <f aca="false">IF(OR(INDEX(Undirviðmið!$G$6:$G$105,(COLUMN()-7-1)/2+1)&lt;&gt;"Starfsbundið",DI78="",DI$8="",DI$7=""),"",ROUND(DI78/DI$8*DI$7*KVARDI,2))</f>
        <v/>
      </c>
      <c r="DK78" s="39"/>
      <c r="DL78" s="40" t="str">
        <f aca="false">IF(OR(INDEX(Undirviðmið!$G$6:$G$105,(COLUMN()-7-1)/2+1)&lt;&gt;"Starfsbundið",DK78="",DK$8="",DK$7=""),"",ROUND(DK78/DK$8*DK$7*KVARDI,2))</f>
        <v/>
      </c>
      <c r="DM78" s="39"/>
      <c r="DN78" s="40" t="str">
        <f aca="false">IF(OR(INDEX(Undirviðmið!$G$6:$G$105,(COLUMN()-7-1)/2+1)&lt;&gt;"Starfsbundið",DM78="",DM$8="",DM$7=""),"",ROUND(DM78/DM$8*DM$7*KVARDI,2))</f>
        <v/>
      </c>
      <c r="DO78" s="39"/>
      <c r="DP78" s="40" t="str">
        <f aca="false">IF(OR(INDEX(Undirviðmið!$G$6:$G$105,(COLUMN()-7-1)/2+1)&lt;&gt;"Starfsbundið",DO78="",DO$8="",DO$7=""),"",ROUND(DO78/DO$8*DO$7*KVARDI,2))</f>
        <v/>
      </c>
      <c r="DQ78" s="39"/>
      <c r="DR78" s="40" t="str">
        <f aca="false">IF(OR(INDEX(Undirviðmið!$G$6:$G$105,(COLUMN()-7-1)/2+1)&lt;&gt;"Starfsbundið",DQ78="",DQ$8="",DQ$7=""),"",ROUND(DQ78/DQ$8*DQ$7*KVARDI,2))</f>
        <v/>
      </c>
      <c r="DS78" s="39"/>
      <c r="DT78" s="40" t="str">
        <f aca="false">IF(OR(INDEX(Undirviðmið!$G$6:$G$105,(COLUMN()-7-1)/2+1)&lt;&gt;"Starfsbundið",DS78="",DS$8="",DS$7=""),"",ROUND(DS78/DS$8*DS$7*KVARDI,2))</f>
        <v/>
      </c>
      <c r="DU78" s="39"/>
      <c r="DV78" s="40" t="str">
        <f aca="false">IF(OR(INDEX(Undirviðmið!$G$6:$G$105,(COLUMN()-7-1)/2+1)&lt;&gt;"Starfsbundið",DU78="",DU$8="",DU$7=""),"",ROUND(DU78/DU$8*DU$7*KVARDI,2))</f>
        <v/>
      </c>
      <c r="DW78" s="39"/>
      <c r="DX78" s="40" t="str">
        <f aca="false">IF(OR(INDEX(Undirviðmið!$G$6:$G$105,(COLUMN()-7-1)/2+1)&lt;&gt;"Starfsbundið",DW78="",DW$8="",DW$7=""),"",ROUND(DW78/DW$8*DW$7*KVARDI,2))</f>
        <v/>
      </c>
      <c r="DY78" s="39"/>
      <c r="DZ78" s="40" t="str">
        <f aca="false">IF(OR(INDEX(Undirviðmið!$G$6:$G$105,(COLUMN()-7-1)/2+1)&lt;&gt;"Starfsbundið",DY78="",DY$8="",DY$7=""),"",ROUND(DY78/DY$8*DY$7*KVARDI,2))</f>
        <v/>
      </c>
      <c r="EA78" s="39"/>
      <c r="EB78" s="40" t="str">
        <f aca="false">IF(OR(INDEX(Undirviðmið!$G$6:$G$105,(COLUMN()-7-1)/2+1)&lt;&gt;"Starfsbundið",EA78="",EA$8="",EA$7=""),"",ROUND(EA78/EA$8*EA$7*KVARDI,2))</f>
        <v/>
      </c>
      <c r="EC78" s="39"/>
      <c r="ED78" s="40" t="str">
        <f aca="false">IF(OR(INDEX(Undirviðmið!$G$6:$G$105,(COLUMN()-7-1)/2+1)&lt;&gt;"Starfsbundið",EC78="",EC$8="",EC$7=""),"",ROUND(EC78/EC$8*EC$7*KVARDI,2))</f>
        <v/>
      </c>
      <c r="EE78" s="39"/>
      <c r="EF78" s="40" t="str">
        <f aca="false">IF(OR(INDEX(Undirviðmið!$G$6:$G$105,(COLUMN()-7-1)/2+1)&lt;&gt;"Starfsbundið",EE78="",EE$8="",EE$7=""),"",ROUND(EE78/EE$8*EE$7*KVARDI,2))</f>
        <v/>
      </c>
      <c r="EG78" s="39"/>
      <c r="EH78" s="40" t="str">
        <f aca="false">IF(OR(INDEX(Undirviðmið!$G$6:$G$105,(COLUMN()-7-1)/2+1)&lt;&gt;"Starfsbundið",EG78="",EG$8="",EG$7=""),"",ROUND(EG78/EG$8*EG$7*KVARDI,2))</f>
        <v/>
      </c>
      <c r="EI78" s="39"/>
      <c r="EJ78" s="40" t="str">
        <f aca="false">IF(OR(INDEX(Undirviðmið!$G$6:$G$105,(COLUMN()-7-1)/2+1)&lt;&gt;"Starfsbundið",EI78="",EI$8="",EI$7=""),"",ROUND(EI78/EI$8*EI$7*KVARDI,2))</f>
        <v/>
      </c>
      <c r="EK78" s="39"/>
      <c r="EL78" s="40" t="str">
        <f aca="false">IF(OR(INDEX(Undirviðmið!$G$6:$G$105,(COLUMN()-7-1)/2+1)&lt;&gt;"Starfsbundið",EK78="",EK$8="",EK$7=""),"",ROUND(EK78/EK$8*EK$7*KVARDI,2))</f>
        <v/>
      </c>
      <c r="EM78" s="39"/>
      <c r="EN78" s="40" t="str">
        <f aca="false">IF(OR(INDEX(Undirviðmið!$G$6:$G$105,(COLUMN()-7-1)/2+1)&lt;&gt;"Starfsbundið",EM78="",EM$8="",EM$7=""),"",ROUND(EM78/EM$8*EM$7*KVARDI,2))</f>
        <v/>
      </c>
      <c r="EO78" s="39"/>
      <c r="EP78" s="40" t="str">
        <f aca="false">IF(OR(INDEX(Undirviðmið!$G$6:$G$105,(COLUMN()-7-1)/2+1)&lt;&gt;"Starfsbundið",EO78="",EO$8="",EO$7=""),"",ROUND(EO78/EO$8*EO$7*KVARDI,2))</f>
        <v/>
      </c>
      <c r="EQ78" s="39"/>
      <c r="ER78" s="40" t="str">
        <f aca="false">IF(OR(INDEX(Undirviðmið!$G$6:$G$105,(COLUMN()-7-1)/2+1)&lt;&gt;"Starfsbundið",EQ78="",EQ$8="",EQ$7=""),"",ROUND(EQ78/EQ$8*EQ$7*KVARDI,2))</f>
        <v/>
      </c>
      <c r="ES78" s="39"/>
      <c r="ET78" s="40" t="str">
        <f aca="false">IF(OR(INDEX(Undirviðmið!$G$6:$G$105,(COLUMN()-7-1)/2+1)&lt;&gt;"Starfsbundið",ES78="",ES$8="",ES$7=""),"",ROUND(ES78/ES$8*ES$7*KVARDI,2))</f>
        <v/>
      </c>
      <c r="EU78" s="39"/>
      <c r="EV78" s="40" t="str">
        <f aca="false">IF(OR(INDEX(Undirviðmið!$G$6:$G$105,(COLUMN()-7-1)/2+1)&lt;&gt;"Starfsbundið",EU78="",EU$8="",EU$7=""),"",ROUND(EU78/EU$8*EU$7*KVARDI,2))</f>
        <v/>
      </c>
      <c r="EW78" s="39"/>
      <c r="EX78" s="40" t="str">
        <f aca="false">IF(OR(INDEX(Undirviðmið!$G$6:$G$105,(COLUMN()-7-1)/2+1)&lt;&gt;"Starfsbundið",EW78="",EW$8="",EW$7=""),"",ROUND(EW78/EW$8*EW$7*KVARDI,2))</f>
        <v/>
      </c>
      <c r="EY78" s="39"/>
      <c r="EZ78" s="40" t="str">
        <f aca="false">IF(OR(INDEX(Undirviðmið!$G$6:$G$105,(COLUMN()-7-1)/2+1)&lt;&gt;"Starfsbundið",EY78="",EY$8="",EY$7=""),"",ROUND(EY78/EY$8*EY$7*KVARDI,2))</f>
        <v/>
      </c>
      <c r="FA78" s="39"/>
      <c r="FB78" s="40" t="str">
        <f aca="false">IF(OR(INDEX(Undirviðmið!$G$6:$G$105,(COLUMN()-7-1)/2+1)&lt;&gt;"Starfsbundið",FA78="",FA$8="",FA$7=""),"",ROUND(FA78/FA$8*FA$7*KVARDI,2))</f>
        <v/>
      </c>
      <c r="FC78" s="39"/>
      <c r="FD78" s="40" t="str">
        <f aca="false">IF(OR(INDEX(Undirviðmið!$G$6:$G$105,(COLUMN()-7-1)/2+1)&lt;&gt;"Starfsbundið",FC78="",FC$8="",FC$7=""),"",ROUND(FC78/FC$8*FC$7*KVARDI,2))</f>
        <v/>
      </c>
      <c r="FE78" s="39"/>
      <c r="FF78" s="40" t="str">
        <f aca="false">IF(OR(INDEX(Undirviðmið!$G$6:$G$105,(COLUMN()-7-1)/2+1)&lt;&gt;"Starfsbundið",FE78="",FE$8="",FE$7=""),"",ROUND(FE78/FE$8*FE$7*KVARDI,2))</f>
        <v/>
      </c>
      <c r="FG78" s="39"/>
      <c r="FH78" s="40" t="str">
        <f aca="false">IF(OR(INDEX(Undirviðmið!$G$6:$G$105,(COLUMN()-7-1)/2+1)&lt;&gt;"Starfsbundið",FG78="",FG$8="",FG$7=""),"",ROUND(FG78/FG$8*FG$7*KVARDI,2))</f>
        <v/>
      </c>
      <c r="FI78" s="39"/>
      <c r="FJ78" s="40" t="str">
        <f aca="false">IF(OR(INDEX(Undirviðmið!$G$6:$G$105,(COLUMN()-7-1)/2+1)&lt;&gt;"Starfsbundið",FI78="",FI$8="",FI$7=""),"",ROUND(FI78/FI$8*FI$7*KVARDI,2))</f>
        <v/>
      </c>
      <c r="FK78" s="39"/>
      <c r="FL78" s="40" t="str">
        <f aca="false">IF(OR(INDEX(Undirviðmið!$G$6:$G$105,(COLUMN()-7-1)/2+1)&lt;&gt;"Starfsbundið",FK78="",FK$8="",FK$7=""),"",ROUND(FK78/FK$8*FK$7*KVARDI,2))</f>
        <v/>
      </c>
      <c r="FM78" s="39"/>
      <c r="FN78" s="40" t="str">
        <f aca="false">IF(OR(INDEX(Undirviðmið!$G$6:$G$105,(COLUMN()-7-1)/2+1)&lt;&gt;"Starfsbundið",FM78="",FM$8="",FM$7=""),"",ROUND(FM78/FM$8*FM$7*KVARDI,2))</f>
        <v/>
      </c>
      <c r="FO78" s="39"/>
      <c r="FP78" s="40" t="str">
        <f aca="false">IF(OR(INDEX(Undirviðmið!$G$6:$G$105,(COLUMN()-7-1)/2+1)&lt;&gt;"Starfsbundið",FO78="",FO$8="",FO$7=""),"",ROUND(FO78/FO$8*FO$7*KVARDI,2))</f>
        <v/>
      </c>
      <c r="FQ78" s="39"/>
      <c r="FR78" s="40" t="str">
        <f aca="false">IF(OR(INDEX(Undirviðmið!$G$6:$G$105,(COLUMN()-7-1)/2+1)&lt;&gt;"Starfsbundið",FQ78="",FQ$8="",FQ$7=""),"",ROUND(FQ78/FQ$8*FQ$7*KVARDI,2))</f>
        <v/>
      </c>
      <c r="FS78" s="39"/>
      <c r="FT78" s="40" t="str">
        <f aca="false">IF(OR(INDEX(Undirviðmið!$G$6:$G$105,(COLUMN()-7-1)/2+1)&lt;&gt;"Starfsbundið",FS78="",FS$8="",FS$7=""),"",ROUND(FS78/FS$8*FS$7*KVARDI,2))</f>
        <v/>
      </c>
      <c r="FU78" s="39"/>
      <c r="FV78" s="40" t="str">
        <f aca="false">IF(OR(INDEX(Undirviðmið!$G$6:$G$105,(COLUMN()-7-1)/2+1)&lt;&gt;"Starfsbundið",FU78="",FU$8="",FU$7=""),"",ROUND(FU78/FU$8*FU$7*KVARDI,2))</f>
        <v/>
      </c>
      <c r="FW78" s="39"/>
      <c r="FX78" s="40" t="str">
        <f aca="false">IF(OR(INDEX(Undirviðmið!$G$6:$G$105,(COLUMN()-7-1)/2+1)&lt;&gt;"Starfsbundið",FW78="",FW$8="",FW$7=""),"",ROUND(FW78/FW$8*FW$7*KVARDI,2))</f>
        <v/>
      </c>
      <c r="FY78" s="39"/>
      <c r="FZ78" s="40" t="str">
        <f aca="false">IF(OR(INDEX(Undirviðmið!$G$6:$G$105,(COLUMN()-7-1)/2+1)&lt;&gt;"Starfsbundið",FY78="",FY$8="",FY$7=""),"",ROUND(FY78/FY$8*FY$7*KVARDI,2))</f>
        <v/>
      </c>
      <c r="GA78" s="39"/>
      <c r="GB78" s="40" t="str">
        <f aca="false">IF(OR(INDEX(Undirviðmið!$G$6:$G$105,(COLUMN()-7-1)/2+1)&lt;&gt;"Starfsbundið",GA78="",GA$8="",GA$7=""),"",ROUND(GA78/GA$8*GA$7*KVARDI,2))</f>
        <v/>
      </c>
      <c r="GC78" s="39"/>
      <c r="GD78" s="40" t="str">
        <f aca="false">IF(OR(INDEX(Undirviðmið!$G$6:$G$105,(COLUMN()-7-1)/2+1)&lt;&gt;"Starfsbundið",GC78="",GC$8="",GC$7=""),"",ROUND(GC78/GC$8*GC$7*KVARDI,2))</f>
        <v/>
      </c>
      <c r="GE78" s="39"/>
      <c r="GF78" s="40" t="str">
        <f aca="false">IF(OR(INDEX(Undirviðmið!$G$6:$G$105,(COLUMN()-7-1)/2+1)&lt;&gt;"Starfsbundið",GE78="",GE$8="",GE$7=""),"",ROUND(GE78/GE$8*GE$7*KVARDI,2))</f>
        <v/>
      </c>
      <c r="GG78" s="39"/>
      <c r="GH78" s="40" t="str">
        <f aca="false">IF(OR(INDEX(Undirviðmið!$G$6:$G$105,(COLUMN()-7-1)/2+1)&lt;&gt;"Starfsbundið",GG78="",GG$8="",GG$7=""),"",ROUND(GG78/GG$8*GG$7*KVARDI,2))</f>
        <v/>
      </c>
      <c r="GI78" s="39"/>
      <c r="GJ78" s="40" t="str">
        <f aca="false">IF(OR(INDEX(Undirviðmið!$G$6:$G$105,(COLUMN()-7-1)/2+1)&lt;&gt;"Starfsbundið",GI78="",GI$8="",GI$7=""),"",ROUND(GI78/GI$8*GI$7*KVARDI,2))</f>
        <v/>
      </c>
      <c r="GK78" s="39"/>
      <c r="GL78" s="40" t="str">
        <f aca="false">IF(OR(INDEX(Undirviðmið!$G$6:$G$105,(COLUMN()-7-1)/2+1)&lt;&gt;"Starfsbundið",GK78="",GK$8="",GK$7=""),"",ROUND(GK78/GK$8*GK$7*KVARDI,2))</f>
        <v/>
      </c>
      <c r="GM78" s="39"/>
      <c r="GN78" s="40" t="str">
        <f aca="false">IF(OR(INDEX(Undirviðmið!$G$6:$G$105,(COLUMN()-7-1)/2+1)&lt;&gt;"Starfsbundið",GM78="",GM$8="",GM$7=""),"",ROUND(GM78/GM$8*GM$7*KVARDI,2))</f>
        <v/>
      </c>
      <c r="GO78" s="39"/>
      <c r="GP78" s="40" t="str">
        <f aca="false">IF(OR(INDEX(Undirviðmið!$G$6:$G$105,(COLUMN()-7-1)/2+1)&lt;&gt;"Starfsbundið",GO78="",GO$8="",GO$7=""),"",ROUND(GO78/GO$8*GO$7*KVARDI,2))</f>
        <v/>
      </c>
      <c r="GQ78" s="39"/>
      <c r="GR78" s="40" t="str">
        <f aca="false">IF(OR(INDEX(Undirviðmið!$G$6:$G$105,(COLUMN()-7-1)/2+1)&lt;&gt;"Starfsbundið",GQ78="",GQ$8="",GQ$7=""),"",ROUND(GQ78/GQ$8*GQ$7*KVARDI,2))</f>
        <v/>
      </c>
      <c r="GS78" s="39"/>
      <c r="GT78" s="40" t="str">
        <f aca="false">IF(OR(INDEX(Undirviðmið!$G$6:$G$105,(COLUMN()-7-1)/2+1)&lt;&gt;"Starfsbundið",GS78="",GS$8="",GS$7=""),"",ROUND(GS78/GS$8*GS$7*KVARDI,2))</f>
        <v/>
      </c>
      <c r="GU78" s="39"/>
      <c r="GV78" s="40" t="str">
        <f aca="false">IF(OR(INDEX(Undirviðmið!$G$6:$G$105,(COLUMN()-7-1)/2+1)&lt;&gt;"Starfsbundið",GU78="",GU$8="",GU$7=""),"",ROUND(GU78/GU$8*GU$7*KVARDI,2))</f>
        <v/>
      </c>
      <c r="GW78" s="39"/>
      <c r="GX78" s="40" t="str">
        <f aca="false">IF(OR(INDEX(Undirviðmið!$G$6:$G$105,(COLUMN()-7-1)/2+1)&lt;&gt;"Starfsbundið",GW78="",GW$8="",GW$7=""),"",ROUND(GW78/GW$8*GW$7*KVARDI,2))</f>
        <v/>
      </c>
      <c r="GZ78" s="20"/>
    </row>
    <row r="79" customFormat="false" ht="15" hidden="true" customHeight="true" outlineLevel="1" collapsed="false">
      <c r="B79" s="37" t="str">
        <f aca="false" t="array" ref="B79:B79">IFERROR(INDEX(Starfsmenn!$C$6:$C$10005,MATCH(0,COUNTIF($B$11:B78,Starfsmenn!$C$6:$C$10005)+(Starfsmenn!$C$6:$C$10005=""),0)),"")</f>
        <v/>
      </c>
      <c r="C79" s="38" t="n">
        <f aca="false">IFERROR(SUMIF($G$10:$GX$10,"Stig",$G79:$GX79),0)</f>
        <v>0</v>
      </c>
      <c r="G79" s="39"/>
      <c r="H79" s="40" t="str">
        <f aca="false">IF(OR(INDEX(Undirviðmið!$G$6:$G$105,(COLUMN()-7-1)/2+1)&lt;&gt;"Starfsbundið",G79="",G$8="",G$7=""),"",ROUND(G79/G$8*G$7*KVARDI,2))</f>
        <v/>
      </c>
      <c r="I79" s="39"/>
      <c r="J79" s="40" t="str">
        <f aca="false">IF(OR(INDEX(Undirviðmið!$G$6:$G$105,(COLUMN()-7-1)/2+1)&lt;&gt;"Starfsbundið",I79="",I$8="",I$7=""),"",ROUND(I79/I$8*I$7*KVARDI,2))</f>
        <v/>
      </c>
      <c r="K79" s="39"/>
      <c r="L79" s="40" t="str">
        <f aca="false">IF(OR(INDEX(Undirviðmið!$G$6:$G$105,(COLUMN()-7-1)/2+1)&lt;&gt;"Starfsbundið",K79="",K$8="",K$7=""),"",ROUND(K79/K$8*K$7*KVARDI,2))</f>
        <v/>
      </c>
      <c r="M79" s="39"/>
      <c r="N79" s="40" t="str">
        <f aca="false">IF(OR(INDEX(Undirviðmið!$G$6:$G$105,(COLUMN()-7-1)/2+1)&lt;&gt;"Starfsbundið",M79="",M$8="",M$7=""),"",ROUND(M79/M$8*M$7*KVARDI,2))</f>
        <v/>
      </c>
      <c r="O79" s="39"/>
      <c r="P79" s="40" t="str">
        <f aca="false">IF(OR(INDEX(Undirviðmið!$G$6:$G$105,(COLUMN()-7-1)/2+1)&lt;&gt;"Starfsbundið",O79="",O$8="",O$7=""),"",ROUND(O79/O$8*O$7*KVARDI,2))</f>
        <v/>
      </c>
      <c r="Q79" s="39"/>
      <c r="R79" s="40" t="str">
        <f aca="false">IF(OR(INDEX(Undirviðmið!$G$6:$G$105,(COLUMN()-7-1)/2+1)&lt;&gt;"Starfsbundið",Q79="",Q$8="",Q$7=""),"",ROUND(Q79/Q$8*Q$7*KVARDI,2))</f>
        <v/>
      </c>
      <c r="S79" s="39"/>
      <c r="T79" s="40" t="str">
        <f aca="false">IF(OR(INDEX(Undirviðmið!$G$6:$G$105,(COLUMN()-7-1)/2+1)&lt;&gt;"Starfsbundið",S79="",S$8="",S$7=""),"",ROUND(S79/S$8*S$7*KVARDI,2))</f>
        <v/>
      </c>
      <c r="U79" s="39"/>
      <c r="V79" s="40" t="str">
        <f aca="false">IF(OR(INDEX(Undirviðmið!$G$6:$G$105,(COLUMN()-7-1)/2+1)&lt;&gt;"Starfsbundið",U79="",U$8="",U$7=""),"",ROUND(U79/U$8*U$7*KVARDI,2))</f>
        <v/>
      </c>
      <c r="W79" s="39"/>
      <c r="X79" s="40" t="str">
        <f aca="false">IF(OR(INDEX(Undirviðmið!$G$6:$G$105,(COLUMN()-7-1)/2+1)&lt;&gt;"Starfsbundið",W79="",W$8="",W$7=""),"",ROUND(W79/W$8*W$7*KVARDI,2))</f>
        <v/>
      </c>
      <c r="Y79" s="39"/>
      <c r="Z79" s="40" t="str">
        <f aca="false">IF(OR(INDEX(Undirviðmið!$G$6:$G$105,(COLUMN()-7-1)/2+1)&lt;&gt;"Starfsbundið",Y79="",Y$8="",Y$7=""),"",ROUND(Y79/Y$8*Y$7*KVARDI,2))</f>
        <v/>
      </c>
      <c r="AA79" s="39"/>
      <c r="AB79" s="40" t="str">
        <f aca="false">IF(OR(INDEX(Undirviðmið!$G$6:$G$105,(COLUMN()-7-1)/2+1)&lt;&gt;"Starfsbundið",AA79="",AA$8="",AA$7=""),"",ROUND(AA79/AA$8*AA$7*KVARDI,2))</f>
        <v/>
      </c>
      <c r="AC79" s="39"/>
      <c r="AD79" s="40" t="str">
        <f aca="false">IF(OR(INDEX(Undirviðmið!$G$6:$G$105,(COLUMN()-7-1)/2+1)&lt;&gt;"Starfsbundið",AC79="",AC$8="",AC$7=""),"",ROUND(AC79/AC$8*AC$7*KVARDI,2))</f>
        <v/>
      </c>
      <c r="AE79" s="39"/>
      <c r="AF79" s="40" t="str">
        <f aca="false">IF(OR(INDEX(Undirviðmið!$G$6:$G$105,(COLUMN()-7-1)/2+1)&lt;&gt;"Starfsbundið",AE79="",AE$8="",AE$7=""),"",ROUND(AE79/AE$8*AE$7*KVARDI,2))</f>
        <v/>
      </c>
      <c r="AG79" s="39"/>
      <c r="AH79" s="40" t="str">
        <f aca="false">IF(OR(INDEX(Undirviðmið!$G$6:$G$105,(COLUMN()-7-1)/2+1)&lt;&gt;"Starfsbundið",AG79="",AG$8="",AG$7=""),"",ROUND(AG79/AG$8*AG$7*KVARDI,2))</f>
        <v/>
      </c>
      <c r="AI79" s="39"/>
      <c r="AJ79" s="40" t="str">
        <f aca="false">IF(OR(INDEX(Undirviðmið!$G$6:$G$105,(COLUMN()-7-1)/2+1)&lt;&gt;"Starfsbundið",AI79="",AI$8="",AI$7=""),"",ROUND(AI79/AI$8*AI$7*KVARDI,2))</f>
        <v/>
      </c>
      <c r="AK79" s="39"/>
      <c r="AL79" s="40" t="str">
        <f aca="false">IF(OR(INDEX(Undirviðmið!$G$6:$G$105,(COLUMN()-7-1)/2+1)&lt;&gt;"Starfsbundið",AK79="",AK$8="",AK$7=""),"",ROUND(AK79/AK$8*AK$7*KVARDI,2))</f>
        <v/>
      </c>
      <c r="AM79" s="39"/>
      <c r="AN79" s="40" t="str">
        <f aca="false">IF(OR(INDEX(Undirviðmið!$G$6:$G$105,(COLUMN()-7-1)/2+1)&lt;&gt;"Starfsbundið",AM79="",AM$8="",AM$7=""),"",ROUND(AM79/AM$8*AM$7*KVARDI,2))</f>
        <v/>
      </c>
      <c r="AO79" s="39"/>
      <c r="AP79" s="40" t="str">
        <f aca="false">IF(OR(INDEX(Undirviðmið!$G$6:$G$105,(COLUMN()-7-1)/2+1)&lt;&gt;"Starfsbundið",AO79="",AO$8="",AO$7=""),"",ROUND(AO79/AO$8*AO$7*KVARDI,2))</f>
        <v/>
      </c>
      <c r="AQ79" s="39"/>
      <c r="AR79" s="40" t="str">
        <f aca="false">IF(OR(INDEX(Undirviðmið!$G$6:$G$105,(COLUMN()-7-1)/2+1)&lt;&gt;"Starfsbundið",AQ79="",AQ$8="",AQ$7=""),"",ROUND(AQ79/AQ$8*AQ$7*KVARDI,2))</f>
        <v/>
      </c>
      <c r="AS79" s="39"/>
      <c r="AT79" s="40" t="str">
        <f aca="false">IF(OR(INDEX(Undirviðmið!$G$6:$G$105,(COLUMN()-7-1)/2+1)&lt;&gt;"Starfsbundið",AS79="",AS$8="",AS$7=""),"",ROUND(AS79/AS$8*AS$7*KVARDI,2))</f>
        <v/>
      </c>
      <c r="AU79" s="39"/>
      <c r="AV79" s="40" t="str">
        <f aca="false">IF(OR(INDEX(Undirviðmið!$G$6:$G$105,(COLUMN()-7-1)/2+1)&lt;&gt;"Starfsbundið",AU79="",AU$8="",AU$7=""),"",ROUND(AU79/AU$8*AU$7*KVARDI,2))</f>
        <v/>
      </c>
      <c r="AW79" s="39"/>
      <c r="AX79" s="40" t="str">
        <f aca="false">IF(OR(INDEX(Undirviðmið!$G$6:$G$105,(COLUMN()-7-1)/2+1)&lt;&gt;"Starfsbundið",AW79="",AW$8="",AW$7=""),"",ROUND(AW79/AW$8*AW$7*KVARDI,2))</f>
        <v/>
      </c>
      <c r="AY79" s="39"/>
      <c r="AZ79" s="40" t="str">
        <f aca="false">IF(OR(INDEX(Undirviðmið!$G$6:$G$105,(COLUMN()-7-1)/2+1)&lt;&gt;"Starfsbundið",AY79="",AY$8="",AY$7=""),"",ROUND(AY79/AY$8*AY$7*KVARDI,2))</f>
        <v/>
      </c>
      <c r="BA79" s="39"/>
      <c r="BB79" s="40" t="str">
        <f aca="false">IF(OR(INDEX(Undirviðmið!$G$6:$G$105,(COLUMN()-7-1)/2+1)&lt;&gt;"Starfsbundið",BA79="",BA$8="",BA$7=""),"",ROUND(BA79/BA$8*BA$7*KVARDI,2))</f>
        <v/>
      </c>
      <c r="BC79" s="39"/>
      <c r="BD79" s="40" t="str">
        <f aca="false">IF(OR(INDEX(Undirviðmið!$G$6:$G$105,(COLUMN()-7-1)/2+1)&lt;&gt;"Starfsbundið",BC79="",BC$8="",BC$7=""),"",ROUND(BC79/BC$8*BC$7*KVARDI,2))</f>
        <v/>
      </c>
      <c r="BE79" s="39"/>
      <c r="BF79" s="40" t="str">
        <f aca="false">IF(OR(INDEX(Undirviðmið!$G$6:$G$105,(COLUMN()-7-1)/2+1)&lt;&gt;"Starfsbundið",BE79="",BE$8="",BE$7=""),"",ROUND(BE79/BE$8*BE$7*KVARDI,2))</f>
        <v/>
      </c>
      <c r="BG79" s="39"/>
      <c r="BH79" s="40" t="str">
        <f aca="false">IF(OR(INDEX(Undirviðmið!$G$6:$G$105,(COLUMN()-7-1)/2+1)&lt;&gt;"Starfsbundið",BG79="",BG$8="",BG$7=""),"",ROUND(BG79/BG$8*BG$7*KVARDI,2))</f>
        <v/>
      </c>
      <c r="BI79" s="39"/>
      <c r="BJ79" s="40" t="str">
        <f aca="false">IF(OR(INDEX(Undirviðmið!$G$6:$G$105,(COLUMN()-7-1)/2+1)&lt;&gt;"Starfsbundið",BI79="",BI$8="",BI$7=""),"",ROUND(BI79/BI$8*BI$7*KVARDI,2))</f>
        <v/>
      </c>
      <c r="BK79" s="39"/>
      <c r="BL79" s="40" t="str">
        <f aca="false">IF(OR(INDEX(Undirviðmið!$G$6:$G$105,(COLUMN()-7-1)/2+1)&lt;&gt;"Starfsbundið",BK79="",BK$8="",BK$7=""),"",ROUND(BK79/BK$8*BK$7*KVARDI,2))</f>
        <v/>
      </c>
      <c r="BM79" s="39"/>
      <c r="BN79" s="40" t="str">
        <f aca="false">IF(OR(INDEX(Undirviðmið!$G$6:$G$105,(COLUMN()-7-1)/2+1)&lt;&gt;"Starfsbundið",BM79="",BM$8="",BM$7=""),"",ROUND(BM79/BM$8*BM$7*KVARDI,2))</f>
        <v/>
      </c>
      <c r="BO79" s="39"/>
      <c r="BP79" s="40" t="str">
        <f aca="false">IF(OR(INDEX(Undirviðmið!$G$6:$G$105,(COLUMN()-7-1)/2+1)&lt;&gt;"Starfsbundið",BO79="",BO$8="",BO$7=""),"",ROUND(BO79/BO$8*BO$7*KVARDI,2))</f>
        <v/>
      </c>
      <c r="BQ79" s="39"/>
      <c r="BR79" s="40" t="str">
        <f aca="false">IF(OR(INDEX(Undirviðmið!$G$6:$G$105,(COLUMN()-7-1)/2+1)&lt;&gt;"Starfsbundið",BQ79="",BQ$8="",BQ$7=""),"",ROUND(BQ79/BQ$8*BQ$7*KVARDI,2))</f>
        <v/>
      </c>
      <c r="BS79" s="39"/>
      <c r="BT79" s="40" t="str">
        <f aca="false">IF(OR(INDEX(Undirviðmið!$G$6:$G$105,(COLUMN()-7-1)/2+1)&lt;&gt;"Starfsbundið",BS79="",BS$8="",BS$7=""),"",ROUND(BS79/BS$8*BS$7*KVARDI,2))</f>
        <v/>
      </c>
      <c r="BU79" s="39"/>
      <c r="BV79" s="40" t="str">
        <f aca="false">IF(OR(INDEX(Undirviðmið!$G$6:$G$105,(COLUMN()-7-1)/2+1)&lt;&gt;"Starfsbundið",BU79="",BU$8="",BU$7=""),"",ROUND(BU79/BU$8*BU$7*KVARDI,2))</f>
        <v/>
      </c>
      <c r="BW79" s="39"/>
      <c r="BX79" s="40" t="str">
        <f aca="false">IF(OR(INDEX(Undirviðmið!$G$6:$G$105,(COLUMN()-7-1)/2+1)&lt;&gt;"Starfsbundið",BW79="",BW$8="",BW$7=""),"",ROUND(BW79/BW$8*BW$7*KVARDI,2))</f>
        <v/>
      </c>
      <c r="BY79" s="39"/>
      <c r="BZ79" s="40" t="str">
        <f aca="false">IF(OR(INDEX(Undirviðmið!$G$6:$G$105,(COLUMN()-7-1)/2+1)&lt;&gt;"Starfsbundið",BY79="",BY$8="",BY$7=""),"",ROUND(BY79/BY$8*BY$7*KVARDI,2))</f>
        <v/>
      </c>
      <c r="CA79" s="39"/>
      <c r="CB79" s="40" t="str">
        <f aca="false">IF(OR(INDEX(Undirviðmið!$G$6:$G$105,(COLUMN()-7-1)/2+1)&lt;&gt;"Starfsbundið",CA79="",CA$8="",CA$7=""),"",ROUND(CA79/CA$8*CA$7*KVARDI,2))</f>
        <v/>
      </c>
      <c r="CC79" s="39"/>
      <c r="CD79" s="40" t="str">
        <f aca="false">IF(OR(INDEX(Undirviðmið!$G$6:$G$105,(COLUMN()-7-1)/2+1)&lt;&gt;"Starfsbundið",CC79="",CC$8="",CC$7=""),"",ROUND(CC79/CC$8*CC$7*KVARDI,2))</f>
        <v/>
      </c>
      <c r="CE79" s="39"/>
      <c r="CF79" s="40" t="str">
        <f aca="false">IF(OR(INDEX(Undirviðmið!$G$6:$G$105,(COLUMN()-7-1)/2+1)&lt;&gt;"Starfsbundið",CE79="",CE$8="",CE$7=""),"",ROUND(CE79/CE$8*CE$7*KVARDI,2))</f>
        <v/>
      </c>
      <c r="CG79" s="39"/>
      <c r="CH79" s="40" t="str">
        <f aca="false">IF(OR(INDEX(Undirviðmið!$G$6:$G$105,(COLUMN()-7-1)/2+1)&lt;&gt;"Starfsbundið",CG79="",CG$8="",CG$7=""),"",ROUND(CG79/CG$8*CG$7*KVARDI,2))</f>
        <v/>
      </c>
      <c r="CI79" s="39"/>
      <c r="CJ79" s="40" t="str">
        <f aca="false">IF(OR(INDEX(Undirviðmið!$G$6:$G$105,(COLUMN()-7-1)/2+1)&lt;&gt;"Starfsbundið",CI79="",CI$8="",CI$7=""),"",ROUND(CI79/CI$8*CI$7*KVARDI,2))</f>
        <v/>
      </c>
      <c r="CK79" s="39"/>
      <c r="CL79" s="40" t="str">
        <f aca="false">IF(OR(INDEX(Undirviðmið!$G$6:$G$105,(COLUMN()-7-1)/2+1)&lt;&gt;"Starfsbundið",CK79="",CK$8="",CK$7=""),"",ROUND(CK79/CK$8*CK$7*KVARDI,2))</f>
        <v/>
      </c>
      <c r="CM79" s="39"/>
      <c r="CN79" s="40" t="str">
        <f aca="false">IF(OR(INDEX(Undirviðmið!$G$6:$G$105,(COLUMN()-7-1)/2+1)&lt;&gt;"Starfsbundið",CM79="",CM$8="",CM$7=""),"",ROUND(CM79/CM$8*CM$7*KVARDI,2))</f>
        <v/>
      </c>
      <c r="CO79" s="39"/>
      <c r="CP79" s="40" t="str">
        <f aca="false">IF(OR(INDEX(Undirviðmið!$G$6:$G$105,(COLUMN()-7-1)/2+1)&lt;&gt;"Starfsbundið",CO79="",CO$8="",CO$7=""),"",ROUND(CO79/CO$8*CO$7*KVARDI,2))</f>
        <v/>
      </c>
      <c r="CQ79" s="39"/>
      <c r="CR79" s="40" t="str">
        <f aca="false">IF(OR(INDEX(Undirviðmið!$G$6:$G$105,(COLUMN()-7-1)/2+1)&lt;&gt;"Starfsbundið",CQ79="",CQ$8="",CQ$7=""),"",ROUND(CQ79/CQ$8*CQ$7*KVARDI,2))</f>
        <v/>
      </c>
      <c r="CS79" s="39"/>
      <c r="CT79" s="40" t="str">
        <f aca="false">IF(OR(INDEX(Undirviðmið!$G$6:$G$105,(COLUMN()-7-1)/2+1)&lt;&gt;"Starfsbundið",CS79="",CS$8="",CS$7=""),"",ROUND(CS79/CS$8*CS$7*KVARDI,2))</f>
        <v/>
      </c>
      <c r="CU79" s="39"/>
      <c r="CV79" s="40" t="str">
        <f aca="false">IF(OR(INDEX(Undirviðmið!$G$6:$G$105,(COLUMN()-7-1)/2+1)&lt;&gt;"Starfsbundið",CU79="",CU$8="",CU$7=""),"",ROUND(CU79/CU$8*CU$7*KVARDI,2))</f>
        <v/>
      </c>
      <c r="CW79" s="39"/>
      <c r="CX79" s="40" t="str">
        <f aca="false">IF(OR(INDEX(Undirviðmið!$G$6:$G$105,(COLUMN()-7-1)/2+1)&lt;&gt;"Starfsbundið",CW79="",CW$8="",CW$7=""),"",ROUND(CW79/CW$8*CW$7*KVARDI,2))</f>
        <v/>
      </c>
      <c r="CY79" s="39"/>
      <c r="CZ79" s="40" t="str">
        <f aca="false">IF(OR(INDEX(Undirviðmið!$G$6:$G$105,(COLUMN()-7-1)/2+1)&lt;&gt;"Starfsbundið",CY79="",CY$8="",CY$7=""),"",ROUND(CY79/CY$8*CY$7*KVARDI,2))</f>
        <v/>
      </c>
      <c r="DA79" s="39"/>
      <c r="DB79" s="40" t="str">
        <f aca="false">IF(OR(INDEX(Undirviðmið!$G$6:$G$105,(COLUMN()-7-1)/2+1)&lt;&gt;"Starfsbundið",DA79="",DA$8="",DA$7=""),"",ROUND(DA79/DA$8*DA$7*KVARDI,2))</f>
        <v/>
      </c>
      <c r="DC79" s="39"/>
      <c r="DD79" s="40" t="str">
        <f aca="false">IF(OR(INDEX(Undirviðmið!$G$6:$G$105,(COLUMN()-7-1)/2+1)&lt;&gt;"Starfsbundið",DC79="",DC$8="",DC$7=""),"",ROUND(DC79/DC$8*DC$7*KVARDI,2))</f>
        <v/>
      </c>
      <c r="DE79" s="39"/>
      <c r="DF79" s="40" t="str">
        <f aca="false">IF(OR(INDEX(Undirviðmið!$G$6:$G$105,(COLUMN()-7-1)/2+1)&lt;&gt;"Starfsbundið",DE79="",DE$8="",DE$7=""),"",ROUND(DE79/DE$8*DE$7*KVARDI,2))</f>
        <v/>
      </c>
      <c r="DG79" s="39"/>
      <c r="DH79" s="40" t="str">
        <f aca="false">IF(OR(INDEX(Undirviðmið!$G$6:$G$105,(COLUMN()-7-1)/2+1)&lt;&gt;"Starfsbundið",DG79="",DG$8="",DG$7=""),"",ROUND(DG79/DG$8*DG$7*KVARDI,2))</f>
        <v/>
      </c>
      <c r="DI79" s="39"/>
      <c r="DJ79" s="40" t="str">
        <f aca="false">IF(OR(INDEX(Undirviðmið!$G$6:$G$105,(COLUMN()-7-1)/2+1)&lt;&gt;"Starfsbundið",DI79="",DI$8="",DI$7=""),"",ROUND(DI79/DI$8*DI$7*KVARDI,2))</f>
        <v/>
      </c>
      <c r="DK79" s="39"/>
      <c r="DL79" s="40" t="str">
        <f aca="false">IF(OR(INDEX(Undirviðmið!$G$6:$G$105,(COLUMN()-7-1)/2+1)&lt;&gt;"Starfsbundið",DK79="",DK$8="",DK$7=""),"",ROUND(DK79/DK$8*DK$7*KVARDI,2))</f>
        <v/>
      </c>
      <c r="DM79" s="39"/>
      <c r="DN79" s="40" t="str">
        <f aca="false">IF(OR(INDEX(Undirviðmið!$G$6:$G$105,(COLUMN()-7-1)/2+1)&lt;&gt;"Starfsbundið",DM79="",DM$8="",DM$7=""),"",ROUND(DM79/DM$8*DM$7*KVARDI,2))</f>
        <v/>
      </c>
      <c r="DO79" s="39"/>
      <c r="DP79" s="40" t="str">
        <f aca="false">IF(OR(INDEX(Undirviðmið!$G$6:$G$105,(COLUMN()-7-1)/2+1)&lt;&gt;"Starfsbundið",DO79="",DO$8="",DO$7=""),"",ROUND(DO79/DO$8*DO$7*KVARDI,2))</f>
        <v/>
      </c>
      <c r="DQ79" s="39"/>
      <c r="DR79" s="40" t="str">
        <f aca="false">IF(OR(INDEX(Undirviðmið!$G$6:$G$105,(COLUMN()-7-1)/2+1)&lt;&gt;"Starfsbundið",DQ79="",DQ$8="",DQ$7=""),"",ROUND(DQ79/DQ$8*DQ$7*KVARDI,2))</f>
        <v/>
      </c>
      <c r="DS79" s="39"/>
      <c r="DT79" s="40" t="str">
        <f aca="false">IF(OR(INDEX(Undirviðmið!$G$6:$G$105,(COLUMN()-7-1)/2+1)&lt;&gt;"Starfsbundið",DS79="",DS$8="",DS$7=""),"",ROUND(DS79/DS$8*DS$7*KVARDI,2))</f>
        <v/>
      </c>
      <c r="DU79" s="39"/>
      <c r="DV79" s="40" t="str">
        <f aca="false">IF(OR(INDEX(Undirviðmið!$G$6:$G$105,(COLUMN()-7-1)/2+1)&lt;&gt;"Starfsbundið",DU79="",DU$8="",DU$7=""),"",ROUND(DU79/DU$8*DU$7*KVARDI,2))</f>
        <v/>
      </c>
      <c r="DW79" s="39"/>
      <c r="DX79" s="40" t="str">
        <f aca="false">IF(OR(INDEX(Undirviðmið!$G$6:$G$105,(COLUMN()-7-1)/2+1)&lt;&gt;"Starfsbundið",DW79="",DW$8="",DW$7=""),"",ROUND(DW79/DW$8*DW$7*KVARDI,2))</f>
        <v/>
      </c>
      <c r="DY79" s="39"/>
      <c r="DZ79" s="40" t="str">
        <f aca="false">IF(OR(INDEX(Undirviðmið!$G$6:$G$105,(COLUMN()-7-1)/2+1)&lt;&gt;"Starfsbundið",DY79="",DY$8="",DY$7=""),"",ROUND(DY79/DY$8*DY$7*KVARDI,2))</f>
        <v/>
      </c>
      <c r="EA79" s="39"/>
      <c r="EB79" s="40" t="str">
        <f aca="false">IF(OR(INDEX(Undirviðmið!$G$6:$G$105,(COLUMN()-7-1)/2+1)&lt;&gt;"Starfsbundið",EA79="",EA$8="",EA$7=""),"",ROUND(EA79/EA$8*EA$7*KVARDI,2))</f>
        <v/>
      </c>
      <c r="EC79" s="39"/>
      <c r="ED79" s="40" t="str">
        <f aca="false">IF(OR(INDEX(Undirviðmið!$G$6:$G$105,(COLUMN()-7-1)/2+1)&lt;&gt;"Starfsbundið",EC79="",EC$8="",EC$7=""),"",ROUND(EC79/EC$8*EC$7*KVARDI,2))</f>
        <v/>
      </c>
      <c r="EE79" s="39"/>
      <c r="EF79" s="40" t="str">
        <f aca="false">IF(OR(INDEX(Undirviðmið!$G$6:$G$105,(COLUMN()-7-1)/2+1)&lt;&gt;"Starfsbundið",EE79="",EE$8="",EE$7=""),"",ROUND(EE79/EE$8*EE$7*KVARDI,2))</f>
        <v/>
      </c>
      <c r="EG79" s="39"/>
      <c r="EH79" s="40" t="str">
        <f aca="false">IF(OR(INDEX(Undirviðmið!$G$6:$G$105,(COLUMN()-7-1)/2+1)&lt;&gt;"Starfsbundið",EG79="",EG$8="",EG$7=""),"",ROUND(EG79/EG$8*EG$7*KVARDI,2))</f>
        <v/>
      </c>
      <c r="EI79" s="39"/>
      <c r="EJ79" s="40" t="str">
        <f aca="false">IF(OR(INDEX(Undirviðmið!$G$6:$G$105,(COLUMN()-7-1)/2+1)&lt;&gt;"Starfsbundið",EI79="",EI$8="",EI$7=""),"",ROUND(EI79/EI$8*EI$7*KVARDI,2))</f>
        <v/>
      </c>
      <c r="EK79" s="39"/>
      <c r="EL79" s="40" t="str">
        <f aca="false">IF(OR(INDEX(Undirviðmið!$G$6:$G$105,(COLUMN()-7-1)/2+1)&lt;&gt;"Starfsbundið",EK79="",EK$8="",EK$7=""),"",ROUND(EK79/EK$8*EK$7*KVARDI,2))</f>
        <v/>
      </c>
      <c r="EM79" s="39"/>
      <c r="EN79" s="40" t="str">
        <f aca="false">IF(OR(INDEX(Undirviðmið!$G$6:$G$105,(COLUMN()-7-1)/2+1)&lt;&gt;"Starfsbundið",EM79="",EM$8="",EM$7=""),"",ROUND(EM79/EM$8*EM$7*KVARDI,2))</f>
        <v/>
      </c>
      <c r="EO79" s="39"/>
      <c r="EP79" s="40" t="str">
        <f aca="false">IF(OR(INDEX(Undirviðmið!$G$6:$G$105,(COLUMN()-7-1)/2+1)&lt;&gt;"Starfsbundið",EO79="",EO$8="",EO$7=""),"",ROUND(EO79/EO$8*EO$7*KVARDI,2))</f>
        <v/>
      </c>
      <c r="EQ79" s="39"/>
      <c r="ER79" s="40" t="str">
        <f aca="false">IF(OR(INDEX(Undirviðmið!$G$6:$G$105,(COLUMN()-7-1)/2+1)&lt;&gt;"Starfsbundið",EQ79="",EQ$8="",EQ$7=""),"",ROUND(EQ79/EQ$8*EQ$7*KVARDI,2))</f>
        <v/>
      </c>
      <c r="ES79" s="39"/>
      <c r="ET79" s="40" t="str">
        <f aca="false">IF(OR(INDEX(Undirviðmið!$G$6:$G$105,(COLUMN()-7-1)/2+1)&lt;&gt;"Starfsbundið",ES79="",ES$8="",ES$7=""),"",ROUND(ES79/ES$8*ES$7*KVARDI,2))</f>
        <v/>
      </c>
      <c r="EU79" s="39"/>
      <c r="EV79" s="40" t="str">
        <f aca="false">IF(OR(INDEX(Undirviðmið!$G$6:$G$105,(COLUMN()-7-1)/2+1)&lt;&gt;"Starfsbundið",EU79="",EU$8="",EU$7=""),"",ROUND(EU79/EU$8*EU$7*KVARDI,2))</f>
        <v/>
      </c>
      <c r="EW79" s="39"/>
      <c r="EX79" s="40" t="str">
        <f aca="false">IF(OR(INDEX(Undirviðmið!$G$6:$G$105,(COLUMN()-7-1)/2+1)&lt;&gt;"Starfsbundið",EW79="",EW$8="",EW$7=""),"",ROUND(EW79/EW$8*EW$7*KVARDI,2))</f>
        <v/>
      </c>
      <c r="EY79" s="39"/>
      <c r="EZ79" s="40" t="str">
        <f aca="false">IF(OR(INDEX(Undirviðmið!$G$6:$G$105,(COLUMN()-7-1)/2+1)&lt;&gt;"Starfsbundið",EY79="",EY$8="",EY$7=""),"",ROUND(EY79/EY$8*EY$7*KVARDI,2))</f>
        <v/>
      </c>
      <c r="FA79" s="39"/>
      <c r="FB79" s="40" t="str">
        <f aca="false">IF(OR(INDEX(Undirviðmið!$G$6:$G$105,(COLUMN()-7-1)/2+1)&lt;&gt;"Starfsbundið",FA79="",FA$8="",FA$7=""),"",ROUND(FA79/FA$8*FA$7*KVARDI,2))</f>
        <v/>
      </c>
      <c r="FC79" s="39"/>
      <c r="FD79" s="40" t="str">
        <f aca="false">IF(OR(INDEX(Undirviðmið!$G$6:$G$105,(COLUMN()-7-1)/2+1)&lt;&gt;"Starfsbundið",FC79="",FC$8="",FC$7=""),"",ROUND(FC79/FC$8*FC$7*KVARDI,2))</f>
        <v/>
      </c>
      <c r="FE79" s="39"/>
      <c r="FF79" s="40" t="str">
        <f aca="false">IF(OR(INDEX(Undirviðmið!$G$6:$G$105,(COLUMN()-7-1)/2+1)&lt;&gt;"Starfsbundið",FE79="",FE$8="",FE$7=""),"",ROUND(FE79/FE$8*FE$7*KVARDI,2))</f>
        <v/>
      </c>
      <c r="FG79" s="39"/>
      <c r="FH79" s="40" t="str">
        <f aca="false">IF(OR(INDEX(Undirviðmið!$G$6:$G$105,(COLUMN()-7-1)/2+1)&lt;&gt;"Starfsbundið",FG79="",FG$8="",FG$7=""),"",ROUND(FG79/FG$8*FG$7*KVARDI,2))</f>
        <v/>
      </c>
      <c r="FI79" s="39"/>
      <c r="FJ79" s="40" t="str">
        <f aca="false">IF(OR(INDEX(Undirviðmið!$G$6:$G$105,(COLUMN()-7-1)/2+1)&lt;&gt;"Starfsbundið",FI79="",FI$8="",FI$7=""),"",ROUND(FI79/FI$8*FI$7*KVARDI,2))</f>
        <v/>
      </c>
      <c r="FK79" s="39"/>
      <c r="FL79" s="40" t="str">
        <f aca="false">IF(OR(INDEX(Undirviðmið!$G$6:$G$105,(COLUMN()-7-1)/2+1)&lt;&gt;"Starfsbundið",FK79="",FK$8="",FK$7=""),"",ROUND(FK79/FK$8*FK$7*KVARDI,2))</f>
        <v/>
      </c>
      <c r="FM79" s="39"/>
      <c r="FN79" s="40" t="str">
        <f aca="false">IF(OR(INDEX(Undirviðmið!$G$6:$G$105,(COLUMN()-7-1)/2+1)&lt;&gt;"Starfsbundið",FM79="",FM$8="",FM$7=""),"",ROUND(FM79/FM$8*FM$7*KVARDI,2))</f>
        <v/>
      </c>
      <c r="FO79" s="39"/>
      <c r="FP79" s="40" t="str">
        <f aca="false">IF(OR(INDEX(Undirviðmið!$G$6:$G$105,(COLUMN()-7-1)/2+1)&lt;&gt;"Starfsbundið",FO79="",FO$8="",FO$7=""),"",ROUND(FO79/FO$8*FO$7*KVARDI,2))</f>
        <v/>
      </c>
      <c r="FQ79" s="39"/>
      <c r="FR79" s="40" t="str">
        <f aca="false">IF(OR(INDEX(Undirviðmið!$G$6:$G$105,(COLUMN()-7-1)/2+1)&lt;&gt;"Starfsbundið",FQ79="",FQ$8="",FQ$7=""),"",ROUND(FQ79/FQ$8*FQ$7*KVARDI,2))</f>
        <v/>
      </c>
      <c r="FS79" s="39"/>
      <c r="FT79" s="40" t="str">
        <f aca="false">IF(OR(INDEX(Undirviðmið!$G$6:$G$105,(COLUMN()-7-1)/2+1)&lt;&gt;"Starfsbundið",FS79="",FS$8="",FS$7=""),"",ROUND(FS79/FS$8*FS$7*KVARDI,2))</f>
        <v/>
      </c>
      <c r="FU79" s="39"/>
      <c r="FV79" s="40" t="str">
        <f aca="false">IF(OR(INDEX(Undirviðmið!$G$6:$G$105,(COLUMN()-7-1)/2+1)&lt;&gt;"Starfsbundið",FU79="",FU$8="",FU$7=""),"",ROUND(FU79/FU$8*FU$7*KVARDI,2))</f>
        <v/>
      </c>
      <c r="FW79" s="39"/>
      <c r="FX79" s="40" t="str">
        <f aca="false">IF(OR(INDEX(Undirviðmið!$G$6:$G$105,(COLUMN()-7-1)/2+1)&lt;&gt;"Starfsbundið",FW79="",FW$8="",FW$7=""),"",ROUND(FW79/FW$8*FW$7*KVARDI,2))</f>
        <v/>
      </c>
      <c r="FY79" s="39"/>
      <c r="FZ79" s="40" t="str">
        <f aca="false">IF(OR(INDEX(Undirviðmið!$G$6:$G$105,(COLUMN()-7-1)/2+1)&lt;&gt;"Starfsbundið",FY79="",FY$8="",FY$7=""),"",ROUND(FY79/FY$8*FY$7*KVARDI,2))</f>
        <v/>
      </c>
      <c r="GA79" s="39"/>
      <c r="GB79" s="40" t="str">
        <f aca="false">IF(OR(INDEX(Undirviðmið!$G$6:$G$105,(COLUMN()-7-1)/2+1)&lt;&gt;"Starfsbundið",GA79="",GA$8="",GA$7=""),"",ROUND(GA79/GA$8*GA$7*KVARDI,2))</f>
        <v/>
      </c>
      <c r="GC79" s="39"/>
      <c r="GD79" s="40" t="str">
        <f aca="false">IF(OR(INDEX(Undirviðmið!$G$6:$G$105,(COLUMN()-7-1)/2+1)&lt;&gt;"Starfsbundið",GC79="",GC$8="",GC$7=""),"",ROUND(GC79/GC$8*GC$7*KVARDI,2))</f>
        <v/>
      </c>
      <c r="GE79" s="39"/>
      <c r="GF79" s="40" t="str">
        <f aca="false">IF(OR(INDEX(Undirviðmið!$G$6:$G$105,(COLUMN()-7-1)/2+1)&lt;&gt;"Starfsbundið",GE79="",GE$8="",GE$7=""),"",ROUND(GE79/GE$8*GE$7*KVARDI,2))</f>
        <v/>
      </c>
      <c r="GG79" s="39"/>
      <c r="GH79" s="40" t="str">
        <f aca="false">IF(OR(INDEX(Undirviðmið!$G$6:$G$105,(COLUMN()-7-1)/2+1)&lt;&gt;"Starfsbundið",GG79="",GG$8="",GG$7=""),"",ROUND(GG79/GG$8*GG$7*KVARDI,2))</f>
        <v/>
      </c>
      <c r="GI79" s="39"/>
      <c r="GJ79" s="40" t="str">
        <f aca="false">IF(OR(INDEX(Undirviðmið!$G$6:$G$105,(COLUMN()-7-1)/2+1)&lt;&gt;"Starfsbundið",GI79="",GI$8="",GI$7=""),"",ROUND(GI79/GI$8*GI$7*KVARDI,2))</f>
        <v/>
      </c>
      <c r="GK79" s="39"/>
      <c r="GL79" s="40" t="str">
        <f aca="false">IF(OR(INDEX(Undirviðmið!$G$6:$G$105,(COLUMN()-7-1)/2+1)&lt;&gt;"Starfsbundið",GK79="",GK$8="",GK$7=""),"",ROUND(GK79/GK$8*GK$7*KVARDI,2))</f>
        <v/>
      </c>
      <c r="GM79" s="39"/>
      <c r="GN79" s="40" t="str">
        <f aca="false">IF(OR(INDEX(Undirviðmið!$G$6:$G$105,(COLUMN()-7-1)/2+1)&lt;&gt;"Starfsbundið",GM79="",GM$8="",GM$7=""),"",ROUND(GM79/GM$8*GM$7*KVARDI,2))</f>
        <v/>
      </c>
      <c r="GO79" s="39"/>
      <c r="GP79" s="40" t="str">
        <f aca="false">IF(OR(INDEX(Undirviðmið!$G$6:$G$105,(COLUMN()-7-1)/2+1)&lt;&gt;"Starfsbundið",GO79="",GO$8="",GO$7=""),"",ROUND(GO79/GO$8*GO$7*KVARDI,2))</f>
        <v/>
      </c>
      <c r="GQ79" s="39"/>
      <c r="GR79" s="40" t="str">
        <f aca="false">IF(OR(INDEX(Undirviðmið!$G$6:$G$105,(COLUMN()-7-1)/2+1)&lt;&gt;"Starfsbundið",GQ79="",GQ$8="",GQ$7=""),"",ROUND(GQ79/GQ$8*GQ$7*KVARDI,2))</f>
        <v/>
      </c>
      <c r="GS79" s="39"/>
      <c r="GT79" s="40" t="str">
        <f aca="false">IF(OR(INDEX(Undirviðmið!$G$6:$G$105,(COLUMN()-7-1)/2+1)&lt;&gt;"Starfsbundið",GS79="",GS$8="",GS$7=""),"",ROUND(GS79/GS$8*GS$7*KVARDI,2))</f>
        <v/>
      </c>
      <c r="GU79" s="39"/>
      <c r="GV79" s="40" t="str">
        <f aca="false">IF(OR(INDEX(Undirviðmið!$G$6:$G$105,(COLUMN()-7-1)/2+1)&lt;&gt;"Starfsbundið",GU79="",GU$8="",GU$7=""),"",ROUND(GU79/GU$8*GU$7*KVARDI,2))</f>
        <v/>
      </c>
      <c r="GW79" s="39"/>
      <c r="GX79" s="40" t="str">
        <f aca="false">IF(OR(INDEX(Undirviðmið!$G$6:$G$105,(COLUMN()-7-1)/2+1)&lt;&gt;"Starfsbundið",GW79="",GW$8="",GW$7=""),"",ROUND(GW79/GW$8*GW$7*KVARDI,2))</f>
        <v/>
      </c>
      <c r="GZ79" s="20"/>
    </row>
    <row r="80" customFormat="false" ht="15" hidden="true" customHeight="true" outlineLevel="1" collapsed="false">
      <c r="B80" s="37" t="str">
        <f aca="false" t="array" ref="B80:B80">IFERROR(INDEX(Starfsmenn!$C$6:$C$10005,MATCH(0,COUNTIF($B$11:B79,Starfsmenn!$C$6:$C$10005)+(Starfsmenn!$C$6:$C$10005=""),0)),"")</f>
        <v/>
      </c>
      <c r="C80" s="38" t="n">
        <f aca="false">IFERROR(SUMIF($G$10:$GX$10,"Stig",$G80:$GX80),0)</f>
        <v>0</v>
      </c>
      <c r="G80" s="39"/>
      <c r="H80" s="40" t="str">
        <f aca="false">IF(OR(INDEX(Undirviðmið!$G$6:$G$105,(COLUMN()-7-1)/2+1)&lt;&gt;"Starfsbundið",G80="",G$8="",G$7=""),"",ROUND(G80/G$8*G$7*KVARDI,2))</f>
        <v/>
      </c>
      <c r="I80" s="39"/>
      <c r="J80" s="40" t="str">
        <f aca="false">IF(OR(INDEX(Undirviðmið!$G$6:$G$105,(COLUMN()-7-1)/2+1)&lt;&gt;"Starfsbundið",I80="",I$8="",I$7=""),"",ROUND(I80/I$8*I$7*KVARDI,2))</f>
        <v/>
      </c>
      <c r="K80" s="39"/>
      <c r="L80" s="40" t="str">
        <f aca="false">IF(OR(INDEX(Undirviðmið!$G$6:$G$105,(COLUMN()-7-1)/2+1)&lt;&gt;"Starfsbundið",K80="",K$8="",K$7=""),"",ROUND(K80/K$8*K$7*KVARDI,2))</f>
        <v/>
      </c>
      <c r="M80" s="39"/>
      <c r="N80" s="40" t="str">
        <f aca="false">IF(OR(INDEX(Undirviðmið!$G$6:$G$105,(COLUMN()-7-1)/2+1)&lt;&gt;"Starfsbundið",M80="",M$8="",M$7=""),"",ROUND(M80/M$8*M$7*KVARDI,2))</f>
        <v/>
      </c>
      <c r="O80" s="39"/>
      <c r="P80" s="40" t="str">
        <f aca="false">IF(OR(INDEX(Undirviðmið!$G$6:$G$105,(COLUMN()-7-1)/2+1)&lt;&gt;"Starfsbundið",O80="",O$8="",O$7=""),"",ROUND(O80/O$8*O$7*KVARDI,2))</f>
        <v/>
      </c>
      <c r="Q80" s="39"/>
      <c r="R80" s="40" t="str">
        <f aca="false">IF(OR(INDEX(Undirviðmið!$G$6:$G$105,(COLUMN()-7-1)/2+1)&lt;&gt;"Starfsbundið",Q80="",Q$8="",Q$7=""),"",ROUND(Q80/Q$8*Q$7*KVARDI,2))</f>
        <v/>
      </c>
      <c r="S80" s="39"/>
      <c r="T80" s="40" t="str">
        <f aca="false">IF(OR(INDEX(Undirviðmið!$G$6:$G$105,(COLUMN()-7-1)/2+1)&lt;&gt;"Starfsbundið",S80="",S$8="",S$7=""),"",ROUND(S80/S$8*S$7*KVARDI,2))</f>
        <v/>
      </c>
      <c r="U80" s="39"/>
      <c r="V80" s="40" t="str">
        <f aca="false">IF(OR(INDEX(Undirviðmið!$G$6:$G$105,(COLUMN()-7-1)/2+1)&lt;&gt;"Starfsbundið",U80="",U$8="",U$7=""),"",ROUND(U80/U$8*U$7*KVARDI,2))</f>
        <v/>
      </c>
      <c r="W80" s="39"/>
      <c r="X80" s="40" t="str">
        <f aca="false">IF(OR(INDEX(Undirviðmið!$G$6:$G$105,(COLUMN()-7-1)/2+1)&lt;&gt;"Starfsbundið",W80="",W$8="",W$7=""),"",ROUND(W80/W$8*W$7*KVARDI,2))</f>
        <v/>
      </c>
      <c r="Y80" s="39"/>
      <c r="Z80" s="40" t="str">
        <f aca="false">IF(OR(INDEX(Undirviðmið!$G$6:$G$105,(COLUMN()-7-1)/2+1)&lt;&gt;"Starfsbundið",Y80="",Y$8="",Y$7=""),"",ROUND(Y80/Y$8*Y$7*KVARDI,2))</f>
        <v/>
      </c>
      <c r="AA80" s="39"/>
      <c r="AB80" s="40" t="str">
        <f aca="false">IF(OR(INDEX(Undirviðmið!$G$6:$G$105,(COLUMN()-7-1)/2+1)&lt;&gt;"Starfsbundið",AA80="",AA$8="",AA$7=""),"",ROUND(AA80/AA$8*AA$7*KVARDI,2))</f>
        <v/>
      </c>
      <c r="AC80" s="39"/>
      <c r="AD80" s="40" t="str">
        <f aca="false">IF(OR(INDEX(Undirviðmið!$G$6:$G$105,(COLUMN()-7-1)/2+1)&lt;&gt;"Starfsbundið",AC80="",AC$8="",AC$7=""),"",ROUND(AC80/AC$8*AC$7*KVARDI,2))</f>
        <v/>
      </c>
      <c r="AE80" s="39"/>
      <c r="AF80" s="40" t="str">
        <f aca="false">IF(OR(INDEX(Undirviðmið!$G$6:$G$105,(COLUMN()-7-1)/2+1)&lt;&gt;"Starfsbundið",AE80="",AE$8="",AE$7=""),"",ROUND(AE80/AE$8*AE$7*KVARDI,2))</f>
        <v/>
      </c>
      <c r="AG80" s="39"/>
      <c r="AH80" s="40" t="str">
        <f aca="false">IF(OR(INDEX(Undirviðmið!$G$6:$G$105,(COLUMN()-7-1)/2+1)&lt;&gt;"Starfsbundið",AG80="",AG$8="",AG$7=""),"",ROUND(AG80/AG$8*AG$7*KVARDI,2))</f>
        <v/>
      </c>
      <c r="AI80" s="39"/>
      <c r="AJ80" s="40" t="str">
        <f aca="false">IF(OR(INDEX(Undirviðmið!$G$6:$G$105,(COLUMN()-7-1)/2+1)&lt;&gt;"Starfsbundið",AI80="",AI$8="",AI$7=""),"",ROUND(AI80/AI$8*AI$7*KVARDI,2))</f>
        <v/>
      </c>
      <c r="AK80" s="39"/>
      <c r="AL80" s="40" t="str">
        <f aca="false">IF(OR(INDEX(Undirviðmið!$G$6:$G$105,(COLUMN()-7-1)/2+1)&lt;&gt;"Starfsbundið",AK80="",AK$8="",AK$7=""),"",ROUND(AK80/AK$8*AK$7*KVARDI,2))</f>
        <v/>
      </c>
      <c r="AM80" s="39"/>
      <c r="AN80" s="40" t="str">
        <f aca="false">IF(OR(INDEX(Undirviðmið!$G$6:$G$105,(COLUMN()-7-1)/2+1)&lt;&gt;"Starfsbundið",AM80="",AM$8="",AM$7=""),"",ROUND(AM80/AM$8*AM$7*KVARDI,2))</f>
        <v/>
      </c>
      <c r="AO80" s="39"/>
      <c r="AP80" s="40" t="str">
        <f aca="false">IF(OR(INDEX(Undirviðmið!$G$6:$G$105,(COLUMN()-7-1)/2+1)&lt;&gt;"Starfsbundið",AO80="",AO$8="",AO$7=""),"",ROUND(AO80/AO$8*AO$7*KVARDI,2))</f>
        <v/>
      </c>
      <c r="AQ80" s="39"/>
      <c r="AR80" s="40" t="str">
        <f aca="false">IF(OR(INDEX(Undirviðmið!$G$6:$G$105,(COLUMN()-7-1)/2+1)&lt;&gt;"Starfsbundið",AQ80="",AQ$8="",AQ$7=""),"",ROUND(AQ80/AQ$8*AQ$7*KVARDI,2))</f>
        <v/>
      </c>
      <c r="AS80" s="39"/>
      <c r="AT80" s="40" t="str">
        <f aca="false">IF(OR(INDEX(Undirviðmið!$G$6:$G$105,(COLUMN()-7-1)/2+1)&lt;&gt;"Starfsbundið",AS80="",AS$8="",AS$7=""),"",ROUND(AS80/AS$8*AS$7*KVARDI,2))</f>
        <v/>
      </c>
      <c r="AU80" s="39"/>
      <c r="AV80" s="40" t="str">
        <f aca="false">IF(OR(INDEX(Undirviðmið!$G$6:$G$105,(COLUMN()-7-1)/2+1)&lt;&gt;"Starfsbundið",AU80="",AU$8="",AU$7=""),"",ROUND(AU80/AU$8*AU$7*KVARDI,2))</f>
        <v/>
      </c>
      <c r="AW80" s="39"/>
      <c r="AX80" s="40" t="str">
        <f aca="false">IF(OR(INDEX(Undirviðmið!$G$6:$G$105,(COLUMN()-7-1)/2+1)&lt;&gt;"Starfsbundið",AW80="",AW$8="",AW$7=""),"",ROUND(AW80/AW$8*AW$7*KVARDI,2))</f>
        <v/>
      </c>
      <c r="AY80" s="39"/>
      <c r="AZ80" s="40" t="str">
        <f aca="false">IF(OR(INDEX(Undirviðmið!$G$6:$G$105,(COLUMN()-7-1)/2+1)&lt;&gt;"Starfsbundið",AY80="",AY$8="",AY$7=""),"",ROUND(AY80/AY$8*AY$7*KVARDI,2))</f>
        <v/>
      </c>
      <c r="BA80" s="39"/>
      <c r="BB80" s="40" t="str">
        <f aca="false">IF(OR(INDEX(Undirviðmið!$G$6:$G$105,(COLUMN()-7-1)/2+1)&lt;&gt;"Starfsbundið",BA80="",BA$8="",BA$7=""),"",ROUND(BA80/BA$8*BA$7*KVARDI,2))</f>
        <v/>
      </c>
      <c r="BC80" s="39"/>
      <c r="BD80" s="40" t="str">
        <f aca="false">IF(OR(INDEX(Undirviðmið!$G$6:$G$105,(COLUMN()-7-1)/2+1)&lt;&gt;"Starfsbundið",BC80="",BC$8="",BC$7=""),"",ROUND(BC80/BC$8*BC$7*KVARDI,2))</f>
        <v/>
      </c>
      <c r="BE80" s="39"/>
      <c r="BF80" s="40" t="str">
        <f aca="false">IF(OR(INDEX(Undirviðmið!$G$6:$G$105,(COLUMN()-7-1)/2+1)&lt;&gt;"Starfsbundið",BE80="",BE$8="",BE$7=""),"",ROUND(BE80/BE$8*BE$7*KVARDI,2))</f>
        <v/>
      </c>
      <c r="BG80" s="39"/>
      <c r="BH80" s="40" t="str">
        <f aca="false">IF(OR(INDEX(Undirviðmið!$G$6:$G$105,(COLUMN()-7-1)/2+1)&lt;&gt;"Starfsbundið",BG80="",BG$8="",BG$7=""),"",ROUND(BG80/BG$8*BG$7*KVARDI,2))</f>
        <v/>
      </c>
      <c r="BI80" s="39"/>
      <c r="BJ80" s="40" t="str">
        <f aca="false">IF(OR(INDEX(Undirviðmið!$G$6:$G$105,(COLUMN()-7-1)/2+1)&lt;&gt;"Starfsbundið",BI80="",BI$8="",BI$7=""),"",ROUND(BI80/BI$8*BI$7*KVARDI,2))</f>
        <v/>
      </c>
      <c r="BK80" s="39"/>
      <c r="BL80" s="40" t="str">
        <f aca="false">IF(OR(INDEX(Undirviðmið!$G$6:$G$105,(COLUMN()-7-1)/2+1)&lt;&gt;"Starfsbundið",BK80="",BK$8="",BK$7=""),"",ROUND(BK80/BK$8*BK$7*KVARDI,2))</f>
        <v/>
      </c>
      <c r="BM80" s="39"/>
      <c r="BN80" s="40" t="str">
        <f aca="false">IF(OR(INDEX(Undirviðmið!$G$6:$G$105,(COLUMN()-7-1)/2+1)&lt;&gt;"Starfsbundið",BM80="",BM$8="",BM$7=""),"",ROUND(BM80/BM$8*BM$7*KVARDI,2))</f>
        <v/>
      </c>
      <c r="BO80" s="39"/>
      <c r="BP80" s="40" t="str">
        <f aca="false">IF(OR(INDEX(Undirviðmið!$G$6:$G$105,(COLUMN()-7-1)/2+1)&lt;&gt;"Starfsbundið",BO80="",BO$8="",BO$7=""),"",ROUND(BO80/BO$8*BO$7*KVARDI,2))</f>
        <v/>
      </c>
      <c r="BQ80" s="39"/>
      <c r="BR80" s="40" t="str">
        <f aca="false">IF(OR(INDEX(Undirviðmið!$G$6:$G$105,(COLUMN()-7-1)/2+1)&lt;&gt;"Starfsbundið",BQ80="",BQ$8="",BQ$7=""),"",ROUND(BQ80/BQ$8*BQ$7*KVARDI,2))</f>
        <v/>
      </c>
      <c r="BS80" s="39"/>
      <c r="BT80" s="40" t="str">
        <f aca="false">IF(OR(INDEX(Undirviðmið!$G$6:$G$105,(COLUMN()-7-1)/2+1)&lt;&gt;"Starfsbundið",BS80="",BS$8="",BS$7=""),"",ROUND(BS80/BS$8*BS$7*KVARDI,2))</f>
        <v/>
      </c>
      <c r="BU80" s="39"/>
      <c r="BV80" s="40" t="str">
        <f aca="false">IF(OR(INDEX(Undirviðmið!$G$6:$G$105,(COLUMN()-7-1)/2+1)&lt;&gt;"Starfsbundið",BU80="",BU$8="",BU$7=""),"",ROUND(BU80/BU$8*BU$7*KVARDI,2))</f>
        <v/>
      </c>
      <c r="BW80" s="39"/>
      <c r="BX80" s="40" t="str">
        <f aca="false">IF(OR(INDEX(Undirviðmið!$G$6:$G$105,(COLUMN()-7-1)/2+1)&lt;&gt;"Starfsbundið",BW80="",BW$8="",BW$7=""),"",ROUND(BW80/BW$8*BW$7*KVARDI,2))</f>
        <v/>
      </c>
      <c r="BY80" s="39"/>
      <c r="BZ80" s="40" t="str">
        <f aca="false">IF(OR(INDEX(Undirviðmið!$G$6:$G$105,(COLUMN()-7-1)/2+1)&lt;&gt;"Starfsbundið",BY80="",BY$8="",BY$7=""),"",ROUND(BY80/BY$8*BY$7*KVARDI,2))</f>
        <v/>
      </c>
      <c r="CA80" s="39"/>
      <c r="CB80" s="40" t="str">
        <f aca="false">IF(OR(INDEX(Undirviðmið!$G$6:$G$105,(COLUMN()-7-1)/2+1)&lt;&gt;"Starfsbundið",CA80="",CA$8="",CA$7=""),"",ROUND(CA80/CA$8*CA$7*KVARDI,2))</f>
        <v/>
      </c>
      <c r="CC80" s="39"/>
      <c r="CD80" s="40" t="str">
        <f aca="false">IF(OR(INDEX(Undirviðmið!$G$6:$G$105,(COLUMN()-7-1)/2+1)&lt;&gt;"Starfsbundið",CC80="",CC$8="",CC$7=""),"",ROUND(CC80/CC$8*CC$7*KVARDI,2))</f>
        <v/>
      </c>
      <c r="CE80" s="39"/>
      <c r="CF80" s="40" t="str">
        <f aca="false">IF(OR(INDEX(Undirviðmið!$G$6:$G$105,(COLUMN()-7-1)/2+1)&lt;&gt;"Starfsbundið",CE80="",CE$8="",CE$7=""),"",ROUND(CE80/CE$8*CE$7*KVARDI,2))</f>
        <v/>
      </c>
      <c r="CG80" s="39"/>
      <c r="CH80" s="40" t="str">
        <f aca="false">IF(OR(INDEX(Undirviðmið!$G$6:$G$105,(COLUMN()-7-1)/2+1)&lt;&gt;"Starfsbundið",CG80="",CG$8="",CG$7=""),"",ROUND(CG80/CG$8*CG$7*KVARDI,2))</f>
        <v/>
      </c>
      <c r="CI80" s="39"/>
      <c r="CJ80" s="40" t="str">
        <f aca="false">IF(OR(INDEX(Undirviðmið!$G$6:$G$105,(COLUMN()-7-1)/2+1)&lt;&gt;"Starfsbundið",CI80="",CI$8="",CI$7=""),"",ROUND(CI80/CI$8*CI$7*KVARDI,2))</f>
        <v/>
      </c>
      <c r="CK80" s="39"/>
      <c r="CL80" s="40" t="str">
        <f aca="false">IF(OR(INDEX(Undirviðmið!$G$6:$G$105,(COLUMN()-7-1)/2+1)&lt;&gt;"Starfsbundið",CK80="",CK$8="",CK$7=""),"",ROUND(CK80/CK$8*CK$7*KVARDI,2))</f>
        <v/>
      </c>
      <c r="CM80" s="39"/>
      <c r="CN80" s="40" t="str">
        <f aca="false">IF(OR(INDEX(Undirviðmið!$G$6:$G$105,(COLUMN()-7-1)/2+1)&lt;&gt;"Starfsbundið",CM80="",CM$8="",CM$7=""),"",ROUND(CM80/CM$8*CM$7*KVARDI,2))</f>
        <v/>
      </c>
      <c r="CO80" s="39"/>
      <c r="CP80" s="40" t="str">
        <f aca="false">IF(OR(INDEX(Undirviðmið!$G$6:$G$105,(COLUMN()-7-1)/2+1)&lt;&gt;"Starfsbundið",CO80="",CO$8="",CO$7=""),"",ROUND(CO80/CO$8*CO$7*KVARDI,2))</f>
        <v/>
      </c>
      <c r="CQ80" s="39"/>
      <c r="CR80" s="40" t="str">
        <f aca="false">IF(OR(INDEX(Undirviðmið!$G$6:$G$105,(COLUMN()-7-1)/2+1)&lt;&gt;"Starfsbundið",CQ80="",CQ$8="",CQ$7=""),"",ROUND(CQ80/CQ$8*CQ$7*KVARDI,2))</f>
        <v/>
      </c>
      <c r="CS80" s="39"/>
      <c r="CT80" s="40" t="str">
        <f aca="false">IF(OR(INDEX(Undirviðmið!$G$6:$G$105,(COLUMN()-7-1)/2+1)&lt;&gt;"Starfsbundið",CS80="",CS$8="",CS$7=""),"",ROUND(CS80/CS$8*CS$7*KVARDI,2))</f>
        <v/>
      </c>
      <c r="CU80" s="39"/>
      <c r="CV80" s="40" t="str">
        <f aca="false">IF(OR(INDEX(Undirviðmið!$G$6:$G$105,(COLUMN()-7-1)/2+1)&lt;&gt;"Starfsbundið",CU80="",CU$8="",CU$7=""),"",ROUND(CU80/CU$8*CU$7*KVARDI,2))</f>
        <v/>
      </c>
      <c r="CW80" s="39"/>
      <c r="CX80" s="40" t="str">
        <f aca="false">IF(OR(INDEX(Undirviðmið!$G$6:$G$105,(COLUMN()-7-1)/2+1)&lt;&gt;"Starfsbundið",CW80="",CW$8="",CW$7=""),"",ROUND(CW80/CW$8*CW$7*KVARDI,2))</f>
        <v/>
      </c>
      <c r="CY80" s="39"/>
      <c r="CZ80" s="40" t="str">
        <f aca="false">IF(OR(INDEX(Undirviðmið!$G$6:$G$105,(COLUMN()-7-1)/2+1)&lt;&gt;"Starfsbundið",CY80="",CY$8="",CY$7=""),"",ROUND(CY80/CY$8*CY$7*KVARDI,2))</f>
        <v/>
      </c>
      <c r="DA80" s="39"/>
      <c r="DB80" s="40" t="str">
        <f aca="false">IF(OR(INDEX(Undirviðmið!$G$6:$G$105,(COLUMN()-7-1)/2+1)&lt;&gt;"Starfsbundið",DA80="",DA$8="",DA$7=""),"",ROUND(DA80/DA$8*DA$7*KVARDI,2))</f>
        <v/>
      </c>
      <c r="DC80" s="39"/>
      <c r="DD80" s="40" t="str">
        <f aca="false">IF(OR(INDEX(Undirviðmið!$G$6:$G$105,(COLUMN()-7-1)/2+1)&lt;&gt;"Starfsbundið",DC80="",DC$8="",DC$7=""),"",ROUND(DC80/DC$8*DC$7*KVARDI,2))</f>
        <v/>
      </c>
      <c r="DE80" s="39"/>
      <c r="DF80" s="40" t="str">
        <f aca="false">IF(OR(INDEX(Undirviðmið!$G$6:$G$105,(COLUMN()-7-1)/2+1)&lt;&gt;"Starfsbundið",DE80="",DE$8="",DE$7=""),"",ROUND(DE80/DE$8*DE$7*KVARDI,2))</f>
        <v/>
      </c>
      <c r="DG80" s="39"/>
      <c r="DH80" s="40" t="str">
        <f aca="false">IF(OR(INDEX(Undirviðmið!$G$6:$G$105,(COLUMN()-7-1)/2+1)&lt;&gt;"Starfsbundið",DG80="",DG$8="",DG$7=""),"",ROUND(DG80/DG$8*DG$7*KVARDI,2))</f>
        <v/>
      </c>
      <c r="DI80" s="39"/>
      <c r="DJ80" s="40" t="str">
        <f aca="false">IF(OR(INDEX(Undirviðmið!$G$6:$G$105,(COLUMN()-7-1)/2+1)&lt;&gt;"Starfsbundið",DI80="",DI$8="",DI$7=""),"",ROUND(DI80/DI$8*DI$7*KVARDI,2))</f>
        <v/>
      </c>
      <c r="DK80" s="39"/>
      <c r="DL80" s="40" t="str">
        <f aca="false">IF(OR(INDEX(Undirviðmið!$G$6:$G$105,(COLUMN()-7-1)/2+1)&lt;&gt;"Starfsbundið",DK80="",DK$8="",DK$7=""),"",ROUND(DK80/DK$8*DK$7*KVARDI,2))</f>
        <v/>
      </c>
      <c r="DM80" s="39"/>
      <c r="DN80" s="40" t="str">
        <f aca="false">IF(OR(INDEX(Undirviðmið!$G$6:$G$105,(COLUMN()-7-1)/2+1)&lt;&gt;"Starfsbundið",DM80="",DM$8="",DM$7=""),"",ROUND(DM80/DM$8*DM$7*KVARDI,2))</f>
        <v/>
      </c>
      <c r="DO80" s="39"/>
      <c r="DP80" s="40" t="str">
        <f aca="false">IF(OR(INDEX(Undirviðmið!$G$6:$G$105,(COLUMN()-7-1)/2+1)&lt;&gt;"Starfsbundið",DO80="",DO$8="",DO$7=""),"",ROUND(DO80/DO$8*DO$7*KVARDI,2))</f>
        <v/>
      </c>
      <c r="DQ80" s="39"/>
      <c r="DR80" s="40" t="str">
        <f aca="false">IF(OR(INDEX(Undirviðmið!$G$6:$G$105,(COLUMN()-7-1)/2+1)&lt;&gt;"Starfsbundið",DQ80="",DQ$8="",DQ$7=""),"",ROUND(DQ80/DQ$8*DQ$7*KVARDI,2))</f>
        <v/>
      </c>
      <c r="DS80" s="39"/>
      <c r="DT80" s="40" t="str">
        <f aca="false">IF(OR(INDEX(Undirviðmið!$G$6:$G$105,(COLUMN()-7-1)/2+1)&lt;&gt;"Starfsbundið",DS80="",DS$8="",DS$7=""),"",ROUND(DS80/DS$8*DS$7*KVARDI,2))</f>
        <v/>
      </c>
      <c r="DU80" s="39"/>
      <c r="DV80" s="40" t="str">
        <f aca="false">IF(OR(INDEX(Undirviðmið!$G$6:$G$105,(COLUMN()-7-1)/2+1)&lt;&gt;"Starfsbundið",DU80="",DU$8="",DU$7=""),"",ROUND(DU80/DU$8*DU$7*KVARDI,2))</f>
        <v/>
      </c>
      <c r="DW80" s="39"/>
      <c r="DX80" s="40" t="str">
        <f aca="false">IF(OR(INDEX(Undirviðmið!$G$6:$G$105,(COLUMN()-7-1)/2+1)&lt;&gt;"Starfsbundið",DW80="",DW$8="",DW$7=""),"",ROUND(DW80/DW$8*DW$7*KVARDI,2))</f>
        <v/>
      </c>
      <c r="DY80" s="39"/>
      <c r="DZ80" s="40" t="str">
        <f aca="false">IF(OR(INDEX(Undirviðmið!$G$6:$G$105,(COLUMN()-7-1)/2+1)&lt;&gt;"Starfsbundið",DY80="",DY$8="",DY$7=""),"",ROUND(DY80/DY$8*DY$7*KVARDI,2))</f>
        <v/>
      </c>
      <c r="EA80" s="39"/>
      <c r="EB80" s="40" t="str">
        <f aca="false">IF(OR(INDEX(Undirviðmið!$G$6:$G$105,(COLUMN()-7-1)/2+1)&lt;&gt;"Starfsbundið",EA80="",EA$8="",EA$7=""),"",ROUND(EA80/EA$8*EA$7*KVARDI,2))</f>
        <v/>
      </c>
      <c r="EC80" s="39"/>
      <c r="ED80" s="40" t="str">
        <f aca="false">IF(OR(INDEX(Undirviðmið!$G$6:$G$105,(COLUMN()-7-1)/2+1)&lt;&gt;"Starfsbundið",EC80="",EC$8="",EC$7=""),"",ROUND(EC80/EC$8*EC$7*KVARDI,2))</f>
        <v/>
      </c>
      <c r="EE80" s="39"/>
      <c r="EF80" s="40" t="str">
        <f aca="false">IF(OR(INDEX(Undirviðmið!$G$6:$G$105,(COLUMN()-7-1)/2+1)&lt;&gt;"Starfsbundið",EE80="",EE$8="",EE$7=""),"",ROUND(EE80/EE$8*EE$7*KVARDI,2))</f>
        <v/>
      </c>
      <c r="EG80" s="39"/>
      <c r="EH80" s="40" t="str">
        <f aca="false">IF(OR(INDEX(Undirviðmið!$G$6:$G$105,(COLUMN()-7-1)/2+1)&lt;&gt;"Starfsbundið",EG80="",EG$8="",EG$7=""),"",ROUND(EG80/EG$8*EG$7*KVARDI,2))</f>
        <v/>
      </c>
      <c r="EI80" s="39"/>
      <c r="EJ80" s="40" t="str">
        <f aca="false">IF(OR(INDEX(Undirviðmið!$G$6:$G$105,(COLUMN()-7-1)/2+1)&lt;&gt;"Starfsbundið",EI80="",EI$8="",EI$7=""),"",ROUND(EI80/EI$8*EI$7*KVARDI,2))</f>
        <v/>
      </c>
      <c r="EK80" s="39"/>
      <c r="EL80" s="40" t="str">
        <f aca="false">IF(OR(INDEX(Undirviðmið!$G$6:$G$105,(COLUMN()-7-1)/2+1)&lt;&gt;"Starfsbundið",EK80="",EK$8="",EK$7=""),"",ROUND(EK80/EK$8*EK$7*KVARDI,2))</f>
        <v/>
      </c>
      <c r="EM80" s="39"/>
      <c r="EN80" s="40" t="str">
        <f aca="false">IF(OR(INDEX(Undirviðmið!$G$6:$G$105,(COLUMN()-7-1)/2+1)&lt;&gt;"Starfsbundið",EM80="",EM$8="",EM$7=""),"",ROUND(EM80/EM$8*EM$7*KVARDI,2))</f>
        <v/>
      </c>
      <c r="EO80" s="39"/>
      <c r="EP80" s="40" t="str">
        <f aca="false">IF(OR(INDEX(Undirviðmið!$G$6:$G$105,(COLUMN()-7-1)/2+1)&lt;&gt;"Starfsbundið",EO80="",EO$8="",EO$7=""),"",ROUND(EO80/EO$8*EO$7*KVARDI,2))</f>
        <v/>
      </c>
      <c r="EQ80" s="39"/>
      <c r="ER80" s="40" t="str">
        <f aca="false">IF(OR(INDEX(Undirviðmið!$G$6:$G$105,(COLUMN()-7-1)/2+1)&lt;&gt;"Starfsbundið",EQ80="",EQ$8="",EQ$7=""),"",ROUND(EQ80/EQ$8*EQ$7*KVARDI,2))</f>
        <v/>
      </c>
      <c r="ES80" s="39"/>
      <c r="ET80" s="40" t="str">
        <f aca="false">IF(OR(INDEX(Undirviðmið!$G$6:$G$105,(COLUMN()-7-1)/2+1)&lt;&gt;"Starfsbundið",ES80="",ES$8="",ES$7=""),"",ROUND(ES80/ES$8*ES$7*KVARDI,2))</f>
        <v/>
      </c>
      <c r="EU80" s="39"/>
      <c r="EV80" s="40" t="str">
        <f aca="false">IF(OR(INDEX(Undirviðmið!$G$6:$G$105,(COLUMN()-7-1)/2+1)&lt;&gt;"Starfsbundið",EU80="",EU$8="",EU$7=""),"",ROUND(EU80/EU$8*EU$7*KVARDI,2))</f>
        <v/>
      </c>
      <c r="EW80" s="39"/>
      <c r="EX80" s="40" t="str">
        <f aca="false">IF(OR(INDEX(Undirviðmið!$G$6:$G$105,(COLUMN()-7-1)/2+1)&lt;&gt;"Starfsbundið",EW80="",EW$8="",EW$7=""),"",ROUND(EW80/EW$8*EW$7*KVARDI,2))</f>
        <v/>
      </c>
      <c r="EY80" s="39"/>
      <c r="EZ80" s="40" t="str">
        <f aca="false">IF(OR(INDEX(Undirviðmið!$G$6:$G$105,(COLUMN()-7-1)/2+1)&lt;&gt;"Starfsbundið",EY80="",EY$8="",EY$7=""),"",ROUND(EY80/EY$8*EY$7*KVARDI,2))</f>
        <v/>
      </c>
      <c r="FA80" s="39"/>
      <c r="FB80" s="40" t="str">
        <f aca="false">IF(OR(INDEX(Undirviðmið!$G$6:$G$105,(COLUMN()-7-1)/2+1)&lt;&gt;"Starfsbundið",FA80="",FA$8="",FA$7=""),"",ROUND(FA80/FA$8*FA$7*KVARDI,2))</f>
        <v/>
      </c>
      <c r="FC80" s="39"/>
      <c r="FD80" s="40" t="str">
        <f aca="false">IF(OR(INDEX(Undirviðmið!$G$6:$G$105,(COLUMN()-7-1)/2+1)&lt;&gt;"Starfsbundið",FC80="",FC$8="",FC$7=""),"",ROUND(FC80/FC$8*FC$7*KVARDI,2))</f>
        <v/>
      </c>
      <c r="FE80" s="39"/>
      <c r="FF80" s="40" t="str">
        <f aca="false">IF(OR(INDEX(Undirviðmið!$G$6:$G$105,(COLUMN()-7-1)/2+1)&lt;&gt;"Starfsbundið",FE80="",FE$8="",FE$7=""),"",ROUND(FE80/FE$8*FE$7*KVARDI,2))</f>
        <v/>
      </c>
      <c r="FG80" s="39"/>
      <c r="FH80" s="40" t="str">
        <f aca="false">IF(OR(INDEX(Undirviðmið!$G$6:$G$105,(COLUMN()-7-1)/2+1)&lt;&gt;"Starfsbundið",FG80="",FG$8="",FG$7=""),"",ROUND(FG80/FG$8*FG$7*KVARDI,2))</f>
        <v/>
      </c>
      <c r="FI80" s="39"/>
      <c r="FJ80" s="40" t="str">
        <f aca="false">IF(OR(INDEX(Undirviðmið!$G$6:$G$105,(COLUMN()-7-1)/2+1)&lt;&gt;"Starfsbundið",FI80="",FI$8="",FI$7=""),"",ROUND(FI80/FI$8*FI$7*KVARDI,2))</f>
        <v/>
      </c>
      <c r="FK80" s="39"/>
      <c r="FL80" s="40" t="str">
        <f aca="false">IF(OR(INDEX(Undirviðmið!$G$6:$G$105,(COLUMN()-7-1)/2+1)&lt;&gt;"Starfsbundið",FK80="",FK$8="",FK$7=""),"",ROUND(FK80/FK$8*FK$7*KVARDI,2))</f>
        <v/>
      </c>
      <c r="FM80" s="39"/>
      <c r="FN80" s="40" t="str">
        <f aca="false">IF(OR(INDEX(Undirviðmið!$G$6:$G$105,(COLUMN()-7-1)/2+1)&lt;&gt;"Starfsbundið",FM80="",FM$8="",FM$7=""),"",ROUND(FM80/FM$8*FM$7*KVARDI,2))</f>
        <v/>
      </c>
      <c r="FO80" s="39"/>
      <c r="FP80" s="40" t="str">
        <f aca="false">IF(OR(INDEX(Undirviðmið!$G$6:$G$105,(COLUMN()-7-1)/2+1)&lt;&gt;"Starfsbundið",FO80="",FO$8="",FO$7=""),"",ROUND(FO80/FO$8*FO$7*KVARDI,2))</f>
        <v/>
      </c>
      <c r="FQ80" s="39"/>
      <c r="FR80" s="40" t="str">
        <f aca="false">IF(OR(INDEX(Undirviðmið!$G$6:$G$105,(COLUMN()-7-1)/2+1)&lt;&gt;"Starfsbundið",FQ80="",FQ$8="",FQ$7=""),"",ROUND(FQ80/FQ$8*FQ$7*KVARDI,2))</f>
        <v/>
      </c>
      <c r="FS80" s="39"/>
      <c r="FT80" s="40" t="str">
        <f aca="false">IF(OR(INDEX(Undirviðmið!$G$6:$G$105,(COLUMN()-7-1)/2+1)&lt;&gt;"Starfsbundið",FS80="",FS$8="",FS$7=""),"",ROUND(FS80/FS$8*FS$7*KVARDI,2))</f>
        <v/>
      </c>
      <c r="FU80" s="39"/>
      <c r="FV80" s="40" t="str">
        <f aca="false">IF(OR(INDEX(Undirviðmið!$G$6:$G$105,(COLUMN()-7-1)/2+1)&lt;&gt;"Starfsbundið",FU80="",FU$8="",FU$7=""),"",ROUND(FU80/FU$8*FU$7*KVARDI,2))</f>
        <v/>
      </c>
      <c r="FW80" s="39"/>
      <c r="FX80" s="40" t="str">
        <f aca="false">IF(OR(INDEX(Undirviðmið!$G$6:$G$105,(COLUMN()-7-1)/2+1)&lt;&gt;"Starfsbundið",FW80="",FW$8="",FW$7=""),"",ROUND(FW80/FW$8*FW$7*KVARDI,2))</f>
        <v/>
      </c>
      <c r="FY80" s="39"/>
      <c r="FZ80" s="40" t="str">
        <f aca="false">IF(OR(INDEX(Undirviðmið!$G$6:$G$105,(COLUMN()-7-1)/2+1)&lt;&gt;"Starfsbundið",FY80="",FY$8="",FY$7=""),"",ROUND(FY80/FY$8*FY$7*KVARDI,2))</f>
        <v/>
      </c>
      <c r="GA80" s="39"/>
      <c r="GB80" s="40" t="str">
        <f aca="false">IF(OR(INDEX(Undirviðmið!$G$6:$G$105,(COLUMN()-7-1)/2+1)&lt;&gt;"Starfsbundið",GA80="",GA$8="",GA$7=""),"",ROUND(GA80/GA$8*GA$7*KVARDI,2))</f>
        <v/>
      </c>
      <c r="GC80" s="39"/>
      <c r="GD80" s="40" t="str">
        <f aca="false">IF(OR(INDEX(Undirviðmið!$G$6:$G$105,(COLUMN()-7-1)/2+1)&lt;&gt;"Starfsbundið",GC80="",GC$8="",GC$7=""),"",ROUND(GC80/GC$8*GC$7*KVARDI,2))</f>
        <v/>
      </c>
      <c r="GE80" s="39"/>
      <c r="GF80" s="40" t="str">
        <f aca="false">IF(OR(INDEX(Undirviðmið!$G$6:$G$105,(COLUMN()-7-1)/2+1)&lt;&gt;"Starfsbundið",GE80="",GE$8="",GE$7=""),"",ROUND(GE80/GE$8*GE$7*KVARDI,2))</f>
        <v/>
      </c>
      <c r="GG80" s="39"/>
      <c r="GH80" s="40" t="str">
        <f aca="false">IF(OR(INDEX(Undirviðmið!$G$6:$G$105,(COLUMN()-7-1)/2+1)&lt;&gt;"Starfsbundið",GG80="",GG$8="",GG$7=""),"",ROUND(GG80/GG$8*GG$7*KVARDI,2))</f>
        <v/>
      </c>
      <c r="GI80" s="39"/>
      <c r="GJ80" s="40" t="str">
        <f aca="false">IF(OR(INDEX(Undirviðmið!$G$6:$G$105,(COLUMN()-7-1)/2+1)&lt;&gt;"Starfsbundið",GI80="",GI$8="",GI$7=""),"",ROUND(GI80/GI$8*GI$7*KVARDI,2))</f>
        <v/>
      </c>
      <c r="GK80" s="39"/>
      <c r="GL80" s="40" t="str">
        <f aca="false">IF(OR(INDEX(Undirviðmið!$G$6:$G$105,(COLUMN()-7-1)/2+1)&lt;&gt;"Starfsbundið",GK80="",GK$8="",GK$7=""),"",ROUND(GK80/GK$8*GK$7*KVARDI,2))</f>
        <v/>
      </c>
      <c r="GM80" s="39"/>
      <c r="GN80" s="40" t="str">
        <f aca="false">IF(OR(INDEX(Undirviðmið!$G$6:$G$105,(COLUMN()-7-1)/2+1)&lt;&gt;"Starfsbundið",GM80="",GM$8="",GM$7=""),"",ROUND(GM80/GM$8*GM$7*KVARDI,2))</f>
        <v/>
      </c>
      <c r="GO80" s="39"/>
      <c r="GP80" s="40" t="str">
        <f aca="false">IF(OR(INDEX(Undirviðmið!$G$6:$G$105,(COLUMN()-7-1)/2+1)&lt;&gt;"Starfsbundið",GO80="",GO$8="",GO$7=""),"",ROUND(GO80/GO$8*GO$7*KVARDI,2))</f>
        <v/>
      </c>
      <c r="GQ80" s="39"/>
      <c r="GR80" s="40" t="str">
        <f aca="false">IF(OR(INDEX(Undirviðmið!$G$6:$G$105,(COLUMN()-7-1)/2+1)&lt;&gt;"Starfsbundið",GQ80="",GQ$8="",GQ$7=""),"",ROUND(GQ80/GQ$8*GQ$7*KVARDI,2))</f>
        <v/>
      </c>
      <c r="GS80" s="39"/>
      <c r="GT80" s="40" t="str">
        <f aca="false">IF(OR(INDEX(Undirviðmið!$G$6:$G$105,(COLUMN()-7-1)/2+1)&lt;&gt;"Starfsbundið",GS80="",GS$8="",GS$7=""),"",ROUND(GS80/GS$8*GS$7*KVARDI,2))</f>
        <v/>
      </c>
      <c r="GU80" s="39"/>
      <c r="GV80" s="40" t="str">
        <f aca="false">IF(OR(INDEX(Undirviðmið!$G$6:$G$105,(COLUMN()-7-1)/2+1)&lt;&gt;"Starfsbundið",GU80="",GU$8="",GU$7=""),"",ROUND(GU80/GU$8*GU$7*KVARDI,2))</f>
        <v/>
      </c>
      <c r="GW80" s="39"/>
      <c r="GX80" s="40" t="str">
        <f aca="false">IF(OR(INDEX(Undirviðmið!$G$6:$G$105,(COLUMN()-7-1)/2+1)&lt;&gt;"Starfsbundið",GW80="",GW$8="",GW$7=""),"",ROUND(GW80/GW$8*GW$7*KVARDI,2))</f>
        <v/>
      </c>
      <c r="GZ80" s="20"/>
    </row>
    <row r="81" customFormat="false" ht="15" hidden="true" customHeight="true" outlineLevel="1" collapsed="false">
      <c r="B81" s="37" t="str">
        <f aca="false" t="array" ref="B81:B81">IFERROR(INDEX(Starfsmenn!$C$6:$C$10005,MATCH(0,COUNTIF($B$11:B80,Starfsmenn!$C$6:$C$10005)+(Starfsmenn!$C$6:$C$10005=""),0)),"")</f>
        <v/>
      </c>
      <c r="C81" s="38" t="n">
        <f aca="false">IFERROR(SUMIF($G$10:$GX$10,"Stig",$G81:$GX81),0)</f>
        <v>0</v>
      </c>
      <c r="G81" s="39"/>
      <c r="H81" s="40" t="str">
        <f aca="false">IF(OR(INDEX(Undirviðmið!$G$6:$G$105,(COLUMN()-7-1)/2+1)&lt;&gt;"Starfsbundið",G81="",G$8="",G$7=""),"",ROUND(G81/G$8*G$7*KVARDI,2))</f>
        <v/>
      </c>
      <c r="I81" s="39"/>
      <c r="J81" s="40" t="str">
        <f aca="false">IF(OR(INDEX(Undirviðmið!$G$6:$G$105,(COLUMN()-7-1)/2+1)&lt;&gt;"Starfsbundið",I81="",I$8="",I$7=""),"",ROUND(I81/I$8*I$7*KVARDI,2))</f>
        <v/>
      </c>
      <c r="K81" s="39"/>
      <c r="L81" s="40" t="str">
        <f aca="false">IF(OR(INDEX(Undirviðmið!$G$6:$G$105,(COLUMN()-7-1)/2+1)&lt;&gt;"Starfsbundið",K81="",K$8="",K$7=""),"",ROUND(K81/K$8*K$7*KVARDI,2))</f>
        <v/>
      </c>
      <c r="M81" s="39"/>
      <c r="N81" s="40" t="str">
        <f aca="false">IF(OR(INDEX(Undirviðmið!$G$6:$G$105,(COLUMN()-7-1)/2+1)&lt;&gt;"Starfsbundið",M81="",M$8="",M$7=""),"",ROUND(M81/M$8*M$7*KVARDI,2))</f>
        <v/>
      </c>
      <c r="O81" s="39"/>
      <c r="P81" s="40" t="str">
        <f aca="false">IF(OR(INDEX(Undirviðmið!$G$6:$G$105,(COLUMN()-7-1)/2+1)&lt;&gt;"Starfsbundið",O81="",O$8="",O$7=""),"",ROUND(O81/O$8*O$7*KVARDI,2))</f>
        <v/>
      </c>
      <c r="Q81" s="39"/>
      <c r="R81" s="40" t="str">
        <f aca="false">IF(OR(INDEX(Undirviðmið!$G$6:$G$105,(COLUMN()-7-1)/2+1)&lt;&gt;"Starfsbundið",Q81="",Q$8="",Q$7=""),"",ROUND(Q81/Q$8*Q$7*KVARDI,2))</f>
        <v/>
      </c>
      <c r="S81" s="39"/>
      <c r="T81" s="40" t="str">
        <f aca="false">IF(OR(INDEX(Undirviðmið!$G$6:$G$105,(COLUMN()-7-1)/2+1)&lt;&gt;"Starfsbundið",S81="",S$8="",S$7=""),"",ROUND(S81/S$8*S$7*KVARDI,2))</f>
        <v/>
      </c>
      <c r="U81" s="39"/>
      <c r="V81" s="40" t="str">
        <f aca="false">IF(OR(INDEX(Undirviðmið!$G$6:$G$105,(COLUMN()-7-1)/2+1)&lt;&gt;"Starfsbundið",U81="",U$8="",U$7=""),"",ROUND(U81/U$8*U$7*KVARDI,2))</f>
        <v/>
      </c>
      <c r="W81" s="39"/>
      <c r="X81" s="40" t="str">
        <f aca="false">IF(OR(INDEX(Undirviðmið!$G$6:$G$105,(COLUMN()-7-1)/2+1)&lt;&gt;"Starfsbundið",W81="",W$8="",W$7=""),"",ROUND(W81/W$8*W$7*KVARDI,2))</f>
        <v/>
      </c>
      <c r="Y81" s="39"/>
      <c r="Z81" s="40" t="str">
        <f aca="false">IF(OR(INDEX(Undirviðmið!$G$6:$G$105,(COLUMN()-7-1)/2+1)&lt;&gt;"Starfsbundið",Y81="",Y$8="",Y$7=""),"",ROUND(Y81/Y$8*Y$7*KVARDI,2))</f>
        <v/>
      </c>
      <c r="AA81" s="39"/>
      <c r="AB81" s="40" t="str">
        <f aca="false">IF(OR(INDEX(Undirviðmið!$G$6:$G$105,(COLUMN()-7-1)/2+1)&lt;&gt;"Starfsbundið",AA81="",AA$8="",AA$7=""),"",ROUND(AA81/AA$8*AA$7*KVARDI,2))</f>
        <v/>
      </c>
      <c r="AC81" s="39"/>
      <c r="AD81" s="40" t="str">
        <f aca="false">IF(OR(INDEX(Undirviðmið!$G$6:$G$105,(COLUMN()-7-1)/2+1)&lt;&gt;"Starfsbundið",AC81="",AC$8="",AC$7=""),"",ROUND(AC81/AC$8*AC$7*KVARDI,2))</f>
        <v/>
      </c>
      <c r="AE81" s="39"/>
      <c r="AF81" s="40" t="str">
        <f aca="false">IF(OR(INDEX(Undirviðmið!$G$6:$G$105,(COLUMN()-7-1)/2+1)&lt;&gt;"Starfsbundið",AE81="",AE$8="",AE$7=""),"",ROUND(AE81/AE$8*AE$7*KVARDI,2))</f>
        <v/>
      </c>
      <c r="AG81" s="39"/>
      <c r="AH81" s="40" t="str">
        <f aca="false">IF(OR(INDEX(Undirviðmið!$G$6:$G$105,(COLUMN()-7-1)/2+1)&lt;&gt;"Starfsbundið",AG81="",AG$8="",AG$7=""),"",ROUND(AG81/AG$8*AG$7*KVARDI,2))</f>
        <v/>
      </c>
      <c r="AI81" s="39"/>
      <c r="AJ81" s="40" t="str">
        <f aca="false">IF(OR(INDEX(Undirviðmið!$G$6:$G$105,(COLUMN()-7-1)/2+1)&lt;&gt;"Starfsbundið",AI81="",AI$8="",AI$7=""),"",ROUND(AI81/AI$8*AI$7*KVARDI,2))</f>
        <v/>
      </c>
      <c r="AK81" s="39"/>
      <c r="AL81" s="40" t="str">
        <f aca="false">IF(OR(INDEX(Undirviðmið!$G$6:$G$105,(COLUMN()-7-1)/2+1)&lt;&gt;"Starfsbundið",AK81="",AK$8="",AK$7=""),"",ROUND(AK81/AK$8*AK$7*KVARDI,2))</f>
        <v/>
      </c>
      <c r="AM81" s="39"/>
      <c r="AN81" s="40" t="str">
        <f aca="false">IF(OR(INDEX(Undirviðmið!$G$6:$G$105,(COLUMN()-7-1)/2+1)&lt;&gt;"Starfsbundið",AM81="",AM$8="",AM$7=""),"",ROUND(AM81/AM$8*AM$7*KVARDI,2))</f>
        <v/>
      </c>
      <c r="AO81" s="39"/>
      <c r="AP81" s="40" t="str">
        <f aca="false">IF(OR(INDEX(Undirviðmið!$G$6:$G$105,(COLUMN()-7-1)/2+1)&lt;&gt;"Starfsbundið",AO81="",AO$8="",AO$7=""),"",ROUND(AO81/AO$8*AO$7*KVARDI,2))</f>
        <v/>
      </c>
      <c r="AQ81" s="39"/>
      <c r="AR81" s="40" t="str">
        <f aca="false">IF(OR(INDEX(Undirviðmið!$G$6:$G$105,(COLUMN()-7-1)/2+1)&lt;&gt;"Starfsbundið",AQ81="",AQ$8="",AQ$7=""),"",ROUND(AQ81/AQ$8*AQ$7*KVARDI,2))</f>
        <v/>
      </c>
      <c r="AS81" s="39"/>
      <c r="AT81" s="40" t="str">
        <f aca="false">IF(OR(INDEX(Undirviðmið!$G$6:$G$105,(COLUMN()-7-1)/2+1)&lt;&gt;"Starfsbundið",AS81="",AS$8="",AS$7=""),"",ROUND(AS81/AS$8*AS$7*KVARDI,2))</f>
        <v/>
      </c>
      <c r="AU81" s="39"/>
      <c r="AV81" s="40" t="str">
        <f aca="false">IF(OR(INDEX(Undirviðmið!$G$6:$G$105,(COLUMN()-7-1)/2+1)&lt;&gt;"Starfsbundið",AU81="",AU$8="",AU$7=""),"",ROUND(AU81/AU$8*AU$7*KVARDI,2))</f>
        <v/>
      </c>
      <c r="AW81" s="39"/>
      <c r="AX81" s="40" t="str">
        <f aca="false">IF(OR(INDEX(Undirviðmið!$G$6:$G$105,(COLUMN()-7-1)/2+1)&lt;&gt;"Starfsbundið",AW81="",AW$8="",AW$7=""),"",ROUND(AW81/AW$8*AW$7*KVARDI,2))</f>
        <v/>
      </c>
      <c r="AY81" s="39"/>
      <c r="AZ81" s="40" t="str">
        <f aca="false">IF(OR(INDEX(Undirviðmið!$G$6:$G$105,(COLUMN()-7-1)/2+1)&lt;&gt;"Starfsbundið",AY81="",AY$8="",AY$7=""),"",ROUND(AY81/AY$8*AY$7*KVARDI,2))</f>
        <v/>
      </c>
      <c r="BA81" s="39"/>
      <c r="BB81" s="40" t="str">
        <f aca="false">IF(OR(INDEX(Undirviðmið!$G$6:$G$105,(COLUMN()-7-1)/2+1)&lt;&gt;"Starfsbundið",BA81="",BA$8="",BA$7=""),"",ROUND(BA81/BA$8*BA$7*KVARDI,2))</f>
        <v/>
      </c>
      <c r="BC81" s="39"/>
      <c r="BD81" s="40" t="str">
        <f aca="false">IF(OR(INDEX(Undirviðmið!$G$6:$G$105,(COLUMN()-7-1)/2+1)&lt;&gt;"Starfsbundið",BC81="",BC$8="",BC$7=""),"",ROUND(BC81/BC$8*BC$7*KVARDI,2))</f>
        <v/>
      </c>
      <c r="BE81" s="39"/>
      <c r="BF81" s="40" t="str">
        <f aca="false">IF(OR(INDEX(Undirviðmið!$G$6:$G$105,(COLUMN()-7-1)/2+1)&lt;&gt;"Starfsbundið",BE81="",BE$8="",BE$7=""),"",ROUND(BE81/BE$8*BE$7*KVARDI,2))</f>
        <v/>
      </c>
      <c r="BG81" s="39"/>
      <c r="BH81" s="40" t="str">
        <f aca="false">IF(OR(INDEX(Undirviðmið!$G$6:$G$105,(COLUMN()-7-1)/2+1)&lt;&gt;"Starfsbundið",BG81="",BG$8="",BG$7=""),"",ROUND(BG81/BG$8*BG$7*KVARDI,2))</f>
        <v/>
      </c>
      <c r="BI81" s="39"/>
      <c r="BJ81" s="40" t="str">
        <f aca="false">IF(OR(INDEX(Undirviðmið!$G$6:$G$105,(COLUMN()-7-1)/2+1)&lt;&gt;"Starfsbundið",BI81="",BI$8="",BI$7=""),"",ROUND(BI81/BI$8*BI$7*KVARDI,2))</f>
        <v/>
      </c>
      <c r="BK81" s="39"/>
      <c r="BL81" s="40" t="str">
        <f aca="false">IF(OR(INDEX(Undirviðmið!$G$6:$G$105,(COLUMN()-7-1)/2+1)&lt;&gt;"Starfsbundið",BK81="",BK$8="",BK$7=""),"",ROUND(BK81/BK$8*BK$7*KVARDI,2))</f>
        <v/>
      </c>
      <c r="BM81" s="39"/>
      <c r="BN81" s="40" t="str">
        <f aca="false">IF(OR(INDEX(Undirviðmið!$G$6:$G$105,(COLUMN()-7-1)/2+1)&lt;&gt;"Starfsbundið",BM81="",BM$8="",BM$7=""),"",ROUND(BM81/BM$8*BM$7*KVARDI,2))</f>
        <v/>
      </c>
      <c r="BO81" s="39"/>
      <c r="BP81" s="40" t="str">
        <f aca="false">IF(OR(INDEX(Undirviðmið!$G$6:$G$105,(COLUMN()-7-1)/2+1)&lt;&gt;"Starfsbundið",BO81="",BO$8="",BO$7=""),"",ROUND(BO81/BO$8*BO$7*KVARDI,2))</f>
        <v/>
      </c>
      <c r="BQ81" s="39"/>
      <c r="BR81" s="40" t="str">
        <f aca="false">IF(OR(INDEX(Undirviðmið!$G$6:$G$105,(COLUMN()-7-1)/2+1)&lt;&gt;"Starfsbundið",BQ81="",BQ$8="",BQ$7=""),"",ROUND(BQ81/BQ$8*BQ$7*KVARDI,2))</f>
        <v/>
      </c>
      <c r="BS81" s="39"/>
      <c r="BT81" s="40" t="str">
        <f aca="false">IF(OR(INDEX(Undirviðmið!$G$6:$G$105,(COLUMN()-7-1)/2+1)&lt;&gt;"Starfsbundið",BS81="",BS$8="",BS$7=""),"",ROUND(BS81/BS$8*BS$7*KVARDI,2))</f>
        <v/>
      </c>
      <c r="BU81" s="39"/>
      <c r="BV81" s="40" t="str">
        <f aca="false">IF(OR(INDEX(Undirviðmið!$G$6:$G$105,(COLUMN()-7-1)/2+1)&lt;&gt;"Starfsbundið",BU81="",BU$8="",BU$7=""),"",ROUND(BU81/BU$8*BU$7*KVARDI,2))</f>
        <v/>
      </c>
      <c r="BW81" s="39"/>
      <c r="BX81" s="40" t="str">
        <f aca="false">IF(OR(INDEX(Undirviðmið!$G$6:$G$105,(COLUMN()-7-1)/2+1)&lt;&gt;"Starfsbundið",BW81="",BW$8="",BW$7=""),"",ROUND(BW81/BW$8*BW$7*KVARDI,2))</f>
        <v/>
      </c>
      <c r="BY81" s="39"/>
      <c r="BZ81" s="40" t="str">
        <f aca="false">IF(OR(INDEX(Undirviðmið!$G$6:$G$105,(COLUMN()-7-1)/2+1)&lt;&gt;"Starfsbundið",BY81="",BY$8="",BY$7=""),"",ROUND(BY81/BY$8*BY$7*KVARDI,2))</f>
        <v/>
      </c>
      <c r="CA81" s="39"/>
      <c r="CB81" s="40" t="str">
        <f aca="false">IF(OR(INDEX(Undirviðmið!$G$6:$G$105,(COLUMN()-7-1)/2+1)&lt;&gt;"Starfsbundið",CA81="",CA$8="",CA$7=""),"",ROUND(CA81/CA$8*CA$7*KVARDI,2))</f>
        <v/>
      </c>
      <c r="CC81" s="39"/>
      <c r="CD81" s="40" t="str">
        <f aca="false">IF(OR(INDEX(Undirviðmið!$G$6:$G$105,(COLUMN()-7-1)/2+1)&lt;&gt;"Starfsbundið",CC81="",CC$8="",CC$7=""),"",ROUND(CC81/CC$8*CC$7*KVARDI,2))</f>
        <v/>
      </c>
      <c r="CE81" s="39"/>
      <c r="CF81" s="40" t="str">
        <f aca="false">IF(OR(INDEX(Undirviðmið!$G$6:$G$105,(COLUMN()-7-1)/2+1)&lt;&gt;"Starfsbundið",CE81="",CE$8="",CE$7=""),"",ROUND(CE81/CE$8*CE$7*KVARDI,2))</f>
        <v/>
      </c>
      <c r="CG81" s="39"/>
      <c r="CH81" s="40" t="str">
        <f aca="false">IF(OR(INDEX(Undirviðmið!$G$6:$G$105,(COLUMN()-7-1)/2+1)&lt;&gt;"Starfsbundið",CG81="",CG$8="",CG$7=""),"",ROUND(CG81/CG$8*CG$7*KVARDI,2))</f>
        <v/>
      </c>
      <c r="CI81" s="39"/>
      <c r="CJ81" s="40" t="str">
        <f aca="false">IF(OR(INDEX(Undirviðmið!$G$6:$G$105,(COLUMN()-7-1)/2+1)&lt;&gt;"Starfsbundið",CI81="",CI$8="",CI$7=""),"",ROUND(CI81/CI$8*CI$7*KVARDI,2))</f>
        <v/>
      </c>
      <c r="CK81" s="39"/>
      <c r="CL81" s="40" t="str">
        <f aca="false">IF(OR(INDEX(Undirviðmið!$G$6:$G$105,(COLUMN()-7-1)/2+1)&lt;&gt;"Starfsbundið",CK81="",CK$8="",CK$7=""),"",ROUND(CK81/CK$8*CK$7*KVARDI,2))</f>
        <v/>
      </c>
      <c r="CM81" s="39"/>
      <c r="CN81" s="40" t="str">
        <f aca="false">IF(OR(INDEX(Undirviðmið!$G$6:$G$105,(COLUMN()-7-1)/2+1)&lt;&gt;"Starfsbundið",CM81="",CM$8="",CM$7=""),"",ROUND(CM81/CM$8*CM$7*KVARDI,2))</f>
        <v/>
      </c>
      <c r="CO81" s="39"/>
      <c r="CP81" s="40" t="str">
        <f aca="false">IF(OR(INDEX(Undirviðmið!$G$6:$G$105,(COLUMN()-7-1)/2+1)&lt;&gt;"Starfsbundið",CO81="",CO$8="",CO$7=""),"",ROUND(CO81/CO$8*CO$7*KVARDI,2))</f>
        <v/>
      </c>
      <c r="CQ81" s="39"/>
      <c r="CR81" s="40" t="str">
        <f aca="false">IF(OR(INDEX(Undirviðmið!$G$6:$G$105,(COLUMN()-7-1)/2+1)&lt;&gt;"Starfsbundið",CQ81="",CQ$8="",CQ$7=""),"",ROUND(CQ81/CQ$8*CQ$7*KVARDI,2))</f>
        <v/>
      </c>
      <c r="CS81" s="39"/>
      <c r="CT81" s="40" t="str">
        <f aca="false">IF(OR(INDEX(Undirviðmið!$G$6:$G$105,(COLUMN()-7-1)/2+1)&lt;&gt;"Starfsbundið",CS81="",CS$8="",CS$7=""),"",ROUND(CS81/CS$8*CS$7*KVARDI,2))</f>
        <v/>
      </c>
      <c r="CU81" s="39"/>
      <c r="CV81" s="40" t="str">
        <f aca="false">IF(OR(INDEX(Undirviðmið!$G$6:$G$105,(COLUMN()-7-1)/2+1)&lt;&gt;"Starfsbundið",CU81="",CU$8="",CU$7=""),"",ROUND(CU81/CU$8*CU$7*KVARDI,2))</f>
        <v/>
      </c>
      <c r="CW81" s="39"/>
      <c r="CX81" s="40" t="str">
        <f aca="false">IF(OR(INDEX(Undirviðmið!$G$6:$G$105,(COLUMN()-7-1)/2+1)&lt;&gt;"Starfsbundið",CW81="",CW$8="",CW$7=""),"",ROUND(CW81/CW$8*CW$7*KVARDI,2))</f>
        <v/>
      </c>
      <c r="CY81" s="39"/>
      <c r="CZ81" s="40" t="str">
        <f aca="false">IF(OR(INDEX(Undirviðmið!$G$6:$G$105,(COLUMN()-7-1)/2+1)&lt;&gt;"Starfsbundið",CY81="",CY$8="",CY$7=""),"",ROUND(CY81/CY$8*CY$7*KVARDI,2))</f>
        <v/>
      </c>
      <c r="DA81" s="39"/>
      <c r="DB81" s="40" t="str">
        <f aca="false">IF(OR(INDEX(Undirviðmið!$G$6:$G$105,(COLUMN()-7-1)/2+1)&lt;&gt;"Starfsbundið",DA81="",DA$8="",DA$7=""),"",ROUND(DA81/DA$8*DA$7*KVARDI,2))</f>
        <v/>
      </c>
      <c r="DC81" s="39"/>
      <c r="DD81" s="40" t="str">
        <f aca="false">IF(OR(INDEX(Undirviðmið!$G$6:$G$105,(COLUMN()-7-1)/2+1)&lt;&gt;"Starfsbundið",DC81="",DC$8="",DC$7=""),"",ROUND(DC81/DC$8*DC$7*KVARDI,2))</f>
        <v/>
      </c>
      <c r="DE81" s="39"/>
      <c r="DF81" s="40" t="str">
        <f aca="false">IF(OR(INDEX(Undirviðmið!$G$6:$G$105,(COLUMN()-7-1)/2+1)&lt;&gt;"Starfsbundið",DE81="",DE$8="",DE$7=""),"",ROUND(DE81/DE$8*DE$7*KVARDI,2))</f>
        <v/>
      </c>
      <c r="DG81" s="39"/>
      <c r="DH81" s="40" t="str">
        <f aca="false">IF(OR(INDEX(Undirviðmið!$G$6:$G$105,(COLUMN()-7-1)/2+1)&lt;&gt;"Starfsbundið",DG81="",DG$8="",DG$7=""),"",ROUND(DG81/DG$8*DG$7*KVARDI,2))</f>
        <v/>
      </c>
      <c r="DI81" s="39"/>
      <c r="DJ81" s="40" t="str">
        <f aca="false">IF(OR(INDEX(Undirviðmið!$G$6:$G$105,(COLUMN()-7-1)/2+1)&lt;&gt;"Starfsbundið",DI81="",DI$8="",DI$7=""),"",ROUND(DI81/DI$8*DI$7*KVARDI,2))</f>
        <v/>
      </c>
      <c r="DK81" s="39"/>
      <c r="DL81" s="40" t="str">
        <f aca="false">IF(OR(INDEX(Undirviðmið!$G$6:$G$105,(COLUMN()-7-1)/2+1)&lt;&gt;"Starfsbundið",DK81="",DK$8="",DK$7=""),"",ROUND(DK81/DK$8*DK$7*KVARDI,2))</f>
        <v/>
      </c>
      <c r="DM81" s="39"/>
      <c r="DN81" s="40" t="str">
        <f aca="false">IF(OR(INDEX(Undirviðmið!$G$6:$G$105,(COLUMN()-7-1)/2+1)&lt;&gt;"Starfsbundið",DM81="",DM$8="",DM$7=""),"",ROUND(DM81/DM$8*DM$7*KVARDI,2))</f>
        <v/>
      </c>
      <c r="DO81" s="39"/>
      <c r="DP81" s="40" t="str">
        <f aca="false">IF(OR(INDEX(Undirviðmið!$G$6:$G$105,(COLUMN()-7-1)/2+1)&lt;&gt;"Starfsbundið",DO81="",DO$8="",DO$7=""),"",ROUND(DO81/DO$8*DO$7*KVARDI,2))</f>
        <v/>
      </c>
      <c r="DQ81" s="39"/>
      <c r="DR81" s="40" t="str">
        <f aca="false">IF(OR(INDEX(Undirviðmið!$G$6:$G$105,(COLUMN()-7-1)/2+1)&lt;&gt;"Starfsbundið",DQ81="",DQ$8="",DQ$7=""),"",ROUND(DQ81/DQ$8*DQ$7*KVARDI,2))</f>
        <v/>
      </c>
      <c r="DS81" s="39"/>
      <c r="DT81" s="40" t="str">
        <f aca="false">IF(OR(INDEX(Undirviðmið!$G$6:$G$105,(COLUMN()-7-1)/2+1)&lt;&gt;"Starfsbundið",DS81="",DS$8="",DS$7=""),"",ROUND(DS81/DS$8*DS$7*KVARDI,2))</f>
        <v/>
      </c>
      <c r="DU81" s="39"/>
      <c r="DV81" s="40" t="str">
        <f aca="false">IF(OR(INDEX(Undirviðmið!$G$6:$G$105,(COLUMN()-7-1)/2+1)&lt;&gt;"Starfsbundið",DU81="",DU$8="",DU$7=""),"",ROUND(DU81/DU$8*DU$7*KVARDI,2))</f>
        <v/>
      </c>
      <c r="DW81" s="39"/>
      <c r="DX81" s="40" t="str">
        <f aca="false">IF(OR(INDEX(Undirviðmið!$G$6:$G$105,(COLUMN()-7-1)/2+1)&lt;&gt;"Starfsbundið",DW81="",DW$8="",DW$7=""),"",ROUND(DW81/DW$8*DW$7*KVARDI,2))</f>
        <v/>
      </c>
      <c r="DY81" s="39"/>
      <c r="DZ81" s="40" t="str">
        <f aca="false">IF(OR(INDEX(Undirviðmið!$G$6:$G$105,(COLUMN()-7-1)/2+1)&lt;&gt;"Starfsbundið",DY81="",DY$8="",DY$7=""),"",ROUND(DY81/DY$8*DY$7*KVARDI,2))</f>
        <v/>
      </c>
      <c r="EA81" s="39"/>
      <c r="EB81" s="40" t="str">
        <f aca="false">IF(OR(INDEX(Undirviðmið!$G$6:$G$105,(COLUMN()-7-1)/2+1)&lt;&gt;"Starfsbundið",EA81="",EA$8="",EA$7=""),"",ROUND(EA81/EA$8*EA$7*KVARDI,2))</f>
        <v/>
      </c>
      <c r="EC81" s="39"/>
      <c r="ED81" s="40" t="str">
        <f aca="false">IF(OR(INDEX(Undirviðmið!$G$6:$G$105,(COLUMN()-7-1)/2+1)&lt;&gt;"Starfsbundið",EC81="",EC$8="",EC$7=""),"",ROUND(EC81/EC$8*EC$7*KVARDI,2))</f>
        <v/>
      </c>
      <c r="EE81" s="39"/>
      <c r="EF81" s="40" t="str">
        <f aca="false">IF(OR(INDEX(Undirviðmið!$G$6:$G$105,(COLUMN()-7-1)/2+1)&lt;&gt;"Starfsbundið",EE81="",EE$8="",EE$7=""),"",ROUND(EE81/EE$8*EE$7*KVARDI,2))</f>
        <v/>
      </c>
      <c r="EG81" s="39"/>
      <c r="EH81" s="40" t="str">
        <f aca="false">IF(OR(INDEX(Undirviðmið!$G$6:$G$105,(COLUMN()-7-1)/2+1)&lt;&gt;"Starfsbundið",EG81="",EG$8="",EG$7=""),"",ROUND(EG81/EG$8*EG$7*KVARDI,2))</f>
        <v/>
      </c>
      <c r="EI81" s="39"/>
      <c r="EJ81" s="40" t="str">
        <f aca="false">IF(OR(INDEX(Undirviðmið!$G$6:$G$105,(COLUMN()-7-1)/2+1)&lt;&gt;"Starfsbundið",EI81="",EI$8="",EI$7=""),"",ROUND(EI81/EI$8*EI$7*KVARDI,2))</f>
        <v/>
      </c>
      <c r="EK81" s="39"/>
      <c r="EL81" s="40" t="str">
        <f aca="false">IF(OR(INDEX(Undirviðmið!$G$6:$G$105,(COLUMN()-7-1)/2+1)&lt;&gt;"Starfsbundið",EK81="",EK$8="",EK$7=""),"",ROUND(EK81/EK$8*EK$7*KVARDI,2))</f>
        <v/>
      </c>
      <c r="EM81" s="39"/>
      <c r="EN81" s="40" t="str">
        <f aca="false">IF(OR(INDEX(Undirviðmið!$G$6:$G$105,(COLUMN()-7-1)/2+1)&lt;&gt;"Starfsbundið",EM81="",EM$8="",EM$7=""),"",ROUND(EM81/EM$8*EM$7*KVARDI,2))</f>
        <v/>
      </c>
      <c r="EO81" s="39"/>
      <c r="EP81" s="40" t="str">
        <f aca="false">IF(OR(INDEX(Undirviðmið!$G$6:$G$105,(COLUMN()-7-1)/2+1)&lt;&gt;"Starfsbundið",EO81="",EO$8="",EO$7=""),"",ROUND(EO81/EO$8*EO$7*KVARDI,2))</f>
        <v/>
      </c>
      <c r="EQ81" s="39"/>
      <c r="ER81" s="40" t="str">
        <f aca="false">IF(OR(INDEX(Undirviðmið!$G$6:$G$105,(COLUMN()-7-1)/2+1)&lt;&gt;"Starfsbundið",EQ81="",EQ$8="",EQ$7=""),"",ROUND(EQ81/EQ$8*EQ$7*KVARDI,2))</f>
        <v/>
      </c>
      <c r="ES81" s="39"/>
      <c r="ET81" s="40" t="str">
        <f aca="false">IF(OR(INDEX(Undirviðmið!$G$6:$G$105,(COLUMN()-7-1)/2+1)&lt;&gt;"Starfsbundið",ES81="",ES$8="",ES$7=""),"",ROUND(ES81/ES$8*ES$7*KVARDI,2))</f>
        <v/>
      </c>
      <c r="EU81" s="39"/>
      <c r="EV81" s="40" t="str">
        <f aca="false">IF(OR(INDEX(Undirviðmið!$G$6:$G$105,(COLUMN()-7-1)/2+1)&lt;&gt;"Starfsbundið",EU81="",EU$8="",EU$7=""),"",ROUND(EU81/EU$8*EU$7*KVARDI,2))</f>
        <v/>
      </c>
      <c r="EW81" s="39"/>
      <c r="EX81" s="40" t="str">
        <f aca="false">IF(OR(INDEX(Undirviðmið!$G$6:$G$105,(COLUMN()-7-1)/2+1)&lt;&gt;"Starfsbundið",EW81="",EW$8="",EW$7=""),"",ROUND(EW81/EW$8*EW$7*KVARDI,2))</f>
        <v/>
      </c>
      <c r="EY81" s="39"/>
      <c r="EZ81" s="40" t="str">
        <f aca="false">IF(OR(INDEX(Undirviðmið!$G$6:$G$105,(COLUMN()-7-1)/2+1)&lt;&gt;"Starfsbundið",EY81="",EY$8="",EY$7=""),"",ROUND(EY81/EY$8*EY$7*KVARDI,2))</f>
        <v/>
      </c>
      <c r="FA81" s="39"/>
      <c r="FB81" s="40" t="str">
        <f aca="false">IF(OR(INDEX(Undirviðmið!$G$6:$G$105,(COLUMN()-7-1)/2+1)&lt;&gt;"Starfsbundið",FA81="",FA$8="",FA$7=""),"",ROUND(FA81/FA$8*FA$7*KVARDI,2))</f>
        <v/>
      </c>
      <c r="FC81" s="39"/>
      <c r="FD81" s="40" t="str">
        <f aca="false">IF(OR(INDEX(Undirviðmið!$G$6:$G$105,(COLUMN()-7-1)/2+1)&lt;&gt;"Starfsbundið",FC81="",FC$8="",FC$7=""),"",ROUND(FC81/FC$8*FC$7*KVARDI,2))</f>
        <v/>
      </c>
      <c r="FE81" s="39"/>
      <c r="FF81" s="40" t="str">
        <f aca="false">IF(OR(INDEX(Undirviðmið!$G$6:$G$105,(COLUMN()-7-1)/2+1)&lt;&gt;"Starfsbundið",FE81="",FE$8="",FE$7=""),"",ROUND(FE81/FE$8*FE$7*KVARDI,2))</f>
        <v/>
      </c>
      <c r="FG81" s="39"/>
      <c r="FH81" s="40" t="str">
        <f aca="false">IF(OR(INDEX(Undirviðmið!$G$6:$G$105,(COLUMN()-7-1)/2+1)&lt;&gt;"Starfsbundið",FG81="",FG$8="",FG$7=""),"",ROUND(FG81/FG$8*FG$7*KVARDI,2))</f>
        <v/>
      </c>
      <c r="FI81" s="39"/>
      <c r="FJ81" s="40" t="str">
        <f aca="false">IF(OR(INDEX(Undirviðmið!$G$6:$G$105,(COLUMN()-7-1)/2+1)&lt;&gt;"Starfsbundið",FI81="",FI$8="",FI$7=""),"",ROUND(FI81/FI$8*FI$7*KVARDI,2))</f>
        <v/>
      </c>
      <c r="FK81" s="39"/>
      <c r="FL81" s="40" t="str">
        <f aca="false">IF(OR(INDEX(Undirviðmið!$G$6:$G$105,(COLUMN()-7-1)/2+1)&lt;&gt;"Starfsbundið",FK81="",FK$8="",FK$7=""),"",ROUND(FK81/FK$8*FK$7*KVARDI,2))</f>
        <v/>
      </c>
      <c r="FM81" s="39"/>
      <c r="FN81" s="40" t="str">
        <f aca="false">IF(OR(INDEX(Undirviðmið!$G$6:$G$105,(COLUMN()-7-1)/2+1)&lt;&gt;"Starfsbundið",FM81="",FM$8="",FM$7=""),"",ROUND(FM81/FM$8*FM$7*KVARDI,2))</f>
        <v/>
      </c>
      <c r="FO81" s="39"/>
      <c r="FP81" s="40" t="str">
        <f aca="false">IF(OR(INDEX(Undirviðmið!$G$6:$G$105,(COLUMN()-7-1)/2+1)&lt;&gt;"Starfsbundið",FO81="",FO$8="",FO$7=""),"",ROUND(FO81/FO$8*FO$7*KVARDI,2))</f>
        <v/>
      </c>
      <c r="FQ81" s="39"/>
      <c r="FR81" s="40" t="str">
        <f aca="false">IF(OR(INDEX(Undirviðmið!$G$6:$G$105,(COLUMN()-7-1)/2+1)&lt;&gt;"Starfsbundið",FQ81="",FQ$8="",FQ$7=""),"",ROUND(FQ81/FQ$8*FQ$7*KVARDI,2))</f>
        <v/>
      </c>
      <c r="FS81" s="39"/>
      <c r="FT81" s="40" t="str">
        <f aca="false">IF(OR(INDEX(Undirviðmið!$G$6:$G$105,(COLUMN()-7-1)/2+1)&lt;&gt;"Starfsbundið",FS81="",FS$8="",FS$7=""),"",ROUND(FS81/FS$8*FS$7*KVARDI,2))</f>
        <v/>
      </c>
      <c r="FU81" s="39"/>
      <c r="FV81" s="40" t="str">
        <f aca="false">IF(OR(INDEX(Undirviðmið!$G$6:$G$105,(COLUMN()-7-1)/2+1)&lt;&gt;"Starfsbundið",FU81="",FU$8="",FU$7=""),"",ROUND(FU81/FU$8*FU$7*KVARDI,2))</f>
        <v/>
      </c>
      <c r="FW81" s="39"/>
      <c r="FX81" s="40" t="str">
        <f aca="false">IF(OR(INDEX(Undirviðmið!$G$6:$G$105,(COLUMN()-7-1)/2+1)&lt;&gt;"Starfsbundið",FW81="",FW$8="",FW$7=""),"",ROUND(FW81/FW$8*FW$7*KVARDI,2))</f>
        <v/>
      </c>
      <c r="FY81" s="39"/>
      <c r="FZ81" s="40" t="str">
        <f aca="false">IF(OR(INDEX(Undirviðmið!$G$6:$G$105,(COLUMN()-7-1)/2+1)&lt;&gt;"Starfsbundið",FY81="",FY$8="",FY$7=""),"",ROUND(FY81/FY$8*FY$7*KVARDI,2))</f>
        <v/>
      </c>
      <c r="GA81" s="39"/>
      <c r="GB81" s="40" t="str">
        <f aca="false">IF(OR(INDEX(Undirviðmið!$G$6:$G$105,(COLUMN()-7-1)/2+1)&lt;&gt;"Starfsbundið",GA81="",GA$8="",GA$7=""),"",ROUND(GA81/GA$8*GA$7*KVARDI,2))</f>
        <v/>
      </c>
      <c r="GC81" s="39"/>
      <c r="GD81" s="40" t="str">
        <f aca="false">IF(OR(INDEX(Undirviðmið!$G$6:$G$105,(COLUMN()-7-1)/2+1)&lt;&gt;"Starfsbundið",GC81="",GC$8="",GC$7=""),"",ROUND(GC81/GC$8*GC$7*KVARDI,2))</f>
        <v/>
      </c>
      <c r="GE81" s="39"/>
      <c r="GF81" s="40" t="str">
        <f aca="false">IF(OR(INDEX(Undirviðmið!$G$6:$G$105,(COLUMN()-7-1)/2+1)&lt;&gt;"Starfsbundið",GE81="",GE$8="",GE$7=""),"",ROUND(GE81/GE$8*GE$7*KVARDI,2))</f>
        <v/>
      </c>
      <c r="GG81" s="39"/>
      <c r="GH81" s="40" t="str">
        <f aca="false">IF(OR(INDEX(Undirviðmið!$G$6:$G$105,(COLUMN()-7-1)/2+1)&lt;&gt;"Starfsbundið",GG81="",GG$8="",GG$7=""),"",ROUND(GG81/GG$8*GG$7*KVARDI,2))</f>
        <v/>
      </c>
      <c r="GI81" s="39"/>
      <c r="GJ81" s="40" t="str">
        <f aca="false">IF(OR(INDEX(Undirviðmið!$G$6:$G$105,(COLUMN()-7-1)/2+1)&lt;&gt;"Starfsbundið",GI81="",GI$8="",GI$7=""),"",ROUND(GI81/GI$8*GI$7*KVARDI,2))</f>
        <v/>
      </c>
      <c r="GK81" s="39"/>
      <c r="GL81" s="40" t="str">
        <f aca="false">IF(OR(INDEX(Undirviðmið!$G$6:$G$105,(COLUMN()-7-1)/2+1)&lt;&gt;"Starfsbundið",GK81="",GK$8="",GK$7=""),"",ROUND(GK81/GK$8*GK$7*KVARDI,2))</f>
        <v/>
      </c>
      <c r="GM81" s="39"/>
      <c r="GN81" s="40" t="str">
        <f aca="false">IF(OR(INDEX(Undirviðmið!$G$6:$G$105,(COLUMN()-7-1)/2+1)&lt;&gt;"Starfsbundið",GM81="",GM$8="",GM$7=""),"",ROUND(GM81/GM$8*GM$7*KVARDI,2))</f>
        <v/>
      </c>
      <c r="GO81" s="39"/>
      <c r="GP81" s="40" t="str">
        <f aca="false">IF(OR(INDEX(Undirviðmið!$G$6:$G$105,(COLUMN()-7-1)/2+1)&lt;&gt;"Starfsbundið",GO81="",GO$8="",GO$7=""),"",ROUND(GO81/GO$8*GO$7*KVARDI,2))</f>
        <v/>
      </c>
      <c r="GQ81" s="39"/>
      <c r="GR81" s="40" t="str">
        <f aca="false">IF(OR(INDEX(Undirviðmið!$G$6:$G$105,(COLUMN()-7-1)/2+1)&lt;&gt;"Starfsbundið",GQ81="",GQ$8="",GQ$7=""),"",ROUND(GQ81/GQ$8*GQ$7*KVARDI,2))</f>
        <v/>
      </c>
      <c r="GS81" s="39"/>
      <c r="GT81" s="40" t="str">
        <f aca="false">IF(OR(INDEX(Undirviðmið!$G$6:$G$105,(COLUMN()-7-1)/2+1)&lt;&gt;"Starfsbundið",GS81="",GS$8="",GS$7=""),"",ROUND(GS81/GS$8*GS$7*KVARDI,2))</f>
        <v/>
      </c>
      <c r="GU81" s="39"/>
      <c r="GV81" s="40" t="str">
        <f aca="false">IF(OR(INDEX(Undirviðmið!$G$6:$G$105,(COLUMN()-7-1)/2+1)&lt;&gt;"Starfsbundið",GU81="",GU$8="",GU$7=""),"",ROUND(GU81/GU$8*GU$7*KVARDI,2))</f>
        <v/>
      </c>
      <c r="GW81" s="39"/>
      <c r="GX81" s="40" t="str">
        <f aca="false">IF(OR(INDEX(Undirviðmið!$G$6:$G$105,(COLUMN()-7-1)/2+1)&lt;&gt;"Starfsbundið",GW81="",GW$8="",GW$7=""),"",ROUND(GW81/GW$8*GW$7*KVARDI,2))</f>
        <v/>
      </c>
      <c r="GZ81" s="20"/>
    </row>
    <row r="82" customFormat="false" ht="15" hidden="true" customHeight="true" outlineLevel="1" collapsed="false">
      <c r="B82" s="37" t="str">
        <f aca="false" t="array" ref="B82:B82">IFERROR(INDEX(Starfsmenn!$C$6:$C$10005,MATCH(0,COUNTIF($B$11:B81,Starfsmenn!$C$6:$C$10005)+(Starfsmenn!$C$6:$C$10005=""),0)),"")</f>
        <v/>
      </c>
      <c r="C82" s="38" t="n">
        <f aca="false">IFERROR(SUMIF($G$10:$GX$10,"Stig",$G82:$GX82),0)</f>
        <v>0</v>
      </c>
      <c r="G82" s="39"/>
      <c r="H82" s="40" t="str">
        <f aca="false">IF(OR(INDEX(Undirviðmið!$G$6:$G$105,(COLUMN()-7-1)/2+1)&lt;&gt;"Starfsbundið",G82="",G$8="",G$7=""),"",ROUND(G82/G$8*G$7*KVARDI,2))</f>
        <v/>
      </c>
      <c r="I82" s="39"/>
      <c r="J82" s="40" t="str">
        <f aca="false">IF(OR(INDEX(Undirviðmið!$G$6:$G$105,(COLUMN()-7-1)/2+1)&lt;&gt;"Starfsbundið",I82="",I$8="",I$7=""),"",ROUND(I82/I$8*I$7*KVARDI,2))</f>
        <v/>
      </c>
      <c r="K82" s="39"/>
      <c r="L82" s="40" t="str">
        <f aca="false">IF(OR(INDEX(Undirviðmið!$G$6:$G$105,(COLUMN()-7-1)/2+1)&lt;&gt;"Starfsbundið",K82="",K$8="",K$7=""),"",ROUND(K82/K$8*K$7*KVARDI,2))</f>
        <v/>
      </c>
      <c r="M82" s="39"/>
      <c r="N82" s="40" t="str">
        <f aca="false">IF(OR(INDEX(Undirviðmið!$G$6:$G$105,(COLUMN()-7-1)/2+1)&lt;&gt;"Starfsbundið",M82="",M$8="",M$7=""),"",ROUND(M82/M$8*M$7*KVARDI,2))</f>
        <v/>
      </c>
      <c r="O82" s="39"/>
      <c r="P82" s="40" t="str">
        <f aca="false">IF(OR(INDEX(Undirviðmið!$G$6:$G$105,(COLUMN()-7-1)/2+1)&lt;&gt;"Starfsbundið",O82="",O$8="",O$7=""),"",ROUND(O82/O$8*O$7*KVARDI,2))</f>
        <v/>
      </c>
      <c r="Q82" s="39"/>
      <c r="R82" s="40" t="str">
        <f aca="false">IF(OR(INDEX(Undirviðmið!$G$6:$G$105,(COLUMN()-7-1)/2+1)&lt;&gt;"Starfsbundið",Q82="",Q$8="",Q$7=""),"",ROUND(Q82/Q$8*Q$7*KVARDI,2))</f>
        <v/>
      </c>
      <c r="S82" s="39"/>
      <c r="T82" s="40" t="str">
        <f aca="false">IF(OR(INDEX(Undirviðmið!$G$6:$G$105,(COLUMN()-7-1)/2+1)&lt;&gt;"Starfsbundið",S82="",S$8="",S$7=""),"",ROUND(S82/S$8*S$7*KVARDI,2))</f>
        <v/>
      </c>
      <c r="U82" s="39"/>
      <c r="V82" s="40" t="str">
        <f aca="false">IF(OR(INDEX(Undirviðmið!$G$6:$G$105,(COLUMN()-7-1)/2+1)&lt;&gt;"Starfsbundið",U82="",U$8="",U$7=""),"",ROUND(U82/U$8*U$7*KVARDI,2))</f>
        <v/>
      </c>
      <c r="W82" s="39"/>
      <c r="X82" s="40" t="str">
        <f aca="false">IF(OR(INDEX(Undirviðmið!$G$6:$G$105,(COLUMN()-7-1)/2+1)&lt;&gt;"Starfsbundið",W82="",W$8="",W$7=""),"",ROUND(W82/W$8*W$7*KVARDI,2))</f>
        <v/>
      </c>
      <c r="Y82" s="39"/>
      <c r="Z82" s="40" t="str">
        <f aca="false">IF(OR(INDEX(Undirviðmið!$G$6:$G$105,(COLUMN()-7-1)/2+1)&lt;&gt;"Starfsbundið",Y82="",Y$8="",Y$7=""),"",ROUND(Y82/Y$8*Y$7*KVARDI,2))</f>
        <v/>
      </c>
      <c r="AA82" s="39"/>
      <c r="AB82" s="40" t="str">
        <f aca="false">IF(OR(INDEX(Undirviðmið!$G$6:$G$105,(COLUMN()-7-1)/2+1)&lt;&gt;"Starfsbundið",AA82="",AA$8="",AA$7=""),"",ROUND(AA82/AA$8*AA$7*KVARDI,2))</f>
        <v/>
      </c>
      <c r="AC82" s="39"/>
      <c r="AD82" s="40" t="str">
        <f aca="false">IF(OR(INDEX(Undirviðmið!$G$6:$G$105,(COLUMN()-7-1)/2+1)&lt;&gt;"Starfsbundið",AC82="",AC$8="",AC$7=""),"",ROUND(AC82/AC$8*AC$7*KVARDI,2))</f>
        <v/>
      </c>
      <c r="AE82" s="39"/>
      <c r="AF82" s="40" t="str">
        <f aca="false">IF(OR(INDEX(Undirviðmið!$G$6:$G$105,(COLUMN()-7-1)/2+1)&lt;&gt;"Starfsbundið",AE82="",AE$8="",AE$7=""),"",ROUND(AE82/AE$8*AE$7*KVARDI,2))</f>
        <v/>
      </c>
      <c r="AG82" s="39"/>
      <c r="AH82" s="40" t="str">
        <f aca="false">IF(OR(INDEX(Undirviðmið!$G$6:$G$105,(COLUMN()-7-1)/2+1)&lt;&gt;"Starfsbundið",AG82="",AG$8="",AG$7=""),"",ROUND(AG82/AG$8*AG$7*KVARDI,2))</f>
        <v/>
      </c>
      <c r="AI82" s="39"/>
      <c r="AJ82" s="40" t="str">
        <f aca="false">IF(OR(INDEX(Undirviðmið!$G$6:$G$105,(COLUMN()-7-1)/2+1)&lt;&gt;"Starfsbundið",AI82="",AI$8="",AI$7=""),"",ROUND(AI82/AI$8*AI$7*KVARDI,2))</f>
        <v/>
      </c>
      <c r="AK82" s="39"/>
      <c r="AL82" s="40" t="str">
        <f aca="false">IF(OR(INDEX(Undirviðmið!$G$6:$G$105,(COLUMN()-7-1)/2+1)&lt;&gt;"Starfsbundið",AK82="",AK$8="",AK$7=""),"",ROUND(AK82/AK$8*AK$7*KVARDI,2))</f>
        <v/>
      </c>
      <c r="AM82" s="39"/>
      <c r="AN82" s="40" t="str">
        <f aca="false">IF(OR(INDEX(Undirviðmið!$G$6:$G$105,(COLUMN()-7-1)/2+1)&lt;&gt;"Starfsbundið",AM82="",AM$8="",AM$7=""),"",ROUND(AM82/AM$8*AM$7*KVARDI,2))</f>
        <v/>
      </c>
      <c r="AO82" s="39"/>
      <c r="AP82" s="40" t="str">
        <f aca="false">IF(OR(INDEX(Undirviðmið!$G$6:$G$105,(COLUMN()-7-1)/2+1)&lt;&gt;"Starfsbundið",AO82="",AO$8="",AO$7=""),"",ROUND(AO82/AO$8*AO$7*KVARDI,2))</f>
        <v/>
      </c>
      <c r="AQ82" s="39"/>
      <c r="AR82" s="40" t="str">
        <f aca="false">IF(OR(INDEX(Undirviðmið!$G$6:$G$105,(COLUMN()-7-1)/2+1)&lt;&gt;"Starfsbundið",AQ82="",AQ$8="",AQ$7=""),"",ROUND(AQ82/AQ$8*AQ$7*KVARDI,2))</f>
        <v/>
      </c>
      <c r="AS82" s="39"/>
      <c r="AT82" s="40" t="str">
        <f aca="false">IF(OR(INDEX(Undirviðmið!$G$6:$G$105,(COLUMN()-7-1)/2+1)&lt;&gt;"Starfsbundið",AS82="",AS$8="",AS$7=""),"",ROUND(AS82/AS$8*AS$7*KVARDI,2))</f>
        <v/>
      </c>
      <c r="AU82" s="39"/>
      <c r="AV82" s="40" t="str">
        <f aca="false">IF(OR(INDEX(Undirviðmið!$G$6:$G$105,(COLUMN()-7-1)/2+1)&lt;&gt;"Starfsbundið",AU82="",AU$8="",AU$7=""),"",ROUND(AU82/AU$8*AU$7*KVARDI,2))</f>
        <v/>
      </c>
      <c r="AW82" s="39"/>
      <c r="AX82" s="40" t="str">
        <f aca="false">IF(OR(INDEX(Undirviðmið!$G$6:$G$105,(COLUMN()-7-1)/2+1)&lt;&gt;"Starfsbundið",AW82="",AW$8="",AW$7=""),"",ROUND(AW82/AW$8*AW$7*KVARDI,2))</f>
        <v/>
      </c>
      <c r="AY82" s="39"/>
      <c r="AZ82" s="40" t="str">
        <f aca="false">IF(OR(INDEX(Undirviðmið!$G$6:$G$105,(COLUMN()-7-1)/2+1)&lt;&gt;"Starfsbundið",AY82="",AY$8="",AY$7=""),"",ROUND(AY82/AY$8*AY$7*KVARDI,2))</f>
        <v/>
      </c>
      <c r="BA82" s="39"/>
      <c r="BB82" s="40" t="str">
        <f aca="false">IF(OR(INDEX(Undirviðmið!$G$6:$G$105,(COLUMN()-7-1)/2+1)&lt;&gt;"Starfsbundið",BA82="",BA$8="",BA$7=""),"",ROUND(BA82/BA$8*BA$7*KVARDI,2))</f>
        <v/>
      </c>
      <c r="BC82" s="39"/>
      <c r="BD82" s="40" t="str">
        <f aca="false">IF(OR(INDEX(Undirviðmið!$G$6:$G$105,(COLUMN()-7-1)/2+1)&lt;&gt;"Starfsbundið",BC82="",BC$8="",BC$7=""),"",ROUND(BC82/BC$8*BC$7*KVARDI,2))</f>
        <v/>
      </c>
      <c r="BE82" s="39"/>
      <c r="BF82" s="40" t="str">
        <f aca="false">IF(OR(INDEX(Undirviðmið!$G$6:$G$105,(COLUMN()-7-1)/2+1)&lt;&gt;"Starfsbundið",BE82="",BE$8="",BE$7=""),"",ROUND(BE82/BE$8*BE$7*KVARDI,2))</f>
        <v/>
      </c>
      <c r="BG82" s="39"/>
      <c r="BH82" s="40" t="str">
        <f aca="false">IF(OR(INDEX(Undirviðmið!$G$6:$G$105,(COLUMN()-7-1)/2+1)&lt;&gt;"Starfsbundið",BG82="",BG$8="",BG$7=""),"",ROUND(BG82/BG$8*BG$7*KVARDI,2))</f>
        <v/>
      </c>
      <c r="BI82" s="39"/>
      <c r="BJ82" s="40" t="str">
        <f aca="false">IF(OR(INDEX(Undirviðmið!$G$6:$G$105,(COLUMN()-7-1)/2+1)&lt;&gt;"Starfsbundið",BI82="",BI$8="",BI$7=""),"",ROUND(BI82/BI$8*BI$7*KVARDI,2))</f>
        <v/>
      </c>
      <c r="BK82" s="39"/>
      <c r="BL82" s="40" t="str">
        <f aca="false">IF(OR(INDEX(Undirviðmið!$G$6:$G$105,(COLUMN()-7-1)/2+1)&lt;&gt;"Starfsbundið",BK82="",BK$8="",BK$7=""),"",ROUND(BK82/BK$8*BK$7*KVARDI,2))</f>
        <v/>
      </c>
      <c r="BM82" s="39"/>
      <c r="BN82" s="40" t="str">
        <f aca="false">IF(OR(INDEX(Undirviðmið!$G$6:$G$105,(COLUMN()-7-1)/2+1)&lt;&gt;"Starfsbundið",BM82="",BM$8="",BM$7=""),"",ROUND(BM82/BM$8*BM$7*KVARDI,2))</f>
        <v/>
      </c>
      <c r="BO82" s="39"/>
      <c r="BP82" s="40" t="str">
        <f aca="false">IF(OR(INDEX(Undirviðmið!$G$6:$G$105,(COLUMN()-7-1)/2+1)&lt;&gt;"Starfsbundið",BO82="",BO$8="",BO$7=""),"",ROUND(BO82/BO$8*BO$7*KVARDI,2))</f>
        <v/>
      </c>
      <c r="BQ82" s="39"/>
      <c r="BR82" s="40" t="str">
        <f aca="false">IF(OR(INDEX(Undirviðmið!$G$6:$G$105,(COLUMN()-7-1)/2+1)&lt;&gt;"Starfsbundið",BQ82="",BQ$8="",BQ$7=""),"",ROUND(BQ82/BQ$8*BQ$7*KVARDI,2))</f>
        <v/>
      </c>
      <c r="BS82" s="39"/>
      <c r="BT82" s="40" t="str">
        <f aca="false">IF(OR(INDEX(Undirviðmið!$G$6:$G$105,(COLUMN()-7-1)/2+1)&lt;&gt;"Starfsbundið",BS82="",BS$8="",BS$7=""),"",ROUND(BS82/BS$8*BS$7*KVARDI,2))</f>
        <v/>
      </c>
      <c r="BU82" s="39"/>
      <c r="BV82" s="40" t="str">
        <f aca="false">IF(OR(INDEX(Undirviðmið!$G$6:$G$105,(COLUMN()-7-1)/2+1)&lt;&gt;"Starfsbundið",BU82="",BU$8="",BU$7=""),"",ROUND(BU82/BU$8*BU$7*KVARDI,2))</f>
        <v/>
      </c>
      <c r="BW82" s="39"/>
      <c r="BX82" s="40" t="str">
        <f aca="false">IF(OR(INDEX(Undirviðmið!$G$6:$G$105,(COLUMN()-7-1)/2+1)&lt;&gt;"Starfsbundið",BW82="",BW$8="",BW$7=""),"",ROUND(BW82/BW$8*BW$7*KVARDI,2))</f>
        <v/>
      </c>
      <c r="BY82" s="39"/>
      <c r="BZ82" s="40" t="str">
        <f aca="false">IF(OR(INDEX(Undirviðmið!$G$6:$G$105,(COLUMN()-7-1)/2+1)&lt;&gt;"Starfsbundið",BY82="",BY$8="",BY$7=""),"",ROUND(BY82/BY$8*BY$7*KVARDI,2))</f>
        <v/>
      </c>
      <c r="CA82" s="39"/>
      <c r="CB82" s="40" t="str">
        <f aca="false">IF(OR(INDEX(Undirviðmið!$G$6:$G$105,(COLUMN()-7-1)/2+1)&lt;&gt;"Starfsbundið",CA82="",CA$8="",CA$7=""),"",ROUND(CA82/CA$8*CA$7*KVARDI,2))</f>
        <v/>
      </c>
      <c r="CC82" s="39"/>
      <c r="CD82" s="40" t="str">
        <f aca="false">IF(OR(INDEX(Undirviðmið!$G$6:$G$105,(COLUMN()-7-1)/2+1)&lt;&gt;"Starfsbundið",CC82="",CC$8="",CC$7=""),"",ROUND(CC82/CC$8*CC$7*KVARDI,2))</f>
        <v/>
      </c>
      <c r="CE82" s="39"/>
      <c r="CF82" s="40" t="str">
        <f aca="false">IF(OR(INDEX(Undirviðmið!$G$6:$G$105,(COLUMN()-7-1)/2+1)&lt;&gt;"Starfsbundið",CE82="",CE$8="",CE$7=""),"",ROUND(CE82/CE$8*CE$7*KVARDI,2))</f>
        <v/>
      </c>
      <c r="CG82" s="39"/>
      <c r="CH82" s="40" t="str">
        <f aca="false">IF(OR(INDEX(Undirviðmið!$G$6:$G$105,(COLUMN()-7-1)/2+1)&lt;&gt;"Starfsbundið",CG82="",CG$8="",CG$7=""),"",ROUND(CG82/CG$8*CG$7*KVARDI,2))</f>
        <v/>
      </c>
      <c r="CI82" s="39"/>
      <c r="CJ82" s="40" t="str">
        <f aca="false">IF(OR(INDEX(Undirviðmið!$G$6:$G$105,(COLUMN()-7-1)/2+1)&lt;&gt;"Starfsbundið",CI82="",CI$8="",CI$7=""),"",ROUND(CI82/CI$8*CI$7*KVARDI,2))</f>
        <v/>
      </c>
      <c r="CK82" s="39"/>
      <c r="CL82" s="40" t="str">
        <f aca="false">IF(OR(INDEX(Undirviðmið!$G$6:$G$105,(COLUMN()-7-1)/2+1)&lt;&gt;"Starfsbundið",CK82="",CK$8="",CK$7=""),"",ROUND(CK82/CK$8*CK$7*KVARDI,2))</f>
        <v/>
      </c>
      <c r="CM82" s="39"/>
      <c r="CN82" s="40" t="str">
        <f aca="false">IF(OR(INDEX(Undirviðmið!$G$6:$G$105,(COLUMN()-7-1)/2+1)&lt;&gt;"Starfsbundið",CM82="",CM$8="",CM$7=""),"",ROUND(CM82/CM$8*CM$7*KVARDI,2))</f>
        <v/>
      </c>
      <c r="CO82" s="39"/>
      <c r="CP82" s="40" t="str">
        <f aca="false">IF(OR(INDEX(Undirviðmið!$G$6:$G$105,(COLUMN()-7-1)/2+1)&lt;&gt;"Starfsbundið",CO82="",CO$8="",CO$7=""),"",ROUND(CO82/CO$8*CO$7*KVARDI,2))</f>
        <v/>
      </c>
      <c r="CQ82" s="39"/>
      <c r="CR82" s="40" t="str">
        <f aca="false">IF(OR(INDEX(Undirviðmið!$G$6:$G$105,(COLUMN()-7-1)/2+1)&lt;&gt;"Starfsbundið",CQ82="",CQ$8="",CQ$7=""),"",ROUND(CQ82/CQ$8*CQ$7*KVARDI,2))</f>
        <v/>
      </c>
      <c r="CS82" s="39"/>
      <c r="CT82" s="40" t="str">
        <f aca="false">IF(OR(INDEX(Undirviðmið!$G$6:$G$105,(COLUMN()-7-1)/2+1)&lt;&gt;"Starfsbundið",CS82="",CS$8="",CS$7=""),"",ROUND(CS82/CS$8*CS$7*KVARDI,2))</f>
        <v/>
      </c>
      <c r="CU82" s="39"/>
      <c r="CV82" s="40" t="str">
        <f aca="false">IF(OR(INDEX(Undirviðmið!$G$6:$G$105,(COLUMN()-7-1)/2+1)&lt;&gt;"Starfsbundið",CU82="",CU$8="",CU$7=""),"",ROUND(CU82/CU$8*CU$7*KVARDI,2))</f>
        <v/>
      </c>
      <c r="CW82" s="39"/>
      <c r="CX82" s="40" t="str">
        <f aca="false">IF(OR(INDEX(Undirviðmið!$G$6:$G$105,(COLUMN()-7-1)/2+1)&lt;&gt;"Starfsbundið",CW82="",CW$8="",CW$7=""),"",ROUND(CW82/CW$8*CW$7*KVARDI,2))</f>
        <v/>
      </c>
      <c r="CY82" s="39"/>
      <c r="CZ82" s="40" t="str">
        <f aca="false">IF(OR(INDEX(Undirviðmið!$G$6:$G$105,(COLUMN()-7-1)/2+1)&lt;&gt;"Starfsbundið",CY82="",CY$8="",CY$7=""),"",ROUND(CY82/CY$8*CY$7*KVARDI,2))</f>
        <v/>
      </c>
      <c r="DA82" s="39"/>
      <c r="DB82" s="40" t="str">
        <f aca="false">IF(OR(INDEX(Undirviðmið!$G$6:$G$105,(COLUMN()-7-1)/2+1)&lt;&gt;"Starfsbundið",DA82="",DA$8="",DA$7=""),"",ROUND(DA82/DA$8*DA$7*KVARDI,2))</f>
        <v/>
      </c>
      <c r="DC82" s="39"/>
      <c r="DD82" s="40" t="str">
        <f aca="false">IF(OR(INDEX(Undirviðmið!$G$6:$G$105,(COLUMN()-7-1)/2+1)&lt;&gt;"Starfsbundið",DC82="",DC$8="",DC$7=""),"",ROUND(DC82/DC$8*DC$7*KVARDI,2))</f>
        <v/>
      </c>
      <c r="DE82" s="39"/>
      <c r="DF82" s="40" t="str">
        <f aca="false">IF(OR(INDEX(Undirviðmið!$G$6:$G$105,(COLUMN()-7-1)/2+1)&lt;&gt;"Starfsbundið",DE82="",DE$8="",DE$7=""),"",ROUND(DE82/DE$8*DE$7*KVARDI,2))</f>
        <v/>
      </c>
      <c r="DG82" s="39"/>
      <c r="DH82" s="40" t="str">
        <f aca="false">IF(OR(INDEX(Undirviðmið!$G$6:$G$105,(COLUMN()-7-1)/2+1)&lt;&gt;"Starfsbundið",DG82="",DG$8="",DG$7=""),"",ROUND(DG82/DG$8*DG$7*KVARDI,2))</f>
        <v/>
      </c>
      <c r="DI82" s="39"/>
      <c r="DJ82" s="40" t="str">
        <f aca="false">IF(OR(INDEX(Undirviðmið!$G$6:$G$105,(COLUMN()-7-1)/2+1)&lt;&gt;"Starfsbundið",DI82="",DI$8="",DI$7=""),"",ROUND(DI82/DI$8*DI$7*KVARDI,2))</f>
        <v/>
      </c>
      <c r="DK82" s="39"/>
      <c r="DL82" s="40" t="str">
        <f aca="false">IF(OR(INDEX(Undirviðmið!$G$6:$G$105,(COLUMN()-7-1)/2+1)&lt;&gt;"Starfsbundið",DK82="",DK$8="",DK$7=""),"",ROUND(DK82/DK$8*DK$7*KVARDI,2))</f>
        <v/>
      </c>
      <c r="DM82" s="39"/>
      <c r="DN82" s="40" t="str">
        <f aca="false">IF(OR(INDEX(Undirviðmið!$G$6:$G$105,(COLUMN()-7-1)/2+1)&lt;&gt;"Starfsbundið",DM82="",DM$8="",DM$7=""),"",ROUND(DM82/DM$8*DM$7*KVARDI,2))</f>
        <v/>
      </c>
      <c r="DO82" s="39"/>
      <c r="DP82" s="40" t="str">
        <f aca="false">IF(OR(INDEX(Undirviðmið!$G$6:$G$105,(COLUMN()-7-1)/2+1)&lt;&gt;"Starfsbundið",DO82="",DO$8="",DO$7=""),"",ROUND(DO82/DO$8*DO$7*KVARDI,2))</f>
        <v/>
      </c>
      <c r="DQ82" s="39"/>
      <c r="DR82" s="40" t="str">
        <f aca="false">IF(OR(INDEX(Undirviðmið!$G$6:$G$105,(COLUMN()-7-1)/2+1)&lt;&gt;"Starfsbundið",DQ82="",DQ$8="",DQ$7=""),"",ROUND(DQ82/DQ$8*DQ$7*KVARDI,2))</f>
        <v/>
      </c>
      <c r="DS82" s="39"/>
      <c r="DT82" s="40" t="str">
        <f aca="false">IF(OR(INDEX(Undirviðmið!$G$6:$G$105,(COLUMN()-7-1)/2+1)&lt;&gt;"Starfsbundið",DS82="",DS$8="",DS$7=""),"",ROUND(DS82/DS$8*DS$7*KVARDI,2))</f>
        <v/>
      </c>
      <c r="DU82" s="39"/>
      <c r="DV82" s="40" t="str">
        <f aca="false">IF(OR(INDEX(Undirviðmið!$G$6:$G$105,(COLUMN()-7-1)/2+1)&lt;&gt;"Starfsbundið",DU82="",DU$8="",DU$7=""),"",ROUND(DU82/DU$8*DU$7*KVARDI,2))</f>
        <v/>
      </c>
      <c r="DW82" s="39"/>
      <c r="DX82" s="40" t="str">
        <f aca="false">IF(OR(INDEX(Undirviðmið!$G$6:$G$105,(COLUMN()-7-1)/2+1)&lt;&gt;"Starfsbundið",DW82="",DW$8="",DW$7=""),"",ROUND(DW82/DW$8*DW$7*KVARDI,2))</f>
        <v/>
      </c>
      <c r="DY82" s="39"/>
      <c r="DZ82" s="40" t="str">
        <f aca="false">IF(OR(INDEX(Undirviðmið!$G$6:$G$105,(COLUMN()-7-1)/2+1)&lt;&gt;"Starfsbundið",DY82="",DY$8="",DY$7=""),"",ROUND(DY82/DY$8*DY$7*KVARDI,2))</f>
        <v/>
      </c>
      <c r="EA82" s="39"/>
      <c r="EB82" s="40" t="str">
        <f aca="false">IF(OR(INDEX(Undirviðmið!$G$6:$G$105,(COLUMN()-7-1)/2+1)&lt;&gt;"Starfsbundið",EA82="",EA$8="",EA$7=""),"",ROUND(EA82/EA$8*EA$7*KVARDI,2))</f>
        <v/>
      </c>
      <c r="EC82" s="39"/>
      <c r="ED82" s="40" t="str">
        <f aca="false">IF(OR(INDEX(Undirviðmið!$G$6:$G$105,(COLUMN()-7-1)/2+1)&lt;&gt;"Starfsbundið",EC82="",EC$8="",EC$7=""),"",ROUND(EC82/EC$8*EC$7*KVARDI,2))</f>
        <v/>
      </c>
      <c r="EE82" s="39"/>
      <c r="EF82" s="40" t="str">
        <f aca="false">IF(OR(INDEX(Undirviðmið!$G$6:$G$105,(COLUMN()-7-1)/2+1)&lt;&gt;"Starfsbundið",EE82="",EE$8="",EE$7=""),"",ROUND(EE82/EE$8*EE$7*KVARDI,2))</f>
        <v/>
      </c>
      <c r="EG82" s="39"/>
      <c r="EH82" s="40" t="str">
        <f aca="false">IF(OR(INDEX(Undirviðmið!$G$6:$G$105,(COLUMN()-7-1)/2+1)&lt;&gt;"Starfsbundið",EG82="",EG$8="",EG$7=""),"",ROUND(EG82/EG$8*EG$7*KVARDI,2))</f>
        <v/>
      </c>
      <c r="EI82" s="39"/>
      <c r="EJ82" s="40" t="str">
        <f aca="false">IF(OR(INDEX(Undirviðmið!$G$6:$G$105,(COLUMN()-7-1)/2+1)&lt;&gt;"Starfsbundið",EI82="",EI$8="",EI$7=""),"",ROUND(EI82/EI$8*EI$7*KVARDI,2))</f>
        <v/>
      </c>
      <c r="EK82" s="39"/>
      <c r="EL82" s="40" t="str">
        <f aca="false">IF(OR(INDEX(Undirviðmið!$G$6:$G$105,(COLUMN()-7-1)/2+1)&lt;&gt;"Starfsbundið",EK82="",EK$8="",EK$7=""),"",ROUND(EK82/EK$8*EK$7*KVARDI,2))</f>
        <v/>
      </c>
      <c r="EM82" s="39"/>
      <c r="EN82" s="40" t="str">
        <f aca="false">IF(OR(INDEX(Undirviðmið!$G$6:$G$105,(COLUMN()-7-1)/2+1)&lt;&gt;"Starfsbundið",EM82="",EM$8="",EM$7=""),"",ROUND(EM82/EM$8*EM$7*KVARDI,2))</f>
        <v/>
      </c>
      <c r="EO82" s="39"/>
      <c r="EP82" s="40" t="str">
        <f aca="false">IF(OR(INDEX(Undirviðmið!$G$6:$G$105,(COLUMN()-7-1)/2+1)&lt;&gt;"Starfsbundið",EO82="",EO$8="",EO$7=""),"",ROUND(EO82/EO$8*EO$7*KVARDI,2))</f>
        <v/>
      </c>
      <c r="EQ82" s="39"/>
      <c r="ER82" s="40" t="str">
        <f aca="false">IF(OR(INDEX(Undirviðmið!$G$6:$G$105,(COLUMN()-7-1)/2+1)&lt;&gt;"Starfsbundið",EQ82="",EQ$8="",EQ$7=""),"",ROUND(EQ82/EQ$8*EQ$7*KVARDI,2))</f>
        <v/>
      </c>
      <c r="ES82" s="39"/>
      <c r="ET82" s="40" t="str">
        <f aca="false">IF(OR(INDEX(Undirviðmið!$G$6:$G$105,(COLUMN()-7-1)/2+1)&lt;&gt;"Starfsbundið",ES82="",ES$8="",ES$7=""),"",ROUND(ES82/ES$8*ES$7*KVARDI,2))</f>
        <v/>
      </c>
      <c r="EU82" s="39"/>
      <c r="EV82" s="40" t="str">
        <f aca="false">IF(OR(INDEX(Undirviðmið!$G$6:$G$105,(COLUMN()-7-1)/2+1)&lt;&gt;"Starfsbundið",EU82="",EU$8="",EU$7=""),"",ROUND(EU82/EU$8*EU$7*KVARDI,2))</f>
        <v/>
      </c>
      <c r="EW82" s="39"/>
      <c r="EX82" s="40" t="str">
        <f aca="false">IF(OR(INDEX(Undirviðmið!$G$6:$G$105,(COLUMN()-7-1)/2+1)&lt;&gt;"Starfsbundið",EW82="",EW$8="",EW$7=""),"",ROUND(EW82/EW$8*EW$7*KVARDI,2))</f>
        <v/>
      </c>
      <c r="EY82" s="39"/>
      <c r="EZ82" s="40" t="str">
        <f aca="false">IF(OR(INDEX(Undirviðmið!$G$6:$G$105,(COLUMN()-7-1)/2+1)&lt;&gt;"Starfsbundið",EY82="",EY$8="",EY$7=""),"",ROUND(EY82/EY$8*EY$7*KVARDI,2))</f>
        <v/>
      </c>
      <c r="FA82" s="39"/>
      <c r="FB82" s="40" t="str">
        <f aca="false">IF(OR(INDEX(Undirviðmið!$G$6:$G$105,(COLUMN()-7-1)/2+1)&lt;&gt;"Starfsbundið",FA82="",FA$8="",FA$7=""),"",ROUND(FA82/FA$8*FA$7*KVARDI,2))</f>
        <v/>
      </c>
      <c r="FC82" s="39"/>
      <c r="FD82" s="40" t="str">
        <f aca="false">IF(OR(INDEX(Undirviðmið!$G$6:$G$105,(COLUMN()-7-1)/2+1)&lt;&gt;"Starfsbundið",FC82="",FC$8="",FC$7=""),"",ROUND(FC82/FC$8*FC$7*KVARDI,2))</f>
        <v/>
      </c>
      <c r="FE82" s="39"/>
      <c r="FF82" s="40" t="str">
        <f aca="false">IF(OR(INDEX(Undirviðmið!$G$6:$G$105,(COLUMN()-7-1)/2+1)&lt;&gt;"Starfsbundið",FE82="",FE$8="",FE$7=""),"",ROUND(FE82/FE$8*FE$7*KVARDI,2))</f>
        <v/>
      </c>
      <c r="FG82" s="39"/>
      <c r="FH82" s="40" t="str">
        <f aca="false">IF(OR(INDEX(Undirviðmið!$G$6:$G$105,(COLUMN()-7-1)/2+1)&lt;&gt;"Starfsbundið",FG82="",FG$8="",FG$7=""),"",ROUND(FG82/FG$8*FG$7*KVARDI,2))</f>
        <v/>
      </c>
      <c r="FI82" s="39"/>
      <c r="FJ82" s="40" t="str">
        <f aca="false">IF(OR(INDEX(Undirviðmið!$G$6:$G$105,(COLUMN()-7-1)/2+1)&lt;&gt;"Starfsbundið",FI82="",FI$8="",FI$7=""),"",ROUND(FI82/FI$8*FI$7*KVARDI,2))</f>
        <v/>
      </c>
      <c r="FK82" s="39"/>
      <c r="FL82" s="40" t="str">
        <f aca="false">IF(OR(INDEX(Undirviðmið!$G$6:$G$105,(COLUMN()-7-1)/2+1)&lt;&gt;"Starfsbundið",FK82="",FK$8="",FK$7=""),"",ROUND(FK82/FK$8*FK$7*KVARDI,2))</f>
        <v/>
      </c>
      <c r="FM82" s="39"/>
      <c r="FN82" s="40" t="str">
        <f aca="false">IF(OR(INDEX(Undirviðmið!$G$6:$G$105,(COLUMN()-7-1)/2+1)&lt;&gt;"Starfsbundið",FM82="",FM$8="",FM$7=""),"",ROUND(FM82/FM$8*FM$7*KVARDI,2))</f>
        <v/>
      </c>
      <c r="FO82" s="39"/>
      <c r="FP82" s="40" t="str">
        <f aca="false">IF(OR(INDEX(Undirviðmið!$G$6:$G$105,(COLUMN()-7-1)/2+1)&lt;&gt;"Starfsbundið",FO82="",FO$8="",FO$7=""),"",ROUND(FO82/FO$8*FO$7*KVARDI,2))</f>
        <v/>
      </c>
      <c r="FQ82" s="39"/>
      <c r="FR82" s="40" t="str">
        <f aca="false">IF(OR(INDEX(Undirviðmið!$G$6:$G$105,(COLUMN()-7-1)/2+1)&lt;&gt;"Starfsbundið",FQ82="",FQ$8="",FQ$7=""),"",ROUND(FQ82/FQ$8*FQ$7*KVARDI,2))</f>
        <v/>
      </c>
      <c r="FS82" s="39"/>
      <c r="FT82" s="40" t="str">
        <f aca="false">IF(OR(INDEX(Undirviðmið!$G$6:$G$105,(COLUMN()-7-1)/2+1)&lt;&gt;"Starfsbundið",FS82="",FS$8="",FS$7=""),"",ROUND(FS82/FS$8*FS$7*KVARDI,2))</f>
        <v/>
      </c>
      <c r="FU82" s="39"/>
      <c r="FV82" s="40" t="str">
        <f aca="false">IF(OR(INDEX(Undirviðmið!$G$6:$G$105,(COLUMN()-7-1)/2+1)&lt;&gt;"Starfsbundið",FU82="",FU$8="",FU$7=""),"",ROUND(FU82/FU$8*FU$7*KVARDI,2))</f>
        <v/>
      </c>
      <c r="FW82" s="39"/>
      <c r="FX82" s="40" t="str">
        <f aca="false">IF(OR(INDEX(Undirviðmið!$G$6:$G$105,(COLUMN()-7-1)/2+1)&lt;&gt;"Starfsbundið",FW82="",FW$8="",FW$7=""),"",ROUND(FW82/FW$8*FW$7*KVARDI,2))</f>
        <v/>
      </c>
      <c r="FY82" s="39"/>
      <c r="FZ82" s="40" t="str">
        <f aca="false">IF(OR(INDEX(Undirviðmið!$G$6:$G$105,(COLUMN()-7-1)/2+1)&lt;&gt;"Starfsbundið",FY82="",FY$8="",FY$7=""),"",ROUND(FY82/FY$8*FY$7*KVARDI,2))</f>
        <v/>
      </c>
      <c r="GA82" s="39"/>
      <c r="GB82" s="40" t="str">
        <f aca="false">IF(OR(INDEX(Undirviðmið!$G$6:$G$105,(COLUMN()-7-1)/2+1)&lt;&gt;"Starfsbundið",GA82="",GA$8="",GA$7=""),"",ROUND(GA82/GA$8*GA$7*KVARDI,2))</f>
        <v/>
      </c>
      <c r="GC82" s="39"/>
      <c r="GD82" s="40" t="str">
        <f aca="false">IF(OR(INDEX(Undirviðmið!$G$6:$G$105,(COLUMN()-7-1)/2+1)&lt;&gt;"Starfsbundið",GC82="",GC$8="",GC$7=""),"",ROUND(GC82/GC$8*GC$7*KVARDI,2))</f>
        <v/>
      </c>
      <c r="GE82" s="39"/>
      <c r="GF82" s="40" t="str">
        <f aca="false">IF(OR(INDEX(Undirviðmið!$G$6:$G$105,(COLUMN()-7-1)/2+1)&lt;&gt;"Starfsbundið",GE82="",GE$8="",GE$7=""),"",ROUND(GE82/GE$8*GE$7*KVARDI,2))</f>
        <v/>
      </c>
      <c r="GG82" s="39"/>
      <c r="GH82" s="40" t="str">
        <f aca="false">IF(OR(INDEX(Undirviðmið!$G$6:$G$105,(COLUMN()-7-1)/2+1)&lt;&gt;"Starfsbundið",GG82="",GG$8="",GG$7=""),"",ROUND(GG82/GG$8*GG$7*KVARDI,2))</f>
        <v/>
      </c>
      <c r="GI82" s="39"/>
      <c r="GJ82" s="40" t="str">
        <f aca="false">IF(OR(INDEX(Undirviðmið!$G$6:$G$105,(COLUMN()-7-1)/2+1)&lt;&gt;"Starfsbundið",GI82="",GI$8="",GI$7=""),"",ROUND(GI82/GI$8*GI$7*KVARDI,2))</f>
        <v/>
      </c>
      <c r="GK82" s="39"/>
      <c r="GL82" s="40" t="str">
        <f aca="false">IF(OR(INDEX(Undirviðmið!$G$6:$G$105,(COLUMN()-7-1)/2+1)&lt;&gt;"Starfsbundið",GK82="",GK$8="",GK$7=""),"",ROUND(GK82/GK$8*GK$7*KVARDI,2))</f>
        <v/>
      </c>
      <c r="GM82" s="39"/>
      <c r="GN82" s="40" t="str">
        <f aca="false">IF(OR(INDEX(Undirviðmið!$G$6:$G$105,(COLUMN()-7-1)/2+1)&lt;&gt;"Starfsbundið",GM82="",GM$8="",GM$7=""),"",ROUND(GM82/GM$8*GM$7*KVARDI,2))</f>
        <v/>
      </c>
      <c r="GO82" s="39"/>
      <c r="GP82" s="40" t="str">
        <f aca="false">IF(OR(INDEX(Undirviðmið!$G$6:$G$105,(COLUMN()-7-1)/2+1)&lt;&gt;"Starfsbundið",GO82="",GO$8="",GO$7=""),"",ROUND(GO82/GO$8*GO$7*KVARDI,2))</f>
        <v/>
      </c>
      <c r="GQ82" s="39"/>
      <c r="GR82" s="40" t="str">
        <f aca="false">IF(OR(INDEX(Undirviðmið!$G$6:$G$105,(COLUMN()-7-1)/2+1)&lt;&gt;"Starfsbundið",GQ82="",GQ$8="",GQ$7=""),"",ROUND(GQ82/GQ$8*GQ$7*KVARDI,2))</f>
        <v/>
      </c>
      <c r="GS82" s="39"/>
      <c r="GT82" s="40" t="str">
        <f aca="false">IF(OR(INDEX(Undirviðmið!$G$6:$G$105,(COLUMN()-7-1)/2+1)&lt;&gt;"Starfsbundið",GS82="",GS$8="",GS$7=""),"",ROUND(GS82/GS$8*GS$7*KVARDI,2))</f>
        <v/>
      </c>
      <c r="GU82" s="39"/>
      <c r="GV82" s="40" t="str">
        <f aca="false">IF(OR(INDEX(Undirviðmið!$G$6:$G$105,(COLUMN()-7-1)/2+1)&lt;&gt;"Starfsbundið",GU82="",GU$8="",GU$7=""),"",ROUND(GU82/GU$8*GU$7*KVARDI,2))</f>
        <v/>
      </c>
      <c r="GW82" s="39"/>
      <c r="GX82" s="40" t="str">
        <f aca="false">IF(OR(INDEX(Undirviðmið!$G$6:$G$105,(COLUMN()-7-1)/2+1)&lt;&gt;"Starfsbundið",GW82="",GW$8="",GW$7=""),"",ROUND(GW82/GW$8*GW$7*KVARDI,2))</f>
        <v/>
      </c>
      <c r="GZ82" s="20"/>
    </row>
    <row r="83" customFormat="false" ht="15" hidden="true" customHeight="true" outlineLevel="1" collapsed="false">
      <c r="B83" s="37" t="str">
        <f aca="false" t="array" ref="B83:B83">IFERROR(INDEX(Starfsmenn!$C$6:$C$10005,MATCH(0,COUNTIF($B$11:B82,Starfsmenn!$C$6:$C$10005)+(Starfsmenn!$C$6:$C$10005=""),0)),"")</f>
        <v/>
      </c>
      <c r="C83" s="38" t="n">
        <f aca="false">IFERROR(SUMIF($G$10:$GX$10,"Stig",$G83:$GX83),0)</f>
        <v>0</v>
      </c>
      <c r="G83" s="39"/>
      <c r="H83" s="40" t="str">
        <f aca="false">IF(OR(INDEX(Undirviðmið!$G$6:$G$105,(COLUMN()-7-1)/2+1)&lt;&gt;"Starfsbundið",G83="",G$8="",G$7=""),"",ROUND(G83/G$8*G$7*KVARDI,2))</f>
        <v/>
      </c>
      <c r="I83" s="39"/>
      <c r="J83" s="40" t="str">
        <f aca="false">IF(OR(INDEX(Undirviðmið!$G$6:$G$105,(COLUMN()-7-1)/2+1)&lt;&gt;"Starfsbundið",I83="",I$8="",I$7=""),"",ROUND(I83/I$8*I$7*KVARDI,2))</f>
        <v/>
      </c>
      <c r="K83" s="39"/>
      <c r="L83" s="40" t="str">
        <f aca="false">IF(OR(INDEX(Undirviðmið!$G$6:$G$105,(COLUMN()-7-1)/2+1)&lt;&gt;"Starfsbundið",K83="",K$8="",K$7=""),"",ROUND(K83/K$8*K$7*KVARDI,2))</f>
        <v/>
      </c>
      <c r="M83" s="39"/>
      <c r="N83" s="40" t="str">
        <f aca="false">IF(OR(INDEX(Undirviðmið!$G$6:$G$105,(COLUMN()-7-1)/2+1)&lt;&gt;"Starfsbundið",M83="",M$8="",M$7=""),"",ROUND(M83/M$8*M$7*KVARDI,2))</f>
        <v/>
      </c>
      <c r="O83" s="39"/>
      <c r="P83" s="40" t="str">
        <f aca="false">IF(OR(INDEX(Undirviðmið!$G$6:$G$105,(COLUMN()-7-1)/2+1)&lt;&gt;"Starfsbundið",O83="",O$8="",O$7=""),"",ROUND(O83/O$8*O$7*KVARDI,2))</f>
        <v/>
      </c>
      <c r="Q83" s="39"/>
      <c r="R83" s="40" t="str">
        <f aca="false">IF(OR(INDEX(Undirviðmið!$G$6:$G$105,(COLUMN()-7-1)/2+1)&lt;&gt;"Starfsbundið",Q83="",Q$8="",Q$7=""),"",ROUND(Q83/Q$8*Q$7*KVARDI,2))</f>
        <v/>
      </c>
      <c r="S83" s="39"/>
      <c r="T83" s="40" t="str">
        <f aca="false">IF(OR(INDEX(Undirviðmið!$G$6:$G$105,(COLUMN()-7-1)/2+1)&lt;&gt;"Starfsbundið",S83="",S$8="",S$7=""),"",ROUND(S83/S$8*S$7*KVARDI,2))</f>
        <v/>
      </c>
      <c r="U83" s="39"/>
      <c r="V83" s="40" t="str">
        <f aca="false">IF(OR(INDEX(Undirviðmið!$G$6:$G$105,(COLUMN()-7-1)/2+1)&lt;&gt;"Starfsbundið",U83="",U$8="",U$7=""),"",ROUND(U83/U$8*U$7*KVARDI,2))</f>
        <v/>
      </c>
      <c r="W83" s="39"/>
      <c r="X83" s="40" t="str">
        <f aca="false">IF(OR(INDEX(Undirviðmið!$G$6:$G$105,(COLUMN()-7-1)/2+1)&lt;&gt;"Starfsbundið",W83="",W$8="",W$7=""),"",ROUND(W83/W$8*W$7*KVARDI,2))</f>
        <v/>
      </c>
      <c r="Y83" s="39"/>
      <c r="Z83" s="40" t="str">
        <f aca="false">IF(OR(INDEX(Undirviðmið!$G$6:$G$105,(COLUMN()-7-1)/2+1)&lt;&gt;"Starfsbundið",Y83="",Y$8="",Y$7=""),"",ROUND(Y83/Y$8*Y$7*KVARDI,2))</f>
        <v/>
      </c>
      <c r="AA83" s="39"/>
      <c r="AB83" s="40" t="str">
        <f aca="false">IF(OR(INDEX(Undirviðmið!$G$6:$G$105,(COLUMN()-7-1)/2+1)&lt;&gt;"Starfsbundið",AA83="",AA$8="",AA$7=""),"",ROUND(AA83/AA$8*AA$7*KVARDI,2))</f>
        <v/>
      </c>
      <c r="AC83" s="39"/>
      <c r="AD83" s="40" t="str">
        <f aca="false">IF(OR(INDEX(Undirviðmið!$G$6:$G$105,(COLUMN()-7-1)/2+1)&lt;&gt;"Starfsbundið",AC83="",AC$8="",AC$7=""),"",ROUND(AC83/AC$8*AC$7*KVARDI,2))</f>
        <v/>
      </c>
      <c r="AE83" s="39"/>
      <c r="AF83" s="40" t="str">
        <f aca="false">IF(OR(INDEX(Undirviðmið!$G$6:$G$105,(COLUMN()-7-1)/2+1)&lt;&gt;"Starfsbundið",AE83="",AE$8="",AE$7=""),"",ROUND(AE83/AE$8*AE$7*KVARDI,2))</f>
        <v/>
      </c>
      <c r="AG83" s="39"/>
      <c r="AH83" s="40" t="str">
        <f aca="false">IF(OR(INDEX(Undirviðmið!$G$6:$G$105,(COLUMN()-7-1)/2+1)&lt;&gt;"Starfsbundið",AG83="",AG$8="",AG$7=""),"",ROUND(AG83/AG$8*AG$7*KVARDI,2))</f>
        <v/>
      </c>
      <c r="AI83" s="39"/>
      <c r="AJ83" s="40" t="str">
        <f aca="false">IF(OR(INDEX(Undirviðmið!$G$6:$G$105,(COLUMN()-7-1)/2+1)&lt;&gt;"Starfsbundið",AI83="",AI$8="",AI$7=""),"",ROUND(AI83/AI$8*AI$7*KVARDI,2))</f>
        <v/>
      </c>
      <c r="AK83" s="39"/>
      <c r="AL83" s="40" t="str">
        <f aca="false">IF(OR(INDEX(Undirviðmið!$G$6:$G$105,(COLUMN()-7-1)/2+1)&lt;&gt;"Starfsbundið",AK83="",AK$8="",AK$7=""),"",ROUND(AK83/AK$8*AK$7*KVARDI,2))</f>
        <v/>
      </c>
      <c r="AM83" s="39"/>
      <c r="AN83" s="40" t="str">
        <f aca="false">IF(OR(INDEX(Undirviðmið!$G$6:$G$105,(COLUMN()-7-1)/2+1)&lt;&gt;"Starfsbundið",AM83="",AM$8="",AM$7=""),"",ROUND(AM83/AM$8*AM$7*KVARDI,2))</f>
        <v/>
      </c>
      <c r="AO83" s="39"/>
      <c r="AP83" s="40" t="str">
        <f aca="false">IF(OR(INDEX(Undirviðmið!$G$6:$G$105,(COLUMN()-7-1)/2+1)&lt;&gt;"Starfsbundið",AO83="",AO$8="",AO$7=""),"",ROUND(AO83/AO$8*AO$7*KVARDI,2))</f>
        <v/>
      </c>
      <c r="AQ83" s="39"/>
      <c r="AR83" s="40" t="str">
        <f aca="false">IF(OR(INDEX(Undirviðmið!$G$6:$G$105,(COLUMN()-7-1)/2+1)&lt;&gt;"Starfsbundið",AQ83="",AQ$8="",AQ$7=""),"",ROUND(AQ83/AQ$8*AQ$7*KVARDI,2))</f>
        <v/>
      </c>
      <c r="AS83" s="39"/>
      <c r="AT83" s="40" t="str">
        <f aca="false">IF(OR(INDEX(Undirviðmið!$G$6:$G$105,(COLUMN()-7-1)/2+1)&lt;&gt;"Starfsbundið",AS83="",AS$8="",AS$7=""),"",ROUND(AS83/AS$8*AS$7*KVARDI,2))</f>
        <v/>
      </c>
      <c r="AU83" s="39"/>
      <c r="AV83" s="40" t="str">
        <f aca="false">IF(OR(INDEX(Undirviðmið!$G$6:$G$105,(COLUMN()-7-1)/2+1)&lt;&gt;"Starfsbundið",AU83="",AU$8="",AU$7=""),"",ROUND(AU83/AU$8*AU$7*KVARDI,2))</f>
        <v/>
      </c>
      <c r="AW83" s="39"/>
      <c r="AX83" s="40" t="str">
        <f aca="false">IF(OR(INDEX(Undirviðmið!$G$6:$G$105,(COLUMN()-7-1)/2+1)&lt;&gt;"Starfsbundið",AW83="",AW$8="",AW$7=""),"",ROUND(AW83/AW$8*AW$7*KVARDI,2))</f>
        <v/>
      </c>
      <c r="AY83" s="39"/>
      <c r="AZ83" s="40" t="str">
        <f aca="false">IF(OR(INDEX(Undirviðmið!$G$6:$G$105,(COLUMN()-7-1)/2+1)&lt;&gt;"Starfsbundið",AY83="",AY$8="",AY$7=""),"",ROUND(AY83/AY$8*AY$7*KVARDI,2))</f>
        <v/>
      </c>
      <c r="BA83" s="39"/>
      <c r="BB83" s="40" t="str">
        <f aca="false">IF(OR(INDEX(Undirviðmið!$G$6:$G$105,(COLUMN()-7-1)/2+1)&lt;&gt;"Starfsbundið",BA83="",BA$8="",BA$7=""),"",ROUND(BA83/BA$8*BA$7*KVARDI,2))</f>
        <v/>
      </c>
      <c r="BC83" s="39"/>
      <c r="BD83" s="40" t="str">
        <f aca="false">IF(OR(INDEX(Undirviðmið!$G$6:$G$105,(COLUMN()-7-1)/2+1)&lt;&gt;"Starfsbundið",BC83="",BC$8="",BC$7=""),"",ROUND(BC83/BC$8*BC$7*KVARDI,2))</f>
        <v/>
      </c>
      <c r="BE83" s="39"/>
      <c r="BF83" s="40" t="str">
        <f aca="false">IF(OR(INDEX(Undirviðmið!$G$6:$G$105,(COLUMN()-7-1)/2+1)&lt;&gt;"Starfsbundið",BE83="",BE$8="",BE$7=""),"",ROUND(BE83/BE$8*BE$7*KVARDI,2))</f>
        <v/>
      </c>
      <c r="BG83" s="39"/>
      <c r="BH83" s="40" t="str">
        <f aca="false">IF(OR(INDEX(Undirviðmið!$G$6:$G$105,(COLUMN()-7-1)/2+1)&lt;&gt;"Starfsbundið",BG83="",BG$8="",BG$7=""),"",ROUND(BG83/BG$8*BG$7*KVARDI,2))</f>
        <v/>
      </c>
      <c r="BI83" s="39"/>
      <c r="BJ83" s="40" t="str">
        <f aca="false">IF(OR(INDEX(Undirviðmið!$G$6:$G$105,(COLUMN()-7-1)/2+1)&lt;&gt;"Starfsbundið",BI83="",BI$8="",BI$7=""),"",ROUND(BI83/BI$8*BI$7*KVARDI,2))</f>
        <v/>
      </c>
      <c r="BK83" s="39"/>
      <c r="BL83" s="40" t="str">
        <f aca="false">IF(OR(INDEX(Undirviðmið!$G$6:$G$105,(COLUMN()-7-1)/2+1)&lt;&gt;"Starfsbundið",BK83="",BK$8="",BK$7=""),"",ROUND(BK83/BK$8*BK$7*KVARDI,2))</f>
        <v/>
      </c>
      <c r="BM83" s="39"/>
      <c r="BN83" s="40" t="str">
        <f aca="false">IF(OR(INDEX(Undirviðmið!$G$6:$G$105,(COLUMN()-7-1)/2+1)&lt;&gt;"Starfsbundið",BM83="",BM$8="",BM$7=""),"",ROUND(BM83/BM$8*BM$7*KVARDI,2))</f>
        <v/>
      </c>
      <c r="BO83" s="39"/>
      <c r="BP83" s="40" t="str">
        <f aca="false">IF(OR(INDEX(Undirviðmið!$G$6:$G$105,(COLUMN()-7-1)/2+1)&lt;&gt;"Starfsbundið",BO83="",BO$8="",BO$7=""),"",ROUND(BO83/BO$8*BO$7*KVARDI,2))</f>
        <v/>
      </c>
      <c r="BQ83" s="39"/>
      <c r="BR83" s="40" t="str">
        <f aca="false">IF(OR(INDEX(Undirviðmið!$G$6:$G$105,(COLUMN()-7-1)/2+1)&lt;&gt;"Starfsbundið",BQ83="",BQ$8="",BQ$7=""),"",ROUND(BQ83/BQ$8*BQ$7*KVARDI,2))</f>
        <v/>
      </c>
      <c r="BS83" s="39"/>
      <c r="BT83" s="40" t="str">
        <f aca="false">IF(OR(INDEX(Undirviðmið!$G$6:$G$105,(COLUMN()-7-1)/2+1)&lt;&gt;"Starfsbundið",BS83="",BS$8="",BS$7=""),"",ROUND(BS83/BS$8*BS$7*KVARDI,2))</f>
        <v/>
      </c>
      <c r="BU83" s="39"/>
      <c r="BV83" s="40" t="str">
        <f aca="false">IF(OR(INDEX(Undirviðmið!$G$6:$G$105,(COLUMN()-7-1)/2+1)&lt;&gt;"Starfsbundið",BU83="",BU$8="",BU$7=""),"",ROUND(BU83/BU$8*BU$7*KVARDI,2))</f>
        <v/>
      </c>
      <c r="BW83" s="39"/>
      <c r="BX83" s="40" t="str">
        <f aca="false">IF(OR(INDEX(Undirviðmið!$G$6:$G$105,(COLUMN()-7-1)/2+1)&lt;&gt;"Starfsbundið",BW83="",BW$8="",BW$7=""),"",ROUND(BW83/BW$8*BW$7*KVARDI,2))</f>
        <v/>
      </c>
      <c r="BY83" s="39"/>
      <c r="BZ83" s="40" t="str">
        <f aca="false">IF(OR(INDEX(Undirviðmið!$G$6:$G$105,(COLUMN()-7-1)/2+1)&lt;&gt;"Starfsbundið",BY83="",BY$8="",BY$7=""),"",ROUND(BY83/BY$8*BY$7*KVARDI,2))</f>
        <v/>
      </c>
      <c r="CA83" s="39"/>
      <c r="CB83" s="40" t="str">
        <f aca="false">IF(OR(INDEX(Undirviðmið!$G$6:$G$105,(COLUMN()-7-1)/2+1)&lt;&gt;"Starfsbundið",CA83="",CA$8="",CA$7=""),"",ROUND(CA83/CA$8*CA$7*KVARDI,2))</f>
        <v/>
      </c>
      <c r="CC83" s="39"/>
      <c r="CD83" s="40" t="str">
        <f aca="false">IF(OR(INDEX(Undirviðmið!$G$6:$G$105,(COLUMN()-7-1)/2+1)&lt;&gt;"Starfsbundið",CC83="",CC$8="",CC$7=""),"",ROUND(CC83/CC$8*CC$7*KVARDI,2))</f>
        <v/>
      </c>
      <c r="CE83" s="39"/>
      <c r="CF83" s="40" t="str">
        <f aca="false">IF(OR(INDEX(Undirviðmið!$G$6:$G$105,(COLUMN()-7-1)/2+1)&lt;&gt;"Starfsbundið",CE83="",CE$8="",CE$7=""),"",ROUND(CE83/CE$8*CE$7*KVARDI,2))</f>
        <v/>
      </c>
      <c r="CG83" s="39"/>
      <c r="CH83" s="40" t="str">
        <f aca="false">IF(OR(INDEX(Undirviðmið!$G$6:$G$105,(COLUMN()-7-1)/2+1)&lt;&gt;"Starfsbundið",CG83="",CG$8="",CG$7=""),"",ROUND(CG83/CG$8*CG$7*KVARDI,2))</f>
        <v/>
      </c>
      <c r="CI83" s="39"/>
      <c r="CJ83" s="40" t="str">
        <f aca="false">IF(OR(INDEX(Undirviðmið!$G$6:$G$105,(COLUMN()-7-1)/2+1)&lt;&gt;"Starfsbundið",CI83="",CI$8="",CI$7=""),"",ROUND(CI83/CI$8*CI$7*KVARDI,2))</f>
        <v/>
      </c>
      <c r="CK83" s="39"/>
      <c r="CL83" s="40" t="str">
        <f aca="false">IF(OR(INDEX(Undirviðmið!$G$6:$G$105,(COLUMN()-7-1)/2+1)&lt;&gt;"Starfsbundið",CK83="",CK$8="",CK$7=""),"",ROUND(CK83/CK$8*CK$7*KVARDI,2))</f>
        <v/>
      </c>
      <c r="CM83" s="39"/>
      <c r="CN83" s="40" t="str">
        <f aca="false">IF(OR(INDEX(Undirviðmið!$G$6:$G$105,(COLUMN()-7-1)/2+1)&lt;&gt;"Starfsbundið",CM83="",CM$8="",CM$7=""),"",ROUND(CM83/CM$8*CM$7*KVARDI,2))</f>
        <v/>
      </c>
      <c r="CO83" s="39"/>
      <c r="CP83" s="40" t="str">
        <f aca="false">IF(OR(INDEX(Undirviðmið!$G$6:$G$105,(COLUMN()-7-1)/2+1)&lt;&gt;"Starfsbundið",CO83="",CO$8="",CO$7=""),"",ROUND(CO83/CO$8*CO$7*KVARDI,2))</f>
        <v/>
      </c>
      <c r="CQ83" s="39"/>
      <c r="CR83" s="40" t="str">
        <f aca="false">IF(OR(INDEX(Undirviðmið!$G$6:$G$105,(COLUMN()-7-1)/2+1)&lt;&gt;"Starfsbundið",CQ83="",CQ$8="",CQ$7=""),"",ROUND(CQ83/CQ$8*CQ$7*KVARDI,2))</f>
        <v/>
      </c>
      <c r="CS83" s="39"/>
      <c r="CT83" s="40" t="str">
        <f aca="false">IF(OR(INDEX(Undirviðmið!$G$6:$G$105,(COLUMN()-7-1)/2+1)&lt;&gt;"Starfsbundið",CS83="",CS$8="",CS$7=""),"",ROUND(CS83/CS$8*CS$7*KVARDI,2))</f>
        <v/>
      </c>
      <c r="CU83" s="39"/>
      <c r="CV83" s="40" t="str">
        <f aca="false">IF(OR(INDEX(Undirviðmið!$G$6:$G$105,(COLUMN()-7-1)/2+1)&lt;&gt;"Starfsbundið",CU83="",CU$8="",CU$7=""),"",ROUND(CU83/CU$8*CU$7*KVARDI,2))</f>
        <v/>
      </c>
      <c r="CW83" s="39"/>
      <c r="CX83" s="40" t="str">
        <f aca="false">IF(OR(INDEX(Undirviðmið!$G$6:$G$105,(COLUMN()-7-1)/2+1)&lt;&gt;"Starfsbundið",CW83="",CW$8="",CW$7=""),"",ROUND(CW83/CW$8*CW$7*KVARDI,2))</f>
        <v/>
      </c>
      <c r="CY83" s="39"/>
      <c r="CZ83" s="40" t="str">
        <f aca="false">IF(OR(INDEX(Undirviðmið!$G$6:$G$105,(COLUMN()-7-1)/2+1)&lt;&gt;"Starfsbundið",CY83="",CY$8="",CY$7=""),"",ROUND(CY83/CY$8*CY$7*KVARDI,2))</f>
        <v/>
      </c>
      <c r="DA83" s="39"/>
      <c r="DB83" s="40" t="str">
        <f aca="false">IF(OR(INDEX(Undirviðmið!$G$6:$G$105,(COLUMN()-7-1)/2+1)&lt;&gt;"Starfsbundið",DA83="",DA$8="",DA$7=""),"",ROUND(DA83/DA$8*DA$7*KVARDI,2))</f>
        <v/>
      </c>
      <c r="DC83" s="39"/>
      <c r="DD83" s="40" t="str">
        <f aca="false">IF(OR(INDEX(Undirviðmið!$G$6:$G$105,(COLUMN()-7-1)/2+1)&lt;&gt;"Starfsbundið",DC83="",DC$8="",DC$7=""),"",ROUND(DC83/DC$8*DC$7*KVARDI,2))</f>
        <v/>
      </c>
      <c r="DE83" s="39"/>
      <c r="DF83" s="40" t="str">
        <f aca="false">IF(OR(INDEX(Undirviðmið!$G$6:$G$105,(COLUMN()-7-1)/2+1)&lt;&gt;"Starfsbundið",DE83="",DE$8="",DE$7=""),"",ROUND(DE83/DE$8*DE$7*KVARDI,2))</f>
        <v/>
      </c>
      <c r="DG83" s="39"/>
      <c r="DH83" s="40" t="str">
        <f aca="false">IF(OR(INDEX(Undirviðmið!$G$6:$G$105,(COLUMN()-7-1)/2+1)&lt;&gt;"Starfsbundið",DG83="",DG$8="",DG$7=""),"",ROUND(DG83/DG$8*DG$7*KVARDI,2))</f>
        <v/>
      </c>
      <c r="DI83" s="39"/>
      <c r="DJ83" s="40" t="str">
        <f aca="false">IF(OR(INDEX(Undirviðmið!$G$6:$G$105,(COLUMN()-7-1)/2+1)&lt;&gt;"Starfsbundið",DI83="",DI$8="",DI$7=""),"",ROUND(DI83/DI$8*DI$7*KVARDI,2))</f>
        <v/>
      </c>
      <c r="DK83" s="39"/>
      <c r="DL83" s="40" t="str">
        <f aca="false">IF(OR(INDEX(Undirviðmið!$G$6:$G$105,(COLUMN()-7-1)/2+1)&lt;&gt;"Starfsbundið",DK83="",DK$8="",DK$7=""),"",ROUND(DK83/DK$8*DK$7*KVARDI,2))</f>
        <v/>
      </c>
      <c r="DM83" s="39"/>
      <c r="DN83" s="40" t="str">
        <f aca="false">IF(OR(INDEX(Undirviðmið!$G$6:$G$105,(COLUMN()-7-1)/2+1)&lt;&gt;"Starfsbundið",DM83="",DM$8="",DM$7=""),"",ROUND(DM83/DM$8*DM$7*KVARDI,2))</f>
        <v/>
      </c>
      <c r="DO83" s="39"/>
      <c r="DP83" s="40" t="str">
        <f aca="false">IF(OR(INDEX(Undirviðmið!$G$6:$G$105,(COLUMN()-7-1)/2+1)&lt;&gt;"Starfsbundið",DO83="",DO$8="",DO$7=""),"",ROUND(DO83/DO$8*DO$7*KVARDI,2))</f>
        <v/>
      </c>
      <c r="DQ83" s="39"/>
      <c r="DR83" s="40" t="str">
        <f aca="false">IF(OR(INDEX(Undirviðmið!$G$6:$G$105,(COLUMN()-7-1)/2+1)&lt;&gt;"Starfsbundið",DQ83="",DQ$8="",DQ$7=""),"",ROUND(DQ83/DQ$8*DQ$7*KVARDI,2))</f>
        <v/>
      </c>
      <c r="DS83" s="39"/>
      <c r="DT83" s="40" t="str">
        <f aca="false">IF(OR(INDEX(Undirviðmið!$G$6:$G$105,(COLUMN()-7-1)/2+1)&lt;&gt;"Starfsbundið",DS83="",DS$8="",DS$7=""),"",ROUND(DS83/DS$8*DS$7*KVARDI,2))</f>
        <v/>
      </c>
      <c r="DU83" s="39"/>
      <c r="DV83" s="40" t="str">
        <f aca="false">IF(OR(INDEX(Undirviðmið!$G$6:$G$105,(COLUMN()-7-1)/2+1)&lt;&gt;"Starfsbundið",DU83="",DU$8="",DU$7=""),"",ROUND(DU83/DU$8*DU$7*KVARDI,2))</f>
        <v/>
      </c>
      <c r="DW83" s="39"/>
      <c r="DX83" s="40" t="str">
        <f aca="false">IF(OR(INDEX(Undirviðmið!$G$6:$G$105,(COLUMN()-7-1)/2+1)&lt;&gt;"Starfsbundið",DW83="",DW$8="",DW$7=""),"",ROUND(DW83/DW$8*DW$7*KVARDI,2))</f>
        <v/>
      </c>
      <c r="DY83" s="39"/>
      <c r="DZ83" s="40" t="str">
        <f aca="false">IF(OR(INDEX(Undirviðmið!$G$6:$G$105,(COLUMN()-7-1)/2+1)&lt;&gt;"Starfsbundið",DY83="",DY$8="",DY$7=""),"",ROUND(DY83/DY$8*DY$7*KVARDI,2))</f>
        <v/>
      </c>
      <c r="EA83" s="39"/>
      <c r="EB83" s="40" t="str">
        <f aca="false">IF(OR(INDEX(Undirviðmið!$G$6:$G$105,(COLUMN()-7-1)/2+1)&lt;&gt;"Starfsbundið",EA83="",EA$8="",EA$7=""),"",ROUND(EA83/EA$8*EA$7*KVARDI,2))</f>
        <v/>
      </c>
      <c r="EC83" s="39"/>
      <c r="ED83" s="40" t="str">
        <f aca="false">IF(OR(INDEX(Undirviðmið!$G$6:$G$105,(COLUMN()-7-1)/2+1)&lt;&gt;"Starfsbundið",EC83="",EC$8="",EC$7=""),"",ROUND(EC83/EC$8*EC$7*KVARDI,2))</f>
        <v/>
      </c>
      <c r="EE83" s="39"/>
      <c r="EF83" s="40" t="str">
        <f aca="false">IF(OR(INDEX(Undirviðmið!$G$6:$G$105,(COLUMN()-7-1)/2+1)&lt;&gt;"Starfsbundið",EE83="",EE$8="",EE$7=""),"",ROUND(EE83/EE$8*EE$7*KVARDI,2))</f>
        <v/>
      </c>
      <c r="EG83" s="39"/>
      <c r="EH83" s="40" t="str">
        <f aca="false">IF(OR(INDEX(Undirviðmið!$G$6:$G$105,(COLUMN()-7-1)/2+1)&lt;&gt;"Starfsbundið",EG83="",EG$8="",EG$7=""),"",ROUND(EG83/EG$8*EG$7*KVARDI,2))</f>
        <v/>
      </c>
      <c r="EI83" s="39"/>
      <c r="EJ83" s="40" t="str">
        <f aca="false">IF(OR(INDEX(Undirviðmið!$G$6:$G$105,(COLUMN()-7-1)/2+1)&lt;&gt;"Starfsbundið",EI83="",EI$8="",EI$7=""),"",ROUND(EI83/EI$8*EI$7*KVARDI,2))</f>
        <v/>
      </c>
      <c r="EK83" s="39"/>
      <c r="EL83" s="40" t="str">
        <f aca="false">IF(OR(INDEX(Undirviðmið!$G$6:$G$105,(COLUMN()-7-1)/2+1)&lt;&gt;"Starfsbundið",EK83="",EK$8="",EK$7=""),"",ROUND(EK83/EK$8*EK$7*KVARDI,2))</f>
        <v/>
      </c>
      <c r="EM83" s="39"/>
      <c r="EN83" s="40" t="str">
        <f aca="false">IF(OR(INDEX(Undirviðmið!$G$6:$G$105,(COLUMN()-7-1)/2+1)&lt;&gt;"Starfsbundið",EM83="",EM$8="",EM$7=""),"",ROUND(EM83/EM$8*EM$7*KVARDI,2))</f>
        <v/>
      </c>
      <c r="EO83" s="39"/>
      <c r="EP83" s="40" t="str">
        <f aca="false">IF(OR(INDEX(Undirviðmið!$G$6:$G$105,(COLUMN()-7-1)/2+1)&lt;&gt;"Starfsbundið",EO83="",EO$8="",EO$7=""),"",ROUND(EO83/EO$8*EO$7*KVARDI,2))</f>
        <v/>
      </c>
      <c r="EQ83" s="39"/>
      <c r="ER83" s="40" t="str">
        <f aca="false">IF(OR(INDEX(Undirviðmið!$G$6:$G$105,(COLUMN()-7-1)/2+1)&lt;&gt;"Starfsbundið",EQ83="",EQ$8="",EQ$7=""),"",ROUND(EQ83/EQ$8*EQ$7*KVARDI,2))</f>
        <v/>
      </c>
      <c r="ES83" s="39"/>
      <c r="ET83" s="40" t="str">
        <f aca="false">IF(OR(INDEX(Undirviðmið!$G$6:$G$105,(COLUMN()-7-1)/2+1)&lt;&gt;"Starfsbundið",ES83="",ES$8="",ES$7=""),"",ROUND(ES83/ES$8*ES$7*KVARDI,2))</f>
        <v/>
      </c>
      <c r="EU83" s="39"/>
      <c r="EV83" s="40" t="str">
        <f aca="false">IF(OR(INDEX(Undirviðmið!$G$6:$G$105,(COLUMN()-7-1)/2+1)&lt;&gt;"Starfsbundið",EU83="",EU$8="",EU$7=""),"",ROUND(EU83/EU$8*EU$7*KVARDI,2))</f>
        <v/>
      </c>
      <c r="EW83" s="39"/>
      <c r="EX83" s="40" t="str">
        <f aca="false">IF(OR(INDEX(Undirviðmið!$G$6:$G$105,(COLUMN()-7-1)/2+1)&lt;&gt;"Starfsbundið",EW83="",EW$8="",EW$7=""),"",ROUND(EW83/EW$8*EW$7*KVARDI,2))</f>
        <v/>
      </c>
      <c r="EY83" s="39"/>
      <c r="EZ83" s="40" t="str">
        <f aca="false">IF(OR(INDEX(Undirviðmið!$G$6:$G$105,(COLUMN()-7-1)/2+1)&lt;&gt;"Starfsbundið",EY83="",EY$8="",EY$7=""),"",ROUND(EY83/EY$8*EY$7*KVARDI,2))</f>
        <v/>
      </c>
      <c r="FA83" s="39"/>
      <c r="FB83" s="40" t="str">
        <f aca="false">IF(OR(INDEX(Undirviðmið!$G$6:$G$105,(COLUMN()-7-1)/2+1)&lt;&gt;"Starfsbundið",FA83="",FA$8="",FA$7=""),"",ROUND(FA83/FA$8*FA$7*KVARDI,2))</f>
        <v/>
      </c>
      <c r="FC83" s="39"/>
      <c r="FD83" s="40" t="str">
        <f aca="false">IF(OR(INDEX(Undirviðmið!$G$6:$G$105,(COLUMN()-7-1)/2+1)&lt;&gt;"Starfsbundið",FC83="",FC$8="",FC$7=""),"",ROUND(FC83/FC$8*FC$7*KVARDI,2))</f>
        <v/>
      </c>
      <c r="FE83" s="39"/>
      <c r="FF83" s="40" t="str">
        <f aca="false">IF(OR(INDEX(Undirviðmið!$G$6:$G$105,(COLUMN()-7-1)/2+1)&lt;&gt;"Starfsbundið",FE83="",FE$8="",FE$7=""),"",ROUND(FE83/FE$8*FE$7*KVARDI,2))</f>
        <v/>
      </c>
      <c r="FG83" s="39"/>
      <c r="FH83" s="40" t="str">
        <f aca="false">IF(OR(INDEX(Undirviðmið!$G$6:$G$105,(COLUMN()-7-1)/2+1)&lt;&gt;"Starfsbundið",FG83="",FG$8="",FG$7=""),"",ROUND(FG83/FG$8*FG$7*KVARDI,2))</f>
        <v/>
      </c>
      <c r="FI83" s="39"/>
      <c r="FJ83" s="40" t="str">
        <f aca="false">IF(OR(INDEX(Undirviðmið!$G$6:$G$105,(COLUMN()-7-1)/2+1)&lt;&gt;"Starfsbundið",FI83="",FI$8="",FI$7=""),"",ROUND(FI83/FI$8*FI$7*KVARDI,2))</f>
        <v/>
      </c>
      <c r="FK83" s="39"/>
      <c r="FL83" s="40" t="str">
        <f aca="false">IF(OR(INDEX(Undirviðmið!$G$6:$G$105,(COLUMN()-7-1)/2+1)&lt;&gt;"Starfsbundið",FK83="",FK$8="",FK$7=""),"",ROUND(FK83/FK$8*FK$7*KVARDI,2))</f>
        <v/>
      </c>
      <c r="FM83" s="39"/>
      <c r="FN83" s="40" t="str">
        <f aca="false">IF(OR(INDEX(Undirviðmið!$G$6:$G$105,(COLUMN()-7-1)/2+1)&lt;&gt;"Starfsbundið",FM83="",FM$8="",FM$7=""),"",ROUND(FM83/FM$8*FM$7*KVARDI,2))</f>
        <v/>
      </c>
      <c r="FO83" s="39"/>
      <c r="FP83" s="40" t="str">
        <f aca="false">IF(OR(INDEX(Undirviðmið!$G$6:$G$105,(COLUMN()-7-1)/2+1)&lt;&gt;"Starfsbundið",FO83="",FO$8="",FO$7=""),"",ROUND(FO83/FO$8*FO$7*KVARDI,2))</f>
        <v/>
      </c>
      <c r="FQ83" s="39"/>
      <c r="FR83" s="40" t="str">
        <f aca="false">IF(OR(INDEX(Undirviðmið!$G$6:$G$105,(COLUMN()-7-1)/2+1)&lt;&gt;"Starfsbundið",FQ83="",FQ$8="",FQ$7=""),"",ROUND(FQ83/FQ$8*FQ$7*KVARDI,2))</f>
        <v/>
      </c>
      <c r="FS83" s="39"/>
      <c r="FT83" s="40" t="str">
        <f aca="false">IF(OR(INDEX(Undirviðmið!$G$6:$G$105,(COLUMN()-7-1)/2+1)&lt;&gt;"Starfsbundið",FS83="",FS$8="",FS$7=""),"",ROUND(FS83/FS$8*FS$7*KVARDI,2))</f>
        <v/>
      </c>
      <c r="FU83" s="39"/>
      <c r="FV83" s="40" t="str">
        <f aca="false">IF(OR(INDEX(Undirviðmið!$G$6:$G$105,(COLUMN()-7-1)/2+1)&lt;&gt;"Starfsbundið",FU83="",FU$8="",FU$7=""),"",ROUND(FU83/FU$8*FU$7*KVARDI,2))</f>
        <v/>
      </c>
      <c r="FW83" s="39"/>
      <c r="FX83" s="40" t="str">
        <f aca="false">IF(OR(INDEX(Undirviðmið!$G$6:$G$105,(COLUMN()-7-1)/2+1)&lt;&gt;"Starfsbundið",FW83="",FW$8="",FW$7=""),"",ROUND(FW83/FW$8*FW$7*KVARDI,2))</f>
        <v/>
      </c>
      <c r="FY83" s="39"/>
      <c r="FZ83" s="40" t="str">
        <f aca="false">IF(OR(INDEX(Undirviðmið!$G$6:$G$105,(COLUMN()-7-1)/2+1)&lt;&gt;"Starfsbundið",FY83="",FY$8="",FY$7=""),"",ROUND(FY83/FY$8*FY$7*KVARDI,2))</f>
        <v/>
      </c>
      <c r="GA83" s="39"/>
      <c r="GB83" s="40" t="str">
        <f aca="false">IF(OR(INDEX(Undirviðmið!$G$6:$G$105,(COLUMN()-7-1)/2+1)&lt;&gt;"Starfsbundið",GA83="",GA$8="",GA$7=""),"",ROUND(GA83/GA$8*GA$7*KVARDI,2))</f>
        <v/>
      </c>
      <c r="GC83" s="39"/>
      <c r="GD83" s="40" t="str">
        <f aca="false">IF(OR(INDEX(Undirviðmið!$G$6:$G$105,(COLUMN()-7-1)/2+1)&lt;&gt;"Starfsbundið",GC83="",GC$8="",GC$7=""),"",ROUND(GC83/GC$8*GC$7*KVARDI,2))</f>
        <v/>
      </c>
      <c r="GE83" s="39"/>
      <c r="GF83" s="40" t="str">
        <f aca="false">IF(OR(INDEX(Undirviðmið!$G$6:$G$105,(COLUMN()-7-1)/2+1)&lt;&gt;"Starfsbundið",GE83="",GE$8="",GE$7=""),"",ROUND(GE83/GE$8*GE$7*KVARDI,2))</f>
        <v/>
      </c>
      <c r="GG83" s="39"/>
      <c r="GH83" s="40" t="str">
        <f aca="false">IF(OR(INDEX(Undirviðmið!$G$6:$G$105,(COLUMN()-7-1)/2+1)&lt;&gt;"Starfsbundið",GG83="",GG$8="",GG$7=""),"",ROUND(GG83/GG$8*GG$7*KVARDI,2))</f>
        <v/>
      </c>
      <c r="GI83" s="39"/>
      <c r="GJ83" s="40" t="str">
        <f aca="false">IF(OR(INDEX(Undirviðmið!$G$6:$G$105,(COLUMN()-7-1)/2+1)&lt;&gt;"Starfsbundið",GI83="",GI$8="",GI$7=""),"",ROUND(GI83/GI$8*GI$7*KVARDI,2))</f>
        <v/>
      </c>
      <c r="GK83" s="39"/>
      <c r="GL83" s="40" t="str">
        <f aca="false">IF(OR(INDEX(Undirviðmið!$G$6:$G$105,(COLUMN()-7-1)/2+1)&lt;&gt;"Starfsbundið",GK83="",GK$8="",GK$7=""),"",ROUND(GK83/GK$8*GK$7*KVARDI,2))</f>
        <v/>
      </c>
      <c r="GM83" s="39"/>
      <c r="GN83" s="40" t="str">
        <f aca="false">IF(OR(INDEX(Undirviðmið!$G$6:$G$105,(COLUMN()-7-1)/2+1)&lt;&gt;"Starfsbundið",GM83="",GM$8="",GM$7=""),"",ROUND(GM83/GM$8*GM$7*KVARDI,2))</f>
        <v/>
      </c>
      <c r="GO83" s="39"/>
      <c r="GP83" s="40" t="str">
        <f aca="false">IF(OR(INDEX(Undirviðmið!$G$6:$G$105,(COLUMN()-7-1)/2+1)&lt;&gt;"Starfsbundið",GO83="",GO$8="",GO$7=""),"",ROUND(GO83/GO$8*GO$7*KVARDI,2))</f>
        <v/>
      </c>
      <c r="GQ83" s="39"/>
      <c r="GR83" s="40" t="str">
        <f aca="false">IF(OR(INDEX(Undirviðmið!$G$6:$G$105,(COLUMN()-7-1)/2+1)&lt;&gt;"Starfsbundið",GQ83="",GQ$8="",GQ$7=""),"",ROUND(GQ83/GQ$8*GQ$7*KVARDI,2))</f>
        <v/>
      </c>
      <c r="GS83" s="39"/>
      <c r="GT83" s="40" t="str">
        <f aca="false">IF(OR(INDEX(Undirviðmið!$G$6:$G$105,(COLUMN()-7-1)/2+1)&lt;&gt;"Starfsbundið",GS83="",GS$8="",GS$7=""),"",ROUND(GS83/GS$8*GS$7*KVARDI,2))</f>
        <v/>
      </c>
      <c r="GU83" s="39"/>
      <c r="GV83" s="40" t="str">
        <f aca="false">IF(OR(INDEX(Undirviðmið!$G$6:$G$105,(COLUMN()-7-1)/2+1)&lt;&gt;"Starfsbundið",GU83="",GU$8="",GU$7=""),"",ROUND(GU83/GU$8*GU$7*KVARDI,2))</f>
        <v/>
      </c>
      <c r="GW83" s="39"/>
      <c r="GX83" s="40" t="str">
        <f aca="false">IF(OR(INDEX(Undirviðmið!$G$6:$G$105,(COLUMN()-7-1)/2+1)&lt;&gt;"Starfsbundið",GW83="",GW$8="",GW$7=""),"",ROUND(GW83/GW$8*GW$7*KVARDI,2))</f>
        <v/>
      </c>
      <c r="GZ83" s="20"/>
    </row>
    <row r="84" customFormat="false" ht="15" hidden="true" customHeight="true" outlineLevel="1" collapsed="false">
      <c r="B84" s="37" t="str">
        <f aca="false" t="array" ref="B84:B84">IFERROR(INDEX(Starfsmenn!$C$6:$C$10005,MATCH(0,COUNTIF($B$11:B83,Starfsmenn!$C$6:$C$10005)+(Starfsmenn!$C$6:$C$10005=""),0)),"")</f>
        <v/>
      </c>
      <c r="C84" s="38" t="n">
        <f aca="false">IFERROR(SUMIF($G$10:$GX$10,"Stig",$G84:$GX84),0)</f>
        <v>0</v>
      </c>
      <c r="G84" s="39"/>
      <c r="H84" s="40" t="str">
        <f aca="false">IF(OR(INDEX(Undirviðmið!$G$6:$G$105,(COLUMN()-7-1)/2+1)&lt;&gt;"Starfsbundið",G84="",G$8="",G$7=""),"",ROUND(G84/G$8*G$7*KVARDI,2))</f>
        <v/>
      </c>
      <c r="I84" s="39"/>
      <c r="J84" s="40" t="str">
        <f aca="false">IF(OR(INDEX(Undirviðmið!$G$6:$G$105,(COLUMN()-7-1)/2+1)&lt;&gt;"Starfsbundið",I84="",I$8="",I$7=""),"",ROUND(I84/I$8*I$7*KVARDI,2))</f>
        <v/>
      </c>
      <c r="K84" s="39"/>
      <c r="L84" s="40" t="str">
        <f aca="false">IF(OR(INDEX(Undirviðmið!$G$6:$G$105,(COLUMN()-7-1)/2+1)&lt;&gt;"Starfsbundið",K84="",K$8="",K$7=""),"",ROUND(K84/K$8*K$7*KVARDI,2))</f>
        <v/>
      </c>
      <c r="M84" s="39"/>
      <c r="N84" s="40" t="str">
        <f aca="false">IF(OR(INDEX(Undirviðmið!$G$6:$G$105,(COLUMN()-7-1)/2+1)&lt;&gt;"Starfsbundið",M84="",M$8="",M$7=""),"",ROUND(M84/M$8*M$7*KVARDI,2))</f>
        <v/>
      </c>
      <c r="O84" s="39"/>
      <c r="P84" s="40" t="str">
        <f aca="false">IF(OR(INDEX(Undirviðmið!$G$6:$G$105,(COLUMN()-7-1)/2+1)&lt;&gt;"Starfsbundið",O84="",O$8="",O$7=""),"",ROUND(O84/O$8*O$7*KVARDI,2))</f>
        <v/>
      </c>
      <c r="Q84" s="39"/>
      <c r="R84" s="40" t="str">
        <f aca="false">IF(OR(INDEX(Undirviðmið!$G$6:$G$105,(COLUMN()-7-1)/2+1)&lt;&gt;"Starfsbundið",Q84="",Q$8="",Q$7=""),"",ROUND(Q84/Q$8*Q$7*KVARDI,2))</f>
        <v/>
      </c>
      <c r="S84" s="39"/>
      <c r="T84" s="40" t="str">
        <f aca="false">IF(OR(INDEX(Undirviðmið!$G$6:$G$105,(COLUMN()-7-1)/2+1)&lt;&gt;"Starfsbundið",S84="",S$8="",S$7=""),"",ROUND(S84/S$8*S$7*KVARDI,2))</f>
        <v/>
      </c>
      <c r="U84" s="39"/>
      <c r="V84" s="40" t="str">
        <f aca="false">IF(OR(INDEX(Undirviðmið!$G$6:$G$105,(COLUMN()-7-1)/2+1)&lt;&gt;"Starfsbundið",U84="",U$8="",U$7=""),"",ROUND(U84/U$8*U$7*KVARDI,2))</f>
        <v/>
      </c>
      <c r="W84" s="39"/>
      <c r="X84" s="40" t="str">
        <f aca="false">IF(OR(INDEX(Undirviðmið!$G$6:$G$105,(COLUMN()-7-1)/2+1)&lt;&gt;"Starfsbundið",W84="",W$8="",W$7=""),"",ROUND(W84/W$8*W$7*KVARDI,2))</f>
        <v/>
      </c>
      <c r="Y84" s="39"/>
      <c r="Z84" s="40" t="str">
        <f aca="false">IF(OR(INDEX(Undirviðmið!$G$6:$G$105,(COLUMN()-7-1)/2+1)&lt;&gt;"Starfsbundið",Y84="",Y$8="",Y$7=""),"",ROUND(Y84/Y$8*Y$7*KVARDI,2))</f>
        <v/>
      </c>
      <c r="AA84" s="39"/>
      <c r="AB84" s="40" t="str">
        <f aca="false">IF(OR(INDEX(Undirviðmið!$G$6:$G$105,(COLUMN()-7-1)/2+1)&lt;&gt;"Starfsbundið",AA84="",AA$8="",AA$7=""),"",ROUND(AA84/AA$8*AA$7*KVARDI,2))</f>
        <v/>
      </c>
      <c r="AC84" s="39"/>
      <c r="AD84" s="40" t="str">
        <f aca="false">IF(OR(INDEX(Undirviðmið!$G$6:$G$105,(COLUMN()-7-1)/2+1)&lt;&gt;"Starfsbundið",AC84="",AC$8="",AC$7=""),"",ROUND(AC84/AC$8*AC$7*KVARDI,2))</f>
        <v/>
      </c>
      <c r="AE84" s="39"/>
      <c r="AF84" s="40" t="str">
        <f aca="false">IF(OR(INDEX(Undirviðmið!$G$6:$G$105,(COLUMN()-7-1)/2+1)&lt;&gt;"Starfsbundið",AE84="",AE$8="",AE$7=""),"",ROUND(AE84/AE$8*AE$7*KVARDI,2))</f>
        <v/>
      </c>
      <c r="AG84" s="39"/>
      <c r="AH84" s="40" t="str">
        <f aca="false">IF(OR(INDEX(Undirviðmið!$G$6:$G$105,(COLUMN()-7-1)/2+1)&lt;&gt;"Starfsbundið",AG84="",AG$8="",AG$7=""),"",ROUND(AG84/AG$8*AG$7*KVARDI,2))</f>
        <v/>
      </c>
      <c r="AI84" s="39"/>
      <c r="AJ84" s="40" t="str">
        <f aca="false">IF(OR(INDEX(Undirviðmið!$G$6:$G$105,(COLUMN()-7-1)/2+1)&lt;&gt;"Starfsbundið",AI84="",AI$8="",AI$7=""),"",ROUND(AI84/AI$8*AI$7*KVARDI,2))</f>
        <v/>
      </c>
      <c r="AK84" s="39"/>
      <c r="AL84" s="40" t="str">
        <f aca="false">IF(OR(INDEX(Undirviðmið!$G$6:$G$105,(COLUMN()-7-1)/2+1)&lt;&gt;"Starfsbundið",AK84="",AK$8="",AK$7=""),"",ROUND(AK84/AK$8*AK$7*KVARDI,2))</f>
        <v/>
      </c>
      <c r="AM84" s="39"/>
      <c r="AN84" s="40" t="str">
        <f aca="false">IF(OR(INDEX(Undirviðmið!$G$6:$G$105,(COLUMN()-7-1)/2+1)&lt;&gt;"Starfsbundið",AM84="",AM$8="",AM$7=""),"",ROUND(AM84/AM$8*AM$7*KVARDI,2))</f>
        <v/>
      </c>
      <c r="AO84" s="39"/>
      <c r="AP84" s="40" t="str">
        <f aca="false">IF(OR(INDEX(Undirviðmið!$G$6:$G$105,(COLUMN()-7-1)/2+1)&lt;&gt;"Starfsbundið",AO84="",AO$8="",AO$7=""),"",ROUND(AO84/AO$8*AO$7*KVARDI,2))</f>
        <v/>
      </c>
      <c r="AQ84" s="39"/>
      <c r="AR84" s="40" t="str">
        <f aca="false">IF(OR(INDEX(Undirviðmið!$G$6:$G$105,(COLUMN()-7-1)/2+1)&lt;&gt;"Starfsbundið",AQ84="",AQ$8="",AQ$7=""),"",ROUND(AQ84/AQ$8*AQ$7*KVARDI,2))</f>
        <v/>
      </c>
      <c r="AS84" s="39"/>
      <c r="AT84" s="40" t="str">
        <f aca="false">IF(OR(INDEX(Undirviðmið!$G$6:$G$105,(COLUMN()-7-1)/2+1)&lt;&gt;"Starfsbundið",AS84="",AS$8="",AS$7=""),"",ROUND(AS84/AS$8*AS$7*KVARDI,2))</f>
        <v/>
      </c>
      <c r="AU84" s="39"/>
      <c r="AV84" s="40" t="str">
        <f aca="false">IF(OR(INDEX(Undirviðmið!$G$6:$G$105,(COLUMN()-7-1)/2+1)&lt;&gt;"Starfsbundið",AU84="",AU$8="",AU$7=""),"",ROUND(AU84/AU$8*AU$7*KVARDI,2))</f>
        <v/>
      </c>
      <c r="AW84" s="39"/>
      <c r="AX84" s="40" t="str">
        <f aca="false">IF(OR(INDEX(Undirviðmið!$G$6:$G$105,(COLUMN()-7-1)/2+1)&lt;&gt;"Starfsbundið",AW84="",AW$8="",AW$7=""),"",ROUND(AW84/AW$8*AW$7*KVARDI,2))</f>
        <v/>
      </c>
      <c r="AY84" s="39"/>
      <c r="AZ84" s="40" t="str">
        <f aca="false">IF(OR(INDEX(Undirviðmið!$G$6:$G$105,(COLUMN()-7-1)/2+1)&lt;&gt;"Starfsbundið",AY84="",AY$8="",AY$7=""),"",ROUND(AY84/AY$8*AY$7*KVARDI,2))</f>
        <v/>
      </c>
      <c r="BA84" s="39"/>
      <c r="BB84" s="40" t="str">
        <f aca="false">IF(OR(INDEX(Undirviðmið!$G$6:$G$105,(COLUMN()-7-1)/2+1)&lt;&gt;"Starfsbundið",BA84="",BA$8="",BA$7=""),"",ROUND(BA84/BA$8*BA$7*KVARDI,2))</f>
        <v/>
      </c>
      <c r="BC84" s="39"/>
      <c r="BD84" s="40" t="str">
        <f aca="false">IF(OR(INDEX(Undirviðmið!$G$6:$G$105,(COLUMN()-7-1)/2+1)&lt;&gt;"Starfsbundið",BC84="",BC$8="",BC$7=""),"",ROUND(BC84/BC$8*BC$7*KVARDI,2))</f>
        <v/>
      </c>
      <c r="BE84" s="39"/>
      <c r="BF84" s="40" t="str">
        <f aca="false">IF(OR(INDEX(Undirviðmið!$G$6:$G$105,(COLUMN()-7-1)/2+1)&lt;&gt;"Starfsbundið",BE84="",BE$8="",BE$7=""),"",ROUND(BE84/BE$8*BE$7*KVARDI,2))</f>
        <v/>
      </c>
      <c r="BG84" s="39"/>
      <c r="BH84" s="40" t="str">
        <f aca="false">IF(OR(INDEX(Undirviðmið!$G$6:$G$105,(COLUMN()-7-1)/2+1)&lt;&gt;"Starfsbundið",BG84="",BG$8="",BG$7=""),"",ROUND(BG84/BG$8*BG$7*KVARDI,2))</f>
        <v/>
      </c>
      <c r="BI84" s="39"/>
      <c r="BJ84" s="40" t="str">
        <f aca="false">IF(OR(INDEX(Undirviðmið!$G$6:$G$105,(COLUMN()-7-1)/2+1)&lt;&gt;"Starfsbundið",BI84="",BI$8="",BI$7=""),"",ROUND(BI84/BI$8*BI$7*KVARDI,2))</f>
        <v/>
      </c>
      <c r="BK84" s="39"/>
      <c r="BL84" s="40" t="str">
        <f aca="false">IF(OR(INDEX(Undirviðmið!$G$6:$G$105,(COLUMN()-7-1)/2+1)&lt;&gt;"Starfsbundið",BK84="",BK$8="",BK$7=""),"",ROUND(BK84/BK$8*BK$7*KVARDI,2))</f>
        <v/>
      </c>
      <c r="BM84" s="39"/>
      <c r="BN84" s="40" t="str">
        <f aca="false">IF(OR(INDEX(Undirviðmið!$G$6:$G$105,(COLUMN()-7-1)/2+1)&lt;&gt;"Starfsbundið",BM84="",BM$8="",BM$7=""),"",ROUND(BM84/BM$8*BM$7*KVARDI,2))</f>
        <v/>
      </c>
      <c r="BO84" s="39"/>
      <c r="BP84" s="40" t="str">
        <f aca="false">IF(OR(INDEX(Undirviðmið!$G$6:$G$105,(COLUMN()-7-1)/2+1)&lt;&gt;"Starfsbundið",BO84="",BO$8="",BO$7=""),"",ROUND(BO84/BO$8*BO$7*KVARDI,2))</f>
        <v/>
      </c>
      <c r="BQ84" s="39"/>
      <c r="BR84" s="40" t="str">
        <f aca="false">IF(OR(INDEX(Undirviðmið!$G$6:$G$105,(COLUMN()-7-1)/2+1)&lt;&gt;"Starfsbundið",BQ84="",BQ$8="",BQ$7=""),"",ROUND(BQ84/BQ$8*BQ$7*KVARDI,2))</f>
        <v/>
      </c>
      <c r="BS84" s="39"/>
      <c r="BT84" s="40" t="str">
        <f aca="false">IF(OR(INDEX(Undirviðmið!$G$6:$G$105,(COLUMN()-7-1)/2+1)&lt;&gt;"Starfsbundið",BS84="",BS$8="",BS$7=""),"",ROUND(BS84/BS$8*BS$7*KVARDI,2))</f>
        <v/>
      </c>
      <c r="BU84" s="39"/>
      <c r="BV84" s="40" t="str">
        <f aca="false">IF(OR(INDEX(Undirviðmið!$G$6:$G$105,(COLUMN()-7-1)/2+1)&lt;&gt;"Starfsbundið",BU84="",BU$8="",BU$7=""),"",ROUND(BU84/BU$8*BU$7*KVARDI,2))</f>
        <v/>
      </c>
      <c r="BW84" s="39"/>
      <c r="BX84" s="40" t="str">
        <f aca="false">IF(OR(INDEX(Undirviðmið!$G$6:$G$105,(COLUMN()-7-1)/2+1)&lt;&gt;"Starfsbundið",BW84="",BW$8="",BW$7=""),"",ROUND(BW84/BW$8*BW$7*KVARDI,2))</f>
        <v/>
      </c>
      <c r="BY84" s="39"/>
      <c r="BZ84" s="40" t="str">
        <f aca="false">IF(OR(INDEX(Undirviðmið!$G$6:$G$105,(COLUMN()-7-1)/2+1)&lt;&gt;"Starfsbundið",BY84="",BY$8="",BY$7=""),"",ROUND(BY84/BY$8*BY$7*KVARDI,2))</f>
        <v/>
      </c>
      <c r="CA84" s="39"/>
      <c r="CB84" s="40" t="str">
        <f aca="false">IF(OR(INDEX(Undirviðmið!$G$6:$G$105,(COLUMN()-7-1)/2+1)&lt;&gt;"Starfsbundið",CA84="",CA$8="",CA$7=""),"",ROUND(CA84/CA$8*CA$7*KVARDI,2))</f>
        <v/>
      </c>
      <c r="CC84" s="39"/>
      <c r="CD84" s="40" t="str">
        <f aca="false">IF(OR(INDEX(Undirviðmið!$G$6:$G$105,(COLUMN()-7-1)/2+1)&lt;&gt;"Starfsbundið",CC84="",CC$8="",CC$7=""),"",ROUND(CC84/CC$8*CC$7*KVARDI,2))</f>
        <v/>
      </c>
      <c r="CE84" s="39"/>
      <c r="CF84" s="40" t="str">
        <f aca="false">IF(OR(INDEX(Undirviðmið!$G$6:$G$105,(COLUMN()-7-1)/2+1)&lt;&gt;"Starfsbundið",CE84="",CE$8="",CE$7=""),"",ROUND(CE84/CE$8*CE$7*KVARDI,2))</f>
        <v/>
      </c>
      <c r="CG84" s="39"/>
      <c r="CH84" s="40" t="str">
        <f aca="false">IF(OR(INDEX(Undirviðmið!$G$6:$G$105,(COLUMN()-7-1)/2+1)&lt;&gt;"Starfsbundið",CG84="",CG$8="",CG$7=""),"",ROUND(CG84/CG$8*CG$7*KVARDI,2))</f>
        <v/>
      </c>
      <c r="CI84" s="39"/>
      <c r="CJ84" s="40" t="str">
        <f aca="false">IF(OR(INDEX(Undirviðmið!$G$6:$G$105,(COLUMN()-7-1)/2+1)&lt;&gt;"Starfsbundið",CI84="",CI$8="",CI$7=""),"",ROUND(CI84/CI$8*CI$7*KVARDI,2))</f>
        <v/>
      </c>
      <c r="CK84" s="39"/>
      <c r="CL84" s="40" t="str">
        <f aca="false">IF(OR(INDEX(Undirviðmið!$G$6:$G$105,(COLUMN()-7-1)/2+1)&lt;&gt;"Starfsbundið",CK84="",CK$8="",CK$7=""),"",ROUND(CK84/CK$8*CK$7*KVARDI,2))</f>
        <v/>
      </c>
      <c r="CM84" s="39"/>
      <c r="CN84" s="40" t="str">
        <f aca="false">IF(OR(INDEX(Undirviðmið!$G$6:$G$105,(COLUMN()-7-1)/2+1)&lt;&gt;"Starfsbundið",CM84="",CM$8="",CM$7=""),"",ROUND(CM84/CM$8*CM$7*KVARDI,2))</f>
        <v/>
      </c>
      <c r="CO84" s="39"/>
      <c r="CP84" s="40" t="str">
        <f aca="false">IF(OR(INDEX(Undirviðmið!$G$6:$G$105,(COLUMN()-7-1)/2+1)&lt;&gt;"Starfsbundið",CO84="",CO$8="",CO$7=""),"",ROUND(CO84/CO$8*CO$7*KVARDI,2))</f>
        <v/>
      </c>
      <c r="CQ84" s="39"/>
      <c r="CR84" s="40" t="str">
        <f aca="false">IF(OR(INDEX(Undirviðmið!$G$6:$G$105,(COLUMN()-7-1)/2+1)&lt;&gt;"Starfsbundið",CQ84="",CQ$8="",CQ$7=""),"",ROUND(CQ84/CQ$8*CQ$7*KVARDI,2))</f>
        <v/>
      </c>
      <c r="CS84" s="39"/>
      <c r="CT84" s="40" t="str">
        <f aca="false">IF(OR(INDEX(Undirviðmið!$G$6:$G$105,(COLUMN()-7-1)/2+1)&lt;&gt;"Starfsbundið",CS84="",CS$8="",CS$7=""),"",ROUND(CS84/CS$8*CS$7*KVARDI,2))</f>
        <v/>
      </c>
      <c r="CU84" s="39"/>
      <c r="CV84" s="40" t="str">
        <f aca="false">IF(OR(INDEX(Undirviðmið!$G$6:$G$105,(COLUMN()-7-1)/2+1)&lt;&gt;"Starfsbundið",CU84="",CU$8="",CU$7=""),"",ROUND(CU84/CU$8*CU$7*KVARDI,2))</f>
        <v/>
      </c>
      <c r="CW84" s="39"/>
      <c r="CX84" s="40" t="str">
        <f aca="false">IF(OR(INDEX(Undirviðmið!$G$6:$G$105,(COLUMN()-7-1)/2+1)&lt;&gt;"Starfsbundið",CW84="",CW$8="",CW$7=""),"",ROUND(CW84/CW$8*CW$7*KVARDI,2))</f>
        <v/>
      </c>
      <c r="CY84" s="39"/>
      <c r="CZ84" s="40" t="str">
        <f aca="false">IF(OR(INDEX(Undirviðmið!$G$6:$G$105,(COLUMN()-7-1)/2+1)&lt;&gt;"Starfsbundið",CY84="",CY$8="",CY$7=""),"",ROUND(CY84/CY$8*CY$7*KVARDI,2))</f>
        <v/>
      </c>
      <c r="DA84" s="39"/>
      <c r="DB84" s="40" t="str">
        <f aca="false">IF(OR(INDEX(Undirviðmið!$G$6:$G$105,(COLUMN()-7-1)/2+1)&lt;&gt;"Starfsbundið",DA84="",DA$8="",DA$7=""),"",ROUND(DA84/DA$8*DA$7*KVARDI,2))</f>
        <v/>
      </c>
      <c r="DC84" s="39"/>
      <c r="DD84" s="40" t="str">
        <f aca="false">IF(OR(INDEX(Undirviðmið!$G$6:$G$105,(COLUMN()-7-1)/2+1)&lt;&gt;"Starfsbundið",DC84="",DC$8="",DC$7=""),"",ROUND(DC84/DC$8*DC$7*KVARDI,2))</f>
        <v/>
      </c>
      <c r="DE84" s="39"/>
      <c r="DF84" s="40" t="str">
        <f aca="false">IF(OR(INDEX(Undirviðmið!$G$6:$G$105,(COLUMN()-7-1)/2+1)&lt;&gt;"Starfsbundið",DE84="",DE$8="",DE$7=""),"",ROUND(DE84/DE$8*DE$7*KVARDI,2))</f>
        <v/>
      </c>
      <c r="DG84" s="39"/>
      <c r="DH84" s="40" t="str">
        <f aca="false">IF(OR(INDEX(Undirviðmið!$G$6:$G$105,(COLUMN()-7-1)/2+1)&lt;&gt;"Starfsbundið",DG84="",DG$8="",DG$7=""),"",ROUND(DG84/DG$8*DG$7*KVARDI,2))</f>
        <v/>
      </c>
      <c r="DI84" s="39"/>
      <c r="DJ84" s="40" t="str">
        <f aca="false">IF(OR(INDEX(Undirviðmið!$G$6:$G$105,(COLUMN()-7-1)/2+1)&lt;&gt;"Starfsbundið",DI84="",DI$8="",DI$7=""),"",ROUND(DI84/DI$8*DI$7*KVARDI,2))</f>
        <v/>
      </c>
      <c r="DK84" s="39"/>
      <c r="DL84" s="40" t="str">
        <f aca="false">IF(OR(INDEX(Undirviðmið!$G$6:$G$105,(COLUMN()-7-1)/2+1)&lt;&gt;"Starfsbundið",DK84="",DK$8="",DK$7=""),"",ROUND(DK84/DK$8*DK$7*KVARDI,2))</f>
        <v/>
      </c>
      <c r="DM84" s="39"/>
      <c r="DN84" s="40" t="str">
        <f aca="false">IF(OR(INDEX(Undirviðmið!$G$6:$G$105,(COLUMN()-7-1)/2+1)&lt;&gt;"Starfsbundið",DM84="",DM$8="",DM$7=""),"",ROUND(DM84/DM$8*DM$7*KVARDI,2))</f>
        <v/>
      </c>
      <c r="DO84" s="39"/>
      <c r="DP84" s="40" t="str">
        <f aca="false">IF(OR(INDEX(Undirviðmið!$G$6:$G$105,(COLUMN()-7-1)/2+1)&lt;&gt;"Starfsbundið",DO84="",DO$8="",DO$7=""),"",ROUND(DO84/DO$8*DO$7*KVARDI,2))</f>
        <v/>
      </c>
      <c r="DQ84" s="39"/>
      <c r="DR84" s="40" t="str">
        <f aca="false">IF(OR(INDEX(Undirviðmið!$G$6:$G$105,(COLUMN()-7-1)/2+1)&lt;&gt;"Starfsbundið",DQ84="",DQ$8="",DQ$7=""),"",ROUND(DQ84/DQ$8*DQ$7*KVARDI,2))</f>
        <v/>
      </c>
      <c r="DS84" s="39"/>
      <c r="DT84" s="40" t="str">
        <f aca="false">IF(OR(INDEX(Undirviðmið!$G$6:$G$105,(COLUMN()-7-1)/2+1)&lt;&gt;"Starfsbundið",DS84="",DS$8="",DS$7=""),"",ROUND(DS84/DS$8*DS$7*KVARDI,2))</f>
        <v/>
      </c>
      <c r="DU84" s="39"/>
      <c r="DV84" s="40" t="str">
        <f aca="false">IF(OR(INDEX(Undirviðmið!$G$6:$G$105,(COLUMN()-7-1)/2+1)&lt;&gt;"Starfsbundið",DU84="",DU$8="",DU$7=""),"",ROUND(DU84/DU$8*DU$7*KVARDI,2))</f>
        <v/>
      </c>
      <c r="DW84" s="39"/>
      <c r="DX84" s="40" t="str">
        <f aca="false">IF(OR(INDEX(Undirviðmið!$G$6:$G$105,(COLUMN()-7-1)/2+1)&lt;&gt;"Starfsbundið",DW84="",DW$8="",DW$7=""),"",ROUND(DW84/DW$8*DW$7*KVARDI,2))</f>
        <v/>
      </c>
      <c r="DY84" s="39"/>
      <c r="DZ84" s="40" t="str">
        <f aca="false">IF(OR(INDEX(Undirviðmið!$G$6:$G$105,(COLUMN()-7-1)/2+1)&lt;&gt;"Starfsbundið",DY84="",DY$8="",DY$7=""),"",ROUND(DY84/DY$8*DY$7*KVARDI,2))</f>
        <v/>
      </c>
      <c r="EA84" s="39"/>
      <c r="EB84" s="40" t="str">
        <f aca="false">IF(OR(INDEX(Undirviðmið!$G$6:$G$105,(COLUMN()-7-1)/2+1)&lt;&gt;"Starfsbundið",EA84="",EA$8="",EA$7=""),"",ROUND(EA84/EA$8*EA$7*KVARDI,2))</f>
        <v/>
      </c>
      <c r="EC84" s="39"/>
      <c r="ED84" s="40" t="str">
        <f aca="false">IF(OR(INDEX(Undirviðmið!$G$6:$G$105,(COLUMN()-7-1)/2+1)&lt;&gt;"Starfsbundið",EC84="",EC$8="",EC$7=""),"",ROUND(EC84/EC$8*EC$7*KVARDI,2))</f>
        <v/>
      </c>
      <c r="EE84" s="39"/>
      <c r="EF84" s="40" t="str">
        <f aca="false">IF(OR(INDEX(Undirviðmið!$G$6:$G$105,(COLUMN()-7-1)/2+1)&lt;&gt;"Starfsbundið",EE84="",EE$8="",EE$7=""),"",ROUND(EE84/EE$8*EE$7*KVARDI,2))</f>
        <v/>
      </c>
      <c r="EG84" s="39"/>
      <c r="EH84" s="40" t="str">
        <f aca="false">IF(OR(INDEX(Undirviðmið!$G$6:$G$105,(COLUMN()-7-1)/2+1)&lt;&gt;"Starfsbundið",EG84="",EG$8="",EG$7=""),"",ROUND(EG84/EG$8*EG$7*KVARDI,2))</f>
        <v/>
      </c>
      <c r="EI84" s="39"/>
      <c r="EJ84" s="40" t="str">
        <f aca="false">IF(OR(INDEX(Undirviðmið!$G$6:$G$105,(COLUMN()-7-1)/2+1)&lt;&gt;"Starfsbundið",EI84="",EI$8="",EI$7=""),"",ROUND(EI84/EI$8*EI$7*KVARDI,2))</f>
        <v/>
      </c>
      <c r="EK84" s="39"/>
      <c r="EL84" s="40" t="str">
        <f aca="false">IF(OR(INDEX(Undirviðmið!$G$6:$G$105,(COLUMN()-7-1)/2+1)&lt;&gt;"Starfsbundið",EK84="",EK$8="",EK$7=""),"",ROUND(EK84/EK$8*EK$7*KVARDI,2))</f>
        <v/>
      </c>
      <c r="EM84" s="39"/>
      <c r="EN84" s="40" t="str">
        <f aca="false">IF(OR(INDEX(Undirviðmið!$G$6:$G$105,(COLUMN()-7-1)/2+1)&lt;&gt;"Starfsbundið",EM84="",EM$8="",EM$7=""),"",ROUND(EM84/EM$8*EM$7*KVARDI,2))</f>
        <v/>
      </c>
      <c r="EO84" s="39"/>
      <c r="EP84" s="40" t="str">
        <f aca="false">IF(OR(INDEX(Undirviðmið!$G$6:$G$105,(COLUMN()-7-1)/2+1)&lt;&gt;"Starfsbundið",EO84="",EO$8="",EO$7=""),"",ROUND(EO84/EO$8*EO$7*KVARDI,2))</f>
        <v/>
      </c>
      <c r="EQ84" s="39"/>
      <c r="ER84" s="40" t="str">
        <f aca="false">IF(OR(INDEX(Undirviðmið!$G$6:$G$105,(COLUMN()-7-1)/2+1)&lt;&gt;"Starfsbundið",EQ84="",EQ$8="",EQ$7=""),"",ROUND(EQ84/EQ$8*EQ$7*KVARDI,2))</f>
        <v/>
      </c>
      <c r="ES84" s="39"/>
      <c r="ET84" s="40" t="str">
        <f aca="false">IF(OR(INDEX(Undirviðmið!$G$6:$G$105,(COLUMN()-7-1)/2+1)&lt;&gt;"Starfsbundið",ES84="",ES$8="",ES$7=""),"",ROUND(ES84/ES$8*ES$7*KVARDI,2))</f>
        <v/>
      </c>
      <c r="EU84" s="39"/>
      <c r="EV84" s="40" t="str">
        <f aca="false">IF(OR(INDEX(Undirviðmið!$G$6:$G$105,(COLUMN()-7-1)/2+1)&lt;&gt;"Starfsbundið",EU84="",EU$8="",EU$7=""),"",ROUND(EU84/EU$8*EU$7*KVARDI,2))</f>
        <v/>
      </c>
      <c r="EW84" s="39"/>
      <c r="EX84" s="40" t="str">
        <f aca="false">IF(OR(INDEX(Undirviðmið!$G$6:$G$105,(COLUMN()-7-1)/2+1)&lt;&gt;"Starfsbundið",EW84="",EW$8="",EW$7=""),"",ROUND(EW84/EW$8*EW$7*KVARDI,2))</f>
        <v/>
      </c>
      <c r="EY84" s="39"/>
      <c r="EZ84" s="40" t="str">
        <f aca="false">IF(OR(INDEX(Undirviðmið!$G$6:$G$105,(COLUMN()-7-1)/2+1)&lt;&gt;"Starfsbundið",EY84="",EY$8="",EY$7=""),"",ROUND(EY84/EY$8*EY$7*KVARDI,2))</f>
        <v/>
      </c>
      <c r="FA84" s="39"/>
      <c r="FB84" s="40" t="str">
        <f aca="false">IF(OR(INDEX(Undirviðmið!$G$6:$G$105,(COLUMN()-7-1)/2+1)&lt;&gt;"Starfsbundið",FA84="",FA$8="",FA$7=""),"",ROUND(FA84/FA$8*FA$7*KVARDI,2))</f>
        <v/>
      </c>
      <c r="FC84" s="39"/>
      <c r="FD84" s="40" t="str">
        <f aca="false">IF(OR(INDEX(Undirviðmið!$G$6:$G$105,(COLUMN()-7-1)/2+1)&lt;&gt;"Starfsbundið",FC84="",FC$8="",FC$7=""),"",ROUND(FC84/FC$8*FC$7*KVARDI,2))</f>
        <v/>
      </c>
      <c r="FE84" s="39"/>
      <c r="FF84" s="40" t="str">
        <f aca="false">IF(OR(INDEX(Undirviðmið!$G$6:$G$105,(COLUMN()-7-1)/2+1)&lt;&gt;"Starfsbundið",FE84="",FE$8="",FE$7=""),"",ROUND(FE84/FE$8*FE$7*KVARDI,2))</f>
        <v/>
      </c>
      <c r="FG84" s="39"/>
      <c r="FH84" s="40" t="str">
        <f aca="false">IF(OR(INDEX(Undirviðmið!$G$6:$G$105,(COLUMN()-7-1)/2+1)&lt;&gt;"Starfsbundið",FG84="",FG$8="",FG$7=""),"",ROUND(FG84/FG$8*FG$7*KVARDI,2))</f>
        <v/>
      </c>
      <c r="FI84" s="39"/>
      <c r="FJ84" s="40" t="str">
        <f aca="false">IF(OR(INDEX(Undirviðmið!$G$6:$G$105,(COLUMN()-7-1)/2+1)&lt;&gt;"Starfsbundið",FI84="",FI$8="",FI$7=""),"",ROUND(FI84/FI$8*FI$7*KVARDI,2))</f>
        <v/>
      </c>
      <c r="FK84" s="39"/>
      <c r="FL84" s="40" t="str">
        <f aca="false">IF(OR(INDEX(Undirviðmið!$G$6:$G$105,(COLUMN()-7-1)/2+1)&lt;&gt;"Starfsbundið",FK84="",FK$8="",FK$7=""),"",ROUND(FK84/FK$8*FK$7*KVARDI,2))</f>
        <v/>
      </c>
      <c r="FM84" s="39"/>
      <c r="FN84" s="40" t="str">
        <f aca="false">IF(OR(INDEX(Undirviðmið!$G$6:$G$105,(COLUMN()-7-1)/2+1)&lt;&gt;"Starfsbundið",FM84="",FM$8="",FM$7=""),"",ROUND(FM84/FM$8*FM$7*KVARDI,2))</f>
        <v/>
      </c>
      <c r="FO84" s="39"/>
      <c r="FP84" s="40" t="str">
        <f aca="false">IF(OR(INDEX(Undirviðmið!$G$6:$G$105,(COLUMN()-7-1)/2+1)&lt;&gt;"Starfsbundið",FO84="",FO$8="",FO$7=""),"",ROUND(FO84/FO$8*FO$7*KVARDI,2))</f>
        <v/>
      </c>
      <c r="FQ84" s="39"/>
      <c r="FR84" s="40" t="str">
        <f aca="false">IF(OR(INDEX(Undirviðmið!$G$6:$G$105,(COLUMN()-7-1)/2+1)&lt;&gt;"Starfsbundið",FQ84="",FQ$8="",FQ$7=""),"",ROUND(FQ84/FQ$8*FQ$7*KVARDI,2))</f>
        <v/>
      </c>
      <c r="FS84" s="39"/>
      <c r="FT84" s="40" t="str">
        <f aca="false">IF(OR(INDEX(Undirviðmið!$G$6:$G$105,(COLUMN()-7-1)/2+1)&lt;&gt;"Starfsbundið",FS84="",FS$8="",FS$7=""),"",ROUND(FS84/FS$8*FS$7*KVARDI,2))</f>
        <v/>
      </c>
      <c r="FU84" s="39"/>
      <c r="FV84" s="40" t="str">
        <f aca="false">IF(OR(INDEX(Undirviðmið!$G$6:$G$105,(COLUMN()-7-1)/2+1)&lt;&gt;"Starfsbundið",FU84="",FU$8="",FU$7=""),"",ROUND(FU84/FU$8*FU$7*KVARDI,2))</f>
        <v/>
      </c>
      <c r="FW84" s="39"/>
      <c r="FX84" s="40" t="str">
        <f aca="false">IF(OR(INDEX(Undirviðmið!$G$6:$G$105,(COLUMN()-7-1)/2+1)&lt;&gt;"Starfsbundið",FW84="",FW$8="",FW$7=""),"",ROUND(FW84/FW$8*FW$7*KVARDI,2))</f>
        <v/>
      </c>
      <c r="FY84" s="39"/>
      <c r="FZ84" s="40" t="str">
        <f aca="false">IF(OR(INDEX(Undirviðmið!$G$6:$G$105,(COLUMN()-7-1)/2+1)&lt;&gt;"Starfsbundið",FY84="",FY$8="",FY$7=""),"",ROUND(FY84/FY$8*FY$7*KVARDI,2))</f>
        <v/>
      </c>
      <c r="GA84" s="39"/>
      <c r="GB84" s="40" t="str">
        <f aca="false">IF(OR(INDEX(Undirviðmið!$G$6:$G$105,(COLUMN()-7-1)/2+1)&lt;&gt;"Starfsbundið",GA84="",GA$8="",GA$7=""),"",ROUND(GA84/GA$8*GA$7*KVARDI,2))</f>
        <v/>
      </c>
      <c r="GC84" s="39"/>
      <c r="GD84" s="40" t="str">
        <f aca="false">IF(OR(INDEX(Undirviðmið!$G$6:$G$105,(COLUMN()-7-1)/2+1)&lt;&gt;"Starfsbundið",GC84="",GC$8="",GC$7=""),"",ROUND(GC84/GC$8*GC$7*KVARDI,2))</f>
        <v/>
      </c>
      <c r="GE84" s="39"/>
      <c r="GF84" s="40" t="str">
        <f aca="false">IF(OR(INDEX(Undirviðmið!$G$6:$G$105,(COLUMN()-7-1)/2+1)&lt;&gt;"Starfsbundið",GE84="",GE$8="",GE$7=""),"",ROUND(GE84/GE$8*GE$7*KVARDI,2))</f>
        <v/>
      </c>
      <c r="GG84" s="39"/>
      <c r="GH84" s="40" t="str">
        <f aca="false">IF(OR(INDEX(Undirviðmið!$G$6:$G$105,(COLUMN()-7-1)/2+1)&lt;&gt;"Starfsbundið",GG84="",GG$8="",GG$7=""),"",ROUND(GG84/GG$8*GG$7*KVARDI,2))</f>
        <v/>
      </c>
      <c r="GI84" s="39"/>
      <c r="GJ84" s="40" t="str">
        <f aca="false">IF(OR(INDEX(Undirviðmið!$G$6:$G$105,(COLUMN()-7-1)/2+1)&lt;&gt;"Starfsbundið",GI84="",GI$8="",GI$7=""),"",ROUND(GI84/GI$8*GI$7*KVARDI,2))</f>
        <v/>
      </c>
      <c r="GK84" s="39"/>
      <c r="GL84" s="40" t="str">
        <f aca="false">IF(OR(INDEX(Undirviðmið!$G$6:$G$105,(COLUMN()-7-1)/2+1)&lt;&gt;"Starfsbundið",GK84="",GK$8="",GK$7=""),"",ROUND(GK84/GK$8*GK$7*KVARDI,2))</f>
        <v/>
      </c>
      <c r="GM84" s="39"/>
      <c r="GN84" s="40" t="str">
        <f aca="false">IF(OR(INDEX(Undirviðmið!$G$6:$G$105,(COLUMN()-7-1)/2+1)&lt;&gt;"Starfsbundið",GM84="",GM$8="",GM$7=""),"",ROUND(GM84/GM$8*GM$7*KVARDI,2))</f>
        <v/>
      </c>
      <c r="GO84" s="39"/>
      <c r="GP84" s="40" t="str">
        <f aca="false">IF(OR(INDEX(Undirviðmið!$G$6:$G$105,(COLUMN()-7-1)/2+1)&lt;&gt;"Starfsbundið",GO84="",GO$8="",GO$7=""),"",ROUND(GO84/GO$8*GO$7*KVARDI,2))</f>
        <v/>
      </c>
      <c r="GQ84" s="39"/>
      <c r="GR84" s="40" t="str">
        <f aca="false">IF(OR(INDEX(Undirviðmið!$G$6:$G$105,(COLUMN()-7-1)/2+1)&lt;&gt;"Starfsbundið",GQ84="",GQ$8="",GQ$7=""),"",ROUND(GQ84/GQ$8*GQ$7*KVARDI,2))</f>
        <v/>
      </c>
      <c r="GS84" s="39"/>
      <c r="GT84" s="40" t="str">
        <f aca="false">IF(OR(INDEX(Undirviðmið!$G$6:$G$105,(COLUMN()-7-1)/2+1)&lt;&gt;"Starfsbundið",GS84="",GS$8="",GS$7=""),"",ROUND(GS84/GS$8*GS$7*KVARDI,2))</f>
        <v/>
      </c>
      <c r="GU84" s="39"/>
      <c r="GV84" s="40" t="str">
        <f aca="false">IF(OR(INDEX(Undirviðmið!$G$6:$G$105,(COLUMN()-7-1)/2+1)&lt;&gt;"Starfsbundið",GU84="",GU$8="",GU$7=""),"",ROUND(GU84/GU$8*GU$7*KVARDI,2))</f>
        <v/>
      </c>
      <c r="GW84" s="39"/>
      <c r="GX84" s="40" t="str">
        <f aca="false">IF(OR(INDEX(Undirviðmið!$G$6:$G$105,(COLUMN()-7-1)/2+1)&lt;&gt;"Starfsbundið",GW84="",GW$8="",GW$7=""),"",ROUND(GW84/GW$8*GW$7*KVARDI,2))</f>
        <v/>
      </c>
      <c r="GZ84" s="20"/>
    </row>
    <row r="85" customFormat="false" ht="15" hidden="true" customHeight="true" outlineLevel="1" collapsed="false">
      <c r="B85" s="37" t="str">
        <f aca="false" t="array" ref="B85:B85">IFERROR(INDEX(Starfsmenn!$C$6:$C$10005,MATCH(0,COUNTIF($B$11:B84,Starfsmenn!$C$6:$C$10005)+(Starfsmenn!$C$6:$C$10005=""),0)),"")</f>
        <v/>
      </c>
      <c r="C85" s="38" t="n">
        <f aca="false">IFERROR(SUMIF($G$10:$GX$10,"Stig",$G85:$GX85),0)</f>
        <v>0</v>
      </c>
      <c r="G85" s="39"/>
      <c r="H85" s="40" t="str">
        <f aca="false">IF(OR(INDEX(Undirviðmið!$G$6:$G$105,(COLUMN()-7-1)/2+1)&lt;&gt;"Starfsbundið",G85="",G$8="",G$7=""),"",ROUND(G85/G$8*G$7*KVARDI,2))</f>
        <v/>
      </c>
      <c r="I85" s="39"/>
      <c r="J85" s="40" t="str">
        <f aca="false">IF(OR(INDEX(Undirviðmið!$G$6:$G$105,(COLUMN()-7-1)/2+1)&lt;&gt;"Starfsbundið",I85="",I$8="",I$7=""),"",ROUND(I85/I$8*I$7*KVARDI,2))</f>
        <v/>
      </c>
      <c r="K85" s="39"/>
      <c r="L85" s="40" t="str">
        <f aca="false">IF(OR(INDEX(Undirviðmið!$G$6:$G$105,(COLUMN()-7-1)/2+1)&lt;&gt;"Starfsbundið",K85="",K$8="",K$7=""),"",ROUND(K85/K$8*K$7*KVARDI,2))</f>
        <v/>
      </c>
      <c r="M85" s="39"/>
      <c r="N85" s="40" t="str">
        <f aca="false">IF(OR(INDEX(Undirviðmið!$G$6:$G$105,(COLUMN()-7-1)/2+1)&lt;&gt;"Starfsbundið",M85="",M$8="",M$7=""),"",ROUND(M85/M$8*M$7*KVARDI,2))</f>
        <v/>
      </c>
      <c r="O85" s="39"/>
      <c r="P85" s="40" t="str">
        <f aca="false">IF(OR(INDEX(Undirviðmið!$G$6:$G$105,(COLUMN()-7-1)/2+1)&lt;&gt;"Starfsbundið",O85="",O$8="",O$7=""),"",ROUND(O85/O$8*O$7*KVARDI,2))</f>
        <v/>
      </c>
      <c r="Q85" s="39"/>
      <c r="R85" s="40" t="str">
        <f aca="false">IF(OR(INDEX(Undirviðmið!$G$6:$G$105,(COLUMN()-7-1)/2+1)&lt;&gt;"Starfsbundið",Q85="",Q$8="",Q$7=""),"",ROUND(Q85/Q$8*Q$7*KVARDI,2))</f>
        <v/>
      </c>
      <c r="S85" s="39"/>
      <c r="T85" s="40" t="str">
        <f aca="false">IF(OR(INDEX(Undirviðmið!$G$6:$G$105,(COLUMN()-7-1)/2+1)&lt;&gt;"Starfsbundið",S85="",S$8="",S$7=""),"",ROUND(S85/S$8*S$7*KVARDI,2))</f>
        <v/>
      </c>
      <c r="U85" s="39"/>
      <c r="V85" s="40" t="str">
        <f aca="false">IF(OR(INDEX(Undirviðmið!$G$6:$G$105,(COLUMN()-7-1)/2+1)&lt;&gt;"Starfsbundið",U85="",U$8="",U$7=""),"",ROUND(U85/U$8*U$7*KVARDI,2))</f>
        <v/>
      </c>
      <c r="W85" s="39"/>
      <c r="X85" s="40" t="str">
        <f aca="false">IF(OR(INDEX(Undirviðmið!$G$6:$G$105,(COLUMN()-7-1)/2+1)&lt;&gt;"Starfsbundið",W85="",W$8="",W$7=""),"",ROUND(W85/W$8*W$7*KVARDI,2))</f>
        <v/>
      </c>
      <c r="Y85" s="39"/>
      <c r="Z85" s="40" t="str">
        <f aca="false">IF(OR(INDEX(Undirviðmið!$G$6:$G$105,(COLUMN()-7-1)/2+1)&lt;&gt;"Starfsbundið",Y85="",Y$8="",Y$7=""),"",ROUND(Y85/Y$8*Y$7*KVARDI,2))</f>
        <v/>
      </c>
      <c r="AA85" s="39"/>
      <c r="AB85" s="40" t="str">
        <f aca="false">IF(OR(INDEX(Undirviðmið!$G$6:$G$105,(COLUMN()-7-1)/2+1)&lt;&gt;"Starfsbundið",AA85="",AA$8="",AA$7=""),"",ROUND(AA85/AA$8*AA$7*KVARDI,2))</f>
        <v/>
      </c>
      <c r="AC85" s="39"/>
      <c r="AD85" s="40" t="str">
        <f aca="false">IF(OR(INDEX(Undirviðmið!$G$6:$G$105,(COLUMN()-7-1)/2+1)&lt;&gt;"Starfsbundið",AC85="",AC$8="",AC$7=""),"",ROUND(AC85/AC$8*AC$7*KVARDI,2))</f>
        <v/>
      </c>
      <c r="AE85" s="39"/>
      <c r="AF85" s="40" t="str">
        <f aca="false">IF(OR(INDEX(Undirviðmið!$G$6:$G$105,(COLUMN()-7-1)/2+1)&lt;&gt;"Starfsbundið",AE85="",AE$8="",AE$7=""),"",ROUND(AE85/AE$8*AE$7*KVARDI,2))</f>
        <v/>
      </c>
      <c r="AG85" s="39"/>
      <c r="AH85" s="40" t="str">
        <f aca="false">IF(OR(INDEX(Undirviðmið!$G$6:$G$105,(COLUMN()-7-1)/2+1)&lt;&gt;"Starfsbundið",AG85="",AG$8="",AG$7=""),"",ROUND(AG85/AG$8*AG$7*KVARDI,2))</f>
        <v/>
      </c>
      <c r="AI85" s="39"/>
      <c r="AJ85" s="40" t="str">
        <f aca="false">IF(OR(INDEX(Undirviðmið!$G$6:$G$105,(COLUMN()-7-1)/2+1)&lt;&gt;"Starfsbundið",AI85="",AI$8="",AI$7=""),"",ROUND(AI85/AI$8*AI$7*KVARDI,2))</f>
        <v/>
      </c>
      <c r="AK85" s="39"/>
      <c r="AL85" s="40" t="str">
        <f aca="false">IF(OR(INDEX(Undirviðmið!$G$6:$G$105,(COLUMN()-7-1)/2+1)&lt;&gt;"Starfsbundið",AK85="",AK$8="",AK$7=""),"",ROUND(AK85/AK$8*AK$7*KVARDI,2))</f>
        <v/>
      </c>
      <c r="AM85" s="39"/>
      <c r="AN85" s="40" t="str">
        <f aca="false">IF(OR(INDEX(Undirviðmið!$G$6:$G$105,(COLUMN()-7-1)/2+1)&lt;&gt;"Starfsbundið",AM85="",AM$8="",AM$7=""),"",ROUND(AM85/AM$8*AM$7*KVARDI,2))</f>
        <v/>
      </c>
      <c r="AO85" s="39"/>
      <c r="AP85" s="40" t="str">
        <f aca="false">IF(OR(INDEX(Undirviðmið!$G$6:$G$105,(COLUMN()-7-1)/2+1)&lt;&gt;"Starfsbundið",AO85="",AO$8="",AO$7=""),"",ROUND(AO85/AO$8*AO$7*KVARDI,2))</f>
        <v/>
      </c>
      <c r="AQ85" s="39"/>
      <c r="AR85" s="40" t="str">
        <f aca="false">IF(OR(INDEX(Undirviðmið!$G$6:$G$105,(COLUMN()-7-1)/2+1)&lt;&gt;"Starfsbundið",AQ85="",AQ$8="",AQ$7=""),"",ROUND(AQ85/AQ$8*AQ$7*KVARDI,2))</f>
        <v/>
      </c>
      <c r="AS85" s="39"/>
      <c r="AT85" s="40" t="str">
        <f aca="false">IF(OR(INDEX(Undirviðmið!$G$6:$G$105,(COLUMN()-7-1)/2+1)&lt;&gt;"Starfsbundið",AS85="",AS$8="",AS$7=""),"",ROUND(AS85/AS$8*AS$7*KVARDI,2))</f>
        <v/>
      </c>
      <c r="AU85" s="39"/>
      <c r="AV85" s="40" t="str">
        <f aca="false">IF(OR(INDEX(Undirviðmið!$G$6:$G$105,(COLUMN()-7-1)/2+1)&lt;&gt;"Starfsbundið",AU85="",AU$8="",AU$7=""),"",ROUND(AU85/AU$8*AU$7*KVARDI,2))</f>
        <v/>
      </c>
      <c r="AW85" s="39"/>
      <c r="AX85" s="40" t="str">
        <f aca="false">IF(OR(INDEX(Undirviðmið!$G$6:$G$105,(COLUMN()-7-1)/2+1)&lt;&gt;"Starfsbundið",AW85="",AW$8="",AW$7=""),"",ROUND(AW85/AW$8*AW$7*KVARDI,2))</f>
        <v/>
      </c>
      <c r="AY85" s="39"/>
      <c r="AZ85" s="40" t="str">
        <f aca="false">IF(OR(INDEX(Undirviðmið!$G$6:$G$105,(COLUMN()-7-1)/2+1)&lt;&gt;"Starfsbundið",AY85="",AY$8="",AY$7=""),"",ROUND(AY85/AY$8*AY$7*KVARDI,2))</f>
        <v/>
      </c>
      <c r="BA85" s="39"/>
      <c r="BB85" s="40" t="str">
        <f aca="false">IF(OR(INDEX(Undirviðmið!$G$6:$G$105,(COLUMN()-7-1)/2+1)&lt;&gt;"Starfsbundið",BA85="",BA$8="",BA$7=""),"",ROUND(BA85/BA$8*BA$7*KVARDI,2))</f>
        <v/>
      </c>
      <c r="BC85" s="39"/>
      <c r="BD85" s="40" t="str">
        <f aca="false">IF(OR(INDEX(Undirviðmið!$G$6:$G$105,(COLUMN()-7-1)/2+1)&lt;&gt;"Starfsbundið",BC85="",BC$8="",BC$7=""),"",ROUND(BC85/BC$8*BC$7*KVARDI,2))</f>
        <v/>
      </c>
      <c r="BE85" s="39"/>
      <c r="BF85" s="40" t="str">
        <f aca="false">IF(OR(INDEX(Undirviðmið!$G$6:$G$105,(COLUMN()-7-1)/2+1)&lt;&gt;"Starfsbundið",BE85="",BE$8="",BE$7=""),"",ROUND(BE85/BE$8*BE$7*KVARDI,2))</f>
        <v/>
      </c>
      <c r="BG85" s="39"/>
      <c r="BH85" s="40" t="str">
        <f aca="false">IF(OR(INDEX(Undirviðmið!$G$6:$G$105,(COLUMN()-7-1)/2+1)&lt;&gt;"Starfsbundið",BG85="",BG$8="",BG$7=""),"",ROUND(BG85/BG$8*BG$7*KVARDI,2))</f>
        <v/>
      </c>
      <c r="BI85" s="39"/>
      <c r="BJ85" s="40" t="str">
        <f aca="false">IF(OR(INDEX(Undirviðmið!$G$6:$G$105,(COLUMN()-7-1)/2+1)&lt;&gt;"Starfsbundið",BI85="",BI$8="",BI$7=""),"",ROUND(BI85/BI$8*BI$7*KVARDI,2))</f>
        <v/>
      </c>
      <c r="BK85" s="39"/>
      <c r="BL85" s="40" t="str">
        <f aca="false">IF(OR(INDEX(Undirviðmið!$G$6:$G$105,(COLUMN()-7-1)/2+1)&lt;&gt;"Starfsbundið",BK85="",BK$8="",BK$7=""),"",ROUND(BK85/BK$8*BK$7*KVARDI,2))</f>
        <v/>
      </c>
      <c r="BM85" s="39"/>
      <c r="BN85" s="40" t="str">
        <f aca="false">IF(OR(INDEX(Undirviðmið!$G$6:$G$105,(COLUMN()-7-1)/2+1)&lt;&gt;"Starfsbundið",BM85="",BM$8="",BM$7=""),"",ROUND(BM85/BM$8*BM$7*KVARDI,2))</f>
        <v/>
      </c>
      <c r="BO85" s="39"/>
      <c r="BP85" s="40" t="str">
        <f aca="false">IF(OR(INDEX(Undirviðmið!$G$6:$G$105,(COLUMN()-7-1)/2+1)&lt;&gt;"Starfsbundið",BO85="",BO$8="",BO$7=""),"",ROUND(BO85/BO$8*BO$7*KVARDI,2))</f>
        <v/>
      </c>
      <c r="BQ85" s="39"/>
      <c r="BR85" s="40" t="str">
        <f aca="false">IF(OR(INDEX(Undirviðmið!$G$6:$G$105,(COLUMN()-7-1)/2+1)&lt;&gt;"Starfsbundið",BQ85="",BQ$8="",BQ$7=""),"",ROUND(BQ85/BQ$8*BQ$7*KVARDI,2))</f>
        <v/>
      </c>
      <c r="BS85" s="39"/>
      <c r="BT85" s="40" t="str">
        <f aca="false">IF(OR(INDEX(Undirviðmið!$G$6:$G$105,(COLUMN()-7-1)/2+1)&lt;&gt;"Starfsbundið",BS85="",BS$8="",BS$7=""),"",ROUND(BS85/BS$8*BS$7*KVARDI,2))</f>
        <v/>
      </c>
      <c r="BU85" s="39"/>
      <c r="BV85" s="40" t="str">
        <f aca="false">IF(OR(INDEX(Undirviðmið!$G$6:$G$105,(COLUMN()-7-1)/2+1)&lt;&gt;"Starfsbundið",BU85="",BU$8="",BU$7=""),"",ROUND(BU85/BU$8*BU$7*KVARDI,2))</f>
        <v/>
      </c>
      <c r="BW85" s="39"/>
      <c r="BX85" s="40" t="str">
        <f aca="false">IF(OR(INDEX(Undirviðmið!$G$6:$G$105,(COLUMN()-7-1)/2+1)&lt;&gt;"Starfsbundið",BW85="",BW$8="",BW$7=""),"",ROUND(BW85/BW$8*BW$7*KVARDI,2))</f>
        <v/>
      </c>
      <c r="BY85" s="39"/>
      <c r="BZ85" s="40" t="str">
        <f aca="false">IF(OR(INDEX(Undirviðmið!$G$6:$G$105,(COLUMN()-7-1)/2+1)&lt;&gt;"Starfsbundið",BY85="",BY$8="",BY$7=""),"",ROUND(BY85/BY$8*BY$7*KVARDI,2))</f>
        <v/>
      </c>
      <c r="CA85" s="39"/>
      <c r="CB85" s="40" t="str">
        <f aca="false">IF(OR(INDEX(Undirviðmið!$G$6:$G$105,(COLUMN()-7-1)/2+1)&lt;&gt;"Starfsbundið",CA85="",CA$8="",CA$7=""),"",ROUND(CA85/CA$8*CA$7*KVARDI,2))</f>
        <v/>
      </c>
      <c r="CC85" s="39"/>
      <c r="CD85" s="40" t="str">
        <f aca="false">IF(OR(INDEX(Undirviðmið!$G$6:$G$105,(COLUMN()-7-1)/2+1)&lt;&gt;"Starfsbundið",CC85="",CC$8="",CC$7=""),"",ROUND(CC85/CC$8*CC$7*KVARDI,2))</f>
        <v/>
      </c>
      <c r="CE85" s="39"/>
      <c r="CF85" s="40" t="str">
        <f aca="false">IF(OR(INDEX(Undirviðmið!$G$6:$G$105,(COLUMN()-7-1)/2+1)&lt;&gt;"Starfsbundið",CE85="",CE$8="",CE$7=""),"",ROUND(CE85/CE$8*CE$7*KVARDI,2))</f>
        <v/>
      </c>
      <c r="CG85" s="39"/>
      <c r="CH85" s="40" t="str">
        <f aca="false">IF(OR(INDEX(Undirviðmið!$G$6:$G$105,(COLUMN()-7-1)/2+1)&lt;&gt;"Starfsbundið",CG85="",CG$8="",CG$7=""),"",ROUND(CG85/CG$8*CG$7*KVARDI,2))</f>
        <v/>
      </c>
      <c r="CI85" s="39"/>
      <c r="CJ85" s="40" t="str">
        <f aca="false">IF(OR(INDEX(Undirviðmið!$G$6:$G$105,(COLUMN()-7-1)/2+1)&lt;&gt;"Starfsbundið",CI85="",CI$8="",CI$7=""),"",ROUND(CI85/CI$8*CI$7*KVARDI,2))</f>
        <v/>
      </c>
      <c r="CK85" s="39"/>
      <c r="CL85" s="40" t="str">
        <f aca="false">IF(OR(INDEX(Undirviðmið!$G$6:$G$105,(COLUMN()-7-1)/2+1)&lt;&gt;"Starfsbundið",CK85="",CK$8="",CK$7=""),"",ROUND(CK85/CK$8*CK$7*KVARDI,2))</f>
        <v/>
      </c>
      <c r="CM85" s="39"/>
      <c r="CN85" s="40" t="str">
        <f aca="false">IF(OR(INDEX(Undirviðmið!$G$6:$G$105,(COLUMN()-7-1)/2+1)&lt;&gt;"Starfsbundið",CM85="",CM$8="",CM$7=""),"",ROUND(CM85/CM$8*CM$7*KVARDI,2))</f>
        <v/>
      </c>
      <c r="CO85" s="39"/>
      <c r="CP85" s="40" t="str">
        <f aca="false">IF(OR(INDEX(Undirviðmið!$G$6:$G$105,(COLUMN()-7-1)/2+1)&lt;&gt;"Starfsbundið",CO85="",CO$8="",CO$7=""),"",ROUND(CO85/CO$8*CO$7*KVARDI,2))</f>
        <v/>
      </c>
      <c r="CQ85" s="39"/>
      <c r="CR85" s="40" t="str">
        <f aca="false">IF(OR(INDEX(Undirviðmið!$G$6:$G$105,(COLUMN()-7-1)/2+1)&lt;&gt;"Starfsbundið",CQ85="",CQ$8="",CQ$7=""),"",ROUND(CQ85/CQ$8*CQ$7*KVARDI,2))</f>
        <v/>
      </c>
      <c r="CS85" s="39"/>
      <c r="CT85" s="40" t="str">
        <f aca="false">IF(OR(INDEX(Undirviðmið!$G$6:$G$105,(COLUMN()-7-1)/2+1)&lt;&gt;"Starfsbundið",CS85="",CS$8="",CS$7=""),"",ROUND(CS85/CS$8*CS$7*KVARDI,2))</f>
        <v/>
      </c>
      <c r="CU85" s="39"/>
      <c r="CV85" s="40" t="str">
        <f aca="false">IF(OR(INDEX(Undirviðmið!$G$6:$G$105,(COLUMN()-7-1)/2+1)&lt;&gt;"Starfsbundið",CU85="",CU$8="",CU$7=""),"",ROUND(CU85/CU$8*CU$7*KVARDI,2))</f>
        <v/>
      </c>
      <c r="CW85" s="39"/>
      <c r="CX85" s="40" t="str">
        <f aca="false">IF(OR(INDEX(Undirviðmið!$G$6:$G$105,(COLUMN()-7-1)/2+1)&lt;&gt;"Starfsbundið",CW85="",CW$8="",CW$7=""),"",ROUND(CW85/CW$8*CW$7*KVARDI,2))</f>
        <v/>
      </c>
      <c r="CY85" s="39"/>
      <c r="CZ85" s="40" t="str">
        <f aca="false">IF(OR(INDEX(Undirviðmið!$G$6:$G$105,(COLUMN()-7-1)/2+1)&lt;&gt;"Starfsbundið",CY85="",CY$8="",CY$7=""),"",ROUND(CY85/CY$8*CY$7*KVARDI,2))</f>
        <v/>
      </c>
      <c r="DA85" s="39"/>
      <c r="DB85" s="40" t="str">
        <f aca="false">IF(OR(INDEX(Undirviðmið!$G$6:$G$105,(COLUMN()-7-1)/2+1)&lt;&gt;"Starfsbundið",DA85="",DA$8="",DA$7=""),"",ROUND(DA85/DA$8*DA$7*KVARDI,2))</f>
        <v/>
      </c>
      <c r="DC85" s="39"/>
      <c r="DD85" s="40" t="str">
        <f aca="false">IF(OR(INDEX(Undirviðmið!$G$6:$G$105,(COLUMN()-7-1)/2+1)&lt;&gt;"Starfsbundið",DC85="",DC$8="",DC$7=""),"",ROUND(DC85/DC$8*DC$7*KVARDI,2))</f>
        <v/>
      </c>
      <c r="DE85" s="39"/>
      <c r="DF85" s="40" t="str">
        <f aca="false">IF(OR(INDEX(Undirviðmið!$G$6:$G$105,(COLUMN()-7-1)/2+1)&lt;&gt;"Starfsbundið",DE85="",DE$8="",DE$7=""),"",ROUND(DE85/DE$8*DE$7*KVARDI,2))</f>
        <v/>
      </c>
      <c r="DG85" s="39"/>
      <c r="DH85" s="40" t="str">
        <f aca="false">IF(OR(INDEX(Undirviðmið!$G$6:$G$105,(COLUMN()-7-1)/2+1)&lt;&gt;"Starfsbundið",DG85="",DG$8="",DG$7=""),"",ROUND(DG85/DG$8*DG$7*KVARDI,2))</f>
        <v/>
      </c>
      <c r="DI85" s="39"/>
      <c r="DJ85" s="40" t="str">
        <f aca="false">IF(OR(INDEX(Undirviðmið!$G$6:$G$105,(COLUMN()-7-1)/2+1)&lt;&gt;"Starfsbundið",DI85="",DI$8="",DI$7=""),"",ROUND(DI85/DI$8*DI$7*KVARDI,2))</f>
        <v/>
      </c>
      <c r="DK85" s="39"/>
      <c r="DL85" s="40" t="str">
        <f aca="false">IF(OR(INDEX(Undirviðmið!$G$6:$G$105,(COLUMN()-7-1)/2+1)&lt;&gt;"Starfsbundið",DK85="",DK$8="",DK$7=""),"",ROUND(DK85/DK$8*DK$7*KVARDI,2))</f>
        <v/>
      </c>
      <c r="DM85" s="39"/>
      <c r="DN85" s="40" t="str">
        <f aca="false">IF(OR(INDEX(Undirviðmið!$G$6:$G$105,(COLUMN()-7-1)/2+1)&lt;&gt;"Starfsbundið",DM85="",DM$8="",DM$7=""),"",ROUND(DM85/DM$8*DM$7*KVARDI,2))</f>
        <v/>
      </c>
      <c r="DO85" s="39"/>
      <c r="DP85" s="40" t="str">
        <f aca="false">IF(OR(INDEX(Undirviðmið!$G$6:$G$105,(COLUMN()-7-1)/2+1)&lt;&gt;"Starfsbundið",DO85="",DO$8="",DO$7=""),"",ROUND(DO85/DO$8*DO$7*KVARDI,2))</f>
        <v/>
      </c>
      <c r="DQ85" s="39"/>
      <c r="DR85" s="40" t="str">
        <f aca="false">IF(OR(INDEX(Undirviðmið!$G$6:$G$105,(COLUMN()-7-1)/2+1)&lt;&gt;"Starfsbundið",DQ85="",DQ$8="",DQ$7=""),"",ROUND(DQ85/DQ$8*DQ$7*KVARDI,2))</f>
        <v/>
      </c>
      <c r="DS85" s="39"/>
      <c r="DT85" s="40" t="str">
        <f aca="false">IF(OR(INDEX(Undirviðmið!$G$6:$G$105,(COLUMN()-7-1)/2+1)&lt;&gt;"Starfsbundið",DS85="",DS$8="",DS$7=""),"",ROUND(DS85/DS$8*DS$7*KVARDI,2))</f>
        <v/>
      </c>
      <c r="DU85" s="39"/>
      <c r="DV85" s="40" t="str">
        <f aca="false">IF(OR(INDEX(Undirviðmið!$G$6:$G$105,(COLUMN()-7-1)/2+1)&lt;&gt;"Starfsbundið",DU85="",DU$8="",DU$7=""),"",ROUND(DU85/DU$8*DU$7*KVARDI,2))</f>
        <v/>
      </c>
      <c r="DW85" s="39"/>
      <c r="DX85" s="40" t="str">
        <f aca="false">IF(OR(INDEX(Undirviðmið!$G$6:$G$105,(COLUMN()-7-1)/2+1)&lt;&gt;"Starfsbundið",DW85="",DW$8="",DW$7=""),"",ROUND(DW85/DW$8*DW$7*KVARDI,2))</f>
        <v/>
      </c>
      <c r="DY85" s="39"/>
      <c r="DZ85" s="40" t="str">
        <f aca="false">IF(OR(INDEX(Undirviðmið!$G$6:$G$105,(COLUMN()-7-1)/2+1)&lt;&gt;"Starfsbundið",DY85="",DY$8="",DY$7=""),"",ROUND(DY85/DY$8*DY$7*KVARDI,2))</f>
        <v/>
      </c>
      <c r="EA85" s="39"/>
      <c r="EB85" s="40" t="str">
        <f aca="false">IF(OR(INDEX(Undirviðmið!$G$6:$G$105,(COLUMN()-7-1)/2+1)&lt;&gt;"Starfsbundið",EA85="",EA$8="",EA$7=""),"",ROUND(EA85/EA$8*EA$7*KVARDI,2))</f>
        <v/>
      </c>
      <c r="EC85" s="39"/>
      <c r="ED85" s="40" t="str">
        <f aca="false">IF(OR(INDEX(Undirviðmið!$G$6:$G$105,(COLUMN()-7-1)/2+1)&lt;&gt;"Starfsbundið",EC85="",EC$8="",EC$7=""),"",ROUND(EC85/EC$8*EC$7*KVARDI,2))</f>
        <v/>
      </c>
      <c r="EE85" s="39"/>
      <c r="EF85" s="40" t="str">
        <f aca="false">IF(OR(INDEX(Undirviðmið!$G$6:$G$105,(COLUMN()-7-1)/2+1)&lt;&gt;"Starfsbundið",EE85="",EE$8="",EE$7=""),"",ROUND(EE85/EE$8*EE$7*KVARDI,2))</f>
        <v/>
      </c>
      <c r="EG85" s="39"/>
      <c r="EH85" s="40" t="str">
        <f aca="false">IF(OR(INDEX(Undirviðmið!$G$6:$G$105,(COLUMN()-7-1)/2+1)&lt;&gt;"Starfsbundið",EG85="",EG$8="",EG$7=""),"",ROUND(EG85/EG$8*EG$7*KVARDI,2))</f>
        <v/>
      </c>
      <c r="EI85" s="39"/>
      <c r="EJ85" s="40" t="str">
        <f aca="false">IF(OR(INDEX(Undirviðmið!$G$6:$G$105,(COLUMN()-7-1)/2+1)&lt;&gt;"Starfsbundið",EI85="",EI$8="",EI$7=""),"",ROUND(EI85/EI$8*EI$7*KVARDI,2))</f>
        <v/>
      </c>
      <c r="EK85" s="39"/>
      <c r="EL85" s="40" t="str">
        <f aca="false">IF(OR(INDEX(Undirviðmið!$G$6:$G$105,(COLUMN()-7-1)/2+1)&lt;&gt;"Starfsbundið",EK85="",EK$8="",EK$7=""),"",ROUND(EK85/EK$8*EK$7*KVARDI,2))</f>
        <v/>
      </c>
      <c r="EM85" s="39"/>
      <c r="EN85" s="40" t="str">
        <f aca="false">IF(OR(INDEX(Undirviðmið!$G$6:$G$105,(COLUMN()-7-1)/2+1)&lt;&gt;"Starfsbundið",EM85="",EM$8="",EM$7=""),"",ROUND(EM85/EM$8*EM$7*KVARDI,2))</f>
        <v/>
      </c>
      <c r="EO85" s="39"/>
      <c r="EP85" s="40" t="str">
        <f aca="false">IF(OR(INDEX(Undirviðmið!$G$6:$G$105,(COLUMN()-7-1)/2+1)&lt;&gt;"Starfsbundið",EO85="",EO$8="",EO$7=""),"",ROUND(EO85/EO$8*EO$7*KVARDI,2))</f>
        <v/>
      </c>
      <c r="EQ85" s="39"/>
      <c r="ER85" s="40" t="str">
        <f aca="false">IF(OR(INDEX(Undirviðmið!$G$6:$G$105,(COLUMN()-7-1)/2+1)&lt;&gt;"Starfsbundið",EQ85="",EQ$8="",EQ$7=""),"",ROUND(EQ85/EQ$8*EQ$7*KVARDI,2))</f>
        <v/>
      </c>
      <c r="ES85" s="39"/>
      <c r="ET85" s="40" t="str">
        <f aca="false">IF(OR(INDEX(Undirviðmið!$G$6:$G$105,(COLUMN()-7-1)/2+1)&lt;&gt;"Starfsbundið",ES85="",ES$8="",ES$7=""),"",ROUND(ES85/ES$8*ES$7*KVARDI,2))</f>
        <v/>
      </c>
      <c r="EU85" s="39"/>
      <c r="EV85" s="40" t="str">
        <f aca="false">IF(OR(INDEX(Undirviðmið!$G$6:$G$105,(COLUMN()-7-1)/2+1)&lt;&gt;"Starfsbundið",EU85="",EU$8="",EU$7=""),"",ROUND(EU85/EU$8*EU$7*KVARDI,2))</f>
        <v/>
      </c>
      <c r="EW85" s="39"/>
      <c r="EX85" s="40" t="str">
        <f aca="false">IF(OR(INDEX(Undirviðmið!$G$6:$G$105,(COLUMN()-7-1)/2+1)&lt;&gt;"Starfsbundið",EW85="",EW$8="",EW$7=""),"",ROUND(EW85/EW$8*EW$7*KVARDI,2))</f>
        <v/>
      </c>
      <c r="EY85" s="39"/>
      <c r="EZ85" s="40" t="str">
        <f aca="false">IF(OR(INDEX(Undirviðmið!$G$6:$G$105,(COLUMN()-7-1)/2+1)&lt;&gt;"Starfsbundið",EY85="",EY$8="",EY$7=""),"",ROUND(EY85/EY$8*EY$7*KVARDI,2))</f>
        <v/>
      </c>
      <c r="FA85" s="39"/>
      <c r="FB85" s="40" t="str">
        <f aca="false">IF(OR(INDEX(Undirviðmið!$G$6:$G$105,(COLUMN()-7-1)/2+1)&lt;&gt;"Starfsbundið",FA85="",FA$8="",FA$7=""),"",ROUND(FA85/FA$8*FA$7*KVARDI,2))</f>
        <v/>
      </c>
      <c r="FC85" s="39"/>
      <c r="FD85" s="40" t="str">
        <f aca="false">IF(OR(INDEX(Undirviðmið!$G$6:$G$105,(COLUMN()-7-1)/2+1)&lt;&gt;"Starfsbundið",FC85="",FC$8="",FC$7=""),"",ROUND(FC85/FC$8*FC$7*KVARDI,2))</f>
        <v/>
      </c>
      <c r="FE85" s="39"/>
      <c r="FF85" s="40" t="str">
        <f aca="false">IF(OR(INDEX(Undirviðmið!$G$6:$G$105,(COLUMN()-7-1)/2+1)&lt;&gt;"Starfsbundið",FE85="",FE$8="",FE$7=""),"",ROUND(FE85/FE$8*FE$7*KVARDI,2))</f>
        <v/>
      </c>
      <c r="FG85" s="39"/>
      <c r="FH85" s="40" t="str">
        <f aca="false">IF(OR(INDEX(Undirviðmið!$G$6:$G$105,(COLUMN()-7-1)/2+1)&lt;&gt;"Starfsbundið",FG85="",FG$8="",FG$7=""),"",ROUND(FG85/FG$8*FG$7*KVARDI,2))</f>
        <v/>
      </c>
      <c r="FI85" s="39"/>
      <c r="FJ85" s="40" t="str">
        <f aca="false">IF(OR(INDEX(Undirviðmið!$G$6:$G$105,(COLUMN()-7-1)/2+1)&lt;&gt;"Starfsbundið",FI85="",FI$8="",FI$7=""),"",ROUND(FI85/FI$8*FI$7*KVARDI,2))</f>
        <v/>
      </c>
      <c r="FK85" s="39"/>
      <c r="FL85" s="40" t="str">
        <f aca="false">IF(OR(INDEX(Undirviðmið!$G$6:$G$105,(COLUMN()-7-1)/2+1)&lt;&gt;"Starfsbundið",FK85="",FK$8="",FK$7=""),"",ROUND(FK85/FK$8*FK$7*KVARDI,2))</f>
        <v/>
      </c>
      <c r="FM85" s="39"/>
      <c r="FN85" s="40" t="str">
        <f aca="false">IF(OR(INDEX(Undirviðmið!$G$6:$G$105,(COLUMN()-7-1)/2+1)&lt;&gt;"Starfsbundið",FM85="",FM$8="",FM$7=""),"",ROUND(FM85/FM$8*FM$7*KVARDI,2))</f>
        <v/>
      </c>
      <c r="FO85" s="39"/>
      <c r="FP85" s="40" t="str">
        <f aca="false">IF(OR(INDEX(Undirviðmið!$G$6:$G$105,(COLUMN()-7-1)/2+1)&lt;&gt;"Starfsbundið",FO85="",FO$8="",FO$7=""),"",ROUND(FO85/FO$8*FO$7*KVARDI,2))</f>
        <v/>
      </c>
      <c r="FQ85" s="39"/>
      <c r="FR85" s="40" t="str">
        <f aca="false">IF(OR(INDEX(Undirviðmið!$G$6:$G$105,(COLUMN()-7-1)/2+1)&lt;&gt;"Starfsbundið",FQ85="",FQ$8="",FQ$7=""),"",ROUND(FQ85/FQ$8*FQ$7*KVARDI,2))</f>
        <v/>
      </c>
      <c r="FS85" s="39"/>
      <c r="FT85" s="40" t="str">
        <f aca="false">IF(OR(INDEX(Undirviðmið!$G$6:$G$105,(COLUMN()-7-1)/2+1)&lt;&gt;"Starfsbundið",FS85="",FS$8="",FS$7=""),"",ROUND(FS85/FS$8*FS$7*KVARDI,2))</f>
        <v/>
      </c>
      <c r="FU85" s="39"/>
      <c r="FV85" s="40" t="str">
        <f aca="false">IF(OR(INDEX(Undirviðmið!$G$6:$G$105,(COLUMN()-7-1)/2+1)&lt;&gt;"Starfsbundið",FU85="",FU$8="",FU$7=""),"",ROUND(FU85/FU$8*FU$7*KVARDI,2))</f>
        <v/>
      </c>
      <c r="FW85" s="39"/>
      <c r="FX85" s="40" t="str">
        <f aca="false">IF(OR(INDEX(Undirviðmið!$G$6:$G$105,(COLUMN()-7-1)/2+1)&lt;&gt;"Starfsbundið",FW85="",FW$8="",FW$7=""),"",ROUND(FW85/FW$8*FW$7*KVARDI,2))</f>
        <v/>
      </c>
      <c r="FY85" s="39"/>
      <c r="FZ85" s="40" t="str">
        <f aca="false">IF(OR(INDEX(Undirviðmið!$G$6:$G$105,(COLUMN()-7-1)/2+1)&lt;&gt;"Starfsbundið",FY85="",FY$8="",FY$7=""),"",ROUND(FY85/FY$8*FY$7*KVARDI,2))</f>
        <v/>
      </c>
      <c r="GA85" s="39"/>
      <c r="GB85" s="40" t="str">
        <f aca="false">IF(OR(INDEX(Undirviðmið!$G$6:$G$105,(COLUMN()-7-1)/2+1)&lt;&gt;"Starfsbundið",GA85="",GA$8="",GA$7=""),"",ROUND(GA85/GA$8*GA$7*KVARDI,2))</f>
        <v/>
      </c>
      <c r="GC85" s="39"/>
      <c r="GD85" s="40" t="str">
        <f aca="false">IF(OR(INDEX(Undirviðmið!$G$6:$G$105,(COLUMN()-7-1)/2+1)&lt;&gt;"Starfsbundið",GC85="",GC$8="",GC$7=""),"",ROUND(GC85/GC$8*GC$7*KVARDI,2))</f>
        <v/>
      </c>
      <c r="GE85" s="39"/>
      <c r="GF85" s="40" t="str">
        <f aca="false">IF(OR(INDEX(Undirviðmið!$G$6:$G$105,(COLUMN()-7-1)/2+1)&lt;&gt;"Starfsbundið",GE85="",GE$8="",GE$7=""),"",ROUND(GE85/GE$8*GE$7*KVARDI,2))</f>
        <v/>
      </c>
      <c r="GG85" s="39"/>
      <c r="GH85" s="40" t="str">
        <f aca="false">IF(OR(INDEX(Undirviðmið!$G$6:$G$105,(COLUMN()-7-1)/2+1)&lt;&gt;"Starfsbundið",GG85="",GG$8="",GG$7=""),"",ROUND(GG85/GG$8*GG$7*KVARDI,2))</f>
        <v/>
      </c>
      <c r="GI85" s="39"/>
      <c r="GJ85" s="40" t="str">
        <f aca="false">IF(OR(INDEX(Undirviðmið!$G$6:$G$105,(COLUMN()-7-1)/2+1)&lt;&gt;"Starfsbundið",GI85="",GI$8="",GI$7=""),"",ROUND(GI85/GI$8*GI$7*KVARDI,2))</f>
        <v/>
      </c>
      <c r="GK85" s="39"/>
      <c r="GL85" s="40" t="str">
        <f aca="false">IF(OR(INDEX(Undirviðmið!$G$6:$G$105,(COLUMN()-7-1)/2+1)&lt;&gt;"Starfsbundið",GK85="",GK$8="",GK$7=""),"",ROUND(GK85/GK$8*GK$7*KVARDI,2))</f>
        <v/>
      </c>
      <c r="GM85" s="39"/>
      <c r="GN85" s="40" t="str">
        <f aca="false">IF(OR(INDEX(Undirviðmið!$G$6:$G$105,(COLUMN()-7-1)/2+1)&lt;&gt;"Starfsbundið",GM85="",GM$8="",GM$7=""),"",ROUND(GM85/GM$8*GM$7*KVARDI,2))</f>
        <v/>
      </c>
      <c r="GO85" s="39"/>
      <c r="GP85" s="40" t="str">
        <f aca="false">IF(OR(INDEX(Undirviðmið!$G$6:$G$105,(COLUMN()-7-1)/2+1)&lt;&gt;"Starfsbundið",GO85="",GO$8="",GO$7=""),"",ROUND(GO85/GO$8*GO$7*KVARDI,2))</f>
        <v/>
      </c>
      <c r="GQ85" s="39"/>
      <c r="GR85" s="40" t="str">
        <f aca="false">IF(OR(INDEX(Undirviðmið!$G$6:$G$105,(COLUMN()-7-1)/2+1)&lt;&gt;"Starfsbundið",GQ85="",GQ$8="",GQ$7=""),"",ROUND(GQ85/GQ$8*GQ$7*KVARDI,2))</f>
        <v/>
      </c>
      <c r="GS85" s="39"/>
      <c r="GT85" s="40" t="str">
        <f aca="false">IF(OR(INDEX(Undirviðmið!$G$6:$G$105,(COLUMN()-7-1)/2+1)&lt;&gt;"Starfsbundið",GS85="",GS$8="",GS$7=""),"",ROUND(GS85/GS$8*GS$7*KVARDI,2))</f>
        <v/>
      </c>
      <c r="GU85" s="39"/>
      <c r="GV85" s="40" t="str">
        <f aca="false">IF(OR(INDEX(Undirviðmið!$G$6:$G$105,(COLUMN()-7-1)/2+1)&lt;&gt;"Starfsbundið",GU85="",GU$8="",GU$7=""),"",ROUND(GU85/GU$8*GU$7*KVARDI,2))</f>
        <v/>
      </c>
      <c r="GW85" s="39"/>
      <c r="GX85" s="40" t="str">
        <f aca="false">IF(OR(INDEX(Undirviðmið!$G$6:$G$105,(COLUMN()-7-1)/2+1)&lt;&gt;"Starfsbundið",GW85="",GW$8="",GW$7=""),"",ROUND(GW85/GW$8*GW$7*KVARDI,2))</f>
        <v/>
      </c>
      <c r="GZ85" s="20"/>
    </row>
    <row r="86" customFormat="false" ht="15" hidden="true" customHeight="true" outlineLevel="1" collapsed="false">
      <c r="B86" s="37" t="str">
        <f aca="false" t="array" ref="B86:B86">IFERROR(INDEX(Starfsmenn!$C$6:$C$10005,MATCH(0,COUNTIF($B$11:B85,Starfsmenn!$C$6:$C$10005)+(Starfsmenn!$C$6:$C$10005=""),0)),"")</f>
        <v/>
      </c>
      <c r="C86" s="38" t="n">
        <f aca="false">IFERROR(SUMIF($G$10:$GX$10,"Stig",$G86:$GX86),0)</f>
        <v>0</v>
      </c>
      <c r="G86" s="39"/>
      <c r="H86" s="40" t="str">
        <f aca="false">IF(OR(INDEX(Undirviðmið!$G$6:$G$105,(COLUMN()-7-1)/2+1)&lt;&gt;"Starfsbundið",G86="",G$8="",G$7=""),"",ROUND(G86/G$8*G$7*KVARDI,2))</f>
        <v/>
      </c>
      <c r="I86" s="39"/>
      <c r="J86" s="40" t="str">
        <f aca="false">IF(OR(INDEX(Undirviðmið!$G$6:$G$105,(COLUMN()-7-1)/2+1)&lt;&gt;"Starfsbundið",I86="",I$8="",I$7=""),"",ROUND(I86/I$8*I$7*KVARDI,2))</f>
        <v/>
      </c>
      <c r="K86" s="39"/>
      <c r="L86" s="40" t="str">
        <f aca="false">IF(OR(INDEX(Undirviðmið!$G$6:$G$105,(COLUMN()-7-1)/2+1)&lt;&gt;"Starfsbundið",K86="",K$8="",K$7=""),"",ROUND(K86/K$8*K$7*KVARDI,2))</f>
        <v/>
      </c>
      <c r="M86" s="39"/>
      <c r="N86" s="40" t="str">
        <f aca="false">IF(OR(INDEX(Undirviðmið!$G$6:$G$105,(COLUMN()-7-1)/2+1)&lt;&gt;"Starfsbundið",M86="",M$8="",M$7=""),"",ROUND(M86/M$8*M$7*KVARDI,2))</f>
        <v/>
      </c>
      <c r="O86" s="39"/>
      <c r="P86" s="40" t="str">
        <f aca="false">IF(OR(INDEX(Undirviðmið!$G$6:$G$105,(COLUMN()-7-1)/2+1)&lt;&gt;"Starfsbundið",O86="",O$8="",O$7=""),"",ROUND(O86/O$8*O$7*KVARDI,2))</f>
        <v/>
      </c>
      <c r="Q86" s="39"/>
      <c r="R86" s="40" t="str">
        <f aca="false">IF(OR(INDEX(Undirviðmið!$G$6:$G$105,(COLUMN()-7-1)/2+1)&lt;&gt;"Starfsbundið",Q86="",Q$8="",Q$7=""),"",ROUND(Q86/Q$8*Q$7*KVARDI,2))</f>
        <v/>
      </c>
      <c r="S86" s="39"/>
      <c r="T86" s="40" t="str">
        <f aca="false">IF(OR(INDEX(Undirviðmið!$G$6:$G$105,(COLUMN()-7-1)/2+1)&lt;&gt;"Starfsbundið",S86="",S$8="",S$7=""),"",ROUND(S86/S$8*S$7*KVARDI,2))</f>
        <v/>
      </c>
      <c r="U86" s="39"/>
      <c r="V86" s="40" t="str">
        <f aca="false">IF(OR(INDEX(Undirviðmið!$G$6:$G$105,(COLUMN()-7-1)/2+1)&lt;&gt;"Starfsbundið",U86="",U$8="",U$7=""),"",ROUND(U86/U$8*U$7*KVARDI,2))</f>
        <v/>
      </c>
      <c r="W86" s="39"/>
      <c r="X86" s="40" t="str">
        <f aca="false">IF(OR(INDEX(Undirviðmið!$G$6:$G$105,(COLUMN()-7-1)/2+1)&lt;&gt;"Starfsbundið",W86="",W$8="",W$7=""),"",ROUND(W86/W$8*W$7*KVARDI,2))</f>
        <v/>
      </c>
      <c r="Y86" s="39"/>
      <c r="Z86" s="40" t="str">
        <f aca="false">IF(OR(INDEX(Undirviðmið!$G$6:$G$105,(COLUMN()-7-1)/2+1)&lt;&gt;"Starfsbundið",Y86="",Y$8="",Y$7=""),"",ROUND(Y86/Y$8*Y$7*KVARDI,2))</f>
        <v/>
      </c>
      <c r="AA86" s="39"/>
      <c r="AB86" s="40" t="str">
        <f aca="false">IF(OR(INDEX(Undirviðmið!$G$6:$G$105,(COLUMN()-7-1)/2+1)&lt;&gt;"Starfsbundið",AA86="",AA$8="",AA$7=""),"",ROUND(AA86/AA$8*AA$7*KVARDI,2))</f>
        <v/>
      </c>
      <c r="AC86" s="39"/>
      <c r="AD86" s="40" t="str">
        <f aca="false">IF(OR(INDEX(Undirviðmið!$G$6:$G$105,(COLUMN()-7-1)/2+1)&lt;&gt;"Starfsbundið",AC86="",AC$8="",AC$7=""),"",ROUND(AC86/AC$8*AC$7*KVARDI,2))</f>
        <v/>
      </c>
      <c r="AE86" s="39"/>
      <c r="AF86" s="40" t="str">
        <f aca="false">IF(OR(INDEX(Undirviðmið!$G$6:$G$105,(COLUMN()-7-1)/2+1)&lt;&gt;"Starfsbundið",AE86="",AE$8="",AE$7=""),"",ROUND(AE86/AE$8*AE$7*KVARDI,2))</f>
        <v/>
      </c>
      <c r="AG86" s="39"/>
      <c r="AH86" s="40" t="str">
        <f aca="false">IF(OR(INDEX(Undirviðmið!$G$6:$G$105,(COLUMN()-7-1)/2+1)&lt;&gt;"Starfsbundið",AG86="",AG$8="",AG$7=""),"",ROUND(AG86/AG$8*AG$7*KVARDI,2))</f>
        <v/>
      </c>
      <c r="AI86" s="39"/>
      <c r="AJ86" s="40" t="str">
        <f aca="false">IF(OR(INDEX(Undirviðmið!$G$6:$G$105,(COLUMN()-7-1)/2+1)&lt;&gt;"Starfsbundið",AI86="",AI$8="",AI$7=""),"",ROUND(AI86/AI$8*AI$7*KVARDI,2))</f>
        <v/>
      </c>
      <c r="AK86" s="39"/>
      <c r="AL86" s="40" t="str">
        <f aca="false">IF(OR(INDEX(Undirviðmið!$G$6:$G$105,(COLUMN()-7-1)/2+1)&lt;&gt;"Starfsbundið",AK86="",AK$8="",AK$7=""),"",ROUND(AK86/AK$8*AK$7*KVARDI,2))</f>
        <v/>
      </c>
      <c r="AM86" s="39"/>
      <c r="AN86" s="40" t="str">
        <f aca="false">IF(OR(INDEX(Undirviðmið!$G$6:$G$105,(COLUMN()-7-1)/2+1)&lt;&gt;"Starfsbundið",AM86="",AM$8="",AM$7=""),"",ROUND(AM86/AM$8*AM$7*KVARDI,2))</f>
        <v/>
      </c>
      <c r="AO86" s="39"/>
      <c r="AP86" s="40" t="str">
        <f aca="false">IF(OR(INDEX(Undirviðmið!$G$6:$G$105,(COLUMN()-7-1)/2+1)&lt;&gt;"Starfsbundið",AO86="",AO$8="",AO$7=""),"",ROUND(AO86/AO$8*AO$7*KVARDI,2))</f>
        <v/>
      </c>
      <c r="AQ86" s="39"/>
      <c r="AR86" s="40" t="str">
        <f aca="false">IF(OR(INDEX(Undirviðmið!$G$6:$G$105,(COLUMN()-7-1)/2+1)&lt;&gt;"Starfsbundið",AQ86="",AQ$8="",AQ$7=""),"",ROUND(AQ86/AQ$8*AQ$7*KVARDI,2))</f>
        <v/>
      </c>
      <c r="AS86" s="39"/>
      <c r="AT86" s="40" t="str">
        <f aca="false">IF(OR(INDEX(Undirviðmið!$G$6:$G$105,(COLUMN()-7-1)/2+1)&lt;&gt;"Starfsbundið",AS86="",AS$8="",AS$7=""),"",ROUND(AS86/AS$8*AS$7*KVARDI,2))</f>
        <v/>
      </c>
      <c r="AU86" s="39"/>
      <c r="AV86" s="40" t="str">
        <f aca="false">IF(OR(INDEX(Undirviðmið!$G$6:$G$105,(COLUMN()-7-1)/2+1)&lt;&gt;"Starfsbundið",AU86="",AU$8="",AU$7=""),"",ROUND(AU86/AU$8*AU$7*KVARDI,2))</f>
        <v/>
      </c>
      <c r="AW86" s="39"/>
      <c r="AX86" s="40" t="str">
        <f aca="false">IF(OR(INDEX(Undirviðmið!$G$6:$G$105,(COLUMN()-7-1)/2+1)&lt;&gt;"Starfsbundið",AW86="",AW$8="",AW$7=""),"",ROUND(AW86/AW$8*AW$7*KVARDI,2))</f>
        <v/>
      </c>
      <c r="AY86" s="39"/>
      <c r="AZ86" s="40" t="str">
        <f aca="false">IF(OR(INDEX(Undirviðmið!$G$6:$G$105,(COLUMN()-7-1)/2+1)&lt;&gt;"Starfsbundið",AY86="",AY$8="",AY$7=""),"",ROUND(AY86/AY$8*AY$7*KVARDI,2))</f>
        <v/>
      </c>
      <c r="BA86" s="39"/>
      <c r="BB86" s="40" t="str">
        <f aca="false">IF(OR(INDEX(Undirviðmið!$G$6:$G$105,(COLUMN()-7-1)/2+1)&lt;&gt;"Starfsbundið",BA86="",BA$8="",BA$7=""),"",ROUND(BA86/BA$8*BA$7*KVARDI,2))</f>
        <v/>
      </c>
      <c r="BC86" s="39"/>
      <c r="BD86" s="40" t="str">
        <f aca="false">IF(OR(INDEX(Undirviðmið!$G$6:$G$105,(COLUMN()-7-1)/2+1)&lt;&gt;"Starfsbundið",BC86="",BC$8="",BC$7=""),"",ROUND(BC86/BC$8*BC$7*KVARDI,2))</f>
        <v/>
      </c>
      <c r="BE86" s="39"/>
      <c r="BF86" s="40" t="str">
        <f aca="false">IF(OR(INDEX(Undirviðmið!$G$6:$G$105,(COLUMN()-7-1)/2+1)&lt;&gt;"Starfsbundið",BE86="",BE$8="",BE$7=""),"",ROUND(BE86/BE$8*BE$7*KVARDI,2))</f>
        <v/>
      </c>
      <c r="BG86" s="39"/>
      <c r="BH86" s="40" t="str">
        <f aca="false">IF(OR(INDEX(Undirviðmið!$G$6:$G$105,(COLUMN()-7-1)/2+1)&lt;&gt;"Starfsbundið",BG86="",BG$8="",BG$7=""),"",ROUND(BG86/BG$8*BG$7*KVARDI,2))</f>
        <v/>
      </c>
      <c r="BI86" s="39"/>
      <c r="BJ86" s="40" t="str">
        <f aca="false">IF(OR(INDEX(Undirviðmið!$G$6:$G$105,(COLUMN()-7-1)/2+1)&lt;&gt;"Starfsbundið",BI86="",BI$8="",BI$7=""),"",ROUND(BI86/BI$8*BI$7*KVARDI,2))</f>
        <v/>
      </c>
      <c r="BK86" s="39"/>
      <c r="BL86" s="40" t="str">
        <f aca="false">IF(OR(INDEX(Undirviðmið!$G$6:$G$105,(COLUMN()-7-1)/2+1)&lt;&gt;"Starfsbundið",BK86="",BK$8="",BK$7=""),"",ROUND(BK86/BK$8*BK$7*KVARDI,2))</f>
        <v/>
      </c>
      <c r="BM86" s="39"/>
      <c r="BN86" s="40" t="str">
        <f aca="false">IF(OR(INDEX(Undirviðmið!$G$6:$G$105,(COLUMN()-7-1)/2+1)&lt;&gt;"Starfsbundið",BM86="",BM$8="",BM$7=""),"",ROUND(BM86/BM$8*BM$7*KVARDI,2))</f>
        <v/>
      </c>
      <c r="BO86" s="39"/>
      <c r="BP86" s="40" t="str">
        <f aca="false">IF(OR(INDEX(Undirviðmið!$G$6:$G$105,(COLUMN()-7-1)/2+1)&lt;&gt;"Starfsbundið",BO86="",BO$8="",BO$7=""),"",ROUND(BO86/BO$8*BO$7*KVARDI,2))</f>
        <v/>
      </c>
      <c r="BQ86" s="39"/>
      <c r="BR86" s="40" t="str">
        <f aca="false">IF(OR(INDEX(Undirviðmið!$G$6:$G$105,(COLUMN()-7-1)/2+1)&lt;&gt;"Starfsbundið",BQ86="",BQ$8="",BQ$7=""),"",ROUND(BQ86/BQ$8*BQ$7*KVARDI,2))</f>
        <v/>
      </c>
      <c r="BS86" s="39"/>
      <c r="BT86" s="40" t="str">
        <f aca="false">IF(OR(INDEX(Undirviðmið!$G$6:$G$105,(COLUMN()-7-1)/2+1)&lt;&gt;"Starfsbundið",BS86="",BS$8="",BS$7=""),"",ROUND(BS86/BS$8*BS$7*KVARDI,2))</f>
        <v/>
      </c>
      <c r="BU86" s="39"/>
      <c r="BV86" s="40" t="str">
        <f aca="false">IF(OR(INDEX(Undirviðmið!$G$6:$G$105,(COLUMN()-7-1)/2+1)&lt;&gt;"Starfsbundið",BU86="",BU$8="",BU$7=""),"",ROUND(BU86/BU$8*BU$7*KVARDI,2))</f>
        <v/>
      </c>
      <c r="BW86" s="39"/>
      <c r="BX86" s="40" t="str">
        <f aca="false">IF(OR(INDEX(Undirviðmið!$G$6:$G$105,(COLUMN()-7-1)/2+1)&lt;&gt;"Starfsbundið",BW86="",BW$8="",BW$7=""),"",ROUND(BW86/BW$8*BW$7*KVARDI,2))</f>
        <v/>
      </c>
      <c r="BY86" s="39"/>
      <c r="BZ86" s="40" t="str">
        <f aca="false">IF(OR(INDEX(Undirviðmið!$G$6:$G$105,(COLUMN()-7-1)/2+1)&lt;&gt;"Starfsbundið",BY86="",BY$8="",BY$7=""),"",ROUND(BY86/BY$8*BY$7*KVARDI,2))</f>
        <v/>
      </c>
      <c r="CA86" s="39"/>
      <c r="CB86" s="40" t="str">
        <f aca="false">IF(OR(INDEX(Undirviðmið!$G$6:$G$105,(COLUMN()-7-1)/2+1)&lt;&gt;"Starfsbundið",CA86="",CA$8="",CA$7=""),"",ROUND(CA86/CA$8*CA$7*KVARDI,2))</f>
        <v/>
      </c>
      <c r="CC86" s="39"/>
      <c r="CD86" s="40" t="str">
        <f aca="false">IF(OR(INDEX(Undirviðmið!$G$6:$G$105,(COLUMN()-7-1)/2+1)&lt;&gt;"Starfsbundið",CC86="",CC$8="",CC$7=""),"",ROUND(CC86/CC$8*CC$7*KVARDI,2))</f>
        <v/>
      </c>
      <c r="CE86" s="39"/>
      <c r="CF86" s="40" t="str">
        <f aca="false">IF(OR(INDEX(Undirviðmið!$G$6:$G$105,(COLUMN()-7-1)/2+1)&lt;&gt;"Starfsbundið",CE86="",CE$8="",CE$7=""),"",ROUND(CE86/CE$8*CE$7*KVARDI,2))</f>
        <v/>
      </c>
      <c r="CG86" s="39"/>
      <c r="CH86" s="40" t="str">
        <f aca="false">IF(OR(INDEX(Undirviðmið!$G$6:$G$105,(COLUMN()-7-1)/2+1)&lt;&gt;"Starfsbundið",CG86="",CG$8="",CG$7=""),"",ROUND(CG86/CG$8*CG$7*KVARDI,2))</f>
        <v/>
      </c>
      <c r="CI86" s="39"/>
      <c r="CJ86" s="40" t="str">
        <f aca="false">IF(OR(INDEX(Undirviðmið!$G$6:$G$105,(COLUMN()-7-1)/2+1)&lt;&gt;"Starfsbundið",CI86="",CI$8="",CI$7=""),"",ROUND(CI86/CI$8*CI$7*KVARDI,2))</f>
        <v/>
      </c>
      <c r="CK86" s="39"/>
      <c r="CL86" s="40" t="str">
        <f aca="false">IF(OR(INDEX(Undirviðmið!$G$6:$G$105,(COLUMN()-7-1)/2+1)&lt;&gt;"Starfsbundið",CK86="",CK$8="",CK$7=""),"",ROUND(CK86/CK$8*CK$7*KVARDI,2))</f>
        <v/>
      </c>
      <c r="CM86" s="39"/>
      <c r="CN86" s="40" t="str">
        <f aca="false">IF(OR(INDEX(Undirviðmið!$G$6:$G$105,(COLUMN()-7-1)/2+1)&lt;&gt;"Starfsbundið",CM86="",CM$8="",CM$7=""),"",ROUND(CM86/CM$8*CM$7*KVARDI,2))</f>
        <v/>
      </c>
      <c r="CO86" s="39"/>
      <c r="CP86" s="40" t="str">
        <f aca="false">IF(OR(INDEX(Undirviðmið!$G$6:$G$105,(COLUMN()-7-1)/2+1)&lt;&gt;"Starfsbundið",CO86="",CO$8="",CO$7=""),"",ROUND(CO86/CO$8*CO$7*KVARDI,2))</f>
        <v/>
      </c>
      <c r="CQ86" s="39"/>
      <c r="CR86" s="40" t="str">
        <f aca="false">IF(OR(INDEX(Undirviðmið!$G$6:$G$105,(COLUMN()-7-1)/2+1)&lt;&gt;"Starfsbundið",CQ86="",CQ$8="",CQ$7=""),"",ROUND(CQ86/CQ$8*CQ$7*KVARDI,2))</f>
        <v/>
      </c>
      <c r="CS86" s="39"/>
      <c r="CT86" s="40" t="str">
        <f aca="false">IF(OR(INDEX(Undirviðmið!$G$6:$G$105,(COLUMN()-7-1)/2+1)&lt;&gt;"Starfsbundið",CS86="",CS$8="",CS$7=""),"",ROUND(CS86/CS$8*CS$7*KVARDI,2))</f>
        <v/>
      </c>
      <c r="CU86" s="39"/>
      <c r="CV86" s="40" t="str">
        <f aca="false">IF(OR(INDEX(Undirviðmið!$G$6:$G$105,(COLUMN()-7-1)/2+1)&lt;&gt;"Starfsbundið",CU86="",CU$8="",CU$7=""),"",ROUND(CU86/CU$8*CU$7*KVARDI,2))</f>
        <v/>
      </c>
      <c r="CW86" s="39"/>
      <c r="CX86" s="40" t="str">
        <f aca="false">IF(OR(INDEX(Undirviðmið!$G$6:$G$105,(COLUMN()-7-1)/2+1)&lt;&gt;"Starfsbundið",CW86="",CW$8="",CW$7=""),"",ROUND(CW86/CW$8*CW$7*KVARDI,2))</f>
        <v/>
      </c>
      <c r="CY86" s="39"/>
      <c r="CZ86" s="40" t="str">
        <f aca="false">IF(OR(INDEX(Undirviðmið!$G$6:$G$105,(COLUMN()-7-1)/2+1)&lt;&gt;"Starfsbundið",CY86="",CY$8="",CY$7=""),"",ROUND(CY86/CY$8*CY$7*KVARDI,2))</f>
        <v/>
      </c>
      <c r="DA86" s="39"/>
      <c r="DB86" s="40" t="str">
        <f aca="false">IF(OR(INDEX(Undirviðmið!$G$6:$G$105,(COLUMN()-7-1)/2+1)&lt;&gt;"Starfsbundið",DA86="",DA$8="",DA$7=""),"",ROUND(DA86/DA$8*DA$7*KVARDI,2))</f>
        <v/>
      </c>
      <c r="DC86" s="39"/>
      <c r="DD86" s="40" t="str">
        <f aca="false">IF(OR(INDEX(Undirviðmið!$G$6:$G$105,(COLUMN()-7-1)/2+1)&lt;&gt;"Starfsbundið",DC86="",DC$8="",DC$7=""),"",ROUND(DC86/DC$8*DC$7*KVARDI,2))</f>
        <v/>
      </c>
      <c r="DE86" s="39"/>
      <c r="DF86" s="40" t="str">
        <f aca="false">IF(OR(INDEX(Undirviðmið!$G$6:$G$105,(COLUMN()-7-1)/2+1)&lt;&gt;"Starfsbundið",DE86="",DE$8="",DE$7=""),"",ROUND(DE86/DE$8*DE$7*KVARDI,2))</f>
        <v/>
      </c>
      <c r="DG86" s="39"/>
      <c r="DH86" s="40" t="str">
        <f aca="false">IF(OR(INDEX(Undirviðmið!$G$6:$G$105,(COLUMN()-7-1)/2+1)&lt;&gt;"Starfsbundið",DG86="",DG$8="",DG$7=""),"",ROUND(DG86/DG$8*DG$7*KVARDI,2))</f>
        <v/>
      </c>
      <c r="DI86" s="39"/>
      <c r="DJ86" s="40" t="str">
        <f aca="false">IF(OR(INDEX(Undirviðmið!$G$6:$G$105,(COLUMN()-7-1)/2+1)&lt;&gt;"Starfsbundið",DI86="",DI$8="",DI$7=""),"",ROUND(DI86/DI$8*DI$7*KVARDI,2))</f>
        <v/>
      </c>
      <c r="DK86" s="39"/>
      <c r="DL86" s="40" t="str">
        <f aca="false">IF(OR(INDEX(Undirviðmið!$G$6:$G$105,(COLUMN()-7-1)/2+1)&lt;&gt;"Starfsbundið",DK86="",DK$8="",DK$7=""),"",ROUND(DK86/DK$8*DK$7*KVARDI,2))</f>
        <v/>
      </c>
      <c r="DM86" s="39"/>
      <c r="DN86" s="40" t="str">
        <f aca="false">IF(OR(INDEX(Undirviðmið!$G$6:$G$105,(COLUMN()-7-1)/2+1)&lt;&gt;"Starfsbundið",DM86="",DM$8="",DM$7=""),"",ROUND(DM86/DM$8*DM$7*KVARDI,2))</f>
        <v/>
      </c>
      <c r="DO86" s="39"/>
      <c r="DP86" s="40" t="str">
        <f aca="false">IF(OR(INDEX(Undirviðmið!$G$6:$G$105,(COLUMN()-7-1)/2+1)&lt;&gt;"Starfsbundið",DO86="",DO$8="",DO$7=""),"",ROUND(DO86/DO$8*DO$7*KVARDI,2))</f>
        <v/>
      </c>
      <c r="DQ86" s="39"/>
      <c r="DR86" s="40" t="str">
        <f aca="false">IF(OR(INDEX(Undirviðmið!$G$6:$G$105,(COLUMN()-7-1)/2+1)&lt;&gt;"Starfsbundið",DQ86="",DQ$8="",DQ$7=""),"",ROUND(DQ86/DQ$8*DQ$7*KVARDI,2))</f>
        <v/>
      </c>
      <c r="DS86" s="39"/>
      <c r="DT86" s="40" t="str">
        <f aca="false">IF(OR(INDEX(Undirviðmið!$G$6:$G$105,(COLUMN()-7-1)/2+1)&lt;&gt;"Starfsbundið",DS86="",DS$8="",DS$7=""),"",ROUND(DS86/DS$8*DS$7*KVARDI,2))</f>
        <v/>
      </c>
      <c r="DU86" s="39"/>
      <c r="DV86" s="40" t="str">
        <f aca="false">IF(OR(INDEX(Undirviðmið!$G$6:$G$105,(COLUMN()-7-1)/2+1)&lt;&gt;"Starfsbundið",DU86="",DU$8="",DU$7=""),"",ROUND(DU86/DU$8*DU$7*KVARDI,2))</f>
        <v/>
      </c>
      <c r="DW86" s="39"/>
      <c r="DX86" s="40" t="str">
        <f aca="false">IF(OR(INDEX(Undirviðmið!$G$6:$G$105,(COLUMN()-7-1)/2+1)&lt;&gt;"Starfsbundið",DW86="",DW$8="",DW$7=""),"",ROUND(DW86/DW$8*DW$7*KVARDI,2))</f>
        <v/>
      </c>
      <c r="DY86" s="39"/>
      <c r="DZ86" s="40" t="str">
        <f aca="false">IF(OR(INDEX(Undirviðmið!$G$6:$G$105,(COLUMN()-7-1)/2+1)&lt;&gt;"Starfsbundið",DY86="",DY$8="",DY$7=""),"",ROUND(DY86/DY$8*DY$7*KVARDI,2))</f>
        <v/>
      </c>
      <c r="EA86" s="39"/>
      <c r="EB86" s="40" t="str">
        <f aca="false">IF(OR(INDEX(Undirviðmið!$G$6:$G$105,(COLUMN()-7-1)/2+1)&lt;&gt;"Starfsbundið",EA86="",EA$8="",EA$7=""),"",ROUND(EA86/EA$8*EA$7*KVARDI,2))</f>
        <v/>
      </c>
      <c r="EC86" s="39"/>
      <c r="ED86" s="40" t="str">
        <f aca="false">IF(OR(INDEX(Undirviðmið!$G$6:$G$105,(COLUMN()-7-1)/2+1)&lt;&gt;"Starfsbundið",EC86="",EC$8="",EC$7=""),"",ROUND(EC86/EC$8*EC$7*KVARDI,2))</f>
        <v/>
      </c>
      <c r="EE86" s="39"/>
      <c r="EF86" s="40" t="str">
        <f aca="false">IF(OR(INDEX(Undirviðmið!$G$6:$G$105,(COLUMN()-7-1)/2+1)&lt;&gt;"Starfsbundið",EE86="",EE$8="",EE$7=""),"",ROUND(EE86/EE$8*EE$7*KVARDI,2))</f>
        <v/>
      </c>
      <c r="EG86" s="39"/>
      <c r="EH86" s="40" t="str">
        <f aca="false">IF(OR(INDEX(Undirviðmið!$G$6:$G$105,(COLUMN()-7-1)/2+1)&lt;&gt;"Starfsbundið",EG86="",EG$8="",EG$7=""),"",ROUND(EG86/EG$8*EG$7*KVARDI,2))</f>
        <v/>
      </c>
      <c r="EI86" s="39"/>
      <c r="EJ86" s="40" t="str">
        <f aca="false">IF(OR(INDEX(Undirviðmið!$G$6:$G$105,(COLUMN()-7-1)/2+1)&lt;&gt;"Starfsbundið",EI86="",EI$8="",EI$7=""),"",ROUND(EI86/EI$8*EI$7*KVARDI,2))</f>
        <v/>
      </c>
      <c r="EK86" s="39"/>
      <c r="EL86" s="40" t="str">
        <f aca="false">IF(OR(INDEX(Undirviðmið!$G$6:$G$105,(COLUMN()-7-1)/2+1)&lt;&gt;"Starfsbundið",EK86="",EK$8="",EK$7=""),"",ROUND(EK86/EK$8*EK$7*KVARDI,2))</f>
        <v/>
      </c>
      <c r="EM86" s="39"/>
      <c r="EN86" s="40" t="str">
        <f aca="false">IF(OR(INDEX(Undirviðmið!$G$6:$G$105,(COLUMN()-7-1)/2+1)&lt;&gt;"Starfsbundið",EM86="",EM$8="",EM$7=""),"",ROUND(EM86/EM$8*EM$7*KVARDI,2))</f>
        <v/>
      </c>
      <c r="EO86" s="39"/>
      <c r="EP86" s="40" t="str">
        <f aca="false">IF(OR(INDEX(Undirviðmið!$G$6:$G$105,(COLUMN()-7-1)/2+1)&lt;&gt;"Starfsbundið",EO86="",EO$8="",EO$7=""),"",ROUND(EO86/EO$8*EO$7*KVARDI,2))</f>
        <v/>
      </c>
      <c r="EQ86" s="39"/>
      <c r="ER86" s="40" t="str">
        <f aca="false">IF(OR(INDEX(Undirviðmið!$G$6:$G$105,(COLUMN()-7-1)/2+1)&lt;&gt;"Starfsbundið",EQ86="",EQ$8="",EQ$7=""),"",ROUND(EQ86/EQ$8*EQ$7*KVARDI,2))</f>
        <v/>
      </c>
      <c r="ES86" s="39"/>
      <c r="ET86" s="40" t="str">
        <f aca="false">IF(OR(INDEX(Undirviðmið!$G$6:$G$105,(COLUMN()-7-1)/2+1)&lt;&gt;"Starfsbundið",ES86="",ES$8="",ES$7=""),"",ROUND(ES86/ES$8*ES$7*KVARDI,2))</f>
        <v/>
      </c>
      <c r="EU86" s="39"/>
      <c r="EV86" s="40" t="str">
        <f aca="false">IF(OR(INDEX(Undirviðmið!$G$6:$G$105,(COLUMN()-7-1)/2+1)&lt;&gt;"Starfsbundið",EU86="",EU$8="",EU$7=""),"",ROUND(EU86/EU$8*EU$7*KVARDI,2))</f>
        <v/>
      </c>
      <c r="EW86" s="39"/>
      <c r="EX86" s="40" t="str">
        <f aca="false">IF(OR(INDEX(Undirviðmið!$G$6:$G$105,(COLUMN()-7-1)/2+1)&lt;&gt;"Starfsbundið",EW86="",EW$8="",EW$7=""),"",ROUND(EW86/EW$8*EW$7*KVARDI,2))</f>
        <v/>
      </c>
      <c r="EY86" s="39"/>
      <c r="EZ86" s="40" t="str">
        <f aca="false">IF(OR(INDEX(Undirviðmið!$G$6:$G$105,(COLUMN()-7-1)/2+1)&lt;&gt;"Starfsbundið",EY86="",EY$8="",EY$7=""),"",ROUND(EY86/EY$8*EY$7*KVARDI,2))</f>
        <v/>
      </c>
      <c r="FA86" s="39"/>
      <c r="FB86" s="40" t="str">
        <f aca="false">IF(OR(INDEX(Undirviðmið!$G$6:$G$105,(COLUMN()-7-1)/2+1)&lt;&gt;"Starfsbundið",FA86="",FA$8="",FA$7=""),"",ROUND(FA86/FA$8*FA$7*KVARDI,2))</f>
        <v/>
      </c>
      <c r="FC86" s="39"/>
      <c r="FD86" s="40" t="str">
        <f aca="false">IF(OR(INDEX(Undirviðmið!$G$6:$G$105,(COLUMN()-7-1)/2+1)&lt;&gt;"Starfsbundið",FC86="",FC$8="",FC$7=""),"",ROUND(FC86/FC$8*FC$7*KVARDI,2))</f>
        <v/>
      </c>
      <c r="FE86" s="39"/>
      <c r="FF86" s="40" t="str">
        <f aca="false">IF(OR(INDEX(Undirviðmið!$G$6:$G$105,(COLUMN()-7-1)/2+1)&lt;&gt;"Starfsbundið",FE86="",FE$8="",FE$7=""),"",ROUND(FE86/FE$8*FE$7*KVARDI,2))</f>
        <v/>
      </c>
      <c r="FG86" s="39"/>
      <c r="FH86" s="40" t="str">
        <f aca="false">IF(OR(INDEX(Undirviðmið!$G$6:$G$105,(COLUMN()-7-1)/2+1)&lt;&gt;"Starfsbundið",FG86="",FG$8="",FG$7=""),"",ROUND(FG86/FG$8*FG$7*KVARDI,2))</f>
        <v/>
      </c>
      <c r="FI86" s="39"/>
      <c r="FJ86" s="40" t="str">
        <f aca="false">IF(OR(INDEX(Undirviðmið!$G$6:$G$105,(COLUMN()-7-1)/2+1)&lt;&gt;"Starfsbundið",FI86="",FI$8="",FI$7=""),"",ROUND(FI86/FI$8*FI$7*KVARDI,2))</f>
        <v/>
      </c>
      <c r="FK86" s="39"/>
      <c r="FL86" s="40" t="str">
        <f aca="false">IF(OR(INDEX(Undirviðmið!$G$6:$G$105,(COLUMN()-7-1)/2+1)&lt;&gt;"Starfsbundið",FK86="",FK$8="",FK$7=""),"",ROUND(FK86/FK$8*FK$7*KVARDI,2))</f>
        <v/>
      </c>
      <c r="FM86" s="39"/>
      <c r="FN86" s="40" t="str">
        <f aca="false">IF(OR(INDEX(Undirviðmið!$G$6:$G$105,(COLUMN()-7-1)/2+1)&lt;&gt;"Starfsbundið",FM86="",FM$8="",FM$7=""),"",ROUND(FM86/FM$8*FM$7*KVARDI,2))</f>
        <v/>
      </c>
      <c r="FO86" s="39"/>
      <c r="FP86" s="40" t="str">
        <f aca="false">IF(OR(INDEX(Undirviðmið!$G$6:$G$105,(COLUMN()-7-1)/2+1)&lt;&gt;"Starfsbundið",FO86="",FO$8="",FO$7=""),"",ROUND(FO86/FO$8*FO$7*KVARDI,2))</f>
        <v/>
      </c>
      <c r="FQ86" s="39"/>
      <c r="FR86" s="40" t="str">
        <f aca="false">IF(OR(INDEX(Undirviðmið!$G$6:$G$105,(COLUMN()-7-1)/2+1)&lt;&gt;"Starfsbundið",FQ86="",FQ$8="",FQ$7=""),"",ROUND(FQ86/FQ$8*FQ$7*KVARDI,2))</f>
        <v/>
      </c>
      <c r="FS86" s="39"/>
      <c r="FT86" s="40" t="str">
        <f aca="false">IF(OR(INDEX(Undirviðmið!$G$6:$G$105,(COLUMN()-7-1)/2+1)&lt;&gt;"Starfsbundið",FS86="",FS$8="",FS$7=""),"",ROUND(FS86/FS$8*FS$7*KVARDI,2))</f>
        <v/>
      </c>
      <c r="FU86" s="39"/>
      <c r="FV86" s="40" t="str">
        <f aca="false">IF(OR(INDEX(Undirviðmið!$G$6:$G$105,(COLUMN()-7-1)/2+1)&lt;&gt;"Starfsbundið",FU86="",FU$8="",FU$7=""),"",ROUND(FU86/FU$8*FU$7*KVARDI,2))</f>
        <v/>
      </c>
      <c r="FW86" s="39"/>
      <c r="FX86" s="40" t="str">
        <f aca="false">IF(OR(INDEX(Undirviðmið!$G$6:$G$105,(COLUMN()-7-1)/2+1)&lt;&gt;"Starfsbundið",FW86="",FW$8="",FW$7=""),"",ROUND(FW86/FW$8*FW$7*KVARDI,2))</f>
        <v/>
      </c>
      <c r="FY86" s="39"/>
      <c r="FZ86" s="40" t="str">
        <f aca="false">IF(OR(INDEX(Undirviðmið!$G$6:$G$105,(COLUMN()-7-1)/2+1)&lt;&gt;"Starfsbundið",FY86="",FY$8="",FY$7=""),"",ROUND(FY86/FY$8*FY$7*KVARDI,2))</f>
        <v/>
      </c>
      <c r="GA86" s="39"/>
      <c r="GB86" s="40" t="str">
        <f aca="false">IF(OR(INDEX(Undirviðmið!$G$6:$G$105,(COLUMN()-7-1)/2+1)&lt;&gt;"Starfsbundið",GA86="",GA$8="",GA$7=""),"",ROUND(GA86/GA$8*GA$7*KVARDI,2))</f>
        <v/>
      </c>
      <c r="GC86" s="39"/>
      <c r="GD86" s="40" t="str">
        <f aca="false">IF(OR(INDEX(Undirviðmið!$G$6:$G$105,(COLUMN()-7-1)/2+1)&lt;&gt;"Starfsbundið",GC86="",GC$8="",GC$7=""),"",ROUND(GC86/GC$8*GC$7*KVARDI,2))</f>
        <v/>
      </c>
      <c r="GE86" s="39"/>
      <c r="GF86" s="40" t="str">
        <f aca="false">IF(OR(INDEX(Undirviðmið!$G$6:$G$105,(COLUMN()-7-1)/2+1)&lt;&gt;"Starfsbundið",GE86="",GE$8="",GE$7=""),"",ROUND(GE86/GE$8*GE$7*KVARDI,2))</f>
        <v/>
      </c>
      <c r="GG86" s="39"/>
      <c r="GH86" s="40" t="str">
        <f aca="false">IF(OR(INDEX(Undirviðmið!$G$6:$G$105,(COLUMN()-7-1)/2+1)&lt;&gt;"Starfsbundið",GG86="",GG$8="",GG$7=""),"",ROUND(GG86/GG$8*GG$7*KVARDI,2))</f>
        <v/>
      </c>
      <c r="GI86" s="39"/>
      <c r="GJ86" s="40" t="str">
        <f aca="false">IF(OR(INDEX(Undirviðmið!$G$6:$G$105,(COLUMN()-7-1)/2+1)&lt;&gt;"Starfsbundið",GI86="",GI$8="",GI$7=""),"",ROUND(GI86/GI$8*GI$7*KVARDI,2))</f>
        <v/>
      </c>
      <c r="GK86" s="39"/>
      <c r="GL86" s="40" t="str">
        <f aca="false">IF(OR(INDEX(Undirviðmið!$G$6:$G$105,(COLUMN()-7-1)/2+1)&lt;&gt;"Starfsbundið",GK86="",GK$8="",GK$7=""),"",ROUND(GK86/GK$8*GK$7*KVARDI,2))</f>
        <v/>
      </c>
      <c r="GM86" s="39"/>
      <c r="GN86" s="40" t="str">
        <f aca="false">IF(OR(INDEX(Undirviðmið!$G$6:$G$105,(COLUMN()-7-1)/2+1)&lt;&gt;"Starfsbundið",GM86="",GM$8="",GM$7=""),"",ROUND(GM86/GM$8*GM$7*KVARDI,2))</f>
        <v/>
      </c>
      <c r="GO86" s="39"/>
      <c r="GP86" s="40" t="str">
        <f aca="false">IF(OR(INDEX(Undirviðmið!$G$6:$G$105,(COLUMN()-7-1)/2+1)&lt;&gt;"Starfsbundið",GO86="",GO$8="",GO$7=""),"",ROUND(GO86/GO$8*GO$7*KVARDI,2))</f>
        <v/>
      </c>
      <c r="GQ86" s="39"/>
      <c r="GR86" s="40" t="str">
        <f aca="false">IF(OR(INDEX(Undirviðmið!$G$6:$G$105,(COLUMN()-7-1)/2+1)&lt;&gt;"Starfsbundið",GQ86="",GQ$8="",GQ$7=""),"",ROUND(GQ86/GQ$8*GQ$7*KVARDI,2))</f>
        <v/>
      </c>
      <c r="GS86" s="39"/>
      <c r="GT86" s="40" t="str">
        <f aca="false">IF(OR(INDEX(Undirviðmið!$G$6:$G$105,(COLUMN()-7-1)/2+1)&lt;&gt;"Starfsbundið",GS86="",GS$8="",GS$7=""),"",ROUND(GS86/GS$8*GS$7*KVARDI,2))</f>
        <v/>
      </c>
      <c r="GU86" s="39"/>
      <c r="GV86" s="40" t="str">
        <f aca="false">IF(OR(INDEX(Undirviðmið!$G$6:$G$105,(COLUMN()-7-1)/2+1)&lt;&gt;"Starfsbundið",GU86="",GU$8="",GU$7=""),"",ROUND(GU86/GU$8*GU$7*KVARDI,2))</f>
        <v/>
      </c>
      <c r="GW86" s="39"/>
      <c r="GX86" s="40" t="str">
        <f aca="false">IF(OR(INDEX(Undirviðmið!$G$6:$G$105,(COLUMN()-7-1)/2+1)&lt;&gt;"Starfsbundið",GW86="",GW$8="",GW$7=""),"",ROUND(GW86/GW$8*GW$7*KVARDI,2))</f>
        <v/>
      </c>
      <c r="GZ86" s="20"/>
    </row>
    <row r="87" customFormat="false" ht="15" hidden="true" customHeight="true" outlineLevel="1" collapsed="false">
      <c r="B87" s="37" t="str">
        <f aca="false" t="array" ref="B87:B87">IFERROR(INDEX(Starfsmenn!$C$6:$C$10005,MATCH(0,COUNTIF($B$11:B86,Starfsmenn!$C$6:$C$10005)+(Starfsmenn!$C$6:$C$10005=""),0)),"")</f>
        <v/>
      </c>
      <c r="C87" s="38" t="n">
        <f aca="false">IFERROR(SUMIF($G$10:$GX$10,"Stig",$G87:$GX87),0)</f>
        <v>0</v>
      </c>
      <c r="G87" s="39"/>
      <c r="H87" s="40" t="str">
        <f aca="false">IF(OR(INDEX(Undirviðmið!$G$6:$G$105,(COLUMN()-7-1)/2+1)&lt;&gt;"Starfsbundið",G87="",G$8="",G$7=""),"",ROUND(G87/G$8*G$7*KVARDI,2))</f>
        <v/>
      </c>
      <c r="I87" s="39"/>
      <c r="J87" s="40" t="str">
        <f aca="false">IF(OR(INDEX(Undirviðmið!$G$6:$G$105,(COLUMN()-7-1)/2+1)&lt;&gt;"Starfsbundið",I87="",I$8="",I$7=""),"",ROUND(I87/I$8*I$7*KVARDI,2))</f>
        <v/>
      </c>
      <c r="K87" s="39"/>
      <c r="L87" s="40" t="str">
        <f aca="false">IF(OR(INDEX(Undirviðmið!$G$6:$G$105,(COLUMN()-7-1)/2+1)&lt;&gt;"Starfsbundið",K87="",K$8="",K$7=""),"",ROUND(K87/K$8*K$7*KVARDI,2))</f>
        <v/>
      </c>
      <c r="M87" s="39"/>
      <c r="N87" s="40" t="str">
        <f aca="false">IF(OR(INDEX(Undirviðmið!$G$6:$G$105,(COLUMN()-7-1)/2+1)&lt;&gt;"Starfsbundið",M87="",M$8="",M$7=""),"",ROUND(M87/M$8*M$7*KVARDI,2))</f>
        <v/>
      </c>
      <c r="O87" s="39"/>
      <c r="P87" s="40" t="str">
        <f aca="false">IF(OR(INDEX(Undirviðmið!$G$6:$G$105,(COLUMN()-7-1)/2+1)&lt;&gt;"Starfsbundið",O87="",O$8="",O$7=""),"",ROUND(O87/O$8*O$7*KVARDI,2))</f>
        <v/>
      </c>
      <c r="Q87" s="39"/>
      <c r="R87" s="40" t="str">
        <f aca="false">IF(OR(INDEX(Undirviðmið!$G$6:$G$105,(COLUMN()-7-1)/2+1)&lt;&gt;"Starfsbundið",Q87="",Q$8="",Q$7=""),"",ROUND(Q87/Q$8*Q$7*KVARDI,2))</f>
        <v/>
      </c>
      <c r="S87" s="39"/>
      <c r="T87" s="40" t="str">
        <f aca="false">IF(OR(INDEX(Undirviðmið!$G$6:$G$105,(COLUMN()-7-1)/2+1)&lt;&gt;"Starfsbundið",S87="",S$8="",S$7=""),"",ROUND(S87/S$8*S$7*KVARDI,2))</f>
        <v/>
      </c>
      <c r="U87" s="39"/>
      <c r="V87" s="40" t="str">
        <f aca="false">IF(OR(INDEX(Undirviðmið!$G$6:$G$105,(COLUMN()-7-1)/2+1)&lt;&gt;"Starfsbundið",U87="",U$8="",U$7=""),"",ROUND(U87/U$8*U$7*KVARDI,2))</f>
        <v/>
      </c>
      <c r="W87" s="39"/>
      <c r="X87" s="40" t="str">
        <f aca="false">IF(OR(INDEX(Undirviðmið!$G$6:$G$105,(COLUMN()-7-1)/2+1)&lt;&gt;"Starfsbundið",W87="",W$8="",W$7=""),"",ROUND(W87/W$8*W$7*KVARDI,2))</f>
        <v/>
      </c>
      <c r="Y87" s="39"/>
      <c r="Z87" s="40" t="str">
        <f aca="false">IF(OR(INDEX(Undirviðmið!$G$6:$G$105,(COLUMN()-7-1)/2+1)&lt;&gt;"Starfsbundið",Y87="",Y$8="",Y$7=""),"",ROUND(Y87/Y$8*Y$7*KVARDI,2))</f>
        <v/>
      </c>
      <c r="AA87" s="39"/>
      <c r="AB87" s="40" t="str">
        <f aca="false">IF(OR(INDEX(Undirviðmið!$G$6:$G$105,(COLUMN()-7-1)/2+1)&lt;&gt;"Starfsbundið",AA87="",AA$8="",AA$7=""),"",ROUND(AA87/AA$8*AA$7*KVARDI,2))</f>
        <v/>
      </c>
      <c r="AC87" s="39"/>
      <c r="AD87" s="40" t="str">
        <f aca="false">IF(OR(INDEX(Undirviðmið!$G$6:$G$105,(COLUMN()-7-1)/2+1)&lt;&gt;"Starfsbundið",AC87="",AC$8="",AC$7=""),"",ROUND(AC87/AC$8*AC$7*KVARDI,2))</f>
        <v/>
      </c>
      <c r="AE87" s="39"/>
      <c r="AF87" s="40" t="str">
        <f aca="false">IF(OR(INDEX(Undirviðmið!$G$6:$G$105,(COLUMN()-7-1)/2+1)&lt;&gt;"Starfsbundið",AE87="",AE$8="",AE$7=""),"",ROUND(AE87/AE$8*AE$7*KVARDI,2))</f>
        <v/>
      </c>
      <c r="AG87" s="39"/>
      <c r="AH87" s="40" t="str">
        <f aca="false">IF(OR(INDEX(Undirviðmið!$G$6:$G$105,(COLUMN()-7-1)/2+1)&lt;&gt;"Starfsbundið",AG87="",AG$8="",AG$7=""),"",ROUND(AG87/AG$8*AG$7*KVARDI,2))</f>
        <v/>
      </c>
      <c r="AI87" s="39"/>
      <c r="AJ87" s="40" t="str">
        <f aca="false">IF(OR(INDEX(Undirviðmið!$G$6:$G$105,(COLUMN()-7-1)/2+1)&lt;&gt;"Starfsbundið",AI87="",AI$8="",AI$7=""),"",ROUND(AI87/AI$8*AI$7*KVARDI,2))</f>
        <v/>
      </c>
      <c r="AK87" s="39"/>
      <c r="AL87" s="40" t="str">
        <f aca="false">IF(OR(INDEX(Undirviðmið!$G$6:$G$105,(COLUMN()-7-1)/2+1)&lt;&gt;"Starfsbundið",AK87="",AK$8="",AK$7=""),"",ROUND(AK87/AK$8*AK$7*KVARDI,2))</f>
        <v/>
      </c>
      <c r="AM87" s="39"/>
      <c r="AN87" s="40" t="str">
        <f aca="false">IF(OR(INDEX(Undirviðmið!$G$6:$G$105,(COLUMN()-7-1)/2+1)&lt;&gt;"Starfsbundið",AM87="",AM$8="",AM$7=""),"",ROUND(AM87/AM$8*AM$7*KVARDI,2))</f>
        <v/>
      </c>
      <c r="AO87" s="39"/>
      <c r="AP87" s="40" t="str">
        <f aca="false">IF(OR(INDEX(Undirviðmið!$G$6:$G$105,(COLUMN()-7-1)/2+1)&lt;&gt;"Starfsbundið",AO87="",AO$8="",AO$7=""),"",ROUND(AO87/AO$8*AO$7*KVARDI,2))</f>
        <v/>
      </c>
      <c r="AQ87" s="39"/>
      <c r="AR87" s="40" t="str">
        <f aca="false">IF(OR(INDEX(Undirviðmið!$G$6:$G$105,(COLUMN()-7-1)/2+1)&lt;&gt;"Starfsbundið",AQ87="",AQ$8="",AQ$7=""),"",ROUND(AQ87/AQ$8*AQ$7*KVARDI,2))</f>
        <v/>
      </c>
      <c r="AS87" s="39"/>
      <c r="AT87" s="40" t="str">
        <f aca="false">IF(OR(INDEX(Undirviðmið!$G$6:$G$105,(COLUMN()-7-1)/2+1)&lt;&gt;"Starfsbundið",AS87="",AS$8="",AS$7=""),"",ROUND(AS87/AS$8*AS$7*KVARDI,2))</f>
        <v/>
      </c>
      <c r="AU87" s="39"/>
      <c r="AV87" s="40" t="str">
        <f aca="false">IF(OR(INDEX(Undirviðmið!$G$6:$G$105,(COLUMN()-7-1)/2+1)&lt;&gt;"Starfsbundið",AU87="",AU$8="",AU$7=""),"",ROUND(AU87/AU$8*AU$7*KVARDI,2))</f>
        <v/>
      </c>
      <c r="AW87" s="39"/>
      <c r="AX87" s="40" t="str">
        <f aca="false">IF(OR(INDEX(Undirviðmið!$G$6:$G$105,(COLUMN()-7-1)/2+1)&lt;&gt;"Starfsbundið",AW87="",AW$8="",AW$7=""),"",ROUND(AW87/AW$8*AW$7*KVARDI,2))</f>
        <v/>
      </c>
      <c r="AY87" s="39"/>
      <c r="AZ87" s="40" t="str">
        <f aca="false">IF(OR(INDEX(Undirviðmið!$G$6:$G$105,(COLUMN()-7-1)/2+1)&lt;&gt;"Starfsbundið",AY87="",AY$8="",AY$7=""),"",ROUND(AY87/AY$8*AY$7*KVARDI,2))</f>
        <v/>
      </c>
      <c r="BA87" s="39"/>
      <c r="BB87" s="40" t="str">
        <f aca="false">IF(OR(INDEX(Undirviðmið!$G$6:$G$105,(COLUMN()-7-1)/2+1)&lt;&gt;"Starfsbundið",BA87="",BA$8="",BA$7=""),"",ROUND(BA87/BA$8*BA$7*KVARDI,2))</f>
        <v/>
      </c>
      <c r="BC87" s="39"/>
      <c r="BD87" s="40" t="str">
        <f aca="false">IF(OR(INDEX(Undirviðmið!$G$6:$G$105,(COLUMN()-7-1)/2+1)&lt;&gt;"Starfsbundið",BC87="",BC$8="",BC$7=""),"",ROUND(BC87/BC$8*BC$7*KVARDI,2))</f>
        <v/>
      </c>
      <c r="BE87" s="39"/>
      <c r="BF87" s="40" t="str">
        <f aca="false">IF(OR(INDEX(Undirviðmið!$G$6:$G$105,(COLUMN()-7-1)/2+1)&lt;&gt;"Starfsbundið",BE87="",BE$8="",BE$7=""),"",ROUND(BE87/BE$8*BE$7*KVARDI,2))</f>
        <v/>
      </c>
      <c r="BG87" s="39"/>
      <c r="BH87" s="40" t="str">
        <f aca="false">IF(OR(INDEX(Undirviðmið!$G$6:$G$105,(COLUMN()-7-1)/2+1)&lt;&gt;"Starfsbundið",BG87="",BG$8="",BG$7=""),"",ROUND(BG87/BG$8*BG$7*KVARDI,2))</f>
        <v/>
      </c>
      <c r="BI87" s="39"/>
      <c r="BJ87" s="40" t="str">
        <f aca="false">IF(OR(INDEX(Undirviðmið!$G$6:$G$105,(COLUMN()-7-1)/2+1)&lt;&gt;"Starfsbundið",BI87="",BI$8="",BI$7=""),"",ROUND(BI87/BI$8*BI$7*KVARDI,2))</f>
        <v/>
      </c>
      <c r="BK87" s="39"/>
      <c r="BL87" s="40" t="str">
        <f aca="false">IF(OR(INDEX(Undirviðmið!$G$6:$G$105,(COLUMN()-7-1)/2+1)&lt;&gt;"Starfsbundið",BK87="",BK$8="",BK$7=""),"",ROUND(BK87/BK$8*BK$7*KVARDI,2))</f>
        <v/>
      </c>
      <c r="BM87" s="39"/>
      <c r="BN87" s="40" t="str">
        <f aca="false">IF(OR(INDEX(Undirviðmið!$G$6:$G$105,(COLUMN()-7-1)/2+1)&lt;&gt;"Starfsbundið",BM87="",BM$8="",BM$7=""),"",ROUND(BM87/BM$8*BM$7*KVARDI,2))</f>
        <v/>
      </c>
      <c r="BO87" s="39"/>
      <c r="BP87" s="40" t="str">
        <f aca="false">IF(OR(INDEX(Undirviðmið!$G$6:$G$105,(COLUMN()-7-1)/2+1)&lt;&gt;"Starfsbundið",BO87="",BO$8="",BO$7=""),"",ROUND(BO87/BO$8*BO$7*KVARDI,2))</f>
        <v/>
      </c>
      <c r="BQ87" s="39"/>
      <c r="BR87" s="40" t="str">
        <f aca="false">IF(OR(INDEX(Undirviðmið!$G$6:$G$105,(COLUMN()-7-1)/2+1)&lt;&gt;"Starfsbundið",BQ87="",BQ$8="",BQ$7=""),"",ROUND(BQ87/BQ$8*BQ$7*KVARDI,2))</f>
        <v/>
      </c>
      <c r="BS87" s="39"/>
      <c r="BT87" s="40" t="str">
        <f aca="false">IF(OR(INDEX(Undirviðmið!$G$6:$G$105,(COLUMN()-7-1)/2+1)&lt;&gt;"Starfsbundið",BS87="",BS$8="",BS$7=""),"",ROUND(BS87/BS$8*BS$7*KVARDI,2))</f>
        <v/>
      </c>
      <c r="BU87" s="39"/>
      <c r="BV87" s="40" t="str">
        <f aca="false">IF(OR(INDEX(Undirviðmið!$G$6:$G$105,(COLUMN()-7-1)/2+1)&lt;&gt;"Starfsbundið",BU87="",BU$8="",BU$7=""),"",ROUND(BU87/BU$8*BU$7*KVARDI,2))</f>
        <v/>
      </c>
      <c r="BW87" s="39"/>
      <c r="BX87" s="40" t="str">
        <f aca="false">IF(OR(INDEX(Undirviðmið!$G$6:$G$105,(COLUMN()-7-1)/2+1)&lt;&gt;"Starfsbundið",BW87="",BW$8="",BW$7=""),"",ROUND(BW87/BW$8*BW$7*KVARDI,2))</f>
        <v/>
      </c>
      <c r="BY87" s="39"/>
      <c r="BZ87" s="40" t="str">
        <f aca="false">IF(OR(INDEX(Undirviðmið!$G$6:$G$105,(COLUMN()-7-1)/2+1)&lt;&gt;"Starfsbundið",BY87="",BY$8="",BY$7=""),"",ROUND(BY87/BY$8*BY$7*KVARDI,2))</f>
        <v/>
      </c>
      <c r="CA87" s="39"/>
      <c r="CB87" s="40" t="str">
        <f aca="false">IF(OR(INDEX(Undirviðmið!$G$6:$G$105,(COLUMN()-7-1)/2+1)&lt;&gt;"Starfsbundið",CA87="",CA$8="",CA$7=""),"",ROUND(CA87/CA$8*CA$7*KVARDI,2))</f>
        <v/>
      </c>
      <c r="CC87" s="39"/>
      <c r="CD87" s="40" t="str">
        <f aca="false">IF(OR(INDEX(Undirviðmið!$G$6:$G$105,(COLUMN()-7-1)/2+1)&lt;&gt;"Starfsbundið",CC87="",CC$8="",CC$7=""),"",ROUND(CC87/CC$8*CC$7*KVARDI,2))</f>
        <v/>
      </c>
      <c r="CE87" s="39"/>
      <c r="CF87" s="40" t="str">
        <f aca="false">IF(OR(INDEX(Undirviðmið!$G$6:$G$105,(COLUMN()-7-1)/2+1)&lt;&gt;"Starfsbundið",CE87="",CE$8="",CE$7=""),"",ROUND(CE87/CE$8*CE$7*KVARDI,2))</f>
        <v/>
      </c>
      <c r="CG87" s="39"/>
      <c r="CH87" s="40" t="str">
        <f aca="false">IF(OR(INDEX(Undirviðmið!$G$6:$G$105,(COLUMN()-7-1)/2+1)&lt;&gt;"Starfsbundið",CG87="",CG$8="",CG$7=""),"",ROUND(CG87/CG$8*CG$7*KVARDI,2))</f>
        <v/>
      </c>
      <c r="CI87" s="39"/>
      <c r="CJ87" s="40" t="str">
        <f aca="false">IF(OR(INDEX(Undirviðmið!$G$6:$G$105,(COLUMN()-7-1)/2+1)&lt;&gt;"Starfsbundið",CI87="",CI$8="",CI$7=""),"",ROUND(CI87/CI$8*CI$7*KVARDI,2))</f>
        <v/>
      </c>
      <c r="CK87" s="39"/>
      <c r="CL87" s="40" t="str">
        <f aca="false">IF(OR(INDEX(Undirviðmið!$G$6:$G$105,(COLUMN()-7-1)/2+1)&lt;&gt;"Starfsbundið",CK87="",CK$8="",CK$7=""),"",ROUND(CK87/CK$8*CK$7*KVARDI,2))</f>
        <v/>
      </c>
      <c r="CM87" s="39"/>
      <c r="CN87" s="40" t="str">
        <f aca="false">IF(OR(INDEX(Undirviðmið!$G$6:$G$105,(COLUMN()-7-1)/2+1)&lt;&gt;"Starfsbundið",CM87="",CM$8="",CM$7=""),"",ROUND(CM87/CM$8*CM$7*KVARDI,2))</f>
        <v/>
      </c>
      <c r="CO87" s="39"/>
      <c r="CP87" s="40" t="str">
        <f aca="false">IF(OR(INDEX(Undirviðmið!$G$6:$G$105,(COLUMN()-7-1)/2+1)&lt;&gt;"Starfsbundið",CO87="",CO$8="",CO$7=""),"",ROUND(CO87/CO$8*CO$7*KVARDI,2))</f>
        <v/>
      </c>
      <c r="CQ87" s="39"/>
      <c r="CR87" s="40" t="str">
        <f aca="false">IF(OR(INDEX(Undirviðmið!$G$6:$G$105,(COLUMN()-7-1)/2+1)&lt;&gt;"Starfsbundið",CQ87="",CQ$8="",CQ$7=""),"",ROUND(CQ87/CQ$8*CQ$7*KVARDI,2))</f>
        <v/>
      </c>
      <c r="CS87" s="39"/>
      <c r="CT87" s="40" t="str">
        <f aca="false">IF(OR(INDEX(Undirviðmið!$G$6:$G$105,(COLUMN()-7-1)/2+1)&lt;&gt;"Starfsbundið",CS87="",CS$8="",CS$7=""),"",ROUND(CS87/CS$8*CS$7*KVARDI,2))</f>
        <v/>
      </c>
      <c r="CU87" s="39"/>
      <c r="CV87" s="40" t="str">
        <f aca="false">IF(OR(INDEX(Undirviðmið!$G$6:$G$105,(COLUMN()-7-1)/2+1)&lt;&gt;"Starfsbundið",CU87="",CU$8="",CU$7=""),"",ROUND(CU87/CU$8*CU$7*KVARDI,2))</f>
        <v/>
      </c>
      <c r="CW87" s="39"/>
      <c r="CX87" s="40" t="str">
        <f aca="false">IF(OR(INDEX(Undirviðmið!$G$6:$G$105,(COLUMN()-7-1)/2+1)&lt;&gt;"Starfsbundið",CW87="",CW$8="",CW$7=""),"",ROUND(CW87/CW$8*CW$7*KVARDI,2))</f>
        <v/>
      </c>
      <c r="CY87" s="39"/>
      <c r="CZ87" s="40" t="str">
        <f aca="false">IF(OR(INDEX(Undirviðmið!$G$6:$G$105,(COLUMN()-7-1)/2+1)&lt;&gt;"Starfsbundið",CY87="",CY$8="",CY$7=""),"",ROUND(CY87/CY$8*CY$7*KVARDI,2))</f>
        <v/>
      </c>
      <c r="DA87" s="39"/>
      <c r="DB87" s="40" t="str">
        <f aca="false">IF(OR(INDEX(Undirviðmið!$G$6:$G$105,(COLUMN()-7-1)/2+1)&lt;&gt;"Starfsbundið",DA87="",DA$8="",DA$7=""),"",ROUND(DA87/DA$8*DA$7*KVARDI,2))</f>
        <v/>
      </c>
      <c r="DC87" s="39"/>
      <c r="DD87" s="40" t="str">
        <f aca="false">IF(OR(INDEX(Undirviðmið!$G$6:$G$105,(COLUMN()-7-1)/2+1)&lt;&gt;"Starfsbundið",DC87="",DC$8="",DC$7=""),"",ROUND(DC87/DC$8*DC$7*KVARDI,2))</f>
        <v/>
      </c>
      <c r="DE87" s="39"/>
      <c r="DF87" s="40" t="str">
        <f aca="false">IF(OR(INDEX(Undirviðmið!$G$6:$G$105,(COLUMN()-7-1)/2+1)&lt;&gt;"Starfsbundið",DE87="",DE$8="",DE$7=""),"",ROUND(DE87/DE$8*DE$7*KVARDI,2))</f>
        <v/>
      </c>
      <c r="DG87" s="39"/>
      <c r="DH87" s="40" t="str">
        <f aca="false">IF(OR(INDEX(Undirviðmið!$G$6:$G$105,(COLUMN()-7-1)/2+1)&lt;&gt;"Starfsbundið",DG87="",DG$8="",DG$7=""),"",ROUND(DG87/DG$8*DG$7*KVARDI,2))</f>
        <v/>
      </c>
      <c r="DI87" s="39"/>
      <c r="DJ87" s="40" t="str">
        <f aca="false">IF(OR(INDEX(Undirviðmið!$G$6:$G$105,(COLUMN()-7-1)/2+1)&lt;&gt;"Starfsbundið",DI87="",DI$8="",DI$7=""),"",ROUND(DI87/DI$8*DI$7*KVARDI,2))</f>
        <v/>
      </c>
      <c r="DK87" s="39"/>
      <c r="DL87" s="40" t="str">
        <f aca="false">IF(OR(INDEX(Undirviðmið!$G$6:$G$105,(COLUMN()-7-1)/2+1)&lt;&gt;"Starfsbundið",DK87="",DK$8="",DK$7=""),"",ROUND(DK87/DK$8*DK$7*KVARDI,2))</f>
        <v/>
      </c>
      <c r="DM87" s="39"/>
      <c r="DN87" s="40" t="str">
        <f aca="false">IF(OR(INDEX(Undirviðmið!$G$6:$G$105,(COLUMN()-7-1)/2+1)&lt;&gt;"Starfsbundið",DM87="",DM$8="",DM$7=""),"",ROUND(DM87/DM$8*DM$7*KVARDI,2))</f>
        <v/>
      </c>
      <c r="DO87" s="39"/>
      <c r="DP87" s="40" t="str">
        <f aca="false">IF(OR(INDEX(Undirviðmið!$G$6:$G$105,(COLUMN()-7-1)/2+1)&lt;&gt;"Starfsbundið",DO87="",DO$8="",DO$7=""),"",ROUND(DO87/DO$8*DO$7*KVARDI,2))</f>
        <v/>
      </c>
      <c r="DQ87" s="39"/>
      <c r="DR87" s="40" t="str">
        <f aca="false">IF(OR(INDEX(Undirviðmið!$G$6:$G$105,(COLUMN()-7-1)/2+1)&lt;&gt;"Starfsbundið",DQ87="",DQ$8="",DQ$7=""),"",ROUND(DQ87/DQ$8*DQ$7*KVARDI,2))</f>
        <v/>
      </c>
      <c r="DS87" s="39"/>
      <c r="DT87" s="40" t="str">
        <f aca="false">IF(OR(INDEX(Undirviðmið!$G$6:$G$105,(COLUMN()-7-1)/2+1)&lt;&gt;"Starfsbundið",DS87="",DS$8="",DS$7=""),"",ROUND(DS87/DS$8*DS$7*KVARDI,2))</f>
        <v/>
      </c>
      <c r="DU87" s="39"/>
      <c r="DV87" s="40" t="str">
        <f aca="false">IF(OR(INDEX(Undirviðmið!$G$6:$G$105,(COLUMN()-7-1)/2+1)&lt;&gt;"Starfsbundið",DU87="",DU$8="",DU$7=""),"",ROUND(DU87/DU$8*DU$7*KVARDI,2))</f>
        <v/>
      </c>
      <c r="DW87" s="39"/>
      <c r="DX87" s="40" t="str">
        <f aca="false">IF(OR(INDEX(Undirviðmið!$G$6:$G$105,(COLUMN()-7-1)/2+1)&lt;&gt;"Starfsbundið",DW87="",DW$8="",DW$7=""),"",ROUND(DW87/DW$8*DW$7*KVARDI,2))</f>
        <v/>
      </c>
      <c r="DY87" s="39"/>
      <c r="DZ87" s="40" t="str">
        <f aca="false">IF(OR(INDEX(Undirviðmið!$G$6:$G$105,(COLUMN()-7-1)/2+1)&lt;&gt;"Starfsbundið",DY87="",DY$8="",DY$7=""),"",ROUND(DY87/DY$8*DY$7*KVARDI,2))</f>
        <v/>
      </c>
      <c r="EA87" s="39"/>
      <c r="EB87" s="40" t="str">
        <f aca="false">IF(OR(INDEX(Undirviðmið!$G$6:$G$105,(COLUMN()-7-1)/2+1)&lt;&gt;"Starfsbundið",EA87="",EA$8="",EA$7=""),"",ROUND(EA87/EA$8*EA$7*KVARDI,2))</f>
        <v/>
      </c>
      <c r="EC87" s="39"/>
      <c r="ED87" s="40" t="str">
        <f aca="false">IF(OR(INDEX(Undirviðmið!$G$6:$G$105,(COLUMN()-7-1)/2+1)&lt;&gt;"Starfsbundið",EC87="",EC$8="",EC$7=""),"",ROUND(EC87/EC$8*EC$7*KVARDI,2))</f>
        <v/>
      </c>
      <c r="EE87" s="39"/>
      <c r="EF87" s="40" t="str">
        <f aca="false">IF(OR(INDEX(Undirviðmið!$G$6:$G$105,(COLUMN()-7-1)/2+1)&lt;&gt;"Starfsbundið",EE87="",EE$8="",EE$7=""),"",ROUND(EE87/EE$8*EE$7*KVARDI,2))</f>
        <v/>
      </c>
      <c r="EG87" s="39"/>
      <c r="EH87" s="40" t="str">
        <f aca="false">IF(OR(INDEX(Undirviðmið!$G$6:$G$105,(COLUMN()-7-1)/2+1)&lt;&gt;"Starfsbundið",EG87="",EG$8="",EG$7=""),"",ROUND(EG87/EG$8*EG$7*KVARDI,2))</f>
        <v/>
      </c>
      <c r="EI87" s="39"/>
      <c r="EJ87" s="40" t="str">
        <f aca="false">IF(OR(INDEX(Undirviðmið!$G$6:$G$105,(COLUMN()-7-1)/2+1)&lt;&gt;"Starfsbundið",EI87="",EI$8="",EI$7=""),"",ROUND(EI87/EI$8*EI$7*KVARDI,2))</f>
        <v/>
      </c>
      <c r="EK87" s="39"/>
      <c r="EL87" s="40" t="str">
        <f aca="false">IF(OR(INDEX(Undirviðmið!$G$6:$G$105,(COLUMN()-7-1)/2+1)&lt;&gt;"Starfsbundið",EK87="",EK$8="",EK$7=""),"",ROUND(EK87/EK$8*EK$7*KVARDI,2))</f>
        <v/>
      </c>
      <c r="EM87" s="39"/>
      <c r="EN87" s="40" t="str">
        <f aca="false">IF(OR(INDEX(Undirviðmið!$G$6:$G$105,(COLUMN()-7-1)/2+1)&lt;&gt;"Starfsbundið",EM87="",EM$8="",EM$7=""),"",ROUND(EM87/EM$8*EM$7*KVARDI,2))</f>
        <v/>
      </c>
      <c r="EO87" s="39"/>
      <c r="EP87" s="40" t="str">
        <f aca="false">IF(OR(INDEX(Undirviðmið!$G$6:$G$105,(COLUMN()-7-1)/2+1)&lt;&gt;"Starfsbundið",EO87="",EO$8="",EO$7=""),"",ROUND(EO87/EO$8*EO$7*KVARDI,2))</f>
        <v/>
      </c>
      <c r="EQ87" s="39"/>
      <c r="ER87" s="40" t="str">
        <f aca="false">IF(OR(INDEX(Undirviðmið!$G$6:$G$105,(COLUMN()-7-1)/2+1)&lt;&gt;"Starfsbundið",EQ87="",EQ$8="",EQ$7=""),"",ROUND(EQ87/EQ$8*EQ$7*KVARDI,2))</f>
        <v/>
      </c>
      <c r="ES87" s="39"/>
      <c r="ET87" s="40" t="str">
        <f aca="false">IF(OR(INDEX(Undirviðmið!$G$6:$G$105,(COLUMN()-7-1)/2+1)&lt;&gt;"Starfsbundið",ES87="",ES$8="",ES$7=""),"",ROUND(ES87/ES$8*ES$7*KVARDI,2))</f>
        <v/>
      </c>
      <c r="EU87" s="39"/>
      <c r="EV87" s="40" t="str">
        <f aca="false">IF(OR(INDEX(Undirviðmið!$G$6:$G$105,(COLUMN()-7-1)/2+1)&lt;&gt;"Starfsbundið",EU87="",EU$8="",EU$7=""),"",ROUND(EU87/EU$8*EU$7*KVARDI,2))</f>
        <v/>
      </c>
      <c r="EW87" s="39"/>
      <c r="EX87" s="40" t="str">
        <f aca="false">IF(OR(INDEX(Undirviðmið!$G$6:$G$105,(COLUMN()-7-1)/2+1)&lt;&gt;"Starfsbundið",EW87="",EW$8="",EW$7=""),"",ROUND(EW87/EW$8*EW$7*KVARDI,2))</f>
        <v/>
      </c>
      <c r="EY87" s="39"/>
      <c r="EZ87" s="40" t="str">
        <f aca="false">IF(OR(INDEX(Undirviðmið!$G$6:$G$105,(COLUMN()-7-1)/2+1)&lt;&gt;"Starfsbundið",EY87="",EY$8="",EY$7=""),"",ROUND(EY87/EY$8*EY$7*KVARDI,2))</f>
        <v/>
      </c>
      <c r="FA87" s="39"/>
      <c r="FB87" s="40" t="str">
        <f aca="false">IF(OR(INDEX(Undirviðmið!$G$6:$G$105,(COLUMN()-7-1)/2+1)&lt;&gt;"Starfsbundið",FA87="",FA$8="",FA$7=""),"",ROUND(FA87/FA$8*FA$7*KVARDI,2))</f>
        <v/>
      </c>
      <c r="FC87" s="39"/>
      <c r="FD87" s="40" t="str">
        <f aca="false">IF(OR(INDEX(Undirviðmið!$G$6:$G$105,(COLUMN()-7-1)/2+1)&lt;&gt;"Starfsbundið",FC87="",FC$8="",FC$7=""),"",ROUND(FC87/FC$8*FC$7*KVARDI,2))</f>
        <v/>
      </c>
      <c r="FE87" s="39"/>
      <c r="FF87" s="40" t="str">
        <f aca="false">IF(OR(INDEX(Undirviðmið!$G$6:$G$105,(COLUMN()-7-1)/2+1)&lt;&gt;"Starfsbundið",FE87="",FE$8="",FE$7=""),"",ROUND(FE87/FE$8*FE$7*KVARDI,2))</f>
        <v/>
      </c>
      <c r="FG87" s="39"/>
      <c r="FH87" s="40" t="str">
        <f aca="false">IF(OR(INDEX(Undirviðmið!$G$6:$G$105,(COLUMN()-7-1)/2+1)&lt;&gt;"Starfsbundið",FG87="",FG$8="",FG$7=""),"",ROUND(FG87/FG$8*FG$7*KVARDI,2))</f>
        <v/>
      </c>
      <c r="FI87" s="39"/>
      <c r="FJ87" s="40" t="str">
        <f aca="false">IF(OR(INDEX(Undirviðmið!$G$6:$G$105,(COLUMN()-7-1)/2+1)&lt;&gt;"Starfsbundið",FI87="",FI$8="",FI$7=""),"",ROUND(FI87/FI$8*FI$7*KVARDI,2))</f>
        <v/>
      </c>
      <c r="FK87" s="39"/>
      <c r="FL87" s="40" t="str">
        <f aca="false">IF(OR(INDEX(Undirviðmið!$G$6:$G$105,(COLUMN()-7-1)/2+1)&lt;&gt;"Starfsbundið",FK87="",FK$8="",FK$7=""),"",ROUND(FK87/FK$8*FK$7*KVARDI,2))</f>
        <v/>
      </c>
      <c r="FM87" s="39"/>
      <c r="FN87" s="40" t="str">
        <f aca="false">IF(OR(INDEX(Undirviðmið!$G$6:$G$105,(COLUMN()-7-1)/2+1)&lt;&gt;"Starfsbundið",FM87="",FM$8="",FM$7=""),"",ROUND(FM87/FM$8*FM$7*KVARDI,2))</f>
        <v/>
      </c>
      <c r="FO87" s="39"/>
      <c r="FP87" s="40" t="str">
        <f aca="false">IF(OR(INDEX(Undirviðmið!$G$6:$G$105,(COLUMN()-7-1)/2+1)&lt;&gt;"Starfsbundið",FO87="",FO$8="",FO$7=""),"",ROUND(FO87/FO$8*FO$7*KVARDI,2))</f>
        <v/>
      </c>
      <c r="FQ87" s="39"/>
      <c r="FR87" s="40" t="str">
        <f aca="false">IF(OR(INDEX(Undirviðmið!$G$6:$G$105,(COLUMN()-7-1)/2+1)&lt;&gt;"Starfsbundið",FQ87="",FQ$8="",FQ$7=""),"",ROUND(FQ87/FQ$8*FQ$7*KVARDI,2))</f>
        <v/>
      </c>
      <c r="FS87" s="39"/>
      <c r="FT87" s="40" t="str">
        <f aca="false">IF(OR(INDEX(Undirviðmið!$G$6:$G$105,(COLUMN()-7-1)/2+1)&lt;&gt;"Starfsbundið",FS87="",FS$8="",FS$7=""),"",ROUND(FS87/FS$8*FS$7*KVARDI,2))</f>
        <v/>
      </c>
      <c r="FU87" s="39"/>
      <c r="FV87" s="40" t="str">
        <f aca="false">IF(OR(INDEX(Undirviðmið!$G$6:$G$105,(COLUMN()-7-1)/2+1)&lt;&gt;"Starfsbundið",FU87="",FU$8="",FU$7=""),"",ROUND(FU87/FU$8*FU$7*KVARDI,2))</f>
        <v/>
      </c>
      <c r="FW87" s="39"/>
      <c r="FX87" s="40" t="str">
        <f aca="false">IF(OR(INDEX(Undirviðmið!$G$6:$G$105,(COLUMN()-7-1)/2+1)&lt;&gt;"Starfsbundið",FW87="",FW$8="",FW$7=""),"",ROUND(FW87/FW$8*FW$7*KVARDI,2))</f>
        <v/>
      </c>
      <c r="FY87" s="39"/>
      <c r="FZ87" s="40" t="str">
        <f aca="false">IF(OR(INDEX(Undirviðmið!$G$6:$G$105,(COLUMN()-7-1)/2+1)&lt;&gt;"Starfsbundið",FY87="",FY$8="",FY$7=""),"",ROUND(FY87/FY$8*FY$7*KVARDI,2))</f>
        <v/>
      </c>
      <c r="GA87" s="39"/>
      <c r="GB87" s="40" t="str">
        <f aca="false">IF(OR(INDEX(Undirviðmið!$G$6:$G$105,(COLUMN()-7-1)/2+1)&lt;&gt;"Starfsbundið",GA87="",GA$8="",GA$7=""),"",ROUND(GA87/GA$8*GA$7*KVARDI,2))</f>
        <v/>
      </c>
      <c r="GC87" s="39"/>
      <c r="GD87" s="40" t="str">
        <f aca="false">IF(OR(INDEX(Undirviðmið!$G$6:$G$105,(COLUMN()-7-1)/2+1)&lt;&gt;"Starfsbundið",GC87="",GC$8="",GC$7=""),"",ROUND(GC87/GC$8*GC$7*KVARDI,2))</f>
        <v/>
      </c>
      <c r="GE87" s="39"/>
      <c r="GF87" s="40" t="str">
        <f aca="false">IF(OR(INDEX(Undirviðmið!$G$6:$G$105,(COLUMN()-7-1)/2+1)&lt;&gt;"Starfsbundið",GE87="",GE$8="",GE$7=""),"",ROUND(GE87/GE$8*GE$7*KVARDI,2))</f>
        <v/>
      </c>
      <c r="GG87" s="39"/>
      <c r="GH87" s="40" t="str">
        <f aca="false">IF(OR(INDEX(Undirviðmið!$G$6:$G$105,(COLUMN()-7-1)/2+1)&lt;&gt;"Starfsbundið",GG87="",GG$8="",GG$7=""),"",ROUND(GG87/GG$8*GG$7*KVARDI,2))</f>
        <v/>
      </c>
      <c r="GI87" s="39"/>
      <c r="GJ87" s="40" t="str">
        <f aca="false">IF(OR(INDEX(Undirviðmið!$G$6:$G$105,(COLUMN()-7-1)/2+1)&lt;&gt;"Starfsbundið",GI87="",GI$8="",GI$7=""),"",ROUND(GI87/GI$8*GI$7*KVARDI,2))</f>
        <v/>
      </c>
      <c r="GK87" s="39"/>
      <c r="GL87" s="40" t="str">
        <f aca="false">IF(OR(INDEX(Undirviðmið!$G$6:$G$105,(COLUMN()-7-1)/2+1)&lt;&gt;"Starfsbundið",GK87="",GK$8="",GK$7=""),"",ROUND(GK87/GK$8*GK$7*KVARDI,2))</f>
        <v/>
      </c>
      <c r="GM87" s="39"/>
      <c r="GN87" s="40" t="str">
        <f aca="false">IF(OR(INDEX(Undirviðmið!$G$6:$G$105,(COLUMN()-7-1)/2+1)&lt;&gt;"Starfsbundið",GM87="",GM$8="",GM$7=""),"",ROUND(GM87/GM$8*GM$7*KVARDI,2))</f>
        <v/>
      </c>
      <c r="GO87" s="39"/>
      <c r="GP87" s="40" t="str">
        <f aca="false">IF(OR(INDEX(Undirviðmið!$G$6:$G$105,(COLUMN()-7-1)/2+1)&lt;&gt;"Starfsbundið",GO87="",GO$8="",GO$7=""),"",ROUND(GO87/GO$8*GO$7*KVARDI,2))</f>
        <v/>
      </c>
      <c r="GQ87" s="39"/>
      <c r="GR87" s="40" t="str">
        <f aca="false">IF(OR(INDEX(Undirviðmið!$G$6:$G$105,(COLUMN()-7-1)/2+1)&lt;&gt;"Starfsbundið",GQ87="",GQ$8="",GQ$7=""),"",ROUND(GQ87/GQ$8*GQ$7*KVARDI,2))</f>
        <v/>
      </c>
      <c r="GS87" s="39"/>
      <c r="GT87" s="40" t="str">
        <f aca="false">IF(OR(INDEX(Undirviðmið!$G$6:$G$105,(COLUMN()-7-1)/2+1)&lt;&gt;"Starfsbundið",GS87="",GS$8="",GS$7=""),"",ROUND(GS87/GS$8*GS$7*KVARDI,2))</f>
        <v/>
      </c>
      <c r="GU87" s="39"/>
      <c r="GV87" s="40" t="str">
        <f aca="false">IF(OR(INDEX(Undirviðmið!$G$6:$G$105,(COLUMN()-7-1)/2+1)&lt;&gt;"Starfsbundið",GU87="",GU$8="",GU$7=""),"",ROUND(GU87/GU$8*GU$7*KVARDI,2))</f>
        <v/>
      </c>
      <c r="GW87" s="39"/>
      <c r="GX87" s="40" t="str">
        <f aca="false">IF(OR(INDEX(Undirviðmið!$G$6:$G$105,(COLUMN()-7-1)/2+1)&lt;&gt;"Starfsbundið",GW87="",GW$8="",GW$7=""),"",ROUND(GW87/GW$8*GW$7*KVARDI,2))</f>
        <v/>
      </c>
      <c r="GZ87" s="20"/>
    </row>
    <row r="88" customFormat="false" ht="15" hidden="true" customHeight="true" outlineLevel="1" collapsed="false">
      <c r="B88" s="37" t="str">
        <f aca="false" t="array" ref="B88:B88">IFERROR(INDEX(Starfsmenn!$C$6:$C$10005,MATCH(0,COUNTIF($B$11:B87,Starfsmenn!$C$6:$C$10005)+(Starfsmenn!$C$6:$C$10005=""),0)),"")</f>
        <v/>
      </c>
      <c r="C88" s="38" t="n">
        <f aca="false">IFERROR(SUMIF($G$10:$GX$10,"Stig",$G88:$GX88),0)</f>
        <v>0</v>
      </c>
      <c r="G88" s="39"/>
      <c r="H88" s="40" t="str">
        <f aca="false">IF(OR(INDEX(Undirviðmið!$G$6:$G$105,(COLUMN()-7-1)/2+1)&lt;&gt;"Starfsbundið",G88="",G$8="",G$7=""),"",ROUND(G88/G$8*G$7*KVARDI,2))</f>
        <v/>
      </c>
      <c r="I88" s="39"/>
      <c r="J88" s="40" t="str">
        <f aca="false">IF(OR(INDEX(Undirviðmið!$G$6:$G$105,(COLUMN()-7-1)/2+1)&lt;&gt;"Starfsbundið",I88="",I$8="",I$7=""),"",ROUND(I88/I$8*I$7*KVARDI,2))</f>
        <v/>
      </c>
      <c r="K88" s="39"/>
      <c r="L88" s="40" t="str">
        <f aca="false">IF(OR(INDEX(Undirviðmið!$G$6:$G$105,(COLUMN()-7-1)/2+1)&lt;&gt;"Starfsbundið",K88="",K$8="",K$7=""),"",ROUND(K88/K$8*K$7*KVARDI,2))</f>
        <v/>
      </c>
      <c r="M88" s="39"/>
      <c r="N88" s="40" t="str">
        <f aca="false">IF(OR(INDEX(Undirviðmið!$G$6:$G$105,(COLUMN()-7-1)/2+1)&lt;&gt;"Starfsbundið",M88="",M$8="",M$7=""),"",ROUND(M88/M$8*M$7*KVARDI,2))</f>
        <v/>
      </c>
      <c r="O88" s="39"/>
      <c r="P88" s="40" t="str">
        <f aca="false">IF(OR(INDEX(Undirviðmið!$G$6:$G$105,(COLUMN()-7-1)/2+1)&lt;&gt;"Starfsbundið",O88="",O$8="",O$7=""),"",ROUND(O88/O$8*O$7*KVARDI,2))</f>
        <v/>
      </c>
      <c r="Q88" s="39"/>
      <c r="R88" s="40" t="str">
        <f aca="false">IF(OR(INDEX(Undirviðmið!$G$6:$G$105,(COLUMN()-7-1)/2+1)&lt;&gt;"Starfsbundið",Q88="",Q$8="",Q$7=""),"",ROUND(Q88/Q$8*Q$7*KVARDI,2))</f>
        <v/>
      </c>
      <c r="S88" s="39"/>
      <c r="T88" s="40" t="str">
        <f aca="false">IF(OR(INDEX(Undirviðmið!$G$6:$G$105,(COLUMN()-7-1)/2+1)&lt;&gt;"Starfsbundið",S88="",S$8="",S$7=""),"",ROUND(S88/S$8*S$7*KVARDI,2))</f>
        <v/>
      </c>
      <c r="U88" s="39"/>
      <c r="V88" s="40" t="str">
        <f aca="false">IF(OR(INDEX(Undirviðmið!$G$6:$G$105,(COLUMN()-7-1)/2+1)&lt;&gt;"Starfsbundið",U88="",U$8="",U$7=""),"",ROUND(U88/U$8*U$7*KVARDI,2))</f>
        <v/>
      </c>
      <c r="W88" s="39"/>
      <c r="X88" s="40" t="str">
        <f aca="false">IF(OR(INDEX(Undirviðmið!$G$6:$G$105,(COLUMN()-7-1)/2+1)&lt;&gt;"Starfsbundið",W88="",W$8="",W$7=""),"",ROUND(W88/W$8*W$7*KVARDI,2))</f>
        <v/>
      </c>
      <c r="Y88" s="39"/>
      <c r="Z88" s="40" t="str">
        <f aca="false">IF(OR(INDEX(Undirviðmið!$G$6:$G$105,(COLUMN()-7-1)/2+1)&lt;&gt;"Starfsbundið",Y88="",Y$8="",Y$7=""),"",ROUND(Y88/Y$8*Y$7*KVARDI,2))</f>
        <v/>
      </c>
      <c r="AA88" s="39"/>
      <c r="AB88" s="40" t="str">
        <f aca="false">IF(OR(INDEX(Undirviðmið!$G$6:$G$105,(COLUMN()-7-1)/2+1)&lt;&gt;"Starfsbundið",AA88="",AA$8="",AA$7=""),"",ROUND(AA88/AA$8*AA$7*KVARDI,2))</f>
        <v/>
      </c>
      <c r="AC88" s="39"/>
      <c r="AD88" s="40" t="str">
        <f aca="false">IF(OR(INDEX(Undirviðmið!$G$6:$G$105,(COLUMN()-7-1)/2+1)&lt;&gt;"Starfsbundið",AC88="",AC$8="",AC$7=""),"",ROUND(AC88/AC$8*AC$7*KVARDI,2))</f>
        <v/>
      </c>
      <c r="AE88" s="39"/>
      <c r="AF88" s="40" t="str">
        <f aca="false">IF(OR(INDEX(Undirviðmið!$G$6:$G$105,(COLUMN()-7-1)/2+1)&lt;&gt;"Starfsbundið",AE88="",AE$8="",AE$7=""),"",ROUND(AE88/AE$8*AE$7*KVARDI,2))</f>
        <v/>
      </c>
      <c r="AG88" s="39"/>
      <c r="AH88" s="40" t="str">
        <f aca="false">IF(OR(INDEX(Undirviðmið!$G$6:$G$105,(COLUMN()-7-1)/2+1)&lt;&gt;"Starfsbundið",AG88="",AG$8="",AG$7=""),"",ROUND(AG88/AG$8*AG$7*KVARDI,2))</f>
        <v/>
      </c>
      <c r="AI88" s="39"/>
      <c r="AJ88" s="40" t="str">
        <f aca="false">IF(OR(INDEX(Undirviðmið!$G$6:$G$105,(COLUMN()-7-1)/2+1)&lt;&gt;"Starfsbundið",AI88="",AI$8="",AI$7=""),"",ROUND(AI88/AI$8*AI$7*KVARDI,2))</f>
        <v/>
      </c>
      <c r="AK88" s="39"/>
      <c r="AL88" s="40" t="str">
        <f aca="false">IF(OR(INDEX(Undirviðmið!$G$6:$G$105,(COLUMN()-7-1)/2+1)&lt;&gt;"Starfsbundið",AK88="",AK$8="",AK$7=""),"",ROUND(AK88/AK$8*AK$7*KVARDI,2))</f>
        <v/>
      </c>
      <c r="AM88" s="39"/>
      <c r="AN88" s="40" t="str">
        <f aca="false">IF(OR(INDEX(Undirviðmið!$G$6:$G$105,(COLUMN()-7-1)/2+1)&lt;&gt;"Starfsbundið",AM88="",AM$8="",AM$7=""),"",ROUND(AM88/AM$8*AM$7*KVARDI,2))</f>
        <v/>
      </c>
      <c r="AO88" s="39"/>
      <c r="AP88" s="40" t="str">
        <f aca="false">IF(OR(INDEX(Undirviðmið!$G$6:$G$105,(COLUMN()-7-1)/2+1)&lt;&gt;"Starfsbundið",AO88="",AO$8="",AO$7=""),"",ROUND(AO88/AO$8*AO$7*KVARDI,2))</f>
        <v/>
      </c>
      <c r="AQ88" s="39"/>
      <c r="AR88" s="40" t="str">
        <f aca="false">IF(OR(INDEX(Undirviðmið!$G$6:$G$105,(COLUMN()-7-1)/2+1)&lt;&gt;"Starfsbundið",AQ88="",AQ$8="",AQ$7=""),"",ROUND(AQ88/AQ$8*AQ$7*KVARDI,2))</f>
        <v/>
      </c>
      <c r="AS88" s="39"/>
      <c r="AT88" s="40" t="str">
        <f aca="false">IF(OR(INDEX(Undirviðmið!$G$6:$G$105,(COLUMN()-7-1)/2+1)&lt;&gt;"Starfsbundið",AS88="",AS$8="",AS$7=""),"",ROUND(AS88/AS$8*AS$7*KVARDI,2))</f>
        <v/>
      </c>
      <c r="AU88" s="39"/>
      <c r="AV88" s="40" t="str">
        <f aca="false">IF(OR(INDEX(Undirviðmið!$G$6:$G$105,(COLUMN()-7-1)/2+1)&lt;&gt;"Starfsbundið",AU88="",AU$8="",AU$7=""),"",ROUND(AU88/AU$8*AU$7*KVARDI,2))</f>
        <v/>
      </c>
      <c r="AW88" s="39"/>
      <c r="AX88" s="40" t="str">
        <f aca="false">IF(OR(INDEX(Undirviðmið!$G$6:$G$105,(COLUMN()-7-1)/2+1)&lt;&gt;"Starfsbundið",AW88="",AW$8="",AW$7=""),"",ROUND(AW88/AW$8*AW$7*KVARDI,2))</f>
        <v/>
      </c>
      <c r="AY88" s="39"/>
      <c r="AZ88" s="40" t="str">
        <f aca="false">IF(OR(INDEX(Undirviðmið!$G$6:$G$105,(COLUMN()-7-1)/2+1)&lt;&gt;"Starfsbundið",AY88="",AY$8="",AY$7=""),"",ROUND(AY88/AY$8*AY$7*KVARDI,2))</f>
        <v/>
      </c>
      <c r="BA88" s="39"/>
      <c r="BB88" s="40" t="str">
        <f aca="false">IF(OR(INDEX(Undirviðmið!$G$6:$G$105,(COLUMN()-7-1)/2+1)&lt;&gt;"Starfsbundið",BA88="",BA$8="",BA$7=""),"",ROUND(BA88/BA$8*BA$7*KVARDI,2))</f>
        <v/>
      </c>
      <c r="BC88" s="39"/>
      <c r="BD88" s="40" t="str">
        <f aca="false">IF(OR(INDEX(Undirviðmið!$G$6:$G$105,(COLUMN()-7-1)/2+1)&lt;&gt;"Starfsbundið",BC88="",BC$8="",BC$7=""),"",ROUND(BC88/BC$8*BC$7*KVARDI,2))</f>
        <v/>
      </c>
      <c r="BE88" s="39"/>
      <c r="BF88" s="40" t="str">
        <f aca="false">IF(OR(INDEX(Undirviðmið!$G$6:$G$105,(COLUMN()-7-1)/2+1)&lt;&gt;"Starfsbundið",BE88="",BE$8="",BE$7=""),"",ROUND(BE88/BE$8*BE$7*KVARDI,2))</f>
        <v/>
      </c>
      <c r="BG88" s="39"/>
      <c r="BH88" s="40" t="str">
        <f aca="false">IF(OR(INDEX(Undirviðmið!$G$6:$G$105,(COLUMN()-7-1)/2+1)&lt;&gt;"Starfsbundið",BG88="",BG$8="",BG$7=""),"",ROUND(BG88/BG$8*BG$7*KVARDI,2))</f>
        <v/>
      </c>
      <c r="BI88" s="39"/>
      <c r="BJ88" s="40" t="str">
        <f aca="false">IF(OR(INDEX(Undirviðmið!$G$6:$G$105,(COLUMN()-7-1)/2+1)&lt;&gt;"Starfsbundið",BI88="",BI$8="",BI$7=""),"",ROUND(BI88/BI$8*BI$7*KVARDI,2))</f>
        <v/>
      </c>
      <c r="BK88" s="39"/>
      <c r="BL88" s="40" t="str">
        <f aca="false">IF(OR(INDEX(Undirviðmið!$G$6:$G$105,(COLUMN()-7-1)/2+1)&lt;&gt;"Starfsbundið",BK88="",BK$8="",BK$7=""),"",ROUND(BK88/BK$8*BK$7*KVARDI,2))</f>
        <v/>
      </c>
      <c r="BM88" s="39"/>
      <c r="BN88" s="40" t="str">
        <f aca="false">IF(OR(INDEX(Undirviðmið!$G$6:$G$105,(COLUMN()-7-1)/2+1)&lt;&gt;"Starfsbundið",BM88="",BM$8="",BM$7=""),"",ROUND(BM88/BM$8*BM$7*KVARDI,2))</f>
        <v/>
      </c>
      <c r="BO88" s="39"/>
      <c r="BP88" s="40" t="str">
        <f aca="false">IF(OR(INDEX(Undirviðmið!$G$6:$G$105,(COLUMN()-7-1)/2+1)&lt;&gt;"Starfsbundið",BO88="",BO$8="",BO$7=""),"",ROUND(BO88/BO$8*BO$7*KVARDI,2))</f>
        <v/>
      </c>
      <c r="BQ88" s="39"/>
      <c r="BR88" s="40" t="str">
        <f aca="false">IF(OR(INDEX(Undirviðmið!$G$6:$G$105,(COLUMN()-7-1)/2+1)&lt;&gt;"Starfsbundið",BQ88="",BQ$8="",BQ$7=""),"",ROUND(BQ88/BQ$8*BQ$7*KVARDI,2))</f>
        <v/>
      </c>
      <c r="BS88" s="39"/>
      <c r="BT88" s="40" t="str">
        <f aca="false">IF(OR(INDEX(Undirviðmið!$G$6:$G$105,(COLUMN()-7-1)/2+1)&lt;&gt;"Starfsbundið",BS88="",BS$8="",BS$7=""),"",ROUND(BS88/BS$8*BS$7*KVARDI,2))</f>
        <v/>
      </c>
      <c r="BU88" s="39"/>
      <c r="BV88" s="40" t="str">
        <f aca="false">IF(OR(INDEX(Undirviðmið!$G$6:$G$105,(COLUMN()-7-1)/2+1)&lt;&gt;"Starfsbundið",BU88="",BU$8="",BU$7=""),"",ROUND(BU88/BU$8*BU$7*KVARDI,2))</f>
        <v/>
      </c>
      <c r="BW88" s="39"/>
      <c r="BX88" s="40" t="str">
        <f aca="false">IF(OR(INDEX(Undirviðmið!$G$6:$G$105,(COLUMN()-7-1)/2+1)&lt;&gt;"Starfsbundið",BW88="",BW$8="",BW$7=""),"",ROUND(BW88/BW$8*BW$7*KVARDI,2))</f>
        <v/>
      </c>
      <c r="BY88" s="39"/>
      <c r="BZ88" s="40" t="str">
        <f aca="false">IF(OR(INDEX(Undirviðmið!$G$6:$G$105,(COLUMN()-7-1)/2+1)&lt;&gt;"Starfsbundið",BY88="",BY$8="",BY$7=""),"",ROUND(BY88/BY$8*BY$7*KVARDI,2))</f>
        <v/>
      </c>
      <c r="CA88" s="39"/>
      <c r="CB88" s="40" t="str">
        <f aca="false">IF(OR(INDEX(Undirviðmið!$G$6:$G$105,(COLUMN()-7-1)/2+1)&lt;&gt;"Starfsbundið",CA88="",CA$8="",CA$7=""),"",ROUND(CA88/CA$8*CA$7*KVARDI,2))</f>
        <v/>
      </c>
      <c r="CC88" s="39"/>
      <c r="CD88" s="40" t="str">
        <f aca="false">IF(OR(INDEX(Undirviðmið!$G$6:$G$105,(COLUMN()-7-1)/2+1)&lt;&gt;"Starfsbundið",CC88="",CC$8="",CC$7=""),"",ROUND(CC88/CC$8*CC$7*KVARDI,2))</f>
        <v/>
      </c>
      <c r="CE88" s="39"/>
      <c r="CF88" s="40" t="str">
        <f aca="false">IF(OR(INDEX(Undirviðmið!$G$6:$G$105,(COLUMN()-7-1)/2+1)&lt;&gt;"Starfsbundið",CE88="",CE$8="",CE$7=""),"",ROUND(CE88/CE$8*CE$7*KVARDI,2))</f>
        <v/>
      </c>
      <c r="CG88" s="39"/>
      <c r="CH88" s="40" t="str">
        <f aca="false">IF(OR(INDEX(Undirviðmið!$G$6:$G$105,(COLUMN()-7-1)/2+1)&lt;&gt;"Starfsbundið",CG88="",CG$8="",CG$7=""),"",ROUND(CG88/CG$8*CG$7*KVARDI,2))</f>
        <v/>
      </c>
      <c r="CI88" s="39"/>
      <c r="CJ88" s="40" t="str">
        <f aca="false">IF(OR(INDEX(Undirviðmið!$G$6:$G$105,(COLUMN()-7-1)/2+1)&lt;&gt;"Starfsbundið",CI88="",CI$8="",CI$7=""),"",ROUND(CI88/CI$8*CI$7*KVARDI,2))</f>
        <v/>
      </c>
      <c r="CK88" s="39"/>
      <c r="CL88" s="40" t="str">
        <f aca="false">IF(OR(INDEX(Undirviðmið!$G$6:$G$105,(COLUMN()-7-1)/2+1)&lt;&gt;"Starfsbundið",CK88="",CK$8="",CK$7=""),"",ROUND(CK88/CK$8*CK$7*KVARDI,2))</f>
        <v/>
      </c>
      <c r="CM88" s="39"/>
      <c r="CN88" s="40" t="str">
        <f aca="false">IF(OR(INDEX(Undirviðmið!$G$6:$G$105,(COLUMN()-7-1)/2+1)&lt;&gt;"Starfsbundið",CM88="",CM$8="",CM$7=""),"",ROUND(CM88/CM$8*CM$7*KVARDI,2))</f>
        <v/>
      </c>
      <c r="CO88" s="39"/>
      <c r="CP88" s="40" t="str">
        <f aca="false">IF(OR(INDEX(Undirviðmið!$G$6:$G$105,(COLUMN()-7-1)/2+1)&lt;&gt;"Starfsbundið",CO88="",CO$8="",CO$7=""),"",ROUND(CO88/CO$8*CO$7*KVARDI,2))</f>
        <v/>
      </c>
      <c r="CQ88" s="39"/>
      <c r="CR88" s="40" t="str">
        <f aca="false">IF(OR(INDEX(Undirviðmið!$G$6:$G$105,(COLUMN()-7-1)/2+1)&lt;&gt;"Starfsbundið",CQ88="",CQ$8="",CQ$7=""),"",ROUND(CQ88/CQ$8*CQ$7*KVARDI,2))</f>
        <v/>
      </c>
      <c r="CS88" s="39"/>
      <c r="CT88" s="40" t="str">
        <f aca="false">IF(OR(INDEX(Undirviðmið!$G$6:$G$105,(COLUMN()-7-1)/2+1)&lt;&gt;"Starfsbundið",CS88="",CS$8="",CS$7=""),"",ROUND(CS88/CS$8*CS$7*KVARDI,2))</f>
        <v/>
      </c>
      <c r="CU88" s="39"/>
      <c r="CV88" s="40" t="str">
        <f aca="false">IF(OR(INDEX(Undirviðmið!$G$6:$G$105,(COLUMN()-7-1)/2+1)&lt;&gt;"Starfsbundið",CU88="",CU$8="",CU$7=""),"",ROUND(CU88/CU$8*CU$7*KVARDI,2))</f>
        <v/>
      </c>
      <c r="CW88" s="39"/>
      <c r="CX88" s="40" t="str">
        <f aca="false">IF(OR(INDEX(Undirviðmið!$G$6:$G$105,(COLUMN()-7-1)/2+1)&lt;&gt;"Starfsbundið",CW88="",CW$8="",CW$7=""),"",ROUND(CW88/CW$8*CW$7*KVARDI,2))</f>
        <v/>
      </c>
      <c r="CY88" s="39"/>
      <c r="CZ88" s="40" t="str">
        <f aca="false">IF(OR(INDEX(Undirviðmið!$G$6:$G$105,(COLUMN()-7-1)/2+1)&lt;&gt;"Starfsbundið",CY88="",CY$8="",CY$7=""),"",ROUND(CY88/CY$8*CY$7*KVARDI,2))</f>
        <v/>
      </c>
      <c r="DA88" s="39"/>
      <c r="DB88" s="40" t="str">
        <f aca="false">IF(OR(INDEX(Undirviðmið!$G$6:$G$105,(COLUMN()-7-1)/2+1)&lt;&gt;"Starfsbundið",DA88="",DA$8="",DA$7=""),"",ROUND(DA88/DA$8*DA$7*KVARDI,2))</f>
        <v/>
      </c>
      <c r="DC88" s="39"/>
      <c r="DD88" s="40" t="str">
        <f aca="false">IF(OR(INDEX(Undirviðmið!$G$6:$G$105,(COLUMN()-7-1)/2+1)&lt;&gt;"Starfsbundið",DC88="",DC$8="",DC$7=""),"",ROUND(DC88/DC$8*DC$7*KVARDI,2))</f>
        <v/>
      </c>
      <c r="DE88" s="39"/>
      <c r="DF88" s="40" t="str">
        <f aca="false">IF(OR(INDEX(Undirviðmið!$G$6:$G$105,(COLUMN()-7-1)/2+1)&lt;&gt;"Starfsbundið",DE88="",DE$8="",DE$7=""),"",ROUND(DE88/DE$8*DE$7*KVARDI,2))</f>
        <v/>
      </c>
      <c r="DG88" s="39"/>
      <c r="DH88" s="40" t="str">
        <f aca="false">IF(OR(INDEX(Undirviðmið!$G$6:$G$105,(COLUMN()-7-1)/2+1)&lt;&gt;"Starfsbundið",DG88="",DG$8="",DG$7=""),"",ROUND(DG88/DG$8*DG$7*KVARDI,2))</f>
        <v/>
      </c>
      <c r="DI88" s="39"/>
      <c r="DJ88" s="40" t="str">
        <f aca="false">IF(OR(INDEX(Undirviðmið!$G$6:$G$105,(COLUMN()-7-1)/2+1)&lt;&gt;"Starfsbundið",DI88="",DI$8="",DI$7=""),"",ROUND(DI88/DI$8*DI$7*KVARDI,2))</f>
        <v/>
      </c>
      <c r="DK88" s="39"/>
      <c r="DL88" s="40" t="str">
        <f aca="false">IF(OR(INDEX(Undirviðmið!$G$6:$G$105,(COLUMN()-7-1)/2+1)&lt;&gt;"Starfsbundið",DK88="",DK$8="",DK$7=""),"",ROUND(DK88/DK$8*DK$7*KVARDI,2))</f>
        <v/>
      </c>
      <c r="DM88" s="39"/>
      <c r="DN88" s="40" t="str">
        <f aca="false">IF(OR(INDEX(Undirviðmið!$G$6:$G$105,(COLUMN()-7-1)/2+1)&lt;&gt;"Starfsbundið",DM88="",DM$8="",DM$7=""),"",ROUND(DM88/DM$8*DM$7*KVARDI,2))</f>
        <v/>
      </c>
      <c r="DO88" s="39"/>
      <c r="DP88" s="40" t="str">
        <f aca="false">IF(OR(INDEX(Undirviðmið!$G$6:$G$105,(COLUMN()-7-1)/2+1)&lt;&gt;"Starfsbundið",DO88="",DO$8="",DO$7=""),"",ROUND(DO88/DO$8*DO$7*KVARDI,2))</f>
        <v/>
      </c>
      <c r="DQ88" s="39"/>
      <c r="DR88" s="40" t="str">
        <f aca="false">IF(OR(INDEX(Undirviðmið!$G$6:$G$105,(COLUMN()-7-1)/2+1)&lt;&gt;"Starfsbundið",DQ88="",DQ$8="",DQ$7=""),"",ROUND(DQ88/DQ$8*DQ$7*KVARDI,2))</f>
        <v/>
      </c>
      <c r="DS88" s="39"/>
      <c r="DT88" s="40" t="str">
        <f aca="false">IF(OR(INDEX(Undirviðmið!$G$6:$G$105,(COLUMN()-7-1)/2+1)&lt;&gt;"Starfsbundið",DS88="",DS$8="",DS$7=""),"",ROUND(DS88/DS$8*DS$7*KVARDI,2))</f>
        <v/>
      </c>
      <c r="DU88" s="39"/>
      <c r="DV88" s="40" t="str">
        <f aca="false">IF(OR(INDEX(Undirviðmið!$G$6:$G$105,(COLUMN()-7-1)/2+1)&lt;&gt;"Starfsbundið",DU88="",DU$8="",DU$7=""),"",ROUND(DU88/DU$8*DU$7*KVARDI,2))</f>
        <v/>
      </c>
      <c r="DW88" s="39"/>
      <c r="DX88" s="40" t="str">
        <f aca="false">IF(OR(INDEX(Undirviðmið!$G$6:$G$105,(COLUMN()-7-1)/2+1)&lt;&gt;"Starfsbundið",DW88="",DW$8="",DW$7=""),"",ROUND(DW88/DW$8*DW$7*KVARDI,2))</f>
        <v/>
      </c>
      <c r="DY88" s="39"/>
      <c r="DZ88" s="40" t="str">
        <f aca="false">IF(OR(INDEX(Undirviðmið!$G$6:$G$105,(COLUMN()-7-1)/2+1)&lt;&gt;"Starfsbundið",DY88="",DY$8="",DY$7=""),"",ROUND(DY88/DY$8*DY$7*KVARDI,2))</f>
        <v/>
      </c>
      <c r="EA88" s="39"/>
      <c r="EB88" s="40" t="str">
        <f aca="false">IF(OR(INDEX(Undirviðmið!$G$6:$G$105,(COLUMN()-7-1)/2+1)&lt;&gt;"Starfsbundið",EA88="",EA$8="",EA$7=""),"",ROUND(EA88/EA$8*EA$7*KVARDI,2))</f>
        <v/>
      </c>
      <c r="EC88" s="39"/>
      <c r="ED88" s="40" t="str">
        <f aca="false">IF(OR(INDEX(Undirviðmið!$G$6:$G$105,(COLUMN()-7-1)/2+1)&lt;&gt;"Starfsbundið",EC88="",EC$8="",EC$7=""),"",ROUND(EC88/EC$8*EC$7*KVARDI,2))</f>
        <v/>
      </c>
      <c r="EE88" s="39"/>
      <c r="EF88" s="40" t="str">
        <f aca="false">IF(OR(INDEX(Undirviðmið!$G$6:$G$105,(COLUMN()-7-1)/2+1)&lt;&gt;"Starfsbundið",EE88="",EE$8="",EE$7=""),"",ROUND(EE88/EE$8*EE$7*KVARDI,2))</f>
        <v/>
      </c>
      <c r="EG88" s="39"/>
      <c r="EH88" s="40" t="str">
        <f aca="false">IF(OR(INDEX(Undirviðmið!$G$6:$G$105,(COLUMN()-7-1)/2+1)&lt;&gt;"Starfsbundið",EG88="",EG$8="",EG$7=""),"",ROUND(EG88/EG$8*EG$7*KVARDI,2))</f>
        <v/>
      </c>
      <c r="EI88" s="39"/>
      <c r="EJ88" s="40" t="str">
        <f aca="false">IF(OR(INDEX(Undirviðmið!$G$6:$G$105,(COLUMN()-7-1)/2+1)&lt;&gt;"Starfsbundið",EI88="",EI$8="",EI$7=""),"",ROUND(EI88/EI$8*EI$7*KVARDI,2))</f>
        <v/>
      </c>
      <c r="EK88" s="39"/>
      <c r="EL88" s="40" t="str">
        <f aca="false">IF(OR(INDEX(Undirviðmið!$G$6:$G$105,(COLUMN()-7-1)/2+1)&lt;&gt;"Starfsbundið",EK88="",EK$8="",EK$7=""),"",ROUND(EK88/EK$8*EK$7*KVARDI,2))</f>
        <v/>
      </c>
      <c r="EM88" s="39"/>
      <c r="EN88" s="40" t="str">
        <f aca="false">IF(OR(INDEX(Undirviðmið!$G$6:$G$105,(COLUMN()-7-1)/2+1)&lt;&gt;"Starfsbundið",EM88="",EM$8="",EM$7=""),"",ROUND(EM88/EM$8*EM$7*KVARDI,2))</f>
        <v/>
      </c>
      <c r="EO88" s="39"/>
      <c r="EP88" s="40" t="str">
        <f aca="false">IF(OR(INDEX(Undirviðmið!$G$6:$G$105,(COLUMN()-7-1)/2+1)&lt;&gt;"Starfsbundið",EO88="",EO$8="",EO$7=""),"",ROUND(EO88/EO$8*EO$7*KVARDI,2))</f>
        <v/>
      </c>
      <c r="EQ88" s="39"/>
      <c r="ER88" s="40" t="str">
        <f aca="false">IF(OR(INDEX(Undirviðmið!$G$6:$G$105,(COLUMN()-7-1)/2+1)&lt;&gt;"Starfsbundið",EQ88="",EQ$8="",EQ$7=""),"",ROUND(EQ88/EQ$8*EQ$7*KVARDI,2))</f>
        <v/>
      </c>
      <c r="ES88" s="39"/>
      <c r="ET88" s="40" t="str">
        <f aca="false">IF(OR(INDEX(Undirviðmið!$G$6:$G$105,(COLUMN()-7-1)/2+1)&lt;&gt;"Starfsbundið",ES88="",ES$8="",ES$7=""),"",ROUND(ES88/ES$8*ES$7*KVARDI,2))</f>
        <v/>
      </c>
      <c r="EU88" s="39"/>
      <c r="EV88" s="40" t="str">
        <f aca="false">IF(OR(INDEX(Undirviðmið!$G$6:$G$105,(COLUMN()-7-1)/2+1)&lt;&gt;"Starfsbundið",EU88="",EU$8="",EU$7=""),"",ROUND(EU88/EU$8*EU$7*KVARDI,2))</f>
        <v/>
      </c>
      <c r="EW88" s="39"/>
      <c r="EX88" s="40" t="str">
        <f aca="false">IF(OR(INDEX(Undirviðmið!$G$6:$G$105,(COLUMN()-7-1)/2+1)&lt;&gt;"Starfsbundið",EW88="",EW$8="",EW$7=""),"",ROUND(EW88/EW$8*EW$7*KVARDI,2))</f>
        <v/>
      </c>
      <c r="EY88" s="39"/>
      <c r="EZ88" s="40" t="str">
        <f aca="false">IF(OR(INDEX(Undirviðmið!$G$6:$G$105,(COLUMN()-7-1)/2+1)&lt;&gt;"Starfsbundið",EY88="",EY$8="",EY$7=""),"",ROUND(EY88/EY$8*EY$7*KVARDI,2))</f>
        <v/>
      </c>
      <c r="FA88" s="39"/>
      <c r="FB88" s="40" t="str">
        <f aca="false">IF(OR(INDEX(Undirviðmið!$G$6:$G$105,(COLUMN()-7-1)/2+1)&lt;&gt;"Starfsbundið",FA88="",FA$8="",FA$7=""),"",ROUND(FA88/FA$8*FA$7*KVARDI,2))</f>
        <v/>
      </c>
      <c r="FC88" s="39"/>
      <c r="FD88" s="40" t="str">
        <f aca="false">IF(OR(INDEX(Undirviðmið!$G$6:$G$105,(COLUMN()-7-1)/2+1)&lt;&gt;"Starfsbundið",FC88="",FC$8="",FC$7=""),"",ROUND(FC88/FC$8*FC$7*KVARDI,2))</f>
        <v/>
      </c>
      <c r="FE88" s="39"/>
      <c r="FF88" s="40" t="str">
        <f aca="false">IF(OR(INDEX(Undirviðmið!$G$6:$G$105,(COLUMN()-7-1)/2+1)&lt;&gt;"Starfsbundið",FE88="",FE$8="",FE$7=""),"",ROUND(FE88/FE$8*FE$7*KVARDI,2))</f>
        <v/>
      </c>
      <c r="FG88" s="39"/>
      <c r="FH88" s="40" t="str">
        <f aca="false">IF(OR(INDEX(Undirviðmið!$G$6:$G$105,(COLUMN()-7-1)/2+1)&lt;&gt;"Starfsbundið",FG88="",FG$8="",FG$7=""),"",ROUND(FG88/FG$8*FG$7*KVARDI,2))</f>
        <v/>
      </c>
      <c r="FI88" s="39"/>
      <c r="FJ88" s="40" t="str">
        <f aca="false">IF(OR(INDEX(Undirviðmið!$G$6:$G$105,(COLUMN()-7-1)/2+1)&lt;&gt;"Starfsbundið",FI88="",FI$8="",FI$7=""),"",ROUND(FI88/FI$8*FI$7*KVARDI,2))</f>
        <v/>
      </c>
      <c r="FK88" s="39"/>
      <c r="FL88" s="40" t="str">
        <f aca="false">IF(OR(INDEX(Undirviðmið!$G$6:$G$105,(COLUMN()-7-1)/2+1)&lt;&gt;"Starfsbundið",FK88="",FK$8="",FK$7=""),"",ROUND(FK88/FK$8*FK$7*KVARDI,2))</f>
        <v/>
      </c>
      <c r="FM88" s="39"/>
      <c r="FN88" s="40" t="str">
        <f aca="false">IF(OR(INDEX(Undirviðmið!$G$6:$G$105,(COLUMN()-7-1)/2+1)&lt;&gt;"Starfsbundið",FM88="",FM$8="",FM$7=""),"",ROUND(FM88/FM$8*FM$7*KVARDI,2))</f>
        <v/>
      </c>
      <c r="FO88" s="39"/>
      <c r="FP88" s="40" t="str">
        <f aca="false">IF(OR(INDEX(Undirviðmið!$G$6:$G$105,(COLUMN()-7-1)/2+1)&lt;&gt;"Starfsbundið",FO88="",FO$8="",FO$7=""),"",ROUND(FO88/FO$8*FO$7*KVARDI,2))</f>
        <v/>
      </c>
      <c r="FQ88" s="39"/>
      <c r="FR88" s="40" t="str">
        <f aca="false">IF(OR(INDEX(Undirviðmið!$G$6:$G$105,(COLUMN()-7-1)/2+1)&lt;&gt;"Starfsbundið",FQ88="",FQ$8="",FQ$7=""),"",ROUND(FQ88/FQ$8*FQ$7*KVARDI,2))</f>
        <v/>
      </c>
      <c r="FS88" s="39"/>
      <c r="FT88" s="40" t="str">
        <f aca="false">IF(OR(INDEX(Undirviðmið!$G$6:$G$105,(COLUMN()-7-1)/2+1)&lt;&gt;"Starfsbundið",FS88="",FS$8="",FS$7=""),"",ROUND(FS88/FS$8*FS$7*KVARDI,2))</f>
        <v/>
      </c>
      <c r="FU88" s="39"/>
      <c r="FV88" s="40" t="str">
        <f aca="false">IF(OR(INDEX(Undirviðmið!$G$6:$G$105,(COLUMN()-7-1)/2+1)&lt;&gt;"Starfsbundið",FU88="",FU$8="",FU$7=""),"",ROUND(FU88/FU$8*FU$7*KVARDI,2))</f>
        <v/>
      </c>
      <c r="FW88" s="39"/>
      <c r="FX88" s="40" t="str">
        <f aca="false">IF(OR(INDEX(Undirviðmið!$G$6:$G$105,(COLUMN()-7-1)/2+1)&lt;&gt;"Starfsbundið",FW88="",FW$8="",FW$7=""),"",ROUND(FW88/FW$8*FW$7*KVARDI,2))</f>
        <v/>
      </c>
      <c r="FY88" s="39"/>
      <c r="FZ88" s="40" t="str">
        <f aca="false">IF(OR(INDEX(Undirviðmið!$G$6:$G$105,(COLUMN()-7-1)/2+1)&lt;&gt;"Starfsbundið",FY88="",FY$8="",FY$7=""),"",ROUND(FY88/FY$8*FY$7*KVARDI,2))</f>
        <v/>
      </c>
      <c r="GA88" s="39"/>
      <c r="GB88" s="40" t="str">
        <f aca="false">IF(OR(INDEX(Undirviðmið!$G$6:$G$105,(COLUMN()-7-1)/2+1)&lt;&gt;"Starfsbundið",GA88="",GA$8="",GA$7=""),"",ROUND(GA88/GA$8*GA$7*KVARDI,2))</f>
        <v/>
      </c>
      <c r="GC88" s="39"/>
      <c r="GD88" s="40" t="str">
        <f aca="false">IF(OR(INDEX(Undirviðmið!$G$6:$G$105,(COLUMN()-7-1)/2+1)&lt;&gt;"Starfsbundið",GC88="",GC$8="",GC$7=""),"",ROUND(GC88/GC$8*GC$7*KVARDI,2))</f>
        <v/>
      </c>
      <c r="GE88" s="39"/>
      <c r="GF88" s="40" t="str">
        <f aca="false">IF(OR(INDEX(Undirviðmið!$G$6:$G$105,(COLUMN()-7-1)/2+1)&lt;&gt;"Starfsbundið",GE88="",GE$8="",GE$7=""),"",ROUND(GE88/GE$8*GE$7*KVARDI,2))</f>
        <v/>
      </c>
      <c r="GG88" s="39"/>
      <c r="GH88" s="40" t="str">
        <f aca="false">IF(OR(INDEX(Undirviðmið!$G$6:$G$105,(COLUMN()-7-1)/2+1)&lt;&gt;"Starfsbundið",GG88="",GG$8="",GG$7=""),"",ROUND(GG88/GG$8*GG$7*KVARDI,2))</f>
        <v/>
      </c>
      <c r="GI88" s="39"/>
      <c r="GJ88" s="40" t="str">
        <f aca="false">IF(OR(INDEX(Undirviðmið!$G$6:$G$105,(COLUMN()-7-1)/2+1)&lt;&gt;"Starfsbundið",GI88="",GI$8="",GI$7=""),"",ROUND(GI88/GI$8*GI$7*KVARDI,2))</f>
        <v/>
      </c>
      <c r="GK88" s="39"/>
      <c r="GL88" s="40" t="str">
        <f aca="false">IF(OR(INDEX(Undirviðmið!$G$6:$G$105,(COLUMN()-7-1)/2+1)&lt;&gt;"Starfsbundið",GK88="",GK$8="",GK$7=""),"",ROUND(GK88/GK$8*GK$7*KVARDI,2))</f>
        <v/>
      </c>
      <c r="GM88" s="39"/>
      <c r="GN88" s="40" t="str">
        <f aca="false">IF(OR(INDEX(Undirviðmið!$G$6:$G$105,(COLUMN()-7-1)/2+1)&lt;&gt;"Starfsbundið",GM88="",GM$8="",GM$7=""),"",ROUND(GM88/GM$8*GM$7*KVARDI,2))</f>
        <v/>
      </c>
      <c r="GO88" s="39"/>
      <c r="GP88" s="40" t="str">
        <f aca="false">IF(OR(INDEX(Undirviðmið!$G$6:$G$105,(COLUMN()-7-1)/2+1)&lt;&gt;"Starfsbundið",GO88="",GO$8="",GO$7=""),"",ROUND(GO88/GO$8*GO$7*KVARDI,2))</f>
        <v/>
      </c>
      <c r="GQ88" s="39"/>
      <c r="GR88" s="40" t="str">
        <f aca="false">IF(OR(INDEX(Undirviðmið!$G$6:$G$105,(COLUMN()-7-1)/2+1)&lt;&gt;"Starfsbundið",GQ88="",GQ$8="",GQ$7=""),"",ROUND(GQ88/GQ$8*GQ$7*KVARDI,2))</f>
        <v/>
      </c>
      <c r="GS88" s="39"/>
      <c r="GT88" s="40" t="str">
        <f aca="false">IF(OR(INDEX(Undirviðmið!$G$6:$G$105,(COLUMN()-7-1)/2+1)&lt;&gt;"Starfsbundið",GS88="",GS$8="",GS$7=""),"",ROUND(GS88/GS$8*GS$7*KVARDI,2))</f>
        <v/>
      </c>
      <c r="GU88" s="39"/>
      <c r="GV88" s="40" t="str">
        <f aca="false">IF(OR(INDEX(Undirviðmið!$G$6:$G$105,(COLUMN()-7-1)/2+1)&lt;&gt;"Starfsbundið",GU88="",GU$8="",GU$7=""),"",ROUND(GU88/GU$8*GU$7*KVARDI,2))</f>
        <v/>
      </c>
      <c r="GW88" s="39"/>
      <c r="GX88" s="40" t="str">
        <f aca="false">IF(OR(INDEX(Undirviðmið!$G$6:$G$105,(COLUMN()-7-1)/2+1)&lt;&gt;"Starfsbundið",GW88="",GW$8="",GW$7=""),"",ROUND(GW88/GW$8*GW$7*KVARDI,2))</f>
        <v/>
      </c>
      <c r="GZ88" s="20"/>
    </row>
    <row r="89" customFormat="false" ht="15" hidden="true" customHeight="true" outlineLevel="1" collapsed="false">
      <c r="B89" s="37" t="str">
        <f aca="false" t="array" ref="B89:B89">IFERROR(INDEX(Starfsmenn!$C$6:$C$10005,MATCH(0,COUNTIF($B$11:B88,Starfsmenn!$C$6:$C$10005)+(Starfsmenn!$C$6:$C$10005=""),0)),"")</f>
        <v/>
      </c>
      <c r="C89" s="38" t="n">
        <f aca="false">IFERROR(SUMIF($G$10:$GX$10,"Stig",$G89:$GX89),0)</f>
        <v>0</v>
      </c>
      <c r="G89" s="39"/>
      <c r="H89" s="40" t="str">
        <f aca="false">IF(OR(INDEX(Undirviðmið!$G$6:$G$105,(COLUMN()-7-1)/2+1)&lt;&gt;"Starfsbundið",G89="",G$8="",G$7=""),"",ROUND(G89/G$8*G$7*KVARDI,2))</f>
        <v/>
      </c>
      <c r="I89" s="39"/>
      <c r="J89" s="40" t="str">
        <f aca="false">IF(OR(INDEX(Undirviðmið!$G$6:$G$105,(COLUMN()-7-1)/2+1)&lt;&gt;"Starfsbundið",I89="",I$8="",I$7=""),"",ROUND(I89/I$8*I$7*KVARDI,2))</f>
        <v/>
      </c>
      <c r="K89" s="39"/>
      <c r="L89" s="40" t="str">
        <f aca="false">IF(OR(INDEX(Undirviðmið!$G$6:$G$105,(COLUMN()-7-1)/2+1)&lt;&gt;"Starfsbundið",K89="",K$8="",K$7=""),"",ROUND(K89/K$8*K$7*KVARDI,2))</f>
        <v/>
      </c>
      <c r="M89" s="39"/>
      <c r="N89" s="40" t="str">
        <f aca="false">IF(OR(INDEX(Undirviðmið!$G$6:$G$105,(COLUMN()-7-1)/2+1)&lt;&gt;"Starfsbundið",M89="",M$8="",M$7=""),"",ROUND(M89/M$8*M$7*KVARDI,2))</f>
        <v/>
      </c>
      <c r="O89" s="39"/>
      <c r="P89" s="40" t="str">
        <f aca="false">IF(OR(INDEX(Undirviðmið!$G$6:$G$105,(COLUMN()-7-1)/2+1)&lt;&gt;"Starfsbundið",O89="",O$8="",O$7=""),"",ROUND(O89/O$8*O$7*KVARDI,2))</f>
        <v/>
      </c>
      <c r="Q89" s="39"/>
      <c r="R89" s="40" t="str">
        <f aca="false">IF(OR(INDEX(Undirviðmið!$G$6:$G$105,(COLUMN()-7-1)/2+1)&lt;&gt;"Starfsbundið",Q89="",Q$8="",Q$7=""),"",ROUND(Q89/Q$8*Q$7*KVARDI,2))</f>
        <v/>
      </c>
      <c r="S89" s="39"/>
      <c r="T89" s="40" t="str">
        <f aca="false">IF(OR(INDEX(Undirviðmið!$G$6:$G$105,(COLUMN()-7-1)/2+1)&lt;&gt;"Starfsbundið",S89="",S$8="",S$7=""),"",ROUND(S89/S$8*S$7*KVARDI,2))</f>
        <v/>
      </c>
      <c r="U89" s="39"/>
      <c r="V89" s="40" t="str">
        <f aca="false">IF(OR(INDEX(Undirviðmið!$G$6:$G$105,(COLUMN()-7-1)/2+1)&lt;&gt;"Starfsbundið",U89="",U$8="",U$7=""),"",ROUND(U89/U$8*U$7*KVARDI,2))</f>
        <v/>
      </c>
      <c r="W89" s="39"/>
      <c r="X89" s="40" t="str">
        <f aca="false">IF(OR(INDEX(Undirviðmið!$G$6:$G$105,(COLUMN()-7-1)/2+1)&lt;&gt;"Starfsbundið",W89="",W$8="",W$7=""),"",ROUND(W89/W$8*W$7*KVARDI,2))</f>
        <v/>
      </c>
      <c r="Y89" s="39"/>
      <c r="Z89" s="40" t="str">
        <f aca="false">IF(OR(INDEX(Undirviðmið!$G$6:$G$105,(COLUMN()-7-1)/2+1)&lt;&gt;"Starfsbundið",Y89="",Y$8="",Y$7=""),"",ROUND(Y89/Y$8*Y$7*KVARDI,2))</f>
        <v/>
      </c>
      <c r="AA89" s="39"/>
      <c r="AB89" s="40" t="str">
        <f aca="false">IF(OR(INDEX(Undirviðmið!$G$6:$G$105,(COLUMN()-7-1)/2+1)&lt;&gt;"Starfsbundið",AA89="",AA$8="",AA$7=""),"",ROUND(AA89/AA$8*AA$7*KVARDI,2))</f>
        <v/>
      </c>
      <c r="AC89" s="39"/>
      <c r="AD89" s="40" t="str">
        <f aca="false">IF(OR(INDEX(Undirviðmið!$G$6:$G$105,(COLUMN()-7-1)/2+1)&lt;&gt;"Starfsbundið",AC89="",AC$8="",AC$7=""),"",ROUND(AC89/AC$8*AC$7*KVARDI,2))</f>
        <v/>
      </c>
      <c r="AE89" s="39"/>
      <c r="AF89" s="40" t="str">
        <f aca="false">IF(OR(INDEX(Undirviðmið!$G$6:$G$105,(COLUMN()-7-1)/2+1)&lt;&gt;"Starfsbundið",AE89="",AE$8="",AE$7=""),"",ROUND(AE89/AE$8*AE$7*KVARDI,2))</f>
        <v/>
      </c>
      <c r="AG89" s="39"/>
      <c r="AH89" s="40" t="str">
        <f aca="false">IF(OR(INDEX(Undirviðmið!$G$6:$G$105,(COLUMN()-7-1)/2+1)&lt;&gt;"Starfsbundið",AG89="",AG$8="",AG$7=""),"",ROUND(AG89/AG$8*AG$7*KVARDI,2))</f>
        <v/>
      </c>
      <c r="AI89" s="39"/>
      <c r="AJ89" s="40" t="str">
        <f aca="false">IF(OR(INDEX(Undirviðmið!$G$6:$G$105,(COLUMN()-7-1)/2+1)&lt;&gt;"Starfsbundið",AI89="",AI$8="",AI$7=""),"",ROUND(AI89/AI$8*AI$7*KVARDI,2))</f>
        <v/>
      </c>
      <c r="AK89" s="39"/>
      <c r="AL89" s="40" t="str">
        <f aca="false">IF(OR(INDEX(Undirviðmið!$G$6:$G$105,(COLUMN()-7-1)/2+1)&lt;&gt;"Starfsbundið",AK89="",AK$8="",AK$7=""),"",ROUND(AK89/AK$8*AK$7*KVARDI,2))</f>
        <v/>
      </c>
      <c r="AM89" s="39"/>
      <c r="AN89" s="40" t="str">
        <f aca="false">IF(OR(INDEX(Undirviðmið!$G$6:$G$105,(COLUMN()-7-1)/2+1)&lt;&gt;"Starfsbundið",AM89="",AM$8="",AM$7=""),"",ROUND(AM89/AM$8*AM$7*KVARDI,2))</f>
        <v/>
      </c>
      <c r="AO89" s="39"/>
      <c r="AP89" s="40" t="str">
        <f aca="false">IF(OR(INDEX(Undirviðmið!$G$6:$G$105,(COLUMN()-7-1)/2+1)&lt;&gt;"Starfsbundið",AO89="",AO$8="",AO$7=""),"",ROUND(AO89/AO$8*AO$7*KVARDI,2))</f>
        <v/>
      </c>
      <c r="AQ89" s="39"/>
      <c r="AR89" s="40" t="str">
        <f aca="false">IF(OR(INDEX(Undirviðmið!$G$6:$G$105,(COLUMN()-7-1)/2+1)&lt;&gt;"Starfsbundið",AQ89="",AQ$8="",AQ$7=""),"",ROUND(AQ89/AQ$8*AQ$7*KVARDI,2))</f>
        <v/>
      </c>
      <c r="AS89" s="39"/>
      <c r="AT89" s="40" t="str">
        <f aca="false">IF(OR(INDEX(Undirviðmið!$G$6:$G$105,(COLUMN()-7-1)/2+1)&lt;&gt;"Starfsbundið",AS89="",AS$8="",AS$7=""),"",ROUND(AS89/AS$8*AS$7*KVARDI,2))</f>
        <v/>
      </c>
      <c r="AU89" s="39"/>
      <c r="AV89" s="40" t="str">
        <f aca="false">IF(OR(INDEX(Undirviðmið!$G$6:$G$105,(COLUMN()-7-1)/2+1)&lt;&gt;"Starfsbundið",AU89="",AU$8="",AU$7=""),"",ROUND(AU89/AU$8*AU$7*KVARDI,2))</f>
        <v/>
      </c>
      <c r="AW89" s="39"/>
      <c r="AX89" s="40" t="str">
        <f aca="false">IF(OR(INDEX(Undirviðmið!$G$6:$G$105,(COLUMN()-7-1)/2+1)&lt;&gt;"Starfsbundið",AW89="",AW$8="",AW$7=""),"",ROUND(AW89/AW$8*AW$7*KVARDI,2))</f>
        <v/>
      </c>
      <c r="AY89" s="39"/>
      <c r="AZ89" s="40" t="str">
        <f aca="false">IF(OR(INDEX(Undirviðmið!$G$6:$G$105,(COLUMN()-7-1)/2+1)&lt;&gt;"Starfsbundið",AY89="",AY$8="",AY$7=""),"",ROUND(AY89/AY$8*AY$7*KVARDI,2))</f>
        <v/>
      </c>
      <c r="BA89" s="39"/>
      <c r="BB89" s="40" t="str">
        <f aca="false">IF(OR(INDEX(Undirviðmið!$G$6:$G$105,(COLUMN()-7-1)/2+1)&lt;&gt;"Starfsbundið",BA89="",BA$8="",BA$7=""),"",ROUND(BA89/BA$8*BA$7*KVARDI,2))</f>
        <v/>
      </c>
      <c r="BC89" s="39"/>
      <c r="BD89" s="40" t="str">
        <f aca="false">IF(OR(INDEX(Undirviðmið!$G$6:$G$105,(COLUMN()-7-1)/2+1)&lt;&gt;"Starfsbundið",BC89="",BC$8="",BC$7=""),"",ROUND(BC89/BC$8*BC$7*KVARDI,2))</f>
        <v/>
      </c>
      <c r="BE89" s="39"/>
      <c r="BF89" s="40" t="str">
        <f aca="false">IF(OR(INDEX(Undirviðmið!$G$6:$G$105,(COLUMN()-7-1)/2+1)&lt;&gt;"Starfsbundið",BE89="",BE$8="",BE$7=""),"",ROUND(BE89/BE$8*BE$7*KVARDI,2))</f>
        <v/>
      </c>
      <c r="BG89" s="39"/>
      <c r="BH89" s="40" t="str">
        <f aca="false">IF(OR(INDEX(Undirviðmið!$G$6:$G$105,(COLUMN()-7-1)/2+1)&lt;&gt;"Starfsbundið",BG89="",BG$8="",BG$7=""),"",ROUND(BG89/BG$8*BG$7*KVARDI,2))</f>
        <v/>
      </c>
      <c r="BI89" s="39"/>
      <c r="BJ89" s="40" t="str">
        <f aca="false">IF(OR(INDEX(Undirviðmið!$G$6:$G$105,(COLUMN()-7-1)/2+1)&lt;&gt;"Starfsbundið",BI89="",BI$8="",BI$7=""),"",ROUND(BI89/BI$8*BI$7*KVARDI,2))</f>
        <v/>
      </c>
      <c r="BK89" s="39"/>
      <c r="BL89" s="40" t="str">
        <f aca="false">IF(OR(INDEX(Undirviðmið!$G$6:$G$105,(COLUMN()-7-1)/2+1)&lt;&gt;"Starfsbundið",BK89="",BK$8="",BK$7=""),"",ROUND(BK89/BK$8*BK$7*KVARDI,2))</f>
        <v/>
      </c>
      <c r="BM89" s="39"/>
      <c r="BN89" s="40" t="str">
        <f aca="false">IF(OR(INDEX(Undirviðmið!$G$6:$G$105,(COLUMN()-7-1)/2+1)&lt;&gt;"Starfsbundið",BM89="",BM$8="",BM$7=""),"",ROUND(BM89/BM$8*BM$7*KVARDI,2))</f>
        <v/>
      </c>
      <c r="BO89" s="39"/>
      <c r="BP89" s="40" t="str">
        <f aca="false">IF(OR(INDEX(Undirviðmið!$G$6:$G$105,(COLUMN()-7-1)/2+1)&lt;&gt;"Starfsbundið",BO89="",BO$8="",BO$7=""),"",ROUND(BO89/BO$8*BO$7*KVARDI,2))</f>
        <v/>
      </c>
      <c r="BQ89" s="39"/>
      <c r="BR89" s="40" t="str">
        <f aca="false">IF(OR(INDEX(Undirviðmið!$G$6:$G$105,(COLUMN()-7-1)/2+1)&lt;&gt;"Starfsbundið",BQ89="",BQ$8="",BQ$7=""),"",ROUND(BQ89/BQ$8*BQ$7*KVARDI,2))</f>
        <v/>
      </c>
      <c r="BS89" s="39"/>
      <c r="BT89" s="40" t="str">
        <f aca="false">IF(OR(INDEX(Undirviðmið!$G$6:$G$105,(COLUMN()-7-1)/2+1)&lt;&gt;"Starfsbundið",BS89="",BS$8="",BS$7=""),"",ROUND(BS89/BS$8*BS$7*KVARDI,2))</f>
        <v/>
      </c>
      <c r="BU89" s="39"/>
      <c r="BV89" s="40" t="str">
        <f aca="false">IF(OR(INDEX(Undirviðmið!$G$6:$G$105,(COLUMN()-7-1)/2+1)&lt;&gt;"Starfsbundið",BU89="",BU$8="",BU$7=""),"",ROUND(BU89/BU$8*BU$7*KVARDI,2))</f>
        <v/>
      </c>
      <c r="BW89" s="39"/>
      <c r="BX89" s="40" t="str">
        <f aca="false">IF(OR(INDEX(Undirviðmið!$G$6:$G$105,(COLUMN()-7-1)/2+1)&lt;&gt;"Starfsbundið",BW89="",BW$8="",BW$7=""),"",ROUND(BW89/BW$8*BW$7*KVARDI,2))</f>
        <v/>
      </c>
      <c r="BY89" s="39"/>
      <c r="BZ89" s="40" t="str">
        <f aca="false">IF(OR(INDEX(Undirviðmið!$G$6:$G$105,(COLUMN()-7-1)/2+1)&lt;&gt;"Starfsbundið",BY89="",BY$8="",BY$7=""),"",ROUND(BY89/BY$8*BY$7*KVARDI,2))</f>
        <v/>
      </c>
      <c r="CA89" s="39"/>
      <c r="CB89" s="40" t="str">
        <f aca="false">IF(OR(INDEX(Undirviðmið!$G$6:$G$105,(COLUMN()-7-1)/2+1)&lt;&gt;"Starfsbundið",CA89="",CA$8="",CA$7=""),"",ROUND(CA89/CA$8*CA$7*KVARDI,2))</f>
        <v/>
      </c>
      <c r="CC89" s="39"/>
      <c r="CD89" s="40" t="str">
        <f aca="false">IF(OR(INDEX(Undirviðmið!$G$6:$G$105,(COLUMN()-7-1)/2+1)&lt;&gt;"Starfsbundið",CC89="",CC$8="",CC$7=""),"",ROUND(CC89/CC$8*CC$7*KVARDI,2))</f>
        <v/>
      </c>
      <c r="CE89" s="39"/>
      <c r="CF89" s="40" t="str">
        <f aca="false">IF(OR(INDEX(Undirviðmið!$G$6:$G$105,(COLUMN()-7-1)/2+1)&lt;&gt;"Starfsbundið",CE89="",CE$8="",CE$7=""),"",ROUND(CE89/CE$8*CE$7*KVARDI,2))</f>
        <v/>
      </c>
      <c r="CG89" s="39"/>
      <c r="CH89" s="40" t="str">
        <f aca="false">IF(OR(INDEX(Undirviðmið!$G$6:$G$105,(COLUMN()-7-1)/2+1)&lt;&gt;"Starfsbundið",CG89="",CG$8="",CG$7=""),"",ROUND(CG89/CG$8*CG$7*KVARDI,2))</f>
        <v/>
      </c>
      <c r="CI89" s="39"/>
      <c r="CJ89" s="40" t="str">
        <f aca="false">IF(OR(INDEX(Undirviðmið!$G$6:$G$105,(COLUMN()-7-1)/2+1)&lt;&gt;"Starfsbundið",CI89="",CI$8="",CI$7=""),"",ROUND(CI89/CI$8*CI$7*KVARDI,2))</f>
        <v/>
      </c>
      <c r="CK89" s="39"/>
      <c r="CL89" s="40" t="str">
        <f aca="false">IF(OR(INDEX(Undirviðmið!$G$6:$G$105,(COLUMN()-7-1)/2+1)&lt;&gt;"Starfsbundið",CK89="",CK$8="",CK$7=""),"",ROUND(CK89/CK$8*CK$7*KVARDI,2))</f>
        <v/>
      </c>
      <c r="CM89" s="39"/>
      <c r="CN89" s="40" t="str">
        <f aca="false">IF(OR(INDEX(Undirviðmið!$G$6:$G$105,(COLUMN()-7-1)/2+1)&lt;&gt;"Starfsbundið",CM89="",CM$8="",CM$7=""),"",ROUND(CM89/CM$8*CM$7*KVARDI,2))</f>
        <v/>
      </c>
      <c r="CO89" s="39"/>
      <c r="CP89" s="40" t="str">
        <f aca="false">IF(OR(INDEX(Undirviðmið!$G$6:$G$105,(COLUMN()-7-1)/2+1)&lt;&gt;"Starfsbundið",CO89="",CO$8="",CO$7=""),"",ROUND(CO89/CO$8*CO$7*KVARDI,2))</f>
        <v/>
      </c>
      <c r="CQ89" s="39"/>
      <c r="CR89" s="40" t="str">
        <f aca="false">IF(OR(INDEX(Undirviðmið!$G$6:$G$105,(COLUMN()-7-1)/2+1)&lt;&gt;"Starfsbundið",CQ89="",CQ$8="",CQ$7=""),"",ROUND(CQ89/CQ$8*CQ$7*KVARDI,2))</f>
        <v/>
      </c>
      <c r="CS89" s="39"/>
      <c r="CT89" s="40" t="str">
        <f aca="false">IF(OR(INDEX(Undirviðmið!$G$6:$G$105,(COLUMN()-7-1)/2+1)&lt;&gt;"Starfsbundið",CS89="",CS$8="",CS$7=""),"",ROUND(CS89/CS$8*CS$7*KVARDI,2))</f>
        <v/>
      </c>
      <c r="CU89" s="39"/>
      <c r="CV89" s="40" t="str">
        <f aca="false">IF(OR(INDEX(Undirviðmið!$G$6:$G$105,(COLUMN()-7-1)/2+1)&lt;&gt;"Starfsbundið",CU89="",CU$8="",CU$7=""),"",ROUND(CU89/CU$8*CU$7*KVARDI,2))</f>
        <v/>
      </c>
      <c r="CW89" s="39"/>
      <c r="CX89" s="40" t="str">
        <f aca="false">IF(OR(INDEX(Undirviðmið!$G$6:$G$105,(COLUMN()-7-1)/2+1)&lt;&gt;"Starfsbundið",CW89="",CW$8="",CW$7=""),"",ROUND(CW89/CW$8*CW$7*KVARDI,2))</f>
        <v/>
      </c>
      <c r="CY89" s="39"/>
      <c r="CZ89" s="40" t="str">
        <f aca="false">IF(OR(INDEX(Undirviðmið!$G$6:$G$105,(COLUMN()-7-1)/2+1)&lt;&gt;"Starfsbundið",CY89="",CY$8="",CY$7=""),"",ROUND(CY89/CY$8*CY$7*KVARDI,2))</f>
        <v/>
      </c>
      <c r="DA89" s="39"/>
      <c r="DB89" s="40" t="str">
        <f aca="false">IF(OR(INDEX(Undirviðmið!$G$6:$G$105,(COLUMN()-7-1)/2+1)&lt;&gt;"Starfsbundið",DA89="",DA$8="",DA$7=""),"",ROUND(DA89/DA$8*DA$7*KVARDI,2))</f>
        <v/>
      </c>
      <c r="DC89" s="39"/>
      <c r="DD89" s="40" t="str">
        <f aca="false">IF(OR(INDEX(Undirviðmið!$G$6:$G$105,(COLUMN()-7-1)/2+1)&lt;&gt;"Starfsbundið",DC89="",DC$8="",DC$7=""),"",ROUND(DC89/DC$8*DC$7*KVARDI,2))</f>
        <v/>
      </c>
      <c r="DE89" s="39"/>
      <c r="DF89" s="40" t="str">
        <f aca="false">IF(OR(INDEX(Undirviðmið!$G$6:$G$105,(COLUMN()-7-1)/2+1)&lt;&gt;"Starfsbundið",DE89="",DE$8="",DE$7=""),"",ROUND(DE89/DE$8*DE$7*KVARDI,2))</f>
        <v/>
      </c>
      <c r="DG89" s="39"/>
      <c r="DH89" s="40" t="str">
        <f aca="false">IF(OR(INDEX(Undirviðmið!$G$6:$G$105,(COLUMN()-7-1)/2+1)&lt;&gt;"Starfsbundið",DG89="",DG$8="",DG$7=""),"",ROUND(DG89/DG$8*DG$7*KVARDI,2))</f>
        <v/>
      </c>
      <c r="DI89" s="39"/>
      <c r="DJ89" s="40" t="str">
        <f aca="false">IF(OR(INDEX(Undirviðmið!$G$6:$G$105,(COLUMN()-7-1)/2+1)&lt;&gt;"Starfsbundið",DI89="",DI$8="",DI$7=""),"",ROUND(DI89/DI$8*DI$7*KVARDI,2))</f>
        <v/>
      </c>
      <c r="DK89" s="39"/>
      <c r="DL89" s="40" t="str">
        <f aca="false">IF(OR(INDEX(Undirviðmið!$G$6:$G$105,(COLUMN()-7-1)/2+1)&lt;&gt;"Starfsbundið",DK89="",DK$8="",DK$7=""),"",ROUND(DK89/DK$8*DK$7*KVARDI,2))</f>
        <v/>
      </c>
      <c r="DM89" s="39"/>
      <c r="DN89" s="40" t="str">
        <f aca="false">IF(OR(INDEX(Undirviðmið!$G$6:$G$105,(COLUMN()-7-1)/2+1)&lt;&gt;"Starfsbundið",DM89="",DM$8="",DM$7=""),"",ROUND(DM89/DM$8*DM$7*KVARDI,2))</f>
        <v/>
      </c>
      <c r="DO89" s="39"/>
      <c r="DP89" s="40" t="str">
        <f aca="false">IF(OR(INDEX(Undirviðmið!$G$6:$G$105,(COLUMN()-7-1)/2+1)&lt;&gt;"Starfsbundið",DO89="",DO$8="",DO$7=""),"",ROUND(DO89/DO$8*DO$7*KVARDI,2))</f>
        <v/>
      </c>
      <c r="DQ89" s="39"/>
      <c r="DR89" s="40" t="str">
        <f aca="false">IF(OR(INDEX(Undirviðmið!$G$6:$G$105,(COLUMN()-7-1)/2+1)&lt;&gt;"Starfsbundið",DQ89="",DQ$8="",DQ$7=""),"",ROUND(DQ89/DQ$8*DQ$7*KVARDI,2))</f>
        <v/>
      </c>
      <c r="DS89" s="39"/>
      <c r="DT89" s="40" t="str">
        <f aca="false">IF(OR(INDEX(Undirviðmið!$G$6:$G$105,(COLUMN()-7-1)/2+1)&lt;&gt;"Starfsbundið",DS89="",DS$8="",DS$7=""),"",ROUND(DS89/DS$8*DS$7*KVARDI,2))</f>
        <v/>
      </c>
      <c r="DU89" s="39"/>
      <c r="DV89" s="40" t="str">
        <f aca="false">IF(OR(INDEX(Undirviðmið!$G$6:$G$105,(COLUMN()-7-1)/2+1)&lt;&gt;"Starfsbundið",DU89="",DU$8="",DU$7=""),"",ROUND(DU89/DU$8*DU$7*KVARDI,2))</f>
        <v/>
      </c>
      <c r="DW89" s="39"/>
      <c r="DX89" s="40" t="str">
        <f aca="false">IF(OR(INDEX(Undirviðmið!$G$6:$G$105,(COLUMN()-7-1)/2+1)&lt;&gt;"Starfsbundið",DW89="",DW$8="",DW$7=""),"",ROUND(DW89/DW$8*DW$7*KVARDI,2))</f>
        <v/>
      </c>
      <c r="DY89" s="39"/>
      <c r="DZ89" s="40" t="str">
        <f aca="false">IF(OR(INDEX(Undirviðmið!$G$6:$G$105,(COLUMN()-7-1)/2+1)&lt;&gt;"Starfsbundið",DY89="",DY$8="",DY$7=""),"",ROUND(DY89/DY$8*DY$7*KVARDI,2))</f>
        <v/>
      </c>
      <c r="EA89" s="39"/>
      <c r="EB89" s="40" t="str">
        <f aca="false">IF(OR(INDEX(Undirviðmið!$G$6:$G$105,(COLUMN()-7-1)/2+1)&lt;&gt;"Starfsbundið",EA89="",EA$8="",EA$7=""),"",ROUND(EA89/EA$8*EA$7*KVARDI,2))</f>
        <v/>
      </c>
      <c r="EC89" s="39"/>
      <c r="ED89" s="40" t="str">
        <f aca="false">IF(OR(INDEX(Undirviðmið!$G$6:$G$105,(COLUMN()-7-1)/2+1)&lt;&gt;"Starfsbundið",EC89="",EC$8="",EC$7=""),"",ROUND(EC89/EC$8*EC$7*KVARDI,2))</f>
        <v/>
      </c>
      <c r="EE89" s="39"/>
      <c r="EF89" s="40" t="str">
        <f aca="false">IF(OR(INDEX(Undirviðmið!$G$6:$G$105,(COLUMN()-7-1)/2+1)&lt;&gt;"Starfsbundið",EE89="",EE$8="",EE$7=""),"",ROUND(EE89/EE$8*EE$7*KVARDI,2))</f>
        <v/>
      </c>
      <c r="EG89" s="39"/>
      <c r="EH89" s="40" t="str">
        <f aca="false">IF(OR(INDEX(Undirviðmið!$G$6:$G$105,(COLUMN()-7-1)/2+1)&lt;&gt;"Starfsbundið",EG89="",EG$8="",EG$7=""),"",ROUND(EG89/EG$8*EG$7*KVARDI,2))</f>
        <v/>
      </c>
      <c r="EI89" s="39"/>
      <c r="EJ89" s="40" t="str">
        <f aca="false">IF(OR(INDEX(Undirviðmið!$G$6:$G$105,(COLUMN()-7-1)/2+1)&lt;&gt;"Starfsbundið",EI89="",EI$8="",EI$7=""),"",ROUND(EI89/EI$8*EI$7*KVARDI,2))</f>
        <v/>
      </c>
      <c r="EK89" s="39"/>
      <c r="EL89" s="40" t="str">
        <f aca="false">IF(OR(INDEX(Undirviðmið!$G$6:$G$105,(COLUMN()-7-1)/2+1)&lt;&gt;"Starfsbundið",EK89="",EK$8="",EK$7=""),"",ROUND(EK89/EK$8*EK$7*KVARDI,2))</f>
        <v/>
      </c>
      <c r="EM89" s="39"/>
      <c r="EN89" s="40" t="str">
        <f aca="false">IF(OR(INDEX(Undirviðmið!$G$6:$G$105,(COLUMN()-7-1)/2+1)&lt;&gt;"Starfsbundið",EM89="",EM$8="",EM$7=""),"",ROUND(EM89/EM$8*EM$7*KVARDI,2))</f>
        <v/>
      </c>
      <c r="EO89" s="39"/>
      <c r="EP89" s="40" t="str">
        <f aca="false">IF(OR(INDEX(Undirviðmið!$G$6:$G$105,(COLUMN()-7-1)/2+1)&lt;&gt;"Starfsbundið",EO89="",EO$8="",EO$7=""),"",ROUND(EO89/EO$8*EO$7*KVARDI,2))</f>
        <v/>
      </c>
      <c r="EQ89" s="39"/>
      <c r="ER89" s="40" t="str">
        <f aca="false">IF(OR(INDEX(Undirviðmið!$G$6:$G$105,(COLUMN()-7-1)/2+1)&lt;&gt;"Starfsbundið",EQ89="",EQ$8="",EQ$7=""),"",ROUND(EQ89/EQ$8*EQ$7*KVARDI,2))</f>
        <v/>
      </c>
      <c r="ES89" s="39"/>
      <c r="ET89" s="40" t="str">
        <f aca="false">IF(OR(INDEX(Undirviðmið!$G$6:$G$105,(COLUMN()-7-1)/2+1)&lt;&gt;"Starfsbundið",ES89="",ES$8="",ES$7=""),"",ROUND(ES89/ES$8*ES$7*KVARDI,2))</f>
        <v/>
      </c>
      <c r="EU89" s="39"/>
      <c r="EV89" s="40" t="str">
        <f aca="false">IF(OR(INDEX(Undirviðmið!$G$6:$G$105,(COLUMN()-7-1)/2+1)&lt;&gt;"Starfsbundið",EU89="",EU$8="",EU$7=""),"",ROUND(EU89/EU$8*EU$7*KVARDI,2))</f>
        <v/>
      </c>
      <c r="EW89" s="39"/>
      <c r="EX89" s="40" t="str">
        <f aca="false">IF(OR(INDEX(Undirviðmið!$G$6:$G$105,(COLUMN()-7-1)/2+1)&lt;&gt;"Starfsbundið",EW89="",EW$8="",EW$7=""),"",ROUND(EW89/EW$8*EW$7*KVARDI,2))</f>
        <v/>
      </c>
      <c r="EY89" s="39"/>
      <c r="EZ89" s="40" t="str">
        <f aca="false">IF(OR(INDEX(Undirviðmið!$G$6:$G$105,(COLUMN()-7-1)/2+1)&lt;&gt;"Starfsbundið",EY89="",EY$8="",EY$7=""),"",ROUND(EY89/EY$8*EY$7*KVARDI,2))</f>
        <v/>
      </c>
      <c r="FA89" s="39"/>
      <c r="FB89" s="40" t="str">
        <f aca="false">IF(OR(INDEX(Undirviðmið!$G$6:$G$105,(COLUMN()-7-1)/2+1)&lt;&gt;"Starfsbundið",FA89="",FA$8="",FA$7=""),"",ROUND(FA89/FA$8*FA$7*KVARDI,2))</f>
        <v/>
      </c>
      <c r="FC89" s="39"/>
      <c r="FD89" s="40" t="str">
        <f aca="false">IF(OR(INDEX(Undirviðmið!$G$6:$G$105,(COLUMN()-7-1)/2+1)&lt;&gt;"Starfsbundið",FC89="",FC$8="",FC$7=""),"",ROUND(FC89/FC$8*FC$7*KVARDI,2))</f>
        <v/>
      </c>
      <c r="FE89" s="39"/>
      <c r="FF89" s="40" t="str">
        <f aca="false">IF(OR(INDEX(Undirviðmið!$G$6:$G$105,(COLUMN()-7-1)/2+1)&lt;&gt;"Starfsbundið",FE89="",FE$8="",FE$7=""),"",ROUND(FE89/FE$8*FE$7*KVARDI,2))</f>
        <v/>
      </c>
      <c r="FG89" s="39"/>
      <c r="FH89" s="40" t="str">
        <f aca="false">IF(OR(INDEX(Undirviðmið!$G$6:$G$105,(COLUMN()-7-1)/2+1)&lt;&gt;"Starfsbundið",FG89="",FG$8="",FG$7=""),"",ROUND(FG89/FG$8*FG$7*KVARDI,2))</f>
        <v/>
      </c>
      <c r="FI89" s="39"/>
      <c r="FJ89" s="40" t="str">
        <f aca="false">IF(OR(INDEX(Undirviðmið!$G$6:$G$105,(COLUMN()-7-1)/2+1)&lt;&gt;"Starfsbundið",FI89="",FI$8="",FI$7=""),"",ROUND(FI89/FI$8*FI$7*KVARDI,2))</f>
        <v/>
      </c>
      <c r="FK89" s="39"/>
      <c r="FL89" s="40" t="str">
        <f aca="false">IF(OR(INDEX(Undirviðmið!$G$6:$G$105,(COLUMN()-7-1)/2+1)&lt;&gt;"Starfsbundið",FK89="",FK$8="",FK$7=""),"",ROUND(FK89/FK$8*FK$7*KVARDI,2))</f>
        <v/>
      </c>
      <c r="FM89" s="39"/>
      <c r="FN89" s="40" t="str">
        <f aca="false">IF(OR(INDEX(Undirviðmið!$G$6:$G$105,(COLUMN()-7-1)/2+1)&lt;&gt;"Starfsbundið",FM89="",FM$8="",FM$7=""),"",ROUND(FM89/FM$8*FM$7*KVARDI,2))</f>
        <v/>
      </c>
      <c r="FO89" s="39"/>
      <c r="FP89" s="40" t="str">
        <f aca="false">IF(OR(INDEX(Undirviðmið!$G$6:$G$105,(COLUMN()-7-1)/2+1)&lt;&gt;"Starfsbundið",FO89="",FO$8="",FO$7=""),"",ROUND(FO89/FO$8*FO$7*KVARDI,2))</f>
        <v/>
      </c>
      <c r="FQ89" s="39"/>
      <c r="FR89" s="40" t="str">
        <f aca="false">IF(OR(INDEX(Undirviðmið!$G$6:$G$105,(COLUMN()-7-1)/2+1)&lt;&gt;"Starfsbundið",FQ89="",FQ$8="",FQ$7=""),"",ROUND(FQ89/FQ$8*FQ$7*KVARDI,2))</f>
        <v/>
      </c>
      <c r="FS89" s="39"/>
      <c r="FT89" s="40" t="str">
        <f aca="false">IF(OR(INDEX(Undirviðmið!$G$6:$G$105,(COLUMN()-7-1)/2+1)&lt;&gt;"Starfsbundið",FS89="",FS$8="",FS$7=""),"",ROUND(FS89/FS$8*FS$7*KVARDI,2))</f>
        <v/>
      </c>
      <c r="FU89" s="39"/>
      <c r="FV89" s="40" t="str">
        <f aca="false">IF(OR(INDEX(Undirviðmið!$G$6:$G$105,(COLUMN()-7-1)/2+1)&lt;&gt;"Starfsbundið",FU89="",FU$8="",FU$7=""),"",ROUND(FU89/FU$8*FU$7*KVARDI,2))</f>
        <v/>
      </c>
      <c r="FW89" s="39"/>
      <c r="FX89" s="40" t="str">
        <f aca="false">IF(OR(INDEX(Undirviðmið!$G$6:$G$105,(COLUMN()-7-1)/2+1)&lt;&gt;"Starfsbundið",FW89="",FW$8="",FW$7=""),"",ROUND(FW89/FW$8*FW$7*KVARDI,2))</f>
        <v/>
      </c>
      <c r="FY89" s="39"/>
      <c r="FZ89" s="40" t="str">
        <f aca="false">IF(OR(INDEX(Undirviðmið!$G$6:$G$105,(COLUMN()-7-1)/2+1)&lt;&gt;"Starfsbundið",FY89="",FY$8="",FY$7=""),"",ROUND(FY89/FY$8*FY$7*KVARDI,2))</f>
        <v/>
      </c>
      <c r="GA89" s="39"/>
      <c r="GB89" s="40" t="str">
        <f aca="false">IF(OR(INDEX(Undirviðmið!$G$6:$G$105,(COLUMN()-7-1)/2+1)&lt;&gt;"Starfsbundið",GA89="",GA$8="",GA$7=""),"",ROUND(GA89/GA$8*GA$7*KVARDI,2))</f>
        <v/>
      </c>
      <c r="GC89" s="39"/>
      <c r="GD89" s="40" t="str">
        <f aca="false">IF(OR(INDEX(Undirviðmið!$G$6:$G$105,(COLUMN()-7-1)/2+1)&lt;&gt;"Starfsbundið",GC89="",GC$8="",GC$7=""),"",ROUND(GC89/GC$8*GC$7*KVARDI,2))</f>
        <v/>
      </c>
      <c r="GE89" s="39"/>
      <c r="GF89" s="40" t="str">
        <f aca="false">IF(OR(INDEX(Undirviðmið!$G$6:$G$105,(COLUMN()-7-1)/2+1)&lt;&gt;"Starfsbundið",GE89="",GE$8="",GE$7=""),"",ROUND(GE89/GE$8*GE$7*KVARDI,2))</f>
        <v/>
      </c>
      <c r="GG89" s="39"/>
      <c r="GH89" s="40" t="str">
        <f aca="false">IF(OR(INDEX(Undirviðmið!$G$6:$G$105,(COLUMN()-7-1)/2+1)&lt;&gt;"Starfsbundið",GG89="",GG$8="",GG$7=""),"",ROUND(GG89/GG$8*GG$7*KVARDI,2))</f>
        <v/>
      </c>
      <c r="GI89" s="39"/>
      <c r="GJ89" s="40" t="str">
        <f aca="false">IF(OR(INDEX(Undirviðmið!$G$6:$G$105,(COLUMN()-7-1)/2+1)&lt;&gt;"Starfsbundið",GI89="",GI$8="",GI$7=""),"",ROUND(GI89/GI$8*GI$7*KVARDI,2))</f>
        <v/>
      </c>
      <c r="GK89" s="39"/>
      <c r="GL89" s="40" t="str">
        <f aca="false">IF(OR(INDEX(Undirviðmið!$G$6:$G$105,(COLUMN()-7-1)/2+1)&lt;&gt;"Starfsbundið",GK89="",GK$8="",GK$7=""),"",ROUND(GK89/GK$8*GK$7*KVARDI,2))</f>
        <v/>
      </c>
      <c r="GM89" s="39"/>
      <c r="GN89" s="40" t="str">
        <f aca="false">IF(OR(INDEX(Undirviðmið!$G$6:$G$105,(COLUMN()-7-1)/2+1)&lt;&gt;"Starfsbundið",GM89="",GM$8="",GM$7=""),"",ROUND(GM89/GM$8*GM$7*KVARDI,2))</f>
        <v/>
      </c>
      <c r="GO89" s="39"/>
      <c r="GP89" s="40" t="str">
        <f aca="false">IF(OR(INDEX(Undirviðmið!$G$6:$G$105,(COLUMN()-7-1)/2+1)&lt;&gt;"Starfsbundið",GO89="",GO$8="",GO$7=""),"",ROUND(GO89/GO$8*GO$7*KVARDI,2))</f>
        <v/>
      </c>
      <c r="GQ89" s="39"/>
      <c r="GR89" s="40" t="str">
        <f aca="false">IF(OR(INDEX(Undirviðmið!$G$6:$G$105,(COLUMN()-7-1)/2+1)&lt;&gt;"Starfsbundið",GQ89="",GQ$8="",GQ$7=""),"",ROUND(GQ89/GQ$8*GQ$7*KVARDI,2))</f>
        <v/>
      </c>
      <c r="GS89" s="39"/>
      <c r="GT89" s="40" t="str">
        <f aca="false">IF(OR(INDEX(Undirviðmið!$G$6:$G$105,(COLUMN()-7-1)/2+1)&lt;&gt;"Starfsbundið",GS89="",GS$8="",GS$7=""),"",ROUND(GS89/GS$8*GS$7*KVARDI,2))</f>
        <v/>
      </c>
      <c r="GU89" s="39"/>
      <c r="GV89" s="40" t="str">
        <f aca="false">IF(OR(INDEX(Undirviðmið!$G$6:$G$105,(COLUMN()-7-1)/2+1)&lt;&gt;"Starfsbundið",GU89="",GU$8="",GU$7=""),"",ROUND(GU89/GU$8*GU$7*KVARDI,2))</f>
        <v/>
      </c>
      <c r="GW89" s="39"/>
      <c r="GX89" s="40" t="str">
        <f aca="false">IF(OR(INDEX(Undirviðmið!$G$6:$G$105,(COLUMN()-7-1)/2+1)&lt;&gt;"Starfsbundið",GW89="",GW$8="",GW$7=""),"",ROUND(GW89/GW$8*GW$7*KVARDI,2))</f>
        <v/>
      </c>
      <c r="GZ89" s="20"/>
    </row>
    <row r="90" customFormat="false" ht="15" hidden="true" customHeight="true" outlineLevel="1" collapsed="false">
      <c r="B90" s="37" t="str">
        <f aca="false" t="array" ref="B90:B90">IFERROR(INDEX(Starfsmenn!$C$6:$C$10005,MATCH(0,COUNTIF($B$11:B89,Starfsmenn!$C$6:$C$10005)+(Starfsmenn!$C$6:$C$10005=""),0)),"")</f>
        <v/>
      </c>
      <c r="C90" s="38" t="n">
        <f aca="false">IFERROR(SUMIF($G$10:$GX$10,"Stig",$G90:$GX90),0)</f>
        <v>0</v>
      </c>
      <c r="G90" s="39"/>
      <c r="H90" s="40" t="str">
        <f aca="false">IF(OR(INDEX(Undirviðmið!$G$6:$G$105,(COLUMN()-7-1)/2+1)&lt;&gt;"Starfsbundið",G90="",G$8="",G$7=""),"",ROUND(G90/G$8*G$7*KVARDI,2))</f>
        <v/>
      </c>
      <c r="I90" s="39"/>
      <c r="J90" s="40" t="str">
        <f aca="false">IF(OR(INDEX(Undirviðmið!$G$6:$G$105,(COLUMN()-7-1)/2+1)&lt;&gt;"Starfsbundið",I90="",I$8="",I$7=""),"",ROUND(I90/I$8*I$7*KVARDI,2))</f>
        <v/>
      </c>
      <c r="K90" s="39"/>
      <c r="L90" s="40" t="str">
        <f aca="false">IF(OR(INDEX(Undirviðmið!$G$6:$G$105,(COLUMN()-7-1)/2+1)&lt;&gt;"Starfsbundið",K90="",K$8="",K$7=""),"",ROUND(K90/K$8*K$7*KVARDI,2))</f>
        <v/>
      </c>
      <c r="M90" s="39"/>
      <c r="N90" s="40" t="str">
        <f aca="false">IF(OR(INDEX(Undirviðmið!$G$6:$G$105,(COLUMN()-7-1)/2+1)&lt;&gt;"Starfsbundið",M90="",M$8="",M$7=""),"",ROUND(M90/M$8*M$7*KVARDI,2))</f>
        <v/>
      </c>
      <c r="O90" s="39"/>
      <c r="P90" s="40" t="str">
        <f aca="false">IF(OR(INDEX(Undirviðmið!$G$6:$G$105,(COLUMN()-7-1)/2+1)&lt;&gt;"Starfsbundið",O90="",O$8="",O$7=""),"",ROUND(O90/O$8*O$7*KVARDI,2))</f>
        <v/>
      </c>
      <c r="Q90" s="39"/>
      <c r="R90" s="40" t="str">
        <f aca="false">IF(OR(INDEX(Undirviðmið!$G$6:$G$105,(COLUMN()-7-1)/2+1)&lt;&gt;"Starfsbundið",Q90="",Q$8="",Q$7=""),"",ROUND(Q90/Q$8*Q$7*KVARDI,2))</f>
        <v/>
      </c>
      <c r="S90" s="39"/>
      <c r="T90" s="40" t="str">
        <f aca="false">IF(OR(INDEX(Undirviðmið!$G$6:$G$105,(COLUMN()-7-1)/2+1)&lt;&gt;"Starfsbundið",S90="",S$8="",S$7=""),"",ROUND(S90/S$8*S$7*KVARDI,2))</f>
        <v/>
      </c>
      <c r="U90" s="39"/>
      <c r="V90" s="40" t="str">
        <f aca="false">IF(OR(INDEX(Undirviðmið!$G$6:$G$105,(COLUMN()-7-1)/2+1)&lt;&gt;"Starfsbundið",U90="",U$8="",U$7=""),"",ROUND(U90/U$8*U$7*KVARDI,2))</f>
        <v/>
      </c>
      <c r="W90" s="39"/>
      <c r="X90" s="40" t="str">
        <f aca="false">IF(OR(INDEX(Undirviðmið!$G$6:$G$105,(COLUMN()-7-1)/2+1)&lt;&gt;"Starfsbundið",W90="",W$8="",W$7=""),"",ROUND(W90/W$8*W$7*KVARDI,2))</f>
        <v/>
      </c>
      <c r="Y90" s="39"/>
      <c r="Z90" s="40" t="str">
        <f aca="false">IF(OR(INDEX(Undirviðmið!$G$6:$G$105,(COLUMN()-7-1)/2+1)&lt;&gt;"Starfsbundið",Y90="",Y$8="",Y$7=""),"",ROUND(Y90/Y$8*Y$7*KVARDI,2))</f>
        <v/>
      </c>
      <c r="AA90" s="39"/>
      <c r="AB90" s="40" t="str">
        <f aca="false">IF(OR(INDEX(Undirviðmið!$G$6:$G$105,(COLUMN()-7-1)/2+1)&lt;&gt;"Starfsbundið",AA90="",AA$8="",AA$7=""),"",ROUND(AA90/AA$8*AA$7*KVARDI,2))</f>
        <v/>
      </c>
      <c r="AC90" s="39"/>
      <c r="AD90" s="40" t="str">
        <f aca="false">IF(OR(INDEX(Undirviðmið!$G$6:$G$105,(COLUMN()-7-1)/2+1)&lt;&gt;"Starfsbundið",AC90="",AC$8="",AC$7=""),"",ROUND(AC90/AC$8*AC$7*KVARDI,2))</f>
        <v/>
      </c>
      <c r="AE90" s="39"/>
      <c r="AF90" s="40" t="str">
        <f aca="false">IF(OR(INDEX(Undirviðmið!$G$6:$G$105,(COLUMN()-7-1)/2+1)&lt;&gt;"Starfsbundið",AE90="",AE$8="",AE$7=""),"",ROUND(AE90/AE$8*AE$7*KVARDI,2))</f>
        <v/>
      </c>
      <c r="AG90" s="39"/>
      <c r="AH90" s="40" t="str">
        <f aca="false">IF(OR(INDEX(Undirviðmið!$G$6:$G$105,(COLUMN()-7-1)/2+1)&lt;&gt;"Starfsbundið",AG90="",AG$8="",AG$7=""),"",ROUND(AG90/AG$8*AG$7*KVARDI,2))</f>
        <v/>
      </c>
      <c r="AI90" s="39"/>
      <c r="AJ90" s="40" t="str">
        <f aca="false">IF(OR(INDEX(Undirviðmið!$G$6:$G$105,(COLUMN()-7-1)/2+1)&lt;&gt;"Starfsbundið",AI90="",AI$8="",AI$7=""),"",ROUND(AI90/AI$8*AI$7*KVARDI,2))</f>
        <v/>
      </c>
      <c r="AK90" s="39"/>
      <c r="AL90" s="40" t="str">
        <f aca="false">IF(OR(INDEX(Undirviðmið!$G$6:$G$105,(COLUMN()-7-1)/2+1)&lt;&gt;"Starfsbundið",AK90="",AK$8="",AK$7=""),"",ROUND(AK90/AK$8*AK$7*KVARDI,2))</f>
        <v/>
      </c>
      <c r="AM90" s="39"/>
      <c r="AN90" s="40" t="str">
        <f aca="false">IF(OR(INDEX(Undirviðmið!$G$6:$G$105,(COLUMN()-7-1)/2+1)&lt;&gt;"Starfsbundið",AM90="",AM$8="",AM$7=""),"",ROUND(AM90/AM$8*AM$7*KVARDI,2))</f>
        <v/>
      </c>
      <c r="AO90" s="39"/>
      <c r="AP90" s="40" t="str">
        <f aca="false">IF(OR(INDEX(Undirviðmið!$G$6:$G$105,(COLUMN()-7-1)/2+1)&lt;&gt;"Starfsbundið",AO90="",AO$8="",AO$7=""),"",ROUND(AO90/AO$8*AO$7*KVARDI,2))</f>
        <v/>
      </c>
      <c r="AQ90" s="39"/>
      <c r="AR90" s="40" t="str">
        <f aca="false">IF(OR(INDEX(Undirviðmið!$G$6:$G$105,(COLUMN()-7-1)/2+1)&lt;&gt;"Starfsbundið",AQ90="",AQ$8="",AQ$7=""),"",ROUND(AQ90/AQ$8*AQ$7*KVARDI,2))</f>
        <v/>
      </c>
      <c r="AS90" s="39"/>
      <c r="AT90" s="40" t="str">
        <f aca="false">IF(OR(INDEX(Undirviðmið!$G$6:$G$105,(COLUMN()-7-1)/2+1)&lt;&gt;"Starfsbundið",AS90="",AS$8="",AS$7=""),"",ROUND(AS90/AS$8*AS$7*KVARDI,2))</f>
        <v/>
      </c>
      <c r="AU90" s="39"/>
      <c r="AV90" s="40" t="str">
        <f aca="false">IF(OR(INDEX(Undirviðmið!$G$6:$G$105,(COLUMN()-7-1)/2+1)&lt;&gt;"Starfsbundið",AU90="",AU$8="",AU$7=""),"",ROUND(AU90/AU$8*AU$7*KVARDI,2))</f>
        <v/>
      </c>
      <c r="AW90" s="39"/>
      <c r="AX90" s="40" t="str">
        <f aca="false">IF(OR(INDEX(Undirviðmið!$G$6:$G$105,(COLUMN()-7-1)/2+1)&lt;&gt;"Starfsbundið",AW90="",AW$8="",AW$7=""),"",ROUND(AW90/AW$8*AW$7*KVARDI,2))</f>
        <v/>
      </c>
      <c r="AY90" s="39"/>
      <c r="AZ90" s="40" t="str">
        <f aca="false">IF(OR(INDEX(Undirviðmið!$G$6:$G$105,(COLUMN()-7-1)/2+1)&lt;&gt;"Starfsbundið",AY90="",AY$8="",AY$7=""),"",ROUND(AY90/AY$8*AY$7*KVARDI,2))</f>
        <v/>
      </c>
      <c r="BA90" s="39"/>
      <c r="BB90" s="40" t="str">
        <f aca="false">IF(OR(INDEX(Undirviðmið!$G$6:$G$105,(COLUMN()-7-1)/2+1)&lt;&gt;"Starfsbundið",BA90="",BA$8="",BA$7=""),"",ROUND(BA90/BA$8*BA$7*KVARDI,2))</f>
        <v/>
      </c>
      <c r="BC90" s="39"/>
      <c r="BD90" s="40" t="str">
        <f aca="false">IF(OR(INDEX(Undirviðmið!$G$6:$G$105,(COLUMN()-7-1)/2+1)&lt;&gt;"Starfsbundið",BC90="",BC$8="",BC$7=""),"",ROUND(BC90/BC$8*BC$7*KVARDI,2))</f>
        <v/>
      </c>
      <c r="BE90" s="39"/>
      <c r="BF90" s="40" t="str">
        <f aca="false">IF(OR(INDEX(Undirviðmið!$G$6:$G$105,(COLUMN()-7-1)/2+1)&lt;&gt;"Starfsbundið",BE90="",BE$8="",BE$7=""),"",ROUND(BE90/BE$8*BE$7*KVARDI,2))</f>
        <v/>
      </c>
      <c r="BG90" s="39"/>
      <c r="BH90" s="40" t="str">
        <f aca="false">IF(OR(INDEX(Undirviðmið!$G$6:$G$105,(COLUMN()-7-1)/2+1)&lt;&gt;"Starfsbundið",BG90="",BG$8="",BG$7=""),"",ROUND(BG90/BG$8*BG$7*KVARDI,2))</f>
        <v/>
      </c>
      <c r="BI90" s="39"/>
      <c r="BJ90" s="40" t="str">
        <f aca="false">IF(OR(INDEX(Undirviðmið!$G$6:$G$105,(COLUMN()-7-1)/2+1)&lt;&gt;"Starfsbundið",BI90="",BI$8="",BI$7=""),"",ROUND(BI90/BI$8*BI$7*KVARDI,2))</f>
        <v/>
      </c>
      <c r="BK90" s="39"/>
      <c r="BL90" s="40" t="str">
        <f aca="false">IF(OR(INDEX(Undirviðmið!$G$6:$G$105,(COLUMN()-7-1)/2+1)&lt;&gt;"Starfsbundið",BK90="",BK$8="",BK$7=""),"",ROUND(BK90/BK$8*BK$7*KVARDI,2))</f>
        <v/>
      </c>
      <c r="BM90" s="39"/>
      <c r="BN90" s="40" t="str">
        <f aca="false">IF(OR(INDEX(Undirviðmið!$G$6:$G$105,(COLUMN()-7-1)/2+1)&lt;&gt;"Starfsbundið",BM90="",BM$8="",BM$7=""),"",ROUND(BM90/BM$8*BM$7*KVARDI,2))</f>
        <v/>
      </c>
      <c r="BO90" s="39"/>
      <c r="BP90" s="40" t="str">
        <f aca="false">IF(OR(INDEX(Undirviðmið!$G$6:$G$105,(COLUMN()-7-1)/2+1)&lt;&gt;"Starfsbundið",BO90="",BO$8="",BO$7=""),"",ROUND(BO90/BO$8*BO$7*KVARDI,2))</f>
        <v/>
      </c>
      <c r="BQ90" s="39"/>
      <c r="BR90" s="40" t="str">
        <f aca="false">IF(OR(INDEX(Undirviðmið!$G$6:$G$105,(COLUMN()-7-1)/2+1)&lt;&gt;"Starfsbundið",BQ90="",BQ$8="",BQ$7=""),"",ROUND(BQ90/BQ$8*BQ$7*KVARDI,2))</f>
        <v/>
      </c>
      <c r="BS90" s="39"/>
      <c r="BT90" s="40" t="str">
        <f aca="false">IF(OR(INDEX(Undirviðmið!$G$6:$G$105,(COLUMN()-7-1)/2+1)&lt;&gt;"Starfsbundið",BS90="",BS$8="",BS$7=""),"",ROUND(BS90/BS$8*BS$7*KVARDI,2))</f>
        <v/>
      </c>
      <c r="BU90" s="39"/>
      <c r="BV90" s="40" t="str">
        <f aca="false">IF(OR(INDEX(Undirviðmið!$G$6:$G$105,(COLUMN()-7-1)/2+1)&lt;&gt;"Starfsbundið",BU90="",BU$8="",BU$7=""),"",ROUND(BU90/BU$8*BU$7*KVARDI,2))</f>
        <v/>
      </c>
      <c r="BW90" s="39"/>
      <c r="BX90" s="40" t="str">
        <f aca="false">IF(OR(INDEX(Undirviðmið!$G$6:$G$105,(COLUMN()-7-1)/2+1)&lt;&gt;"Starfsbundið",BW90="",BW$8="",BW$7=""),"",ROUND(BW90/BW$8*BW$7*KVARDI,2))</f>
        <v/>
      </c>
      <c r="BY90" s="39"/>
      <c r="BZ90" s="40" t="str">
        <f aca="false">IF(OR(INDEX(Undirviðmið!$G$6:$G$105,(COLUMN()-7-1)/2+1)&lt;&gt;"Starfsbundið",BY90="",BY$8="",BY$7=""),"",ROUND(BY90/BY$8*BY$7*KVARDI,2))</f>
        <v/>
      </c>
      <c r="CA90" s="39"/>
      <c r="CB90" s="40" t="str">
        <f aca="false">IF(OR(INDEX(Undirviðmið!$G$6:$G$105,(COLUMN()-7-1)/2+1)&lt;&gt;"Starfsbundið",CA90="",CA$8="",CA$7=""),"",ROUND(CA90/CA$8*CA$7*KVARDI,2))</f>
        <v/>
      </c>
      <c r="CC90" s="39"/>
      <c r="CD90" s="40" t="str">
        <f aca="false">IF(OR(INDEX(Undirviðmið!$G$6:$G$105,(COLUMN()-7-1)/2+1)&lt;&gt;"Starfsbundið",CC90="",CC$8="",CC$7=""),"",ROUND(CC90/CC$8*CC$7*KVARDI,2))</f>
        <v/>
      </c>
      <c r="CE90" s="39"/>
      <c r="CF90" s="40" t="str">
        <f aca="false">IF(OR(INDEX(Undirviðmið!$G$6:$G$105,(COLUMN()-7-1)/2+1)&lt;&gt;"Starfsbundið",CE90="",CE$8="",CE$7=""),"",ROUND(CE90/CE$8*CE$7*KVARDI,2))</f>
        <v/>
      </c>
      <c r="CG90" s="39"/>
      <c r="CH90" s="40" t="str">
        <f aca="false">IF(OR(INDEX(Undirviðmið!$G$6:$G$105,(COLUMN()-7-1)/2+1)&lt;&gt;"Starfsbundið",CG90="",CG$8="",CG$7=""),"",ROUND(CG90/CG$8*CG$7*KVARDI,2))</f>
        <v/>
      </c>
      <c r="CI90" s="39"/>
      <c r="CJ90" s="40" t="str">
        <f aca="false">IF(OR(INDEX(Undirviðmið!$G$6:$G$105,(COLUMN()-7-1)/2+1)&lt;&gt;"Starfsbundið",CI90="",CI$8="",CI$7=""),"",ROUND(CI90/CI$8*CI$7*KVARDI,2))</f>
        <v/>
      </c>
      <c r="CK90" s="39"/>
      <c r="CL90" s="40" t="str">
        <f aca="false">IF(OR(INDEX(Undirviðmið!$G$6:$G$105,(COLUMN()-7-1)/2+1)&lt;&gt;"Starfsbundið",CK90="",CK$8="",CK$7=""),"",ROUND(CK90/CK$8*CK$7*KVARDI,2))</f>
        <v/>
      </c>
      <c r="CM90" s="39"/>
      <c r="CN90" s="40" t="str">
        <f aca="false">IF(OR(INDEX(Undirviðmið!$G$6:$G$105,(COLUMN()-7-1)/2+1)&lt;&gt;"Starfsbundið",CM90="",CM$8="",CM$7=""),"",ROUND(CM90/CM$8*CM$7*KVARDI,2))</f>
        <v/>
      </c>
      <c r="CO90" s="39"/>
      <c r="CP90" s="40" t="str">
        <f aca="false">IF(OR(INDEX(Undirviðmið!$G$6:$G$105,(COLUMN()-7-1)/2+1)&lt;&gt;"Starfsbundið",CO90="",CO$8="",CO$7=""),"",ROUND(CO90/CO$8*CO$7*KVARDI,2))</f>
        <v/>
      </c>
      <c r="CQ90" s="39"/>
      <c r="CR90" s="40" t="str">
        <f aca="false">IF(OR(INDEX(Undirviðmið!$G$6:$G$105,(COLUMN()-7-1)/2+1)&lt;&gt;"Starfsbundið",CQ90="",CQ$8="",CQ$7=""),"",ROUND(CQ90/CQ$8*CQ$7*KVARDI,2))</f>
        <v/>
      </c>
      <c r="CS90" s="39"/>
      <c r="CT90" s="40" t="str">
        <f aca="false">IF(OR(INDEX(Undirviðmið!$G$6:$G$105,(COLUMN()-7-1)/2+1)&lt;&gt;"Starfsbundið",CS90="",CS$8="",CS$7=""),"",ROUND(CS90/CS$8*CS$7*KVARDI,2))</f>
        <v/>
      </c>
      <c r="CU90" s="39"/>
      <c r="CV90" s="40" t="str">
        <f aca="false">IF(OR(INDEX(Undirviðmið!$G$6:$G$105,(COLUMN()-7-1)/2+1)&lt;&gt;"Starfsbundið",CU90="",CU$8="",CU$7=""),"",ROUND(CU90/CU$8*CU$7*KVARDI,2))</f>
        <v/>
      </c>
      <c r="CW90" s="39"/>
      <c r="CX90" s="40" t="str">
        <f aca="false">IF(OR(INDEX(Undirviðmið!$G$6:$G$105,(COLUMN()-7-1)/2+1)&lt;&gt;"Starfsbundið",CW90="",CW$8="",CW$7=""),"",ROUND(CW90/CW$8*CW$7*KVARDI,2))</f>
        <v/>
      </c>
      <c r="CY90" s="39"/>
      <c r="CZ90" s="40" t="str">
        <f aca="false">IF(OR(INDEX(Undirviðmið!$G$6:$G$105,(COLUMN()-7-1)/2+1)&lt;&gt;"Starfsbundið",CY90="",CY$8="",CY$7=""),"",ROUND(CY90/CY$8*CY$7*KVARDI,2))</f>
        <v/>
      </c>
      <c r="DA90" s="39"/>
      <c r="DB90" s="40" t="str">
        <f aca="false">IF(OR(INDEX(Undirviðmið!$G$6:$G$105,(COLUMN()-7-1)/2+1)&lt;&gt;"Starfsbundið",DA90="",DA$8="",DA$7=""),"",ROUND(DA90/DA$8*DA$7*KVARDI,2))</f>
        <v/>
      </c>
      <c r="DC90" s="39"/>
      <c r="DD90" s="40" t="str">
        <f aca="false">IF(OR(INDEX(Undirviðmið!$G$6:$G$105,(COLUMN()-7-1)/2+1)&lt;&gt;"Starfsbundið",DC90="",DC$8="",DC$7=""),"",ROUND(DC90/DC$8*DC$7*KVARDI,2))</f>
        <v/>
      </c>
      <c r="DE90" s="39"/>
      <c r="DF90" s="40" t="str">
        <f aca="false">IF(OR(INDEX(Undirviðmið!$G$6:$G$105,(COLUMN()-7-1)/2+1)&lt;&gt;"Starfsbundið",DE90="",DE$8="",DE$7=""),"",ROUND(DE90/DE$8*DE$7*KVARDI,2))</f>
        <v/>
      </c>
      <c r="DG90" s="39"/>
      <c r="DH90" s="40" t="str">
        <f aca="false">IF(OR(INDEX(Undirviðmið!$G$6:$G$105,(COLUMN()-7-1)/2+1)&lt;&gt;"Starfsbundið",DG90="",DG$8="",DG$7=""),"",ROUND(DG90/DG$8*DG$7*KVARDI,2))</f>
        <v/>
      </c>
      <c r="DI90" s="39"/>
      <c r="DJ90" s="40" t="str">
        <f aca="false">IF(OR(INDEX(Undirviðmið!$G$6:$G$105,(COLUMN()-7-1)/2+1)&lt;&gt;"Starfsbundið",DI90="",DI$8="",DI$7=""),"",ROUND(DI90/DI$8*DI$7*KVARDI,2))</f>
        <v/>
      </c>
      <c r="DK90" s="39"/>
      <c r="DL90" s="40" t="str">
        <f aca="false">IF(OR(INDEX(Undirviðmið!$G$6:$G$105,(COLUMN()-7-1)/2+1)&lt;&gt;"Starfsbundið",DK90="",DK$8="",DK$7=""),"",ROUND(DK90/DK$8*DK$7*KVARDI,2))</f>
        <v/>
      </c>
      <c r="DM90" s="39"/>
      <c r="DN90" s="40" t="str">
        <f aca="false">IF(OR(INDEX(Undirviðmið!$G$6:$G$105,(COLUMN()-7-1)/2+1)&lt;&gt;"Starfsbundið",DM90="",DM$8="",DM$7=""),"",ROUND(DM90/DM$8*DM$7*KVARDI,2))</f>
        <v/>
      </c>
      <c r="DO90" s="39"/>
      <c r="DP90" s="40" t="str">
        <f aca="false">IF(OR(INDEX(Undirviðmið!$G$6:$G$105,(COLUMN()-7-1)/2+1)&lt;&gt;"Starfsbundið",DO90="",DO$8="",DO$7=""),"",ROUND(DO90/DO$8*DO$7*KVARDI,2))</f>
        <v/>
      </c>
      <c r="DQ90" s="39"/>
      <c r="DR90" s="40" t="str">
        <f aca="false">IF(OR(INDEX(Undirviðmið!$G$6:$G$105,(COLUMN()-7-1)/2+1)&lt;&gt;"Starfsbundið",DQ90="",DQ$8="",DQ$7=""),"",ROUND(DQ90/DQ$8*DQ$7*KVARDI,2))</f>
        <v/>
      </c>
      <c r="DS90" s="39"/>
      <c r="DT90" s="40" t="str">
        <f aca="false">IF(OR(INDEX(Undirviðmið!$G$6:$G$105,(COLUMN()-7-1)/2+1)&lt;&gt;"Starfsbundið",DS90="",DS$8="",DS$7=""),"",ROUND(DS90/DS$8*DS$7*KVARDI,2))</f>
        <v/>
      </c>
      <c r="DU90" s="39"/>
      <c r="DV90" s="40" t="str">
        <f aca="false">IF(OR(INDEX(Undirviðmið!$G$6:$G$105,(COLUMN()-7-1)/2+1)&lt;&gt;"Starfsbundið",DU90="",DU$8="",DU$7=""),"",ROUND(DU90/DU$8*DU$7*KVARDI,2))</f>
        <v/>
      </c>
      <c r="DW90" s="39"/>
      <c r="DX90" s="40" t="str">
        <f aca="false">IF(OR(INDEX(Undirviðmið!$G$6:$G$105,(COLUMN()-7-1)/2+1)&lt;&gt;"Starfsbundið",DW90="",DW$8="",DW$7=""),"",ROUND(DW90/DW$8*DW$7*KVARDI,2))</f>
        <v/>
      </c>
      <c r="DY90" s="39"/>
      <c r="DZ90" s="40" t="str">
        <f aca="false">IF(OR(INDEX(Undirviðmið!$G$6:$G$105,(COLUMN()-7-1)/2+1)&lt;&gt;"Starfsbundið",DY90="",DY$8="",DY$7=""),"",ROUND(DY90/DY$8*DY$7*KVARDI,2))</f>
        <v/>
      </c>
      <c r="EA90" s="39"/>
      <c r="EB90" s="40" t="str">
        <f aca="false">IF(OR(INDEX(Undirviðmið!$G$6:$G$105,(COLUMN()-7-1)/2+1)&lt;&gt;"Starfsbundið",EA90="",EA$8="",EA$7=""),"",ROUND(EA90/EA$8*EA$7*KVARDI,2))</f>
        <v/>
      </c>
      <c r="EC90" s="39"/>
      <c r="ED90" s="40" t="str">
        <f aca="false">IF(OR(INDEX(Undirviðmið!$G$6:$G$105,(COLUMN()-7-1)/2+1)&lt;&gt;"Starfsbundið",EC90="",EC$8="",EC$7=""),"",ROUND(EC90/EC$8*EC$7*KVARDI,2))</f>
        <v/>
      </c>
      <c r="EE90" s="39"/>
      <c r="EF90" s="40" t="str">
        <f aca="false">IF(OR(INDEX(Undirviðmið!$G$6:$G$105,(COLUMN()-7-1)/2+1)&lt;&gt;"Starfsbundið",EE90="",EE$8="",EE$7=""),"",ROUND(EE90/EE$8*EE$7*KVARDI,2))</f>
        <v/>
      </c>
      <c r="EG90" s="39"/>
      <c r="EH90" s="40" t="str">
        <f aca="false">IF(OR(INDEX(Undirviðmið!$G$6:$G$105,(COLUMN()-7-1)/2+1)&lt;&gt;"Starfsbundið",EG90="",EG$8="",EG$7=""),"",ROUND(EG90/EG$8*EG$7*KVARDI,2))</f>
        <v/>
      </c>
      <c r="EI90" s="39"/>
      <c r="EJ90" s="40" t="str">
        <f aca="false">IF(OR(INDEX(Undirviðmið!$G$6:$G$105,(COLUMN()-7-1)/2+1)&lt;&gt;"Starfsbundið",EI90="",EI$8="",EI$7=""),"",ROUND(EI90/EI$8*EI$7*KVARDI,2))</f>
        <v/>
      </c>
      <c r="EK90" s="39"/>
      <c r="EL90" s="40" t="str">
        <f aca="false">IF(OR(INDEX(Undirviðmið!$G$6:$G$105,(COLUMN()-7-1)/2+1)&lt;&gt;"Starfsbundið",EK90="",EK$8="",EK$7=""),"",ROUND(EK90/EK$8*EK$7*KVARDI,2))</f>
        <v/>
      </c>
      <c r="EM90" s="39"/>
      <c r="EN90" s="40" t="str">
        <f aca="false">IF(OR(INDEX(Undirviðmið!$G$6:$G$105,(COLUMN()-7-1)/2+1)&lt;&gt;"Starfsbundið",EM90="",EM$8="",EM$7=""),"",ROUND(EM90/EM$8*EM$7*KVARDI,2))</f>
        <v/>
      </c>
      <c r="EO90" s="39"/>
      <c r="EP90" s="40" t="str">
        <f aca="false">IF(OR(INDEX(Undirviðmið!$G$6:$G$105,(COLUMN()-7-1)/2+1)&lt;&gt;"Starfsbundið",EO90="",EO$8="",EO$7=""),"",ROUND(EO90/EO$8*EO$7*KVARDI,2))</f>
        <v/>
      </c>
      <c r="EQ90" s="39"/>
      <c r="ER90" s="40" t="str">
        <f aca="false">IF(OR(INDEX(Undirviðmið!$G$6:$G$105,(COLUMN()-7-1)/2+1)&lt;&gt;"Starfsbundið",EQ90="",EQ$8="",EQ$7=""),"",ROUND(EQ90/EQ$8*EQ$7*KVARDI,2))</f>
        <v/>
      </c>
      <c r="ES90" s="39"/>
      <c r="ET90" s="40" t="str">
        <f aca="false">IF(OR(INDEX(Undirviðmið!$G$6:$G$105,(COLUMN()-7-1)/2+1)&lt;&gt;"Starfsbundið",ES90="",ES$8="",ES$7=""),"",ROUND(ES90/ES$8*ES$7*KVARDI,2))</f>
        <v/>
      </c>
      <c r="EU90" s="39"/>
      <c r="EV90" s="40" t="str">
        <f aca="false">IF(OR(INDEX(Undirviðmið!$G$6:$G$105,(COLUMN()-7-1)/2+1)&lt;&gt;"Starfsbundið",EU90="",EU$8="",EU$7=""),"",ROUND(EU90/EU$8*EU$7*KVARDI,2))</f>
        <v/>
      </c>
      <c r="EW90" s="39"/>
      <c r="EX90" s="40" t="str">
        <f aca="false">IF(OR(INDEX(Undirviðmið!$G$6:$G$105,(COLUMN()-7-1)/2+1)&lt;&gt;"Starfsbundið",EW90="",EW$8="",EW$7=""),"",ROUND(EW90/EW$8*EW$7*KVARDI,2))</f>
        <v/>
      </c>
      <c r="EY90" s="39"/>
      <c r="EZ90" s="40" t="str">
        <f aca="false">IF(OR(INDEX(Undirviðmið!$G$6:$G$105,(COLUMN()-7-1)/2+1)&lt;&gt;"Starfsbundið",EY90="",EY$8="",EY$7=""),"",ROUND(EY90/EY$8*EY$7*KVARDI,2))</f>
        <v/>
      </c>
      <c r="FA90" s="39"/>
      <c r="FB90" s="40" t="str">
        <f aca="false">IF(OR(INDEX(Undirviðmið!$G$6:$G$105,(COLUMN()-7-1)/2+1)&lt;&gt;"Starfsbundið",FA90="",FA$8="",FA$7=""),"",ROUND(FA90/FA$8*FA$7*KVARDI,2))</f>
        <v/>
      </c>
      <c r="FC90" s="39"/>
      <c r="FD90" s="40" t="str">
        <f aca="false">IF(OR(INDEX(Undirviðmið!$G$6:$G$105,(COLUMN()-7-1)/2+1)&lt;&gt;"Starfsbundið",FC90="",FC$8="",FC$7=""),"",ROUND(FC90/FC$8*FC$7*KVARDI,2))</f>
        <v/>
      </c>
      <c r="FE90" s="39"/>
      <c r="FF90" s="40" t="str">
        <f aca="false">IF(OR(INDEX(Undirviðmið!$G$6:$G$105,(COLUMN()-7-1)/2+1)&lt;&gt;"Starfsbundið",FE90="",FE$8="",FE$7=""),"",ROUND(FE90/FE$8*FE$7*KVARDI,2))</f>
        <v/>
      </c>
      <c r="FG90" s="39"/>
      <c r="FH90" s="40" t="str">
        <f aca="false">IF(OR(INDEX(Undirviðmið!$G$6:$G$105,(COLUMN()-7-1)/2+1)&lt;&gt;"Starfsbundið",FG90="",FG$8="",FG$7=""),"",ROUND(FG90/FG$8*FG$7*KVARDI,2))</f>
        <v/>
      </c>
      <c r="FI90" s="39"/>
      <c r="FJ90" s="40" t="str">
        <f aca="false">IF(OR(INDEX(Undirviðmið!$G$6:$G$105,(COLUMN()-7-1)/2+1)&lt;&gt;"Starfsbundið",FI90="",FI$8="",FI$7=""),"",ROUND(FI90/FI$8*FI$7*KVARDI,2))</f>
        <v/>
      </c>
      <c r="FK90" s="39"/>
      <c r="FL90" s="40" t="str">
        <f aca="false">IF(OR(INDEX(Undirviðmið!$G$6:$G$105,(COLUMN()-7-1)/2+1)&lt;&gt;"Starfsbundið",FK90="",FK$8="",FK$7=""),"",ROUND(FK90/FK$8*FK$7*KVARDI,2))</f>
        <v/>
      </c>
      <c r="FM90" s="39"/>
      <c r="FN90" s="40" t="str">
        <f aca="false">IF(OR(INDEX(Undirviðmið!$G$6:$G$105,(COLUMN()-7-1)/2+1)&lt;&gt;"Starfsbundið",FM90="",FM$8="",FM$7=""),"",ROUND(FM90/FM$8*FM$7*KVARDI,2))</f>
        <v/>
      </c>
      <c r="FO90" s="39"/>
      <c r="FP90" s="40" t="str">
        <f aca="false">IF(OR(INDEX(Undirviðmið!$G$6:$G$105,(COLUMN()-7-1)/2+1)&lt;&gt;"Starfsbundið",FO90="",FO$8="",FO$7=""),"",ROUND(FO90/FO$8*FO$7*KVARDI,2))</f>
        <v/>
      </c>
      <c r="FQ90" s="39"/>
      <c r="FR90" s="40" t="str">
        <f aca="false">IF(OR(INDEX(Undirviðmið!$G$6:$G$105,(COLUMN()-7-1)/2+1)&lt;&gt;"Starfsbundið",FQ90="",FQ$8="",FQ$7=""),"",ROUND(FQ90/FQ$8*FQ$7*KVARDI,2))</f>
        <v/>
      </c>
      <c r="FS90" s="39"/>
      <c r="FT90" s="40" t="str">
        <f aca="false">IF(OR(INDEX(Undirviðmið!$G$6:$G$105,(COLUMN()-7-1)/2+1)&lt;&gt;"Starfsbundið",FS90="",FS$8="",FS$7=""),"",ROUND(FS90/FS$8*FS$7*KVARDI,2))</f>
        <v/>
      </c>
      <c r="FU90" s="39"/>
      <c r="FV90" s="40" t="str">
        <f aca="false">IF(OR(INDEX(Undirviðmið!$G$6:$G$105,(COLUMN()-7-1)/2+1)&lt;&gt;"Starfsbundið",FU90="",FU$8="",FU$7=""),"",ROUND(FU90/FU$8*FU$7*KVARDI,2))</f>
        <v/>
      </c>
      <c r="FW90" s="39"/>
      <c r="FX90" s="40" t="str">
        <f aca="false">IF(OR(INDEX(Undirviðmið!$G$6:$G$105,(COLUMN()-7-1)/2+1)&lt;&gt;"Starfsbundið",FW90="",FW$8="",FW$7=""),"",ROUND(FW90/FW$8*FW$7*KVARDI,2))</f>
        <v/>
      </c>
      <c r="FY90" s="39"/>
      <c r="FZ90" s="40" t="str">
        <f aca="false">IF(OR(INDEX(Undirviðmið!$G$6:$G$105,(COLUMN()-7-1)/2+1)&lt;&gt;"Starfsbundið",FY90="",FY$8="",FY$7=""),"",ROUND(FY90/FY$8*FY$7*KVARDI,2))</f>
        <v/>
      </c>
      <c r="GA90" s="39"/>
      <c r="GB90" s="40" t="str">
        <f aca="false">IF(OR(INDEX(Undirviðmið!$G$6:$G$105,(COLUMN()-7-1)/2+1)&lt;&gt;"Starfsbundið",GA90="",GA$8="",GA$7=""),"",ROUND(GA90/GA$8*GA$7*KVARDI,2))</f>
        <v/>
      </c>
      <c r="GC90" s="39"/>
      <c r="GD90" s="40" t="str">
        <f aca="false">IF(OR(INDEX(Undirviðmið!$G$6:$G$105,(COLUMN()-7-1)/2+1)&lt;&gt;"Starfsbundið",GC90="",GC$8="",GC$7=""),"",ROUND(GC90/GC$8*GC$7*KVARDI,2))</f>
        <v/>
      </c>
      <c r="GE90" s="39"/>
      <c r="GF90" s="40" t="str">
        <f aca="false">IF(OR(INDEX(Undirviðmið!$G$6:$G$105,(COLUMN()-7-1)/2+1)&lt;&gt;"Starfsbundið",GE90="",GE$8="",GE$7=""),"",ROUND(GE90/GE$8*GE$7*KVARDI,2))</f>
        <v/>
      </c>
      <c r="GG90" s="39"/>
      <c r="GH90" s="40" t="str">
        <f aca="false">IF(OR(INDEX(Undirviðmið!$G$6:$G$105,(COLUMN()-7-1)/2+1)&lt;&gt;"Starfsbundið",GG90="",GG$8="",GG$7=""),"",ROUND(GG90/GG$8*GG$7*KVARDI,2))</f>
        <v/>
      </c>
      <c r="GI90" s="39"/>
      <c r="GJ90" s="40" t="str">
        <f aca="false">IF(OR(INDEX(Undirviðmið!$G$6:$G$105,(COLUMN()-7-1)/2+1)&lt;&gt;"Starfsbundið",GI90="",GI$8="",GI$7=""),"",ROUND(GI90/GI$8*GI$7*KVARDI,2))</f>
        <v/>
      </c>
      <c r="GK90" s="39"/>
      <c r="GL90" s="40" t="str">
        <f aca="false">IF(OR(INDEX(Undirviðmið!$G$6:$G$105,(COLUMN()-7-1)/2+1)&lt;&gt;"Starfsbundið",GK90="",GK$8="",GK$7=""),"",ROUND(GK90/GK$8*GK$7*KVARDI,2))</f>
        <v/>
      </c>
      <c r="GM90" s="39"/>
      <c r="GN90" s="40" t="str">
        <f aca="false">IF(OR(INDEX(Undirviðmið!$G$6:$G$105,(COLUMN()-7-1)/2+1)&lt;&gt;"Starfsbundið",GM90="",GM$8="",GM$7=""),"",ROUND(GM90/GM$8*GM$7*KVARDI,2))</f>
        <v/>
      </c>
      <c r="GO90" s="39"/>
      <c r="GP90" s="40" t="str">
        <f aca="false">IF(OR(INDEX(Undirviðmið!$G$6:$G$105,(COLUMN()-7-1)/2+1)&lt;&gt;"Starfsbundið",GO90="",GO$8="",GO$7=""),"",ROUND(GO90/GO$8*GO$7*KVARDI,2))</f>
        <v/>
      </c>
      <c r="GQ90" s="39"/>
      <c r="GR90" s="40" t="str">
        <f aca="false">IF(OR(INDEX(Undirviðmið!$G$6:$G$105,(COLUMN()-7-1)/2+1)&lt;&gt;"Starfsbundið",GQ90="",GQ$8="",GQ$7=""),"",ROUND(GQ90/GQ$8*GQ$7*KVARDI,2))</f>
        <v/>
      </c>
      <c r="GS90" s="39"/>
      <c r="GT90" s="40" t="str">
        <f aca="false">IF(OR(INDEX(Undirviðmið!$G$6:$G$105,(COLUMN()-7-1)/2+1)&lt;&gt;"Starfsbundið",GS90="",GS$8="",GS$7=""),"",ROUND(GS90/GS$8*GS$7*KVARDI,2))</f>
        <v/>
      </c>
      <c r="GU90" s="39"/>
      <c r="GV90" s="40" t="str">
        <f aca="false">IF(OR(INDEX(Undirviðmið!$G$6:$G$105,(COLUMN()-7-1)/2+1)&lt;&gt;"Starfsbundið",GU90="",GU$8="",GU$7=""),"",ROUND(GU90/GU$8*GU$7*KVARDI,2))</f>
        <v/>
      </c>
      <c r="GW90" s="39"/>
      <c r="GX90" s="40" t="str">
        <f aca="false">IF(OR(INDEX(Undirviðmið!$G$6:$G$105,(COLUMN()-7-1)/2+1)&lt;&gt;"Starfsbundið",GW90="",GW$8="",GW$7=""),"",ROUND(GW90/GW$8*GW$7*KVARDI,2))</f>
        <v/>
      </c>
      <c r="GZ90" s="20"/>
    </row>
    <row r="91" customFormat="false" ht="15" hidden="true" customHeight="true" outlineLevel="1" collapsed="false">
      <c r="B91" s="37" t="str">
        <f aca="false" t="array" ref="B91:B91">IFERROR(INDEX(Starfsmenn!$C$6:$C$10005,MATCH(0,COUNTIF($B$11:B90,Starfsmenn!$C$6:$C$10005)+(Starfsmenn!$C$6:$C$10005=""),0)),"")</f>
        <v/>
      </c>
      <c r="C91" s="38" t="n">
        <f aca="false">IFERROR(SUMIF($G$10:$GX$10,"Stig",$G91:$GX91),0)</f>
        <v>0</v>
      </c>
      <c r="G91" s="39"/>
      <c r="H91" s="40" t="str">
        <f aca="false">IF(OR(INDEX(Undirviðmið!$G$6:$G$105,(COLUMN()-7-1)/2+1)&lt;&gt;"Starfsbundið",G91="",G$8="",G$7=""),"",ROUND(G91/G$8*G$7*KVARDI,2))</f>
        <v/>
      </c>
      <c r="I91" s="39"/>
      <c r="J91" s="40" t="str">
        <f aca="false">IF(OR(INDEX(Undirviðmið!$G$6:$G$105,(COLUMN()-7-1)/2+1)&lt;&gt;"Starfsbundið",I91="",I$8="",I$7=""),"",ROUND(I91/I$8*I$7*KVARDI,2))</f>
        <v/>
      </c>
      <c r="K91" s="39"/>
      <c r="L91" s="40" t="str">
        <f aca="false">IF(OR(INDEX(Undirviðmið!$G$6:$G$105,(COLUMN()-7-1)/2+1)&lt;&gt;"Starfsbundið",K91="",K$8="",K$7=""),"",ROUND(K91/K$8*K$7*KVARDI,2))</f>
        <v/>
      </c>
      <c r="M91" s="39"/>
      <c r="N91" s="40" t="str">
        <f aca="false">IF(OR(INDEX(Undirviðmið!$G$6:$G$105,(COLUMN()-7-1)/2+1)&lt;&gt;"Starfsbundið",M91="",M$8="",M$7=""),"",ROUND(M91/M$8*M$7*KVARDI,2))</f>
        <v/>
      </c>
      <c r="O91" s="39"/>
      <c r="P91" s="40" t="str">
        <f aca="false">IF(OR(INDEX(Undirviðmið!$G$6:$G$105,(COLUMN()-7-1)/2+1)&lt;&gt;"Starfsbundið",O91="",O$8="",O$7=""),"",ROUND(O91/O$8*O$7*KVARDI,2))</f>
        <v/>
      </c>
      <c r="Q91" s="39"/>
      <c r="R91" s="40" t="str">
        <f aca="false">IF(OR(INDEX(Undirviðmið!$G$6:$G$105,(COLUMN()-7-1)/2+1)&lt;&gt;"Starfsbundið",Q91="",Q$8="",Q$7=""),"",ROUND(Q91/Q$8*Q$7*KVARDI,2))</f>
        <v/>
      </c>
      <c r="S91" s="39"/>
      <c r="T91" s="40" t="str">
        <f aca="false">IF(OR(INDEX(Undirviðmið!$G$6:$G$105,(COLUMN()-7-1)/2+1)&lt;&gt;"Starfsbundið",S91="",S$8="",S$7=""),"",ROUND(S91/S$8*S$7*KVARDI,2))</f>
        <v/>
      </c>
      <c r="U91" s="39"/>
      <c r="V91" s="40" t="str">
        <f aca="false">IF(OR(INDEX(Undirviðmið!$G$6:$G$105,(COLUMN()-7-1)/2+1)&lt;&gt;"Starfsbundið",U91="",U$8="",U$7=""),"",ROUND(U91/U$8*U$7*KVARDI,2))</f>
        <v/>
      </c>
      <c r="W91" s="39"/>
      <c r="X91" s="40" t="str">
        <f aca="false">IF(OR(INDEX(Undirviðmið!$G$6:$G$105,(COLUMN()-7-1)/2+1)&lt;&gt;"Starfsbundið",W91="",W$8="",W$7=""),"",ROUND(W91/W$8*W$7*KVARDI,2))</f>
        <v/>
      </c>
      <c r="Y91" s="39"/>
      <c r="Z91" s="40" t="str">
        <f aca="false">IF(OR(INDEX(Undirviðmið!$G$6:$G$105,(COLUMN()-7-1)/2+1)&lt;&gt;"Starfsbundið",Y91="",Y$8="",Y$7=""),"",ROUND(Y91/Y$8*Y$7*KVARDI,2))</f>
        <v/>
      </c>
      <c r="AA91" s="39"/>
      <c r="AB91" s="40" t="str">
        <f aca="false">IF(OR(INDEX(Undirviðmið!$G$6:$G$105,(COLUMN()-7-1)/2+1)&lt;&gt;"Starfsbundið",AA91="",AA$8="",AA$7=""),"",ROUND(AA91/AA$8*AA$7*KVARDI,2))</f>
        <v/>
      </c>
      <c r="AC91" s="39"/>
      <c r="AD91" s="40" t="str">
        <f aca="false">IF(OR(INDEX(Undirviðmið!$G$6:$G$105,(COLUMN()-7-1)/2+1)&lt;&gt;"Starfsbundið",AC91="",AC$8="",AC$7=""),"",ROUND(AC91/AC$8*AC$7*KVARDI,2))</f>
        <v/>
      </c>
      <c r="AE91" s="39"/>
      <c r="AF91" s="40" t="str">
        <f aca="false">IF(OR(INDEX(Undirviðmið!$G$6:$G$105,(COLUMN()-7-1)/2+1)&lt;&gt;"Starfsbundið",AE91="",AE$8="",AE$7=""),"",ROUND(AE91/AE$8*AE$7*KVARDI,2))</f>
        <v/>
      </c>
      <c r="AG91" s="39"/>
      <c r="AH91" s="40" t="str">
        <f aca="false">IF(OR(INDEX(Undirviðmið!$G$6:$G$105,(COLUMN()-7-1)/2+1)&lt;&gt;"Starfsbundið",AG91="",AG$8="",AG$7=""),"",ROUND(AG91/AG$8*AG$7*KVARDI,2))</f>
        <v/>
      </c>
      <c r="AI91" s="39"/>
      <c r="AJ91" s="40" t="str">
        <f aca="false">IF(OR(INDEX(Undirviðmið!$G$6:$G$105,(COLUMN()-7-1)/2+1)&lt;&gt;"Starfsbundið",AI91="",AI$8="",AI$7=""),"",ROUND(AI91/AI$8*AI$7*KVARDI,2))</f>
        <v/>
      </c>
      <c r="AK91" s="39"/>
      <c r="AL91" s="40" t="str">
        <f aca="false">IF(OR(INDEX(Undirviðmið!$G$6:$G$105,(COLUMN()-7-1)/2+1)&lt;&gt;"Starfsbundið",AK91="",AK$8="",AK$7=""),"",ROUND(AK91/AK$8*AK$7*KVARDI,2))</f>
        <v/>
      </c>
      <c r="AM91" s="39"/>
      <c r="AN91" s="40" t="str">
        <f aca="false">IF(OR(INDEX(Undirviðmið!$G$6:$G$105,(COLUMN()-7-1)/2+1)&lt;&gt;"Starfsbundið",AM91="",AM$8="",AM$7=""),"",ROUND(AM91/AM$8*AM$7*KVARDI,2))</f>
        <v/>
      </c>
      <c r="AO91" s="39"/>
      <c r="AP91" s="40" t="str">
        <f aca="false">IF(OR(INDEX(Undirviðmið!$G$6:$G$105,(COLUMN()-7-1)/2+1)&lt;&gt;"Starfsbundið",AO91="",AO$8="",AO$7=""),"",ROUND(AO91/AO$8*AO$7*KVARDI,2))</f>
        <v/>
      </c>
      <c r="AQ91" s="39"/>
      <c r="AR91" s="40" t="str">
        <f aca="false">IF(OR(INDEX(Undirviðmið!$G$6:$G$105,(COLUMN()-7-1)/2+1)&lt;&gt;"Starfsbundið",AQ91="",AQ$8="",AQ$7=""),"",ROUND(AQ91/AQ$8*AQ$7*KVARDI,2))</f>
        <v/>
      </c>
      <c r="AS91" s="39"/>
      <c r="AT91" s="40" t="str">
        <f aca="false">IF(OR(INDEX(Undirviðmið!$G$6:$G$105,(COLUMN()-7-1)/2+1)&lt;&gt;"Starfsbundið",AS91="",AS$8="",AS$7=""),"",ROUND(AS91/AS$8*AS$7*KVARDI,2))</f>
        <v/>
      </c>
      <c r="AU91" s="39"/>
      <c r="AV91" s="40" t="str">
        <f aca="false">IF(OR(INDEX(Undirviðmið!$G$6:$G$105,(COLUMN()-7-1)/2+1)&lt;&gt;"Starfsbundið",AU91="",AU$8="",AU$7=""),"",ROUND(AU91/AU$8*AU$7*KVARDI,2))</f>
        <v/>
      </c>
      <c r="AW91" s="39"/>
      <c r="AX91" s="40" t="str">
        <f aca="false">IF(OR(INDEX(Undirviðmið!$G$6:$G$105,(COLUMN()-7-1)/2+1)&lt;&gt;"Starfsbundið",AW91="",AW$8="",AW$7=""),"",ROUND(AW91/AW$8*AW$7*KVARDI,2))</f>
        <v/>
      </c>
      <c r="AY91" s="39"/>
      <c r="AZ91" s="40" t="str">
        <f aca="false">IF(OR(INDEX(Undirviðmið!$G$6:$G$105,(COLUMN()-7-1)/2+1)&lt;&gt;"Starfsbundið",AY91="",AY$8="",AY$7=""),"",ROUND(AY91/AY$8*AY$7*KVARDI,2))</f>
        <v/>
      </c>
      <c r="BA91" s="39"/>
      <c r="BB91" s="40" t="str">
        <f aca="false">IF(OR(INDEX(Undirviðmið!$G$6:$G$105,(COLUMN()-7-1)/2+1)&lt;&gt;"Starfsbundið",BA91="",BA$8="",BA$7=""),"",ROUND(BA91/BA$8*BA$7*KVARDI,2))</f>
        <v/>
      </c>
      <c r="BC91" s="39"/>
      <c r="BD91" s="40" t="str">
        <f aca="false">IF(OR(INDEX(Undirviðmið!$G$6:$G$105,(COLUMN()-7-1)/2+1)&lt;&gt;"Starfsbundið",BC91="",BC$8="",BC$7=""),"",ROUND(BC91/BC$8*BC$7*KVARDI,2))</f>
        <v/>
      </c>
      <c r="BE91" s="39"/>
      <c r="BF91" s="40" t="str">
        <f aca="false">IF(OR(INDEX(Undirviðmið!$G$6:$G$105,(COLUMN()-7-1)/2+1)&lt;&gt;"Starfsbundið",BE91="",BE$8="",BE$7=""),"",ROUND(BE91/BE$8*BE$7*KVARDI,2))</f>
        <v/>
      </c>
      <c r="BG91" s="39"/>
      <c r="BH91" s="40" t="str">
        <f aca="false">IF(OR(INDEX(Undirviðmið!$G$6:$G$105,(COLUMN()-7-1)/2+1)&lt;&gt;"Starfsbundið",BG91="",BG$8="",BG$7=""),"",ROUND(BG91/BG$8*BG$7*KVARDI,2))</f>
        <v/>
      </c>
      <c r="BI91" s="39"/>
      <c r="BJ91" s="40" t="str">
        <f aca="false">IF(OR(INDEX(Undirviðmið!$G$6:$G$105,(COLUMN()-7-1)/2+1)&lt;&gt;"Starfsbundið",BI91="",BI$8="",BI$7=""),"",ROUND(BI91/BI$8*BI$7*KVARDI,2))</f>
        <v/>
      </c>
      <c r="BK91" s="39"/>
      <c r="BL91" s="40" t="str">
        <f aca="false">IF(OR(INDEX(Undirviðmið!$G$6:$G$105,(COLUMN()-7-1)/2+1)&lt;&gt;"Starfsbundið",BK91="",BK$8="",BK$7=""),"",ROUND(BK91/BK$8*BK$7*KVARDI,2))</f>
        <v/>
      </c>
      <c r="BM91" s="39"/>
      <c r="BN91" s="40" t="str">
        <f aca="false">IF(OR(INDEX(Undirviðmið!$G$6:$G$105,(COLUMN()-7-1)/2+1)&lt;&gt;"Starfsbundið",BM91="",BM$8="",BM$7=""),"",ROUND(BM91/BM$8*BM$7*KVARDI,2))</f>
        <v/>
      </c>
      <c r="BO91" s="39"/>
      <c r="BP91" s="40" t="str">
        <f aca="false">IF(OR(INDEX(Undirviðmið!$G$6:$G$105,(COLUMN()-7-1)/2+1)&lt;&gt;"Starfsbundið",BO91="",BO$8="",BO$7=""),"",ROUND(BO91/BO$8*BO$7*KVARDI,2))</f>
        <v/>
      </c>
      <c r="BQ91" s="39"/>
      <c r="BR91" s="40" t="str">
        <f aca="false">IF(OR(INDEX(Undirviðmið!$G$6:$G$105,(COLUMN()-7-1)/2+1)&lt;&gt;"Starfsbundið",BQ91="",BQ$8="",BQ$7=""),"",ROUND(BQ91/BQ$8*BQ$7*KVARDI,2))</f>
        <v/>
      </c>
      <c r="BS91" s="39"/>
      <c r="BT91" s="40" t="str">
        <f aca="false">IF(OR(INDEX(Undirviðmið!$G$6:$G$105,(COLUMN()-7-1)/2+1)&lt;&gt;"Starfsbundið",BS91="",BS$8="",BS$7=""),"",ROUND(BS91/BS$8*BS$7*KVARDI,2))</f>
        <v/>
      </c>
      <c r="BU91" s="39"/>
      <c r="BV91" s="40" t="str">
        <f aca="false">IF(OR(INDEX(Undirviðmið!$G$6:$G$105,(COLUMN()-7-1)/2+1)&lt;&gt;"Starfsbundið",BU91="",BU$8="",BU$7=""),"",ROUND(BU91/BU$8*BU$7*KVARDI,2))</f>
        <v/>
      </c>
      <c r="BW91" s="39"/>
      <c r="BX91" s="40" t="str">
        <f aca="false">IF(OR(INDEX(Undirviðmið!$G$6:$G$105,(COLUMN()-7-1)/2+1)&lt;&gt;"Starfsbundið",BW91="",BW$8="",BW$7=""),"",ROUND(BW91/BW$8*BW$7*KVARDI,2))</f>
        <v/>
      </c>
      <c r="BY91" s="39"/>
      <c r="BZ91" s="40" t="str">
        <f aca="false">IF(OR(INDEX(Undirviðmið!$G$6:$G$105,(COLUMN()-7-1)/2+1)&lt;&gt;"Starfsbundið",BY91="",BY$8="",BY$7=""),"",ROUND(BY91/BY$8*BY$7*KVARDI,2))</f>
        <v/>
      </c>
      <c r="CA91" s="39"/>
      <c r="CB91" s="40" t="str">
        <f aca="false">IF(OR(INDEX(Undirviðmið!$G$6:$G$105,(COLUMN()-7-1)/2+1)&lt;&gt;"Starfsbundið",CA91="",CA$8="",CA$7=""),"",ROUND(CA91/CA$8*CA$7*KVARDI,2))</f>
        <v/>
      </c>
      <c r="CC91" s="39"/>
      <c r="CD91" s="40" t="str">
        <f aca="false">IF(OR(INDEX(Undirviðmið!$G$6:$G$105,(COLUMN()-7-1)/2+1)&lt;&gt;"Starfsbundið",CC91="",CC$8="",CC$7=""),"",ROUND(CC91/CC$8*CC$7*KVARDI,2))</f>
        <v/>
      </c>
      <c r="CE91" s="39"/>
      <c r="CF91" s="40" t="str">
        <f aca="false">IF(OR(INDEX(Undirviðmið!$G$6:$G$105,(COLUMN()-7-1)/2+1)&lt;&gt;"Starfsbundið",CE91="",CE$8="",CE$7=""),"",ROUND(CE91/CE$8*CE$7*KVARDI,2))</f>
        <v/>
      </c>
      <c r="CG91" s="39"/>
      <c r="CH91" s="40" t="str">
        <f aca="false">IF(OR(INDEX(Undirviðmið!$G$6:$G$105,(COLUMN()-7-1)/2+1)&lt;&gt;"Starfsbundið",CG91="",CG$8="",CG$7=""),"",ROUND(CG91/CG$8*CG$7*KVARDI,2))</f>
        <v/>
      </c>
      <c r="CI91" s="39"/>
      <c r="CJ91" s="40" t="str">
        <f aca="false">IF(OR(INDEX(Undirviðmið!$G$6:$G$105,(COLUMN()-7-1)/2+1)&lt;&gt;"Starfsbundið",CI91="",CI$8="",CI$7=""),"",ROUND(CI91/CI$8*CI$7*KVARDI,2))</f>
        <v/>
      </c>
      <c r="CK91" s="39"/>
      <c r="CL91" s="40" t="str">
        <f aca="false">IF(OR(INDEX(Undirviðmið!$G$6:$G$105,(COLUMN()-7-1)/2+1)&lt;&gt;"Starfsbundið",CK91="",CK$8="",CK$7=""),"",ROUND(CK91/CK$8*CK$7*KVARDI,2))</f>
        <v/>
      </c>
      <c r="CM91" s="39"/>
      <c r="CN91" s="40" t="str">
        <f aca="false">IF(OR(INDEX(Undirviðmið!$G$6:$G$105,(COLUMN()-7-1)/2+1)&lt;&gt;"Starfsbundið",CM91="",CM$8="",CM$7=""),"",ROUND(CM91/CM$8*CM$7*KVARDI,2))</f>
        <v/>
      </c>
      <c r="CO91" s="39"/>
      <c r="CP91" s="40" t="str">
        <f aca="false">IF(OR(INDEX(Undirviðmið!$G$6:$G$105,(COLUMN()-7-1)/2+1)&lt;&gt;"Starfsbundið",CO91="",CO$8="",CO$7=""),"",ROUND(CO91/CO$8*CO$7*KVARDI,2))</f>
        <v/>
      </c>
      <c r="CQ91" s="39"/>
      <c r="CR91" s="40" t="str">
        <f aca="false">IF(OR(INDEX(Undirviðmið!$G$6:$G$105,(COLUMN()-7-1)/2+1)&lt;&gt;"Starfsbundið",CQ91="",CQ$8="",CQ$7=""),"",ROUND(CQ91/CQ$8*CQ$7*KVARDI,2))</f>
        <v/>
      </c>
      <c r="CS91" s="39"/>
      <c r="CT91" s="40" t="str">
        <f aca="false">IF(OR(INDEX(Undirviðmið!$G$6:$G$105,(COLUMN()-7-1)/2+1)&lt;&gt;"Starfsbundið",CS91="",CS$8="",CS$7=""),"",ROUND(CS91/CS$8*CS$7*KVARDI,2))</f>
        <v/>
      </c>
      <c r="CU91" s="39"/>
      <c r="CV91" s="40" t="str">
        <f aca="false">IF(OR(INDEX(Undirviðmið!$G$6:$G$105,(COLUMN()-7-1)/2+1)&lt;&gt;"Starfsbundið",CU91="",CU$8="",CU$7=""),"",ROUND(CU91/CU$8*CU$7*KVARDI,2))</f>
        <v/>
      </c>
      <c r="CW91" s="39"/>
      <c r="CX91" s="40" t="str">
        <f aca="false">IF(OR(INDEX(Undirviðmið!$G$6:$G$105,(COLUMN()-7-1)/2+1)&lt;&gt;"Starfsbundið",CW91="",CW$8="",CW$7=""),"",ROUND(CW91/CW$8*CW$7*KVARDI,2))</f>
        <v/>
      </c>
      <c r="CY91" s="39"/>
      <c r="CZ91" s="40" t="str">
        <f aca="false">IF(OR(INDEX(Undirviðmið!$G$6:$G$105,(COLUMN()-7-1)/2+1)&lt;&gt;"Starfsbundið",CY91="",CY$8="",CY$7=""),"",ROUND(CY91/CY$8*CY$7*KVARDI,2))</f>
        <v/>
      </c>
      <c r="DA91" s="39"/>
      <c r="DB91" s="40" t="str">
        <f aca="false">IF(OR(INDEX(Undirviðmið!$G$6:$G$105,(COLUMN()-7-1)/2+1)&lt;&gt;"Starfsbundið",DA91="",DA$8="",DA$7=""),"",ROUND(DA91/DA$8*DA$7*KVARDI,2))</f>
        <v/>
      </c>
      <c r="DC91" s="39"/>
      <c r="DD91" s="40" t="str">
        <f aca="false">IF(OR(INDEX(Undirviðmið!$G$6:$G$105,(COLUMN()-7-1)/2+1)&lt;&gt;"Starfsbundið",DC91="",DC$8="",DC$7=""),"",ROUND(DC91/DC$8*DC$7*KVARDI,2))</f>
        <v/>
      </c>
      <c r="DE91" s="39"/>
      <c r="DF91" s="40" t="str">
        <f aca="false">IF(OR(INDEX(Undirviðmið!$G$6:$G$105,(COLUMN()-7-1)/2+1)&lt;&gt;"Starfsbundið",DE91="",DE$8="",DE$7=""),"",ROUND(DE91/DE$8*DE$7*KVARDI,2))</f>
        <v/>
      </c>
      <c r="DG91" s="39"/>
      <c r="DH91" s="40" t="str">
        <f aca="false">IF(OR(INDEX(Undirviðmið!$G$6:$G$105,(COLUMN()-7-1)/2+1)&lt;&gt;"Starfsbundið",DG91="",DG$8="",DG$7=""),"",ROUND(DG91/DG$8*DG$7*KVARDI,2))</f>
        <v/>
      </c>
      <c r="DI91" s="39"/>
      <c r="DJ91" s="40" t="str">
        <f aca="false">IF(OR(INDEX(Undirviðmið!$G$6:$G$105,(COLUMN()-7-1)/2+1)&lt;&gt;"Starfsbundið",DI91="",DI$8="",DI$7=""),"",ROUND(DI91/DI$8*DI$7*KVARDI,2))</f>
        <v/>
      </c>
      <c r="DK91" s="39"/>
      <c r="DL91" s="40" t="str">
        <f aca="false">IF(OR(INDEX(Undirviðmið!$G$6:$G$105,(COLUMN()-7-1)/2+1)&lt;&gt;"Starfsbundið",DK91="",DK$8="",DK$7=""),"",ROUND(DK91/DK$8*DK$7*KVARDI,2))</f>
        <v/>
      </c>
      <c r="DM91" s="39"/>
      <c r="DN91" s="40" t="str">
        <f aca="false">IF(OR(INDEX(Undirviðmið!$G$6:$G$105,(COLUMN()-7-1)/2+1)&lt;&gt;"Starfsbundið",DM91="",DM$8="",DM$7=""),"",ROUND(DM91/DM$8*DM$7*KVARDI,2))</f>
        <v/>
      </c>
      <c r="DO91" s="39"/>
      <c r="DP91" s="40" t="str">
        <f aca="false">IF(OR(INDEX(Undirviðmið!$G$6:$G$105,(COLUMN()-7-1)/2+1)&lt;&gt;"Starfsbundið",DO91="",DO$8="",DO$7=""),"",ROUND(DO91/DO$8*DO$7*KVARDI,2))</f>
        <v/>
      </c>
      <c r="DQ91" s="39"/>
      <c r="DR91" s="40" t="str">
        <f aca="false">IF(OR(INDEX(Undirviðmið!$G$6:$G$105,(COLUMN()-7-1)/2+1)&lt;&gt;"Starfsbundið",DQ91="",DQ$8="",DQ$7=""),"",ROUND(DQ91/DQ$8*DQ$7*KVARDI,2))</f>
        <v/>
      </c>
      <c r="DS91" s="39"/>
      <c r="DT91" s="40" t="str">
        <f aca="false">IF(OR(INDEX(Undirviðmið!$G$6:$G$105,(COLUMN()-7-1)/2+1)&lt;&gt;"Starfsbundið",DS91="",DS$8="",DS$7=""),"",ROUND(DS91/DS$8*DS$7*KVARDI,2))</f>
        <v/>
      </c>
      <c r="DU91" s="39"/>
      <c r="DV91" s="40" t="str">
        <f aca="false">IF(OR(INDEX(Undirviðmið!$G$6:$G$105,(COLUMN()-7-1)/2+1)&lt;&gt;"Starfsbundið",DU91="",DU$8="",DU$7=""),"",ROUND(DU91/DU$8*DU$7*KVARDI,2))</f>
        <v/>
      </c>
      <c r="DW91" s="39"/>
      <c r="DX91" s="40" t="str">
        <f aca="false">IF(OR(INDEX(Undirviðmið!$G$6:$G$105,(COLUMN()-7-1)/2+1)&lt;&gt;"Starfsbundið",DW91="",DW$8="",DW$7=""),"",ROUND(DW91/DW$8*DW$7*KVARDI,2))</f>
        <v/>
      </c>
      <c r="DY91" s="39"/>
      <c r="DZ91" s="40" t="str">
        <f aca="false">IF(OR(INDEX(Undirviðmið!$G$6:$G$105,(COLUMN()-7-1)/2+1)&lt;&gt;"Starfsbundið",DY91="",DY$8="",DY$7=""),"",ROUND(DY91/DY$8*DY$7*KVARDI,2))</f>
        <v/>
      </c>
      <c r="EA91" s="39"/>
      <c r="EB91" s="40" t="str">
        <f aca="false">IF(OR(INDEX(Undirviðmið!$G$6:$G$105,(COLUMN()-7-1)/2+1)&lt;&gt;"Starfsbundið",EA91="",EA$8="",EA$7=""),"",ROUND(EA91/EA$8*EA$7*KVARDI,2))</f>
        <v/>
      </c>
      <c r="EC91" s="39"/>
      <c r="ED91" s="40" t="str">
        <f aca="false">IF(OR(INDEX(Undirviðmið!$G$6:$G$105,(COLUMN()-7-1)/2+1)&lt;&gt;"Starfsbundið",EC91="",EC$8="",EC$7=""),"",ROUND(EC91/EC$8*EC$7*KVARDI,2))</f>
        <v/>
      </c>
      <c r="EE91" s="39"/>
      <c r="EF91" s="40" t="str">
        <f aca="false">IF(OR(INDEX(Undirviðmið!$G$6:$G$105,(COLUMN()-7-1)/2+1)&lt;&gt;"Starfsbundið",EE91="",EE$8="",EE$7=""),"",ROUND(EE91/EE$8*EE$7*KVARDI,2))</f>
        <v/>
      </c>
      <c r="EG91" s="39"/>
      <c r="EH91" s="40" t="str">
        <f aca="false">IF(OR(INDEX(Undirviðmið!$G$6:$G$105,(COLUMN()-7-1)/2+1)&lt;&gt;"Starfsbundið",EG91="",EG$8="",EG$7=""),"",ROUND(EG91/EG$8*EG$7*KVARDI,2))</f>
        <v/>
      </c>
      <c r="EI91" s="39"/>
      <c r="EJ91" s="40" t="str">
        <f aca="false">IF(OR(INDEX(Undirviðmið!$G$6:$G$105,(COLUMN()-7-1)/2+1)&lt;&gt;"Starfsbundið",EI91="",EI$8="",EI$7=""),"",ROUND(EI91/EI$8*EI$7*KVARDI,2))</f>
        <v/>
      </c>
      <c r="EK91" s="39"/>
      <c r="EL91" s="40" t="str">
        <f aca="false">IF(OR(INDEX(Undirviðmið!$G$6:$G$105,(COLUMN()-7-1)/2+1)&lt;&gt;"Starfsbundið",EK91="",EK$8="",EK$7=""),"",ROUND(EK91/EK$8*EK$7*KVARDI,2))</f>
        <v/>
      </c>
      <c r="EM91" s="39"/>
      <c r="EN91" s="40" t="str">
        <f aca="false">IF(OR(INDEX(Undirviðmið!$G$6:$G$105,(COLUMN()-7-1)/2+1)&lt;&gt;"Starfsbundið",EM91="",EM$8="",EM$7=""),"",ROUND(EM91/EM$8*EM$7*KVARDI,2))</f>
        <v/>
      </c>
      <c r="EO91" s="39"/>
      <c r="EP91" s="40" t="str">
        <f aca="false">IF(OR(INDEX(Undirviðmið!$G$6:$G$105,(COLUMN()-7-1)/2+1)&lt;&gt;"Starfsbundið",EO91="",EO$8="",EO$7=""),"",ROUND(EO91/EO$8*EO$7*KVARDI,2))</f>
        <v/>
      </c>
      <c r="EQ91" s="39"/>
      <c r="ER91" s="40" t="str">
        <f aca="false">IF(OR(INDEX(Undirviðmið!$G$6:$G$105,(COLUMN()-7-1)/2+1)&lt;&gt;"Starfsbundið",EQ91="",EQ$8="",EQ$7=""),"",ROUND(EQ91/EQ$8*EQ$7*KVARDI,2))</f>
        <v/>
      </c>
      <c r="ES91" s="39"/>
      <c r="ET91" s="40" t="str">
        <f aca="false">IF(OR(INDEX(Undirviðmið!$G$6:$G$105,(COLUMN()-7-1)/2+1)&lt;&gt;"Starfsbundið",ES91="",ES$8="",ES$7=""),"",ROUND(ES91/ES$8*ES$7*KVARDI,2))</f>
        <v/>
      </c>
      <c r="EU91" s="39"/>
      <c r="EV91" s="40" t="str">
        <f aca="false">IF(OR(INDEX(Undirviðmið!$G$6:$G$105,(COLUMN()-7-1)/2+1)&lt;&gt;"Starfsbundið",EU91="",EU$8="",EU$7=""),"",ROUND(EU91/EU$8*EU$7*KVARDI,2))</f>
        <v/>
      </c>
      <c r="EW91" s="39"/>
      <c r="EX91" s="40" t="str">
        <f aca="false">IF(OR(INDEX(Undirviðmið!$G$6:$G$105,(COLUMN()-7-1)/2+1)&lt;&gt;"Starfsbundið",EW91="",EW$8="",EW$7=""),"",ROUND(EW91/EW$8*EW$7*KVARDI,2))</f>
        <v/>
      </c>
      <c r="EY91" s="39"/>
      <c r="EZ91" s="40" t="str">
        <f aca="false">IF(OR(INDEX(Undirviðmið!$G$6:$G$105,(COLUMN()-7-1)/2+1)&lt;&gt;"Starfsbundið",EY91="",EY$8="",EY$7=""),"",ROUND(EY91/EY$8*EY$7*KVARDI,2))</f>
        <v/>
      </c>
      <c r="FA91" s="39"/>
      <c r="FB91" s="40" t="str">
        <f aca="false">IF(OR(INDEX(Undirviðmið!$G$6:$G$105,(COLUMN()-7-1)/2+1)&lt;&gt;"Starfsbundið",FA91="",FA$8="",FA$7=""),"",ROUND(FA91/FA$8*FA$7*KVARDI,2))</f>
        <v/>
      </c>
      <c r="FC91" s="39"/>
      <c r="FD91" s="40" t="str">
        <f aca="false">IF(OR(INDEX(Undirviðmið!$G$6:$G$105,(COLUMN()-7-1)/2+1)&lt;&gt;"Starfsbundið",FC91="",FC$8="",FC$7=""),"",ROUND(FC91/FC$8*FC$7*KVARDI,2))</f>
        <v/>
      </c>
      <c r="FE91" s="39"/>
      <c r="FF91" s="40" t="str">
        <f aca="false">IF(OR(INDEX(Undirviðmið!$G$6:$G$105,(COLUMN()-7-1)/2+1)&lt;&gt;"Starfsbundið",FE91="",FE$8="",FE$7=""),"",ROUND(FE91/FE$8*FE$7*KVARDI,2))</f>
        <v/>
      </c>
      <c r="FG91" s="39"/>
      <c r="FH91" s="40" t="str">
        <f aca="false">IF(OR(INDEX(Undirviðmið!$G$6:$G$105,(COLUMN()-7-1)/2+1)&lt;&gt;"Starfsbundið",FG91="",FG$8="",FG$7=""),"",ROUND(FG91/FG$8*FG$7*KVARDI,2))</f>
        <v/>
      </c>
      <c r="FI91" s="39"/>
      <c r="FJ91" s="40" t="str">
        <f aca="false">IF(OR(INDEX(Undirviðmið!$G$6:$G$105,(COLUMN()-7-1)/2+1)&lt;&gt;"Starfsbundið",FI91="",FI$8="",FI$7=""),"",ROUND(FI91/FI$8*FI$7*KVARDI,2))</f>
        <v/>
      </c>
      <c r="FK91" s="39"/>
      <c r="FL91" s="40" t="str">
        <f aca="false">IF(OR(INDEX(Undirviðmið!$G$6:$G$105,(COLUMN()-7-1)/2+1)&lt;&gt;"Starfsbundið",FK91="",FK$8="",FK$7=""),"",ROUND(FK91/FK$8*FK$7*KVARDI,2))</f>
        <v/>
      </c>
      <c r="FM91" s="39"/>
      <c r="FN91" s="40" t="str">
        <f aca="false">IF(OR(INDEX(Undirviðmið!$G$6:$G$105,(COLUMN()-7-1)/2+1)&lt;&gt;"Starfsbundið",FM91="",FM$8="",FM$7=""),"",ROUND(FM91/FM$8*FM$7*KVARDI,2))</f>
        <v/>
      </c>
      <c r="FO91" s="39"/>
      <c r="FP91" s="40" t="str">
        <f aca="false">IF(OR(INDEX(Undirviðmið!$G$6:$G$105,(COLUMN()-7-1)/2+1)&lt;&gt;"Starfsbundið",FO91="",FO$8="",FO$7=""),"",ROUND(FO91/FO$8*FO$7*KVARDI,2))</f>
        <v/>
      </c>
      <c r="FQ91" s="39"/>
      <c r="FR91" s="40" t="str">
        <f aca="false">IF(OR(INDEX(Undirviðmið!$G$6:$G$105,(COLUMN()-7-1)/2+1)&lt;&gt;"Starfsbundið",FQ91="",FQ$8="",FQ$7=""),"",ROUND(FQ91/FQ$8*FQ$7*KVARDI,2))</f>
        <v/>
      </c>
      <c r="FS91" s="39"/>
      <c r="FT91" s="40" t="str">
        <f aca="false">IF(OR(INDEX(Undirviðmið!$G$6:$G$105,(COLUMN()-7-1)/2+1)&lt;&gt;"Starfsbundið",FS91="",FS$8="",FS$7=""),"",ROUND(FS91/FS$8*FS$7*KVARDI,2))</f>
        <v/>
      </c>
      <c r="FU91" s="39"/>
      <c r="FV91" s="40" t="str">
        <f aca="false">IF(OR(INDEX(Undirviðmið!$G$6:$G$105,(COLUMN()-7-1)/2+1)&lt;&gt;"Starfsbundið",FU91="",FU$8="",FU$7=""),"",ROUND(FU91/FU$8*FU$7*KVARDI,2))</f>
        <v/>
      </c>
      <c r="FW91" s="39"/>
      <c r="FX91" s="40" t="str">
        <f aca="false">IF(OR(INDEX(Undirviðmið!$G$6:$G$105,(COLUMN()-7-1)/2+1)&lt;&gt;"Starfsbundið",FW91="",FW$8="",FW$7=""),"",ROUND(FW91/FW$8*FW$7*KVARDI,2))</f>
        <v/>
      </c>
      <c r="FY91" s="39"/>
      <c r="FZ91" s="40" t="str">
        <f aca="false">IF(OR(INDEX(Undirviðmið!$G$6:$G$105,(COLUMN()-7-1)/2+1)&lt;&gt;"Starfsbundið",FY91="",FY$8="",FY$7=""),"",ROUND(FY91/FY$8*FY$7*KVARDI,2))</f>
        <v/>
      </c>
      <c r="GA91" s="39"/>
      <c r="GB91" s="40" t="str">
        <f aca="false">IF(OR(INDEX(Undirviðmið!$G$6:$G$105,(COLUMN()-7-1)/2+1)&lt;&gt;"Starfsbundið",GA91="",GA$8="",GA$7=""),"",ROUND(GA91/GA$8*GA$7*KVARDI,2))</f>
        <v/>
      </c>
      <c r="GC91" s="39"/>
      <c r="GD91" s="40" t="str">
        <f aca="false">IF(OR(INDEX(Undirviðmið!$G$6:$G$105,(COLUMN()-7-1)/2+1)&lt;&gt;"Starfsbundið",GC91="",GC$8="",GC$7=""),"",ROUND(GC91/GC$8*GC$7*KVARDI,2))</f>
        <v/>
      </c>
      <c r="GE91" s="39"/>
      <c r="GF91" s="40" t="str">
        <f aca="false">IF(OR(INDEX(Undirviðmið!$G$6:$G$105,(COLUMN()-7-1)/2+1)&lt;&gt;"Starfsbundið",GE91="",GE$8="",GE$7=""),"",ROUND(GE91/GE$8*GE$7*KVARDI,2))</f>
        <v/>
      </c>
      <c r="GG91" s="39"/>
      <c r="GH91" s="40" t="str">
        <f aca="false">IF(OR(INDEX(Undirviðmið!$G$6:$G$105,(COLUMN()-7-1)/2+1)&lt;&gt;"Starfsbundið",GG91="",GG$8="",GG$7=""),"",ROUND(GG91/GG$8*GG$7*KVARDI,2))</f>
        <v/>
      </c>
      <c r="GI91" s="39"/>
      <c r="GJ91" s="40" t="str">
        <f aca="false">IF(OR(INDEX(Undirviðmið!$G$6:$G$105,(COLUMN()-7-1)/2+1)&lt;&gt;"Starfsbundið",GI91="",GI$8="",GI$7=""),"",ROUND(GI91/GI$8*GI$7*KVARDI,2))</f>
        <v/>
      </c>
      <c r="GK91" s="39"/>
      <c r="GL91" s="40" t="str">
        <f aca="false">IF(OR(INDEX(Undirviðmið!$G$6:$G$105,(COLUMN()-7-1)/2+1)&lt;&gt;"Starfsbundið",GK91="",GK$8="",GK$7=""),"",ROUND(GK91/GK$8*GK$7*KVARDI,2))</f>
        <v/>
      </c>
      <c r="GM91" s="39"/>
      <c r="GN91" s="40" t="str">
        <f aca="false">IF(OR(INDEX(Undirviðmið!$G$6:$G$105,(COLUMN()-7-1)/2+1)&lt;&gt;"Starfsbundið",GM91="",GM$8="",GM$7=""),"",ROUND(GM91/GM$8*GM$7*KVARDI,2))</f>
        <v/>
      </c>
      <c r="GO91" s="39"/>
      <c r="GP91" s="40" t="str">
        <f aca="false">IF(OR(INDEX(Undirviðmið!$G$6:$G$105,(COLUMN()-7-1)/2+1)&lt;&gt;"Starfsbundið",GO91="",GO$8="",GO$7=""),"",ROUND(GO91/GO$8*GO$7*KVARDI,2))</f>
        <v/>
      </c>
      <c r="GQ91" s="39"/>
      <c r="GR91" s="40" t="str">
        <f aca="false">IF(OR(INDEX(Undirviðmið!$G$6:$G$105,(COLUMN()-7-1)/2+1)&lt;&gt;"Starfsbundið",GQ91="",GQ$8="",GQ$7=""),"",ROUND(GQ91/GQ$8*GQ$7*KVARDI,2))</f>
        <v/>
      </c>
      <c r="GS91" s="39"/>
      <c r="GT91" s="40" t="str">
        <f aca="false">IF(OR(INDEX(Undirviðmið!$G$6:$G$105,(COLUMN()-7-1)/2+1)&lt;&gt;"Starfsbundið",GS91="",GS$8="",GS$7=""),"",ROUND(GS91/GS$8*GS$7*KVARDI,2))</f>
        <v/>
      </c>
      <c r="GU91" s="39"/>
      <c r="GV91" s="40" t="str">
        <f aca="false">IF(OR(INDEX(Undirviðmið!$G$6:$G$105,(COLUMN()-7-1)/2+1)&lt;&gt;"Starfsbundið",GU91="",GU$8="",GU$7=""),"",ROUND(GU91/GU$8*GU$7*KVARDI,2))</f>
        <v/>
      </c>
      <c r="GW91" s="39"/>
      <c r="GX91" s="40" t="str">
        <f aca="false">IF(OR(INDEX(Undirviðmið!$G$6:$G$105,(COLUMN()-7-1)/2+1)&lt;&gt;"Starfsbundið",GW91="",GW$8="",GW$7=""),"",ROUND(GW91/GW$8*GW$7*KVARDI,2))</f>
        <v/>
      </c>
      <c r="GZ91" s="20"/>
    </row>
    <row r="92" customFormat="false" ht="15" hidden="true" customHeight="true" outlineLevel="1" collapsed="false">
      <c r="B92" s="37" t="str">
        <f aca="false" t="array" ref="B92:B92">IFERROR(INDEX(Starfsmenn!$C$6:$C$10005,MATCH(0,COUNTIF($B$11:B91,Starfsmenn!$C$6:$C$10005)+(Starfsmenn!$C$6:$C$10005=""),0)),"")</f>
        <v/>
      </c>
      <c r="C92" s="38" t="n">
        <f aca="false">IFERROR(SUMIF($G$10:$GX$10,"Stig",$G92:$GX92),0)</f>
        <v>0</v>
      </c>
      <c r="G92" s="39"/>
      <c r="H92" s="40" t="str">
        <f aca="false">IF(OR(INDEX(Undirviðmið!$G$6:$G$105,(COLUMN()-7-1)/2+1)&lt;&gt;"Starfsbundið",G92="",G$8="",G$7=""),"",ROUND(G92/G$8*G$7*KVARDI,2))</f>
        <v/>
      </c>
      <c r="I92" s="39"/>
      <c r="J92" s="40" t="str">
        <f aca="false">IF(OR(INDEX(Undirviðmið!$G$6:$G$105,(COLUMN()-7-1)/2+1)&lt;&gt;"Starfsbundið",I92="",I$8="",I$7=""),"",ROUND(I92/I$8*I$7*KVARDI,2))</f>
        <v/>
      </c>
      <c r="K92" s="39"/>
      <c r="L92" s="40" t="str">
        <f aca="false">IF(OR(INDEX(Undirviðmið!$G$6:$G$105,(COLUMN()-7-1)/2+1)&lt;&gt;"Starfsbundið",K92="",K$8="",K$7=""),"",ROUND(K92/K$8*K$7*KVARDI,2))</f>
        <v/>
      </c>
      <c r="M92" s="39"/>
      <c r="N92" s="40" t="str">
        <f aca="false">IF(OR(INDEX(Undirviðmið!$G$6:$G$105,(COLUMN()-7-1)/2+1)&lt;&gt;"Starfsbundið",M92="",M$8="",M$7=""),"",ROUND(M92/M$8*M$7*KVARDI,2))</f>
        <v/>
      </c>
      <c r="O92" s="39"/>
      <c r="P92" s="40" t="str">
        <f aca="false">IF(OR(INDEX(Undirviðmið!$G$6:$G$105,(COLUMN()-7-1)/2+1)&lt;&gt;"Starfsbundið",O92="",O$8="",O$7=""),"",ROUND(O92/O$8*O$7*KVARDI,2))</f>
        <v/>
      </c>
      <c r="Q92" s="39"/>
      <c r="R92" s="40" t="str">
        <f aca="false">IF(OR(INDEX(Undirviðmið!$G$6:$G$105,(COLUMN()-7-1)/2+1)&lt;&gt;"Starfsbundið",Q92="",Q$8="",Q$7=""),"",ROUND(Q92/Q$8*Q$7*KVARDI,2))</f>
        <v/>
      </c>
      <c r="S92" s="39"/>
      <c r="T92" s="40" t="str">
        <f aca="false">IF(OR(INDEX(Undirviðmið!$G$6:$G$105,(COLUMN()-7-1)/2+1)&lt;&gt;"Starfsbundið",S92="",S$8="",S$7=""),"",ROUND(S92/S$8*S$7*KVARDI,2))</f>
        <v/>
      </c>
      <c r="U92" s="39"/>
      <c r="V92" s="40" t="str">
        <f aca="false">IF(OR(INDEX(Undirviðmið!$G$6:$G$105,(COLUMN()-7-1)/2+1)&lt;&gt;"Starfsbundið",U92="",U$8="",U$7=""),"",ROUND(U92/U$8*U$7*KVARDI,2))</f>
        <v/>
      </c>
      <c r="W92" s="39"/>
      <c r="X92" s="40" t="str">
        <f aca="false">IF(OR(INDEX(Undirviðmið!$G$6:$G$105,(COLUMN()-7-1)/2+1)&lt;&gt;"Starfsbundið",W92="",W$8="",W$7=""),"",ROUND(W92/W$8*W$7*KVARDI,2))</f>
        <v/>
      </c>
      <c r="Y92" s="39"/>
      <c r="Z92" s="40" t="str">
        <f aca="false">IF(OR(INDEX(Undirviðmið!$G$6:$G$105,(COLUMN()-7-1)/2+1)&lt;&gt;"Starfsbundið",Y92="",Y$8="",Y$7=""),"",ROUND(Y92/Y$8*Y$7*KVARDI,2))</f>
        <v/>
      </c>
      <c r="AA92" s="39"/>
      <c r="AB92" s="40" t="str">
        <f aca="false">IF(OR(INDEX(Undirviðmið!$G$6:$G$105,(COLUMN()-7-1)/2+1)&lt;&gt;"Starfsbundið",AA92="",AA$8="",AA$7=""),"",ROUND(AA92/AA$8*AA$7*KVARDI,2))</f>
        <v/>
      </c>
      <c r="AC92" s="39"/>
      <c r="AD92" s="40" t="str">
        <f aca="false">IF(OR(INDEX(Undirviðmið!$G$6:$G$105,(COLUMN()-7-1)/2+1)&lt;&gt;"Starfsbundið",AC92="",AC$8="",AC$7=""),"",ROUND(AC92/AC$8*AC$7*KVARDI,2))</f>
        <v/>
      </c>
      <c r="AE92" s="39"/>
      <c r="AF92" s="40" t="str">
        <f aca="false">IF(OR(INDEX(Undirviðmið!$G$6:$G$105,(COLUMN()-7-1)/2+1)&lt;&gt;"Starfsbundið",AE92="",AE$8="",AE$7=""),"",ROUND(AE92/AE$8*AE$7*KVARDI,2))</f>
        <v/>
      </c>
      <c r="AG92" s="39"/>
      <c r="AH92" s="40" t="str">
        <f aca="false">IF(OR(INDEX(Undirviðmið!$G$6:$G$105,(COLUMN()-7-1)/2+1)&lt;&gt;"Starfsbundið",AG92="",AG$8="",AG$7=""),"",ROUND(AG92/AG$8*AG$7*KVARDI,2))</f>
        <v/>
      </c>
      <c r="AI92" s="39"/>
      <c r="AJ92" s="40" t="str">
        <f aca="false">IF(OR(INDEX(Undirviðmið!$G$6:$G$105,(COLUMN()-7-1)/2+1)&lt;&gt;"Starfsbundið",AI92="",AI$8="",AI$7=""),"",ROUND(AI92/AI$8*AI$7*KVARDI,2))</f>
        <v/>
      </c>
      <c r="AK92" s="39"/>
      <c r="AL92" s="40" t="str">
        <f aca="false">IF(OR(INDEX(Undirviðmið!$G$6:$G$105,(COLUMN()-7-1)/2+1)&lt;&gt;"Starfsbundið",AK92="",AK$8="",AK$7=""),"",ROUND(AK92/AK$8*AK$7*KVARDI,2))</f>
        <v/>
      </c>
      <c r="AM92" s="39"/>
      <c r="AN92" s="40" t="str">
        <f aca="false">IF(OR(INDEX(Undirviðmið!$G$6:$G$105,(COLUMN()-7-1)/2+1)&lt;&gt;"Starfsbundið",AM92="",AM$8="",AM$7=""),"",ROUND(AM92/AM$8*AM$7*KVARDI,2))</f>
        <v/>
      </c>
      <c r="AO92" s="39"/>
      <c r="AP92" s="40" t="str">
        <f aca="false">IF(OR(INDEX(Undirviðmið!$G$6:$G$105,(COLUMN()-7-1)/2+1)&lt;&gt;"Starfsbundið",AO92="",AO$8="",AO$7=""),"",ROUND(AO92/AO$8*AO$7*KVARDI,2))</f>
        <v/>
      </c>
      <c r="AQ92" s="39"/>
      <c r="AR92" s="40" t="str">
        <f aca="false">IF(OR(INDEX(Undirviðmið!$G$6:$G$105,(COLUMN()-7-1)/2+1)&lt;&gt;"Starfsbundið",AQ92="",AQ$8="",AQ$7=""),"",ROUND(AQ92/AQ$8*AQ$7*KVARDI,2))</f>
        <v/>
      </c>
      <c r="AS92" s="39"/>
      <c r="AT92" s="40" t="str">
        <f aca="false">IF(OR(INDEX(Undirviðmið!$G$6:$G$105,(COLUMN()-7-1)/2+1)&lt;&gt;"Starfsbundið",AS92="",AS$8="",AS$7=""),"",ROUND(AS92/AS$8*AS$7*KVARDI,2))</f>
        <v/>
      </c>
      <c r="AU92" s="39"/>
      <c r="AV92" s="40" t="str">
        <f aca="false">IF(OR(INDEX(Undirviðmið!$G$6:$G$105,(COLUMN()-7-1)/2+1)&lt;&gt;"Starfsbundið",AU92="",AU$8="",AU$7=""),"",ROUND(AU92/AU$8*AU$7*KVARDI,2))</f>
        <v/>
      </c>
      <c r="AW92" s="39"/>
      <c r="AX92" s="40" t="str">
        <f aca="false">IF(OR(INDEX(Undirviðmið!$G$6:$G$105,(COLUMN()-7-1)/2+1)&lt;&gt;"Starfsbundið",AW92="",AW$8="",AW$7=""),"",ROUND(AW92/AW$8*AW$7*KVARDI,2))</f>
        <v/>
      </c>
      <c r="AY92" s="39"/>
      <c r="AZ92" s="40" t="str">
        <f aca="false">IF(OR(INDEX(Undirviðmið!$G$6:$G$105,(COLUMN()-7-1)/2+1)&lt;&gt;"Starfsbundið",AY92="",AY$8="",AY$7=""),"",ROUND(AY92/AY$8*AY$7*KVARDI,2))</f>
        <v/>
      </c>
      <c r="BA92" s="39"/>
      <c r="BB92" s="40" t="str">
        <f aca="false">IF(OR(INDEX(Undirviðmið!$G$6:$G$105,(COLUMN()-7-1)/2+1)&lt;&gt;"Starfsbundið",BA92="",BA$8="",BA$7=""),"",ROUND(BA92/BA$8*BA$7*KVARDI,2))</f>
        <v/>
      </c>
      <c r="BC92" s="39"/>
      <c r="BD92" s="40" t="str">
        <f aca="false">IF(OR(INDEX(Undirviðmið!$G$6:$G$105,(COLUMN()-7-1)/2+1)&lt;&gt;"Starfsbundið",BC92="",BC$8="",BC$7=""),"",ROUND(BC92/BC$8*BC$7*KVARDI,2))</f>
        <v/>
      </c>
      <c r="BE92" s="39"/>
      <c r="BF92" s="40" t="str">
        <f aca="false">IF(OR(INDEX(Undirviðmið!$G$6:$G$105,(COLUMN()-7-1)/2+1)&lt;&gt;"Starfsbundið",BE92="",BE$8="",BE$7=""),"",ROUND(BE92/BE$8*BE$7*KVARDI,2))</f>
        <v/>
      </c>
      <c r="BG92" s="39"/>
      <c r="BH92" s="40" t="str">
        <f aca="false">IF(OR(INDEX(Undirviðmið!$G$6:$G$105,(COLUMN()-7-1)/2+1)&lt;&gt;"Starfsbundið",BG92="",BG$8="",BG$7=""),"",ROUND(BG92/BG$8*BG$7*KVARDI,2))</f>
        <v/>
      </c>
      <c r="BI92" s="39"/>
      <c r="BJ92" s="40" t="str">
        <f aca="false">IF(OR(INDEX(Undirviðmið!$G$6:$G$105,(COLUMN()-7-1)/2+1)&lt;&gt;"Starfsbundið",BI92="",BI$8="",BI$7=""),"",ROUND(BI92/BI$8*BI$7*KVARDI,2))</f>
        <v/>
      </c>
      <c r="BK92" s="39"/>
      <c r="BL92" s="40" t="str">
        <f aca="false">IF(OR(INDEX(Undirviðmið!$G$6:$G$105,(COLUMN()-7-1)/2+1)&lt;&gt;"Starfsbundið",BK92="",BK$8="",BK$7=""),"",ROUND(BK92/BK$8*BK$7*KVARDI,2))</f>
        <v/>
      </c>
      <c r="BM92" s="39"/>
      <c r="BN92" s="40" t="str">
        <f aca="false">IF(OR(INDEX(Undirviðmið!$G$6:$G$105,(COLUMN()-7-1)/2+1)&lt;&gt;"Starfsbundið",BM92="",BM$8="",BM$7=""),"",ROUND(BM92/BM$8*BM$7*KVARDI,2))</f>
        <v/>
      </c>
      <c r="BO92" s="39"/>
      <c r="BP92" s="40" t="str">
        <f aca="false">IF(OR(INDEX(Undirviðmið!$G$6:$G$105,(COLUMN()-7-1)/2+1)&lt;&gt;"Starfsbundið",BO92="",BO$8="",BO$7=""),"",ROUND(BO92/BO$8*BO$7*KVARDI,2))</f>
        <v/>
      </c>
      <c r="BQ92" s="39"/>
      <c r="BR92" s="40" t="str">
        <f aca="false">IF(OR(INDEX(Undirviðmið!$G$6:$G$105,(COLUMN()-7-1)/2+1)&lt;&gt;"Starfsbundið",BQ92="",BQ$8="",BQ$7=""),"",ROUND(BQ92/BQ$8*BQ$7*KVARDI,2))</f>
        <v/>
      </c>
      <c r="BS92" s="39"/>
      <c r="BT92" s="40" t="str">
        <f aca="false">IF(OR(INDEX(Undirviðmið!$G$6:$G$105,(COLUMN()-7-1)/2+1)&lt;&gt;"Starfsbundið",BS92="",BS$8="",BS$7=""),"",ROUND(BS92/BS$8*BS$7*KVARDI,2))</f>
        <v/>
      </c>
      <c r="BU92" s="39"/>
      <c r="BV92" s="40" t="str">
        <f aca="false">IF(OR(INDEX(Undirviðmið!$G$6:$G$105,(COLUMN()-7-1)/2+1)&lt;&gt;"Starfsbundið",BU92="",BU$8="",BU$7=""),"",ROUND(BU92/BU$8*BU$7*KVARDI,2))</f>
        <v/>
      </c>
      <c r="BW92" s="39"/>
      <c r="BX92" s="40" t="str">
        <f aca="false">IF(OR(INDEX(Undirviðmið!$G$6:$G$105,(COLUMN()-7-1)/2+1)&lt;&gt;"Starfsbundið",BW92="",BW$8="",BW$7=""),"",ROUND(BW92/BW$8*BW$7*KVARDI,2))</f>
        <v/>
      </c>
      <c r="BY92" s="39"/>
      <c r="BZ92" s="40" t="str">
        <f aca="false">IF(OR(INDEX(Undirviðmið!$G$6:$G$105,(COLUMN()-7-1)/2+1)&lt;&gt;"Starfsbundið",BY92="",BY$8="",BY$7=""),"",ROUND(BY92/BY$8*BY$7*KVARDI,2))</f>
        <v/>
      </c>
      <c r="CA92" s="39"/>
      <c r="CB92" s="40" t="str">
        <f aca="false">IF(OR(INDEX(Undirviðmið!$G$6:$G$105,(COLUMN()-7-1)/2+1)&lt;&gt;"Starfsbundið",CA92="",CA$8="",CA$7=""),"",ROUND(CA92/CA$8*CA$7*KVARDI,2))</f>
        <v/>
      </c>
      <c r="CC92" s="39"/>
      <c r="CD92" s="40" t="str">
        <f aca="false">IF(OR(INDEX(Undirviðmið!$G$6:$G$105,(COLUMN()-7-1)/2+1)&lt;&gt;"Starfsbundið",CC92="",CC$8="",CC$7=""),"",ROUND(CC92/CC$8*CC$7*KVARDI,2))</f>
        <v/>
      </c>
      <c r="CE92" s="39"/>
      <c r="CF92" s="40" t="str">
        <f aca="false">IF(OR(INDEX(Undirviðmið!$G$6:$G$105,(COLUMN()-7-1)/2+1)&lt;&gt;"Starfsbundið",CE92="",CE$8="",CE$7=""),"",ROUND(CE92/CE$8*CE$7*KVARDI,2))</f>
        <v/>
      </c>
      <c r="CG92" s="39"/>
      <c r="CH92" s="40" t="str">
        <f aca="false">IF(OR(INDEX(Undirviðmið!$G$6:$G$105,(COLUMN()-7-1)/2+1)&lt;&gt;"Starfsbundið",CG92="",CG$8="",CG$7=""),"",ROUND(CG92/CG$8*CG$7*KVARDI,2))</f>
        <v/>
      </c>
      <c r="CI92" s="39"/>
      <c r="CJ92" s="40" t="str">
        <f aca="false">IF(OR(INDEX(Undirviðmið!$G$6:$G$105,(COLUMN()-7-1)/2+1)&lt;&gt;"Starfsbundið",CI92="",CI$8="",CI$7=""),"",ROUND(CI92/CI$8*CI$7*KVARDI,2))</f>
        <v/>
      </c>
      <c r="CK92" s="39"/>
      <c r="CL92" s="40" t="str">
        <f aca="false">IF(OR(INDEX(Undirviðmið!$G$6:$G$105,(COLUMN()-7-1)/2+1)&lt;&gt;"Starfsbundið",CK92="",CK$8="",CK$7=""),"",ROUND(CK92/CK$8*CK$7*KVARDI,2))</f>
        <v/>
      </c>
      <c r="CM92" s="39"/>
      <c r="CN92" s="40" t="str">
        <f aca="false">IF(OR(INDEX(Undirviðmið!$G$6:$G$105,(COLUMN()-7-1)/2+1)&lt;&gt;"Starfsbundið",CM92="",CM$8="",CM$7=""),"",ROUND(CM92/CM$8*CM$7*KVARDI,2))</f>
        <v/>
      </c>
      <c r="CO92" s="39"/>
      <c r="CP92" s="40" t="str">
        <f aca="false">IF(OR(INDEX(Undirviðmið!$G$6:$G$105,(COLUMN()-7-1)/2+1)&lt;&gt;"Starfsbundið",CO92="",CO$8="",CO$7=""),"",ROUND(CO92/CO$8*CO$7*KVARDI,2))</f>
        <v/>
      </c>
      <c r="CQ92" s="39"/>
      <c r="CR92" s="40" t="str">
        <f aca="false">IF(OR(INDEX(Undirviðmið!$G$6:$G$105,(COLUMN()-7-1)/2+1)&lt;&gt;"Starfsbundið",CQ92="",CQ$8="",CQ$7=""),"",ROUND(CQ92/CQ$8*CQ$7*KVARDI,2))</f>
        <v/>
      </c>
      <c r="CS92" s="39"/>
      <c r="CT92" s="40" t="str">
        <f aca="false">IF(OR(INDEX(Undirviðmið!$G$6:$G$105,(COLUMN()-7-1)/2+1)&lt;&gt;"Starfsbundið",CS92="",CS$8="",CS$7=""),"",ROUND(CS92/CS$8*CS$7*KVARDI,2))</f>
        <v/>
      </c>
      <c r="CU92" s="39"/>
      <c r="CV92" s="40" t="str">
        <f aca="false">IF(OR(INDEX(Undirviðmið!$G$6:$G$105,(COLUMN()-7-1)/2+1)&lt;&gt;"Starfsbundið",CU92="",CU$8="",CU$7=""),"",ROUND(CU92/CU$8*CU$7*KVARDI,2))</f>
        <v/>
      </c>
      <c r="CW92" s="39"/>
      <c r="CX92" s="40" t="str">
        <f aca="false">IF(OR(INDEX(Undirviðmið!$G$6:$G$105,(COLUMN()-7-1)/2+1)&lt;&gt;"Starfsbundið",CW92="",CW$8="",CW$7=""),"",ROUND(CW92/CW$8*CW$7*KVARDI,2))</f>
        <v/>
      </c>
      <c r="CY92" s="39"/>
      <c r="CZ92" s="40" t="str">
        <f aca="false">IF(OR(INDEX(Undirviðmið!$G$6:$G$105,(COLUMN()-7-1)/2+1)&lt;&gt;"Starfsbundið",CY92="",CY$8="",CY$7=""),"",ROUND(CY92/CY$8*CY$7*KVARDI,2))</f>
        <v/>
      </c>
      <c r="DA92" s="39"/>
      <c r="DB92" s="40" t="str">
        <f aca="false">IF(OR(INDEX(Undirviðmið!$G$6:$G$105,(COLUMN()-7-1)/2+1)&lt;&gt;"Starfsbundið",DA92="",DA$8="",DA$7=""),"",ROUND(DA92/DA$8*DA$7*KVARDI,2))</f>
        <v/>
      </c>
      <c r="DC92" s="39"/>
      <c r="DD92" s="40" t="str">
        <f aca="false">IF(OR(INDEX(Undirviðmið!$G$6:$G$105,(COLUMN()-7-1)/2+1)&lt;&gt;"Starfsbundið",DC92="",DC$8="",DC$7=""),"",ROUND(DC92/DC$8*DC$7*KVARDI,2))</f>
        <v/>
      </c>
      <c r="DE92" s="39"/>
      <c r="DF92" s="40" t="str">
        <f aca="false">IF(OR(INDEX(Undirviðmið!$G$6:$G$105,(COLUMN()-7-1)/2+1)&lt;&gt;"Starfsbundið",DE92="",DE$8="",DE$7=""),"",ROUND(DE92/DE$8*DE$7*KVARDI,2))</f>
        <v/>
      </c>
      <c r="DG92" s="39"/>
      <c r="DH92" s="40" t="str">
        <f aca="false">IF(OR(INDEX(Undirviðmið!$G$6:$G$105,(COLUMN()-7-1)/2+1)&lt;&gt;"Starfsbundið",DG92="",DG$8="",DG$7=""),"",ROUND(DG92/DG$8*DG$7*KVARDI,2))</f>
        <v/>
      </c>
      <c r="DI92" s="39"/>
      <c r="DJ92" s="40" t="str">
        <f aca="false">IF(OR(INDEX(Undirviðmið!$G$6:$G$105,(COLUMN()-7-1)/2+1)&lt;&gt;"Starfsbundið",DI92="",DI$8="",DI$7=""),"",ROUND(DI92/DI$8*DI$7*KVARDI,2))</f>
        <v/>
      </c>
      <c r="DK92" s="39"/>
      <c r="DL92" s="40" t="str">
        <f aca="false">IF(OR(INDEX(Undirviðmið!$G$6:$G$105,(COLUMN()-7-1)/2+1)&lt;&gt;"Starfsbundið",DK92="",DK$8="",DK$7=""),"",ROUND(DK92/DK$8*DK$7*KVARDI,2))</f>
        <v/>
      </c>
      <c r="DM92" s="39"/>
      <c r="DN92" s="40" t="str">
        <f aca="false">IF(OR(INDEX(Undirviðmið!$G$6:$G$105,(COLUMN()-7-1)/2+1)&lt;&gt;"Starfsbundið",DM92="",DM$8="",DM$7=""),"",ROUND(DM92/DM$8*DM$7*KVARDI,2))</f>
        <v/>
      </c>
      <c r="DO92" s="39"/>
      <c r="DP92" s="40" t="str">
        <f aca="false">IF(OR(INDEX(Undirviðmið!$G$6:$G$105,(COLUMN()-7-1)/2+1)&lt;&gt;"Starfsbundið",DO92="",DO$8="",DO$7=""),"",ROUND(DO92/DO$8*DO$7*KVARDI,2))</f>
        <v/>
      </c>
      <c r="DQ92" s="39"/>
      <c r="DR92" s="40" t="str">
        <f aca="false">IF(OR(INDEX(Undirviðmið!$G$6:$G$105,(COLUMN()-7-1)/2+1)&lt;&gt;"Starfsbundið",DQ92="",DQ$8="",DQ$7=""),"",ROUND(DQ92/DQ$8*DQ$7*KVARDI,2))</f>
        <v/>
      </c>
      <c r="DS92" s="39"/>
      <c r="DT92" s="40" t="str">
        <f aca="false">IF(OR(INDEX(Undirviðmið!$G$6:$G$105,(COLUMN()-7-1)/2+1)&lt;&gt;"Starfsbundið",DS92="",DS$8="",DS$7=""),"",ROUND(DS92/DS$8*DS$7*KVARDI,2))</f>
        <v/>
      </c>
      <c r="DU92" s="39"/>
      <c r="DV92" s="40" t="str">
        <f aca="false">IF(OR(INDEX(Undirviðmið!$G$6:$G$105,(COLUMN()-7-1)/2+1)&lt;&gt;"Starfsbundið",DU92="",DU$8="",DU$7=""),"",ROUND(DU92/DU$8*DU$7*KVARDI,2))</f>
        <v/>
      </c>
      <c r="DW92" s="39"/>
      <c r="DX92" s="40" t="str">
        <f aca="false">IF(OR(INDEX(Undirviðmið!$G$6:$G$105,(COLUMN()-7-1)/2+1)&lt;&gt;"Starfsbundið",DW92="",DW$8="",DW$7=""),"",ROUND(DW92/DW$8*DW$7*KVARDI,2))</f>
        <v/>
      </c>
      <c r="DY92" s="39"/>
      <c r="DZ92" s="40" t="str">
        <f aca="false">IF(OR(INDEX(Undirviðmið!$G$6:$G$105,(COLUMN()-7-1)/2+1)&lt;&gt;"Starfsbundið",DY92="",DY$8="",DY$7=""),"",ROUND(DY92/DY$8*DY$7*KVARDI,2))</f>
        <v/>
      </c>
      <c r="EA92" s="39"/>
      <c r="EB92" s="40" t="str">
        <f aca="false">IF(OR(INDEX(Undirviðmið!$G$6:$G$105,(COLUMN()-7-1)/2+1)&lt;&gt;"Starfsbundið",EA92="",EA$8="",EA$7=""),"",ROUND(EA92/EA$8*EA$7*KVARDI,2))</f>
        <v/>
      </c>
      <c r="EC92" s="39"/>
      <c r="ED92" s="40" t="str">
        <f aca="false">IF(OR(INDEX(Undirviðmið!$G$6:$G$105,(COLUMN()-7-1)/2+1)&lt;&gt;"Starfsbundið",EC92="",EC$8="",EC$7=""),"",ROUND(EC92/EC$8*EC$7*KVARDI,2))</f>
        <v/>
      </c>
      <c r="EE92" s="39"/>
      <c r="EF92" s="40" t="str">
        <f aca="false">IF(OR(INDEX(Undirviðmið!$G$6:$G$105,(COLUMN()-7-1)/2+1)&lt;&gt;"Starfsbundið",EE92="",EE$8="",EE$7=""),"",ROUND(EE92/EE$8*EE$7*KVARDI,2))</f>
        <v/>
      </c>
      <c r="EG92" s="39"/>
      <c r="EH92" s="40" t="str">
        <f aca="false">IF(OR(INDEX(Undirviðmið!$G$6:$G$105,(COLUMN()-7-1)/2+1)&lt;&gt;"Starfsbundið",EG92="",EG$8="",EG$7=""),"",ROUND(EG92/EG$8*EG$7*KVARDI,2))</f>
        <v/>
      </c>
      <c r="EI92" s="39"/>
      <c r="EJ92" s="40" t="str">
        <f aca="false">IF(OR(INDEX(Undirviðmið!$G$6:$G$105,(COLUMN()-7-1)/2+1)&lt;&gt;"Starfsbundið",EI92="",EI$8="",EI$7=""),"",ROUND(EI92/EI$8*EI$7*KVARDI,2))</f>
        <v/>
      </c>
      <c r="EK92" s="39"/>
      <c r="EL92" s="40" t="str">
        <f aca="false">IF(OR(INDEX(Undirviðmið!$G$6:$G$105,(COLUMN()-7-1)/2+1)&lt;&gt;"Starfsbundið",EK92="",EK$8="",EK$7=""),"",ROUND(EK92/EK$8*EK$7*KVARDI,2))</f>
        <v/>
      </c>
      <c r="EM92" s="39"/>
      <c r="EN92" s="40" t="str">
        <f aca="false">IF(OR(INDEX(Undirviðmið!$G$6:$G$105,(COLUMN()-7-1)/2+1)&lt;&gt;"Starfsbundið",EM92="",EM$8="",EM$7=""),"",ROUND(EM92/EM$8*EM$7*KVARDI,2))</f>
        <v/>
      </c>
      <c r="EO92" s="39"/>
      <c r="EP92" s="40" t="str">
        <f aca="false">IF(OR(INDEX(Undirviðmið!$G$6:$G$105,(COLUMN()-7-1)/2+1)&lt;&gt;"Starfsbundið",EO92="",EO$8="",EO$7=""),"",ROUND(EO92/EO$8*EO$7*KVARDI,2))</f>
        <v/>
      </c>
      <c r="EQ92" s="39"/>
      <c r="ER92" s="40" t="str">
        <f aca="false">IF(OR(INDEX(Undirviðmið!$G$6:$G$105,(COLUMN()-7-1)/2+1)&lt;&gt;"Starfsbundið",EQ92="",EQ$8="",EQ$7=""),"",ROUND(EQ92/EQ$8*EQ$7*KVARDI,2))</f>
        <v/>
      </c>
      <c r="ES92" s="39"/>
      <c r="ET92" s="40" t="str">
        <f aca="false">IF(OR(INDEX(Undirviðmið!$G$6:$G$105,(COLUMN()-7-1)/2+1)&lt;&gt;"Starfsbundið",ES92="",ES$8="",ES$7=""),"",ROUND(ES92/ES$8*ES$7*KVARDI,2))</f>
        <v/>
      </c>
      <c r="EU92" s="39"/>
      <c r="EV92" s="40" t="str">
        <f aca="false">IF(OR(INDEX(Undirviðmið!$G$6:$G$105,(COLUMN()-7-1)/2+1)&lt;&gt;"Starfsbundið",EU92="",EU$8="",EU$7=""),"",ROUND(EU92/EU$8*EU$7*KVARDI,2))</f>
        <v/>
      </c>
      <c r="EW92" s="39"/>
      <c r="EX92" s="40" t="str">
        <f aca="false">IF(OR(INDEX(Undirviðmið!$G$6:$G$105,(COLUMN()-7-1)/2+1)&lt;&gt;"Starfsbundið",EW92="",EW$8="",EW$7=""),"",ROUND(EW92/EW$8*EW$7*KVARDI,2))</f>
        <v/>
      </c>
      <c r="EY92" s="39"/>
      <c r="EZ92" s="40" t="str">
        <f aca="false">IF(OR(INDEX(Undirviðmið!$G$6:$G$105,(COLUMN()-7-1)/2+1)&lt;&gt;"Starfsbundið",EY92="",EY$8="",EY$7=""),"",ROUND(EY92/EY$8*EY$7*KVARDI,2))</f>
        <v/>
      </c>
      <c r="FA92" s="39"/>
      <c r="FB92" s="40" t="str">
        <f aca="false">IF(OR(INDEX(Undirviðmið!$G$6:$G$105,(COLUMN()-7-1)/2+1)&lt;&gt;"Starfsbundið",FA92="",FA$8="",FA$7=""),"",ROUND(FA92/FA$8*FA$7*KVARDI,2))</f>
        <v/>
      </c>
      <c r="FC92" s="39"/>
      <c r="FD92" s="40" t="str">
        <f aca="false">IF(OR(INDEX(Undirviðmið!$G$6:$G$105,(COLUMN()-7-1)/2+1)&lt;&gt;"Starfsbundið",FC92="",FC$8="",FC$7=""),"",ROUND(FC92/FC$8*FC$7*KVARDI,2))</f>
        <v/>
      </c>
      <c r="FE92" s="39"/>
      <c r="FF92" s="40" t="str">
        <f aca="false">IF(OR(INDEX(Undirviðmið!$G$6:$G$105,(COLUMN()-7-1)/2+1)&lt;&gt;"Starfsbundið",FE92="",FE$8="",FE$7=""),"",ROUND(FE92/FE$8*FE$7*KVARDI,2))</f>
        <v/>
      </c>
      <c r="FG92" s="39"/>
      <c r="FH92" s="40" t="str">
        <f aca="false">IF(OR(INDEX(Undirviðmið!$G$6:$G$105,(COLUMN()-7-1)/2+1)&lt;&gt;"Starfsbundið",FG92="",FG$8="",FG$7=""),"",ROUND(FG92/FG$8*FG$7*KVARDI,2))</f>
        <v/>
      </c>
      <c r="FI92" s="39"/>
      <c r="FJ92" s="40" t="str">
        <f aca="false">IF(OR(INDEX(Undirviðmið!$G$6:$G$105,(COLUMN()-7-1)/2+1)&lt;&gt;"Starfsbundið",FI92="",FI$8="",FI$7=""),"",ROUND(FI92/FI$8*FI$7*KVARDI,2))</f>
        <v/>
      </c>
      <c r="FK92" s="39"/>
      <c r="FL92" s="40" t="str">
        <f aca="false">IF(OR(INDEX(Undirviðmið!$G$6:$G$105,(COLUMN()-7-1)/2+1)&lt;&gt;"Starfsbundið",FK92="",FK$8="",FK$7=""),"",ROUND(FK92/FK$8*FK$7*KVARDI,2))</f>
        <v/>
      </c>
      <c r="FM92" s="39"/>
      <c r="FN92" s="40" t="str">
        <f aca="false">IF(OR(INDEX(Undirviðmið!$G$6:$G$105,(COLUMN()-7-1)/2+1)&lt;&gt;"Starfsbundið",FM92="",FM$8="",FM$7=""),"",ROUND(FM92/FM$8*FM$7*KVARDI,2))</f>
        <v/>
      </c>
      <c r="FO92" s="39"/>
      <c r="FP92" s="40" t="str">
        <f aca="false">IF(OR(INDEX(Undirviðmið!$G$6:$G$105,(COLUMN()-7-1)/2+1)&lt;&gt;"Starfsbundið",FO92="",FO$8="",FO$7=""),"",ROUND(FO92/FO$8*FO$7*KVARDI,2))</f>
        <v/>
      </c>
      <c r="FQ92" s="39"/>
      <c r="FR92" s="40" t="str">
        <f aca="false">IF(OR(INDEX(Undirviðmið!$G$6:$G$105,(COLUMN()-7-1)/2+1)&lt;&gt;"Starfsbundið",FQ92="",FQ$8="",FQ$7=""),"",ROUND(FQ92/FQ$8*FQ$7*KVARDI,2))</f>
        <v/>
      </c>
      <c r="FS92" s="39"/>
      <c r="FT92" s="40" t="str">
        <f aca="false">IF(OR(INDEX(Undirviðmið!$G$6:$G$105,(COLUMN()-7-1)/2+1)&lt;&gt;"Starfsbundið",FS92="",FS$8="",FS$7=""),"",ROUND(FS92/FS$8*FS$7*KVARDI,2))</f>
        <v/>
      </c>
      <c r="FU92" s="39"/>
      <c r="FV92" s="40" t="str">
        <f aca="false">IF(OR(INDEX(Undirviðmið!$G$6:$G$105,(COLUMN()-7-1)/2+1)&lt;&gt;"Starfsbundið",FU92="",FU$8="",FU$7=""),"",ROUND(FU92/FU$8*FU$7*KVARDI,2))</f>
        <v/>
      </c>
      <c r="FW92" s="39"/>
      <c r="FX92" s="40" t="str">
        <f aca="false">IF(OR(INDEX(Undirviðmið!$G$6:$G$105,(COLUMN()-7-1)/2+1)&lt;&gt;"Starfsbundið",FW92="",FW$8="",FW$7=""),"",ROUND(FW92/FW$8*FW$7*KVARDI,2))</f>
        <v/>
      </c>
      <c r="FY92" s="39"/>
      <c r="FZ92" s="40" t="str">
        <f aca="false">IF(OR(INDEX(Undirviðmið!$G$6:$G$105,(COLUMN()-7-1)/2+1)&lt;&gt;"Starfsbundið",FY92="",FY$8="",FY$7=""),"",ROUND(FY92/FY$8*FY$7*KVARDI,2))</f>
        <v/>
      </c>
      <c r="GA92" s="39"/>
      <c r="GB92" s="40" t="str">
        <f aca="false">IF(OR(INDEX(Undirviðmið!$G$6:$G$105,(COLUMN()-7-1)/2+1)&lt;&gt;"Starfsbundið",GA92="",GA$8="",GA$7=""),"",ROUND(GA92/GA$8*GA$7*KVARDI,2))</f>
        <v/>
      </c>
      <c r="GC92" s="39"/>
      <c r="GD92" s="40" t="str">
        <f aca="false">IF(OR(INDEX(Undirviðmið!$G$6:$G$105,(COLUMN()-7-1)/2+1)&lt;&gt;"Starfsbundið",GC92="",GC$8="",GC$7=""),"",ROUND(GC92/GC$8*GC$7*KVARDI,2))</f>
        <v/>
      </c>
      <c r="GE92" s="39"/>
      <c r="GF92" s="40" t="str">
        <f aca="false">IF(OR(INDEX(Undirviðmið!$G$6:$G$105,(COLUMN()-7-1)/2+1)&lt;&gt;"Starfsbundið",GE92="",GE$8="",GE$7=""),"",ROUND(GE92/GE$8*GE$7*KVARDI,2))</f>
        <v/>
      </c>
      <c r="GG92" s="39"/>
      <c r="GH92" s="40" t="str">
        <f aca="false">IF(OR(INDEX(Undirviðmið!$G$6:$G$105,(COLUMN()-7-1)/2+1)&lt;&gt;"Starfsbundið",GG92="",GG$8="",GG$7=""),"",ROUND(GG92/GG$8*GG$7*KVARDI,2))</f>
        <v/>
      </c>
      <c r="GI92" s="39"/>
      <c r="GJ92" s="40" t="str">
        <f aca="false">IF(OR(INDEX(Undirviðmið!$G$6:$G$105,(COLUMN()-7-1)/2+1)&lt;&gt;"Starfsbundið",GI92="",GI$8="",GI$7=""),"",ROUND(GI92/GI$8*GI$7*KVARDI,2))</f>
        <v/>
      </c>
      <c r="GK92" s="39"/>
      <c r="GL92" s="40" t="str">
        <f aca="false">IF(OR(INDEX(Undirviðmið!$G$6:$G$105,(COLUMN()-7-1)/2+1)&lt;&gt;"Starfsbundið",GK92="",GK$8="",GK$7=""),"",ROUND(GK92/GK$8*GK$7*KVARDI,2))</f>
        <v/>
      </c>
      <c r="GM92" s="39"/>
      <c r="GN92" s="40" t="str">
        <f aca="false">IF(OR(INDEX(Undirviðmið!$G$6:$G$105,(COLUMN()-7-1)/2+1)&lt;&gt;"Starfsbundið",GM92="",GM$8="",GM$7=""),"",ROUND(GM92/GM$8*GM$7*KVARDI,2))</f>
        <v/>
      </c>
      <c r="GO92" s="39"/>
      <c r="GP92" s="40" t="str">
        <f aca="false">IF(OR(INDEX(Undirviðmið!$G$6:$G$105,(COLUMN()-7-1)/2+1)&lt;&gt;"Starfsbundið",GO92="",GO$8="",GO$7=""),"",ROUND(GO92/GO$8*GO$7*KVARDI,2))</f>
        <v/>
      </c>
      <c r="GQ92" s="39"/>
      <c r="GR92" s="40" t="str">
        <f aca="false">IF(OR(INDEX(Undirviðmið!$G$6:$G$105,(COLUMN()-7-1)/2+1)&lt;&gt;"Starfsbundið",GQ92="",GQ$8="",GQ$7=""),"",ROUND(GQ92/GQ$8*GQ$7*KVARDI,2))</f>
        <v/>
      </c>
      <c r="GS92" s="39"/>
      <c r="GT92" s="40" t="str">
        <f aca="false">IF(OR(INDEX(Undirviðmið!$G$6:$G$105,(COLUMN()-7-1)/2+1)&lt;&gt;"Starfsbundið",GS92="",GS$8="",GS$7=""),"",ROUND(GS92/GS$8*GS$7*KVARDI,2))</f>
        <v/>
      </c>
      <c r="GU92" s="39"/>
      <c r="GV92" s="40" t="str">
        <f aca="false">IF(OR(INDEX(Undirviðmið!$G$6:$G$105,(COLUMN()-7-1)/2+1)&lt;&gt;"Starfsbundið",GU92="",GU$8="",GU$7=""),"",ROUND(GU92/GU$8*GU$7*KVARDI,2))</f>
        <v/>
      </c>
      <c r="GW92" s="39"/>
      <c r="GX92" s="40" t="str">
        <f aca="false">IF(OR(INDEX(Undirviðmið!$G$6:$G$105,(COLUMN()-7-1)/2+1)&lt;&gt;"Starfsbundið",GW92="",GW$8="",GW$7=""),"",ROUND(GW92/GW$8*GW$7*KVARDI,2))</f>
        <v/>
      </c>
      <c r="GZ92" s="20"/>
    </row>
    <row r="93" customFormat="false" ht="15" hidden="true" customHeight="true" outlineLevel="1" collapsed="false">
      <c r="B93" s="37" t="str">
        <f aca="false" t="array" ref="B93:B93">IFERROR(INDEX(Starfsmenn!$C$6:$C$10005,MATCH(0,COUNTIF($B$11:B92,Starfsmenn!$C$6:$C$10005)+(Starfsmenn!$C$6:$C$10005=""),0)),"")</f>
        <v/>
      </c>
      <c r="C93" s="38" t="n">
        <f aca="false">IFERROR(SUMIF($G$10:$GX$10,"Stig",$G93:$GX93),0)</f>
        <v>0</v>
      </c>
      <c r="G93" s="39"/>
      <c r="H93" s="40" t="str">
        <f aca="false">IF(OR(INDEX(Undirviðmið!$G$6:$G$105,(COLUMN()-7-1)/2+1)&lt;&gt;"Starfsbundið",G93="",G$8="",G$7=""),"",ROUND(G93/G$8*G$7*KVARDI,2))</f>
        <v/>
      </c>
      <c r="I93" s="39"/>
      <c r="J93" s="40" t="str">
        <f aca="false">IF(OR(INDEX(Undirviðmið!$G$6:$G$105,(COLUMN()-7-1)/2+1)&lt;&gt;"Starfsbundið",I93="",I$8="",I$7=""),"",ROUND(I93/I$8*I$7*KVARDI,2))</f>
        <v/>
      </c>
      <c r="K93" s="39"/>
      <c r="L93" s="40" t="str">
        <f aca="false">IF(OR(INDEX(Undirviðmið!$G$6:$G$105,(COLUMN()-7-1)/2+1)&lt;&gt;"Starfsbundið",K93="",K$8="",K$7=""),"",ROUND(K93/K$8*K$7*KVARDI,2))</f>
        <v/>
      </c>
      <c r="M93" s="39"/>
      <c r="N93" s="40" t="str">
        <f aca="false">IF(OR(INDEX(Undirviðmið!$G$6:$G$105,(COLUMN()-7-1)/2+1)&lt;&gt;"Starfsbundið",M93="",M$8="",M$7=""),"",ROUND(M93/M$8*M$7*KVARDI,2))</f>
        <v/>
      </c>
      <c r="O93" s="39"/>
      <c r="P93" s="40" t="str">
        <f aca="false">IF(OR(INDEX(Undirviðmið!$G$6:$G$105,(COLUMN()-7-1)/2+1)&lt;&gt;"Starfsbundið",O93="",O$8="",O$7=""),"",ROUND(O93/O$8*O$7*KVARDI,2))</f>
        <v/>
      </c>
      <c r="Q93" s="39"/>
      <c r="R93" s="40" t="str">
        <f aca="false">IF(OR(INDEX(Undirviðmið!$G$6:$G$105,(COLUMN()-7-1)/2+1)&lt;&gt;"Starfsbundið",Q93="",Q$8="",Q$7=""),"",ROUND(Q93/Q$8*Q$7*KVARDI,2))</f>
        <v/>
      </c>
      <c r="S93" s="39"/>
      <c r="T93" s="40" t="str">
        <f aca="false">IF(OR(INDEX(Undirviðmið!$G$6:$G$105,(COLUMN()-7-1)/2+1)&lt;&gt;"Starfsbundið",S93="",S$8="",S$7=""),"",ROUND(S93/S$8*S$7*KVARDI,2))</f>
        <v/>
      </c>
      <c r="U93" s="39"/>
      <c r="V93" s="40" t="str">
        <f aca="false">IF(OR(INDEX(Undirviðmið!$G$6:$G$105,(COLUMN()-7-1)/2+1)&lt;&gt;"Starfsbundið",U93="",U$8="",U$7=""),"",ROUND(U93/U$8*U$7*KVARDI,2))</f>
        <v/>
      </c>
      <c r="W93" s="39"/>
      <c r="X93" s="40" t="str">
        <f aca="false">IF(OR(INDEX(Undirviðmið!$G$6:$G$105,(COLUMN()-7-1)/2+1)&lt;&gt;"Starfsbundið",W93="",W$8="",W$7=""),"",ROUND(W93/W$8*W$7*KVARDI,2))</f>
        <v/>
      </c>
      <c r="Y93" s="39"/>
      <c r="Z93" s="40" t="str">
        <f aca="false">IF(OR(INDEX(Undirviðmið!$G$6:$G$105,(COLUMN()-7-1)/2+1)&lt;&gt;"Starfsbundið",Y93="",Y$8="",Y$7=""),"",ROUND(Y93/Y$8*Y$7*KVARDI,2))</f>
        <v/>
      </c>
      <c r="AA93" s="39"/>
      <c r="AB93" s="40" t="str">
        <f aca="false">IF(OR(INDEX(Undirviðmið!$G$6:$G$105,(COLUMN()-7-1)/2+1)&lt;&gt;"Starfsbundið",AA93="",AA$8="",AA$7=""),"",ROUND(AA93/AA$8*AA$7*KVARDI,2))</f>
        <v/>
      </c>
      <c r="AC93" s="39"/>
      <c r="AD93" s="40" t="str">
        <f aca="false">IF(OR(INDEX(Undirviðmið!$G$6:$G$105,(COLUMN()-7-1)/2+1)&lt;&gt;"Starfsbundið",AC93="",AC$8="",AC$7=""),"",ROUND(AC93/AC$8*AC$7*KVARDI,2))</f>
        <v/>
      </c>
      <c r="AE93" s="39"/>
      <c r="AF93" s="40" t="str">
        <f aca="false">IF(OR(INDEX(Undirviðmið!$G$6:$G$105,(COLUMN()-7-1)/2+1)&lt;&gt;"Starfsbundið",AE93="",AE$8="",AE$7=""),"",ROUND(AE93/AE$8*AE$7*KVARDI,2))</f>
        <v/>
      </c>
      <c r="AG93" s="39"/>
      <c r="AH93" s="40" t="str">
        <f aca="false">IF(OR(INDEX(Undirviðmið!$G$6:$G$105,(COLUMN()-7-1)/2+1)&lt;&gt;"Starfsbundið",AG93="",AG$8="",AG$7=""),"",ROUND(AG93/AG$8*AG$7*KVARDI,2))</f>
        <v/>
      </c>
      <c r="AI93" s="39"/>
      <c r="AJ93" s="40" t="str">
        <f aca="false">IF(OR(INDEX(Undirviðmið!$G$6:$G$105,(COLUMN()-7-1)/2+1)&lt;&gt;"Starfsbundið",AI93="",AI$8="",AI$7=""),"",ROUND(AI93/AI$8*AI$7*KVARDI,2))</f>
        <v/>
      </c>
      <c r="AK93" s="39"/>
      <c r="AL93" s="40" t="str">
        <f aca="false">IF(OR(INDEX(Undirviðmið!$G$6:$G$105,(COLUMN()-7-1)/2+1)&lt;&gt;"Starfsbundið",AK93="",AK$8="",AK$7=""),"",ROUND(AK93/AK$8*AK$7*KVARDI,2))</f>
        <v/>
      </c>
      <c r="AM93" s="39"/>
      <c r="AN93" s="40" t="str">
        <f aca="false">IF(OR(INDEX(Undirviðmið!$G$6:$G$105,(COLUMN()-7-1)/2+1)&lt;&gt;"Starfsbundið",AM93="",AM$8="",AM$7=""),"",ROUND(AM93/AM$8*AM$7*KVARDI,2))</f>
        <v/>
      </c>
      <c r="AO93" s="39"/>
      <c r="AP93" s="40" t="str">
        <f aca="false">IF(OR(INDEX(Undirviðmið!$G$6:$G$105,(COLUMN()-7-1)/2+1)&lt;&gt;"Starfsbundið",AO93="",AO$8="",AO$7=""),"",ROUND(AO93/AO$8*AO$7*KVARDI,2))</f>
        <v/>
      </c>
      <c r="AQ93" s="39"/>
      <c r="AR93" s="40" t="str">
        <f aca="false">IF(OR(INDEX(Undirviðmið!$G$6:$G$105,(COLUMN()-7-1)/2+1)&lt;&gt;"Starfsbundið",AQ93="",AQ$8="",AQ$7=""),"",ROUND(AQ93/AQ$8*AQ$7*KVARDI,2))</f>
        <v/>
      </c>
      <c r="AS93" s="39"/>
      <c r="AT93" s="40" t="str">
        <f aca="false">IF(OR(INDEX(Undirviðmið!$G$6:$G$105,(COLUMN()-7-1)/2+1)&lt;&gt;"Starfsbundið",AS93="",AS$8="",AS$7=""),"",ROUND(AS93/AS$8*AS$7*KVARDI,2))</f>
        <v/>
      </c>
      <c r="AU93" s="39"/>
      <c r="AV93" s="40" t="str">
        <f aca="false">IF(OR(INDEX(Undirviðmið!$G$6:$G$105,(COLUMN()-7-1)/2+1)&lt;&gt;"Starfsbundið",AU93="",AU$8="",AU$7=""),"",ROUND(AU93/AU$8*AU$7*KVARDI,2))</f>
        <v/>
      </c>
      <c r="AW93" s="39"/>
      <c r="AX93" s="40" t="str">
        <f aca="false">IF(OR(INDEX(Undirviðmið!$G$6:$G$105,(COLUMN()-7-1)/2+1)&lt;&gt;"Starfsbundið",AW93="",AW$8="",AW$7=""),"",ROUND(AW93/AW$8*AW$7*KVARDI,2))</f>
        <v/>
      </c>
      <c r="AY93" s="39"/>
      <c r="AZ93" s="40" t="str">
        <f aca="false">IF(OR(INDEX(Undirviðmið!$G$6:$G$105,(COLUMN()-7-1)/2+1)&lt;&gt;"Starfsbundið",AY93="",AY$8="",AY$7=""),"",ROUND(AY93/AY$8*AY$7*KVARDI,2))</f>
        <v/>
      </c>
      <c r="BA93" s="39"/>
      <c r="BB93" s="40" t="str">
        <f aca="false">IF(OR(INDEX(Undirviðmið!$G$6:$G$105,(COLUMN()-7-1)/2+1)&lt;&gt;"Starfsbundið",BA93="",BA$8="",BA$7=""),"",ROUND(BA93/BA$8*BA$7*KVARDI,2))</f>
        <v/>
      </c>
      <c r="BC93" s="39"/>
      <c r="BD93" s="40" t="str">
        <f aca="false">IF(OR(INDEX(Undirviðmið!$G$6:$G$105,(COLUMN()-7-1)/2+1)&lt;&gt;"Starfsbundið",BC93="",BC$8="",BC$7=""),"",ROUND(BC93/BC$8*BC$7*KVARDI,2))</f>
        <v/>
      </c>
      <c r="BE93" s="39"/>
      <c r="BF93" s="40" t="str">
        <f aca="false">IF(OR(INDEX(Undirviðmið!$G$6:$G$105,(COLUMN()-7-1)/2+1)&lt;&gt;"Starfsbundið",BE93="",BE$8="",BE$7=""),"",ROUND(BE93/BE$8*BE$7*KVARDI,2))</f>
        <v/>
      </c>
      <c r="BG93" s="39"/>
      <c r="BH93" s="40" t="str">
        <f aca="false">IF(OR(INDEX(Undirviðmið!$G$6:$G$105,(COLUMN()-7-1)/2+1)&lt;&gt;"Starfsbundið",BG93="",BG$8="",BG$7=""),"",ROUND(BG93/BG$8*BG$7*KVARDI,2))</f>
        <v/>
      </c>
      <c r="BI93" s="39"/>
      <c r="BJ93" s="40" t="str">
        <f aca="false">IF(OR(INDEX(Undirviðmið!$G$6:$G$105,(COLUMN()-7-1)/2+1)&lt;&gt;"Starfsbundið",BI93="",BI$8="",BI$7=""),"",ROUND(BI93/BI$8*BI$7*KVARDI,2))</f>
        <v/>
      </c>
      <c r="BK93" s="39"/>
      <c r="BL93" s="40" t="str">
        <f aca="false">IF(OR(INDEX(Undirviðmið!$G$6:$G$105,(COLUMN()-7-1)/2+1)&lt;&gt;"Starfsbundið",BK93="",BK$8="",BK$7=""),"",ROUND(BK93/BK$8*BK$7*KVARDI,2))</f>
        <v/>
      </c>
      <c r="BM93" s="39"/>
      <c r="BN93" s="40" t="str">
        <f aca="false">IF(OR(INDEX(Undirviðmið!$G$6:$G$105,(COLUMN()-7-1)/2+1)&lt;&gt;"Starfsbundið",BM93="",BM$8="",BM$7=""),"",ROUND(BM93/BM$8*BM$7*KVARDI,2))</f>
        <v/>
      </c>
      <c r="BO93" s="39"/>
      <c r="BP93" s="40" t="str">
        <f aca="false">IF(OR(INDEX(Undirviðmið!$G$6:$G$105,(COLUMN()-7-1)/2+1)&lt;&gt;"Starfsbundið",BO93="",BO$8="",BO$7=""),"",ROUND(BO93/BO$8*BO$7*KVARDI,2))</f>
        <v/>
      </c>
      <c r="BQ93" s="39"/>
      <c r="BR93" s="40" t="str">
        <f aca="false">IF(OR(INDEX(Undirviðmið!$G$6:$G$105,(COLUMN()-7-1)/2+1)&lt;&gt;"Starfsbundið",BQ93="",BQ$8="",BQ$7=""),"",ROUND(BQ93/BQ$8*BQ$7*KVARDI,2))</f>
        <v/>
      </c>
      <c r="BS93" s="39"/>
      <c r="BT93" s="40" t="str">
        <f aca="false">IF(OR(INDEX(Undirviðmið!$G$6:$G$105,(COLUMN()-7-1)/2+1)&lt;&gt;"Starfsbundið",BS93="",BS$8="",BS$7=""),"",ROUND(BS93/BS$8*BS$7*KVARDI,2))</f>
        <v/>
      </c>
      <c r="BU93" s="39"/>
      <c r="BV93" s="40" t="str">
        <f aca="false">IF(OR(INDEX(Undirviðmið!$G$6:$G$105,(COLUMN()-7-1)/2+1)&lt;&gt;"Starfsbundið",BU93="",BU$8="",BU$7=""),"",ROUND(BU93/BU$8*BU$7*KVARDI,2))</f>
        <v/>
      </c>
      <c r="BW93" s="39"/>
      <c r="BX93" s="40" t="str">
        <f aca="false">IF(OR(INDEX(Undirviðmið!$G$6:$G$105,(COLUMN()-7-1)/2+1)&lt;&gt;"Starfsbundið",BW93="",BW$8="",BW$7=""),"",ROUND(BW93/BW$8*BW$7*KVARDI,2))</f>
        <v/>
      </c>
      <c r="BY93" s="39"/>
      <c r="BZ93" s="40" t="str">
        <f aca="false">IF(OR(INDEX(Undirviðmið!$G$6:$G$105,(COLUMN()-7-1)/2+1)&lt;&gt;"Starfsbundið",BY93="",BY$8="",BY$7=""),"",ROUND(BY93/BY$8*BY$7*KVARDI,2))</f>
        <v/>
      </c>
      <c r="CA93" s="39"/>
      <c r="CB93" s="40" t="str">
        <f aca="false">IF(OR(INDEX(Undirviðmið!$G$6:$G$105,(COLUMN()-7-1)/2+1)&lt;&gt;"Starfsbundið",CA93="",CA$8="",CA$7=""),"",ROUND(CA93/CA$8*CA$7*KVARDI,2))</f>
        <v/>
      </c>
      <c r="CC93" s="39"/>
      <c r="CD93" s="40" t="str">
        <f aca="false">IF(OR(INDEX(Undirviðmið!$G$6:$G$105,(COLUMN()-7-1)/2+1)&lt;&gt;"Starfsbundið",CC93="",CC$8="",CC$7=""),"",ROUND(CC93/CC$8*CC$7*KVARDI,2))</f>
        <v/>
      </c>
      <c r="CE93" s="39"/>
      <c r="CF93" s="40" t="str">
        <f aca="false">IF(OR(INDEX(Undirviðmið!$G$6:$G$105,(COLUMN()-7-1)/2+1)&lt;&gt;"Starfsbundið",CE93="",CE$8="",CE$7=""),"",ROUND(CE93/CE$8*CE$7*KVARDI,2))</f>
        <v/>
      </c>
      <c r="CG93" s="39"/>
      <c r="CH93" s="40" t="str">
        <f aca="false">IF(OR(INDEX(Undirviðmið!$G$6:$G$105,(COLUMN()-7-1)/2+1)&lt;&gt;"Starfsbundið",CG93="",CG$8="",CG$7=""),"",ROUND(CG93/CG$8*CG$7*KVARDI,2))</f>
        <v/>
      </c>
      <c r="CI93" s="39"/>
      <c r="CJ93" s="40" t="str">
        <f aca="false">IF(OR(INDEX(Undirviðmið!$G$6:$G$105,(COLUMN()-7-1)/2+1)&lt;&gt;"Starfsbundið",CI93="",CI$8="",CI$7=""),"",ROUND(CI93/CI$8*CI$7*KVARDI,2))</f>
        <v/>
      </c>
      <c r="CK93" s="39"/>
      <c r="CL93" s="40" t="str">
        <f aca="false">IF(OR(INDEX(Undirviðmið!$G$6:$G$105,(COLUMN()-7-1)/2+1)&lt;&gt;"Starfsbundið",CK93="",CK$8="",CK$7=""),"",ROUND(CK93/CK$8*CK$7*KVARDI,2))</f>
        <v/>
      </c>
      <c r="CM93" s="39"/>
      <c r="CN93" s="40" t="str">
        <f aca="false">IF(OR(INDEX(Undirviðmið!$G$6:$G$105,(COLUMN()-7-1)/2+1)&lt;&gt;"Starfsbundið",CM93="",CM$8="",CM$7=""),"",ROUND(CM93/CM$8*CM$7*KVARDI,2))</f>
        <v/>
      </c>
      <c r="CO93" s="39"/>
      <c r="CP93" s="40" t="str">
        <f aca="false">IF(OR(INDEX(Undirviðmið!$G$6:$G$105,(COLUMN()-7-1)/2+1)&lt;&gt;"Starfsbundið",CO93="",CO$8="",CO$7=""),"",ROUND(CO93/CO$8*CO$7*KVARDI,2))</f>
        <v/>
      </c>
      <c r="CQ93" s="39"/>
      <c r="CR93" s="40" t="str">
        <f aca="false">IF(OR(INDEX(Undirviðmið!$G$6:$G$105,(COLUMN()-7-1)/2+1)&lt;&gt;"Starfsbundið",CQ93="",CQ$8="",CQ$7=""),"",ROUND(CQ93/CQ$8*CQ$7*KVARDI,2))</f>
        <v/>
      </c>
      <c r="CS93" s="39"/>
      <c r="CT93" s="40" t="str">
        <f aca="false">IF(OR(INDEX(Undirviðmið!$G$6:$G$105,(COLUMN()-7-1)/2+1)&lt;&gt;"Starfsbundið",CS93="",CS$8="",CS$7=""),"",ROUND(CS93/CS$8*CS$7*KVARDI,2))</f>
        <v/>
      </c>
      <c r="CU93" s="39"/>
      <c r="CV93" s="40" t="str">
        <f aca="false">IF(OR(INDEX(Undirviðmið!$G$6:$G$105,(COLUMN()-7-1)/2+1)&lt;&gt;"Starfsbundið",CU93="",CU$8="",CU$7=""),"",ROUND(CU93/CU$8*CU$7*KVARDI,2))</f>
        <v/>
      </c>
      <c r="CW93" s="39"/>
      <c r="CX93" s="40" t="str">
        <f aca="false">IF(OR(INDEX(Undirviðmið!$G$6:$G$105,(COLUMN()-7-1)/2+1)&lt;&gt;"Starfsbundið",CW93="",CW$8="",CW$7=""),"",ROUND(CW93/CW$8*CW$7*KVARDI,2))</f>
        <v/>
      </c>
      <c r="CY93" s="39"/>
      <c r="CZ93" s="40" t="str">
        <f aca="false">IF(OR(INDEX(Undirviðmið!$G$6:$G$105,(COLUMN()-7-1)/2+1)&lt;&gt;"Starfsbundið",CY93="",CY$8="",CY$7=""),"",ROUND(CY93/CY$8*CY$7*KVARDI,2))</f>
        <v/>
      </c>
      <c r="DA93" s="39"/>
      <c r="DB93" s="40" t="str">
        <f aca="false">IF(OR(INDEX(Undirviðmið!$G$6:$G$105,(COLUMN()-7-1)/2+1)&lt;&gt;"Starfsbundið",DA93="",DA$8="",DA$7=""),"",ROUND(DA93/DA$8*DA$7*KVARDI,2))</f>
        <v/>
      </c>
      <c r="DC93" s="39"/>
      <c r="DD93" s="40" t="str">
        <f aca="false">IF(OR(INDEX(Undirviðmið!$G$6:$G$105,(COLUMN()-7-1)/2+1)&lt;&gt;"Starfsbundið",DC93="",DC$8="",DC$7=""),"",ROUND(DC93/DC$8*DC$7*KVARDI,2))</f>
        <v/>
      </c>
      <c r="DE93" s="39"/>
      <c r="DF93" s="40" t="str">
        <f aca="false">IF(OR(INDEX(Undirviðmið!$G$6:$G$105,(COLUMN()-7-1)/2+1)&lt;&gt;"Starfsbundið",DE93="",DE$8="",DE$7=""),"",ROUND(DE93/DE$8*DE$7*KVARDI,2))</f>
        <v/>
      </c>
      <c r="DG93" s="39"/>
      <c r="DH93" s="40" t="str">
        <f aca="false">IF(OR(INDEX(Undirviðmið!$G$6:$G$105,(COLUMN()-7-1)/2+1)&lt;&gt;"Starfsbundið",DG93="",DG$8="",DG$7=""),"",ROUND(DG93/DG$8*DG$7*KVARDI,2))</f>
        <v/>
      </c>
      <c r="DI93" s="39"/>
      <c r="DJ93" s="40" t="str">
        <f aca="false">IF(OR(INDEX(Undirviðmið!$G$6:$G$105,(COLUMN()-7-1)/2+1)&lt;&gt;"Starfsbundið",DI93="",DI$8="",DI$7=""),"",ROUND(DI93/DI$8*DI$7*KVARDI,2))</f>
        <v/>
      </c>
      <c r="DK93" s="39"/>
      <c r="DL93" s="40" t="str">
        <f aca="false">IF(OR(INDEX(Undirviðmið!$G$6:$G$105,(COLUMN()-7-1)/2+1)&lt;&gt;"Starfsbundið",DK93="",DK$8="",DK$7=""),"",ROUND(DK93/DK$8*DK$7*KVARDI,2))</f>
        <v/>
      </c>
      <c r="DM93" s="39"/>
      <c r="DN93" s="40" t="str">
        <f aca="false">IF(OR(INDEX(Undirviðmið!$G$6:$G$105,(COLUMN()-7-1)/2+1)&lt;&gt;"Starfsbundið",DM93="",DM$8="",DM$7=""),"",ROUND(DM93/DM$8*DM$7*KVARDI,2))</f>
        <v/>
      </c>
      <c r="DO93" s="39"/>
      <c r="DP93" s="40" t="str">
        <f aca="false">IF(OR(INDEX(Undirviðmið!$G$6:$G$105,(COLUMN()-7-1)/2+1)&lt;&gt;"Starfsbundið",DO93="",DO$8="",DO$7=""),"",ROUND(DO93/DO$8*DO$7*KVARDI,2))</f>
        <v/>
      </c>
      <c r="DQ93" s="39"/>
      <c r="DR93" s="40" t="str">
        <f aca="false">IF(OR(INDEX(Undirviðmið!$G$6:$G$105,(COLUMN()-7-1)/2+1)&lt;&gt;"Starfsbundið",DQ93="",DQ$8="",DQ$7=""),"",ROUND(DQ93/DQ$8*DQ$7*KVARDI,2))</f>
        <v/>
      </c>
      <c r="DS93" s="39"/>
      <c r="DT93" s="40" t="str">
        <f aca="false">IF(OR(INDEX(Undirviðmið!$G$6:$G$105,(COLUMN()-7-1)/2+1)&lt;&gt;"Starfsbundið",DS93="",DS$8="",DS$7=""),"",ROUND(DS93/DS$8*DS$7*KVARDI,2))</f>
        <v/>
      </c>
      <c r="DU93" s="39"/>
      <c r="DV93" s="40" t="str">
        <f aca="false">IF(OR(INDEX(Undirviðmið!$G$6:$G$105,(COLUMN()-7-1)/2+1)&lt;&gt;"Starfsbundið",DU93="",DU$8="",DU$7=""),"",ROUND(DU93/DU$8*DU$7*KVARDI,2))</f>
        <v/>
      </c>
      <c r="DW93" s="39"/>
      <c r="DX93" s="40" t="str">
        <f aca="false">IF(OR(INDEX(Undirviðmið!$G$6:$G$105,(COLUMN()-7-1)/2+1)&lt;&gt;"Starfsbundið",DW93="",DW$8="",DW$7=""),"",ROUND(DW93/DW$8*DW$7*KVARDI,2))</f>
        <v/>
      </c>
      <c r="DY93" s="39"/>
      <c r="DZ93" s="40" t="str">
        <f aca="false">IF(OR(INDEX(Undirviðmið!$G$6:$G$105,(COLUMN()-7-1)/2+1)&lt;&gt;"Starfsbundið",DY93="",DY$8="",DY$7=""),"",ROUND(DY93/DY$8*DY$7*KVARDI,2))</f>
        <v/>
      </c>
      <c r="EA93" s="39"/>
      <c r="EB93" s="40" t="str">
        <f aca="false">IF(OR(INDEX(Undirviðmið!$G$6:$G$105,(COLUMN()-7-1)/2+1)&lt;&gt;"Starfsbundið",EA93="",EA$8="",EA$7=""),"",ROUND(EA93/EA$8*EA$7*KVARDI,2))</f>
        <v/>
      </c>
      <c r="EC93" s="39"/>
      <c r="ED93" s="40" t="str">
        <f aca="false">IF(OR(INDEX(Undirviðmið!$G$6:$G$105,(COLUMN()-7-1)/2+1)&lt;&gt;"Starfsbundið",EC93="",EC$8="",EC$7=""),"",ROUND(EC93/EC$8*EC$7*KVARDI,2))</f>
        <v/>
      </c>
      <c r="EE93" s="39"/>
      <c r="EF93" s="40" t="str">
        <f aca="false">IF(OR(INDEX(Undirviðmið!$G$6:$G$105,(COLUMN()-7-1)/2+1)&lt;&gt;"Starfsbundið",EE93="",EE$8="",EE$7=""),"",ROUND(EE93/EE$8*EE$7*KVARDI,2))</f>
        <v/>
      </c>
      <c r="EG93" s="39"/>
      <c r="EH93" s="40" t="str">
        <f aca="false">IF(OR(INDEX(Undirviðmið!$G$6:$G$105,(COLUMN()-7-1)/2+1)&lt;&gt;"Starfsbundið",EG93="",EG$8="",EG$7=""),"",ROUND(EG93/EG$8*EG$7*KVARDI,2))</f>
        <v/>
      </c>
      <c r="EI93" s="39"/>
      <c r="EJ93" s="40" t="str">
        <f aca="false">IF(OR(INDEX(Undirviðmið!$G$6:$G$105,(COLUMN()-7-1)/2+1)&lt;&gt;"Starfsbundið",EI93="",EI$8="",EI$7=""),"",ROUND(EI93/EI$8*EI$7*KVARDI,2))</f>
        <v/>
      </c>
      <c r="EK93" s="39"/>
      <c r="EL93" s="40" t="str">
        <f aca="false">IF(OR(INDEX(Undirviðmið!$G$6:$G$105,(COLUMN()-7-1)/2+1)&lt;&gt;"Starfsbundið",EK93="",EK$8="",EK$7=""),"",ROUND(EK93/EK$8*EK$7*KVARDI,2))</f>
        <v/>
      </c>
      <c r="EM93" s="39"/>
      <c r="EN93" s="40" t="str">
        <f aca="false">IF(OR(INDEX(Undirviðmið!$G$6:$G$105,(COLUMN()-7-1)/2+1)&lt;&gt;"Starfsbundið",EM93="",EM$8="",EM$7=""),"",ROUND(EM93/EM$8*EM$7*KVARDI,2))</f>
        <v/>
      </c>
      <c r="EO93" s="39"/>
      <c r="EP93" s="40" t="str">
        <f aca="false">IF(OR(INDEX(Undirviðmið!$G$6:$G$105,(COLUMN()-7-1)/2+1)&lt;&gt;"Starfsbundið",EO93="",EO$8="",EO$7=""),"",ROUND(EO93/EO$8*EO$7*KVARDI,2))</f>
        <v/>
      </c>
      <c r="EQ93" s="39"/>
      <c r="ER93" s="40" t="str">
        <f aca="false">IF(OR(INDEX(Undirviðmið!$G$6:$G$105,(COLUMN()-7-1)/2+1)&lt;&gt;"Starfsbundið",EQ93="",EQ$8="",EQ$7=""),"",ROUND(EQ93/EQ$8*EQ$7*KVARDI,2))</f>
        <v/>
      </c>
      <c r="ES93" s="39"/>
      <c r="ET93" s="40" t="str">
        <f aca="false">IF(OR(INDEX(Undirviðmið!$G$6:$G$105,(COLUMN()-7-1)/2+1)&lt;&gt;"Starfsbundið",ES93="",ES$8="",ES$7=""),"",ROUND(ES93/ES$8*ES$7*KVARDI,2))</f>
        <v/>
      </c>
      <c r="EU93" s="39"/>
      <c r="EV93" s="40" t="str">
        <f aca="false">IF(OR(INDEX(Undirviðmið!$G$6:$G$105,(COLUMN()-7-1)/2+1)&lt;&gt;"Starfsbundið",EU93="",EU$8="",EU$7=""),"",ROUND(EU93/EU$8*EU$7*KVARDI,2))</f>
        <v/>
      </c>
      <c r="EW93" s="39"/>
      <c r="EX93" s="40" t="str">
        <f aca="false">IF(OR(INDEX(Undirviðmið!$G$6:$G$105,(COLUMN()-7-1)/2+1)&lt;&gt;"Starfsbundið",EW93="",EW$8="",EW$7=""),"",ROUND(EW93/EW$8*EW$7*KVARDI,2))</f>
        <v/>
      </c>
      <c r="EY93" s="39"/>
      <c r="EZ93" s="40" t="str">
        <f aca="false">IF(OR(INDEX(Undirviðmið!$G$6:$G$105,(COLUMN()-7-1)/2+1)&lt;&gt;"Starfsbundið",EY93="",EY$8="",EY$7=""),"",ROUND(EY93/EY$8*EY$7*KVARDI,2))</f>
        <v/>
      </c>
      <c r="FA93" s="39"/>
      <c r="FB93" s="40" t="str">
        <f aca="false">IF(OR(INDEX(Undirviðmið!$G$6:$G$105,(COLUMN()-7-1)/2+1)&lt;&gt;"Starfsbundið",FA93="",FA$8="",FA$7=""),"",ROUND(FA93/FA$8*FA$7*KVARDI,2))</f>
        <v/>
      </c>
      <c r="FC93" s="39"/>
      <c r="FD93" s="40" t="str">
        <f aca="false">IF(OR(INDEX(Undirviðmið!$G$6:$G$105,(COLUMN()-7-1)/2+1)&lt;&gt;"Starfsbundið",FC93="",FC$8="",FC$7=""),"",ROUND(FC93/FC$8*FC$7*KVARDI,2))</f>
        <v/>
      </c>
      <c r="FE93" s="39"/>
      <c r="FF93" s="40" t="str">
        <f aca="false">IF(OR(INDEX(Undirviðmið!$G$6:$G$105,(COLUMN()-7-1)/2+1)&lt;&gt;"Starfsbundið",FE93="",FE$8="",FE$7=""),"",ROUND(FE93/FE$8*FE$7*KVARDI,2))</f>
        <v/>
      </c>
      <c r="FG93" s="39"/>
      <c r="FH93" s="40" t="str">
        <f aca="false">IF(OR(INDEX(Undirviðmið!$G$6:$G$105,(COLUMN()-7-1)/2+1)&lt;&gt;"Starfsbundið",FG93="",FG$8="",FG$7=""),"",ROUND(FG93/FG$8*FG$7*KVARDI,2))</f>
        <v/>
      </c>
      <c r="FI93" s="39"/>
      <c r="FJ93" s="40" t="str">
        <f aca="false">IF(OR(INDEX(Undirviðmið!$G$6:$G$105,(COLUMN()-7-1)/2+1)&lt;&gt;"Starfsbundið",FI93="",FI$8="",FI$7=""),"",ROUND(FI93/FI$8*FI$7*KVARDI,2))</f>
        <v/>
      </c>
      <c r="FK93" s="39"/>
      <c r="FL93" s="40" t="str">
        <f aca="false">IF(OR(INDEX(Undirviðmið!$G$6:$G$105,(COLUMN()-7-1)/2+1)&lt;&gt;"Starfsbundið",FK93="",FK$8="",FK$7=""),"",ROUND(FK93/FK$8*FK$7*KVARDI,2))</f>
        <v/>
      </c>
      <c r="FM93" s="39"/>
      <c r="FN93" s="40" t="str">
        <f aca="false">IF(OR(INDEX(Undirviðmið!$G$6:$G$105,(COLUMN()-7-1)/2+1)&lt;&gt;"Starfsbundið",FM93="",FM$8="",FM$7=""),"",ROUND(FM93/FM$8*FM$7*KVARDI,2))</f>
        <v/>
      </c>
      <c r="FO93" s="39"/>
      <c r="FP93" s="40" t="str">
        <f aca="false">IF(OR(INDEX(Undirviðmið!$G$6:$G$105,(COLUMN()-7-1)/2+1)&lt;&gt;"Starfsbundið",FO93="",FO$8="",FO$7=""),"",ROUND(FO93/FO$8*FO$7*KVARDI,2))</f>
        <v/>
      </c>
      <c r="FQ93" s="39"/>
      <c r="FR93" s="40" t="str">
        <f aca="false">IF(OR(INDEX(Undirviðmið!$G$6:$G$105,(COLUMN()-7-1)/2+1)&lt;&gt;"Starfsbundið",FQ93="",FQ$8="",FQ$7=""),"",ROUND(FQ93/FQ$8*FQ$7*KVARDI,2))</f>
        <v/>
      </c>
      <c r="FS93" s="39"/>
      <c r="FT93" s="40" t="str">
        <f aca="false">IF(OR(INDEX(Undirviðmið!$G$6:$G$105,(COLUMN()-7-1)/2+1)&lt;&gt;"Starfsbundið",FS93="",FS$8="",FS$7=""),"",ROUND(FS93/FS$8*FS$7*KVARDI,2))</f>
        <v/>
      </c>
      <c r="FU93" s="39"/>
      <c r="FV93" s="40" t="str">
        <f aca="false">IF(OR(INDEX(Undirviðmið!$G$6:$G$105,(COLUMN()-7-1)/2+1)&lt;&gt;"Starfsbundið",FU93="",FU$8="",FU$7=""),"",ROUND(FU93/FU$8*FU$7*KVARDI,2))</f>
        <v/>
      </c>
      <c r="FW93" s="39"/>
      <c r="FX93" s="40" t="str">
        <f aca="false">IF(OR(INDEX(Undirviðmið!$G$6:$G$105,(COLUMN()-7-1)/2+1)&lt;&gt;"Starfsbundið",FW93="",FW$8="",FW$7=""),"",ROUND(FW93/FW$8*FW$7*KVARDI,2))</f>
        <v/>
      </c>
      <c r="FY93" s="39"/>
      <c r="FZ93" s="40" t="str">
        <f aca="false">IF(OR(INDEX(Undirviðmið!$G$6:$G$105,(COLUMN()-7-1)/2+1)&lt;&gt;"Starfsbundið",FY93="",FY$8="",FY$7=""),"",ROUND(FY93/FY$8*FY$7*KVARDI,2))</f>
        <v/>
      </c>
      <c r="GA93" s="39"/>
      <c r="GB93" s="40" t="str">
        <f aca="false">IF(OR(INDEX(Undirviðmið!$G$6:$G$105,(COLUMN()-7-1)/2+1)&lt;&gt;"Starfsbundið",GA93="",GA$8="",GA$7=""),"",ROUND(GA93/GA$8*GA$7*KVARDI,2))</f>
        <v/>
      </c>
      <c r="GC93" s="39"/>
      <c r="GD93" s="40" t="str">
        <f aca="false">IF(OR(INDEX(Undirviðmið!$G$6:$G$105,(COLUMN()-7-1)/2+1)&lt;&gt;"Starfsbundið",GC93="",GC$8="",GC$7=""),"",ROUND(GC93/GC$8*GC$7*KVARDI,2))</f>
        <v/>
      </c>
      <c r="GE93" s="39"/>
      <c r="GF93" s="40" t="str">
        <f aca="false">IF(OR(INDEX(Undirviðmið!$G$6:$G$105,(COLUMN()-7-1)/2+1)&lt;&gt;"Starfsbundið",GE93="",GE$8="",GE$7=""),"",ROUND(GE93/GE$8*GE$7*KVARDI,2))</f>
        <v/>
      </c>
      <c r="GG93" s="39"/>
      <c r="GH93" s="40" t="str">
        <f aca="false">IF(OR(INDEX(Undirviðmið!$G$6:$G$105,(COLUMN()-7-1)/2+1)&lt;&gt;"Starfsbundið",GG93="",GG$8="",GG$7=""),"",ROUND(GG93/GG$8*GG$7*KVARDI,2))</f>
        <v/>
      </c>
      <c r="GI93" s="39"/>
      <c r="GJ93" s="40" t="str">
        <f aca="false">IF(OR(INDEX(Undirviðmið!$G$6:$G$105,(COLUMN()-7-1)/2+1)&lt;&gt;"Starfsbundið",GI93="",GI$8="",GI$7=""),"",ROUND(GI93/GI$8*GI$7*KVARDI,2))</f>
        <v/>
      </c>
      <c r="GK93" s="39"/>
      <c r="GL93" s="40" t="str">
        <f aca="false">IF(OR(INDEX(Undirviðmið!$G$6:$G$105,(COLUMN()-7-1)/2+1)&lt;&gt;"Starfsbundið",GK93="",GK$8="",GK$7=""),"",ROUND(GK93/GK$8*GK$7*KVARDI,2))</f>
        <v/>
      </c>
      <c r="GM93" s="39"/>
      <c r="GN93" s="40" t="str">
        <f aca="false">IF(OR(INDEX(Undirviðmið!$G$6:$G$105,(COLUMN()-7-1)/2+1)&lt;&gt;"Starfsbundið",GM93="",GM$8="",GM$7=""),"",ROUND(GM93/GM$8*GM$7*KVARDI,2))</f>
        <v/>
      </c>
      <c r="GO93" s="39"/>
      <c r="GP93" s="40" t="str">
        <f aca="false">IF(OR(INDEX(Undirviðmið!$G$6:$G$105,(COLUMN()-7-1)/2+1)&lt;&gt;"Starfsbundið",GO93="",GO$8="",GO$7=""),"",ROUND(GO93/GO$8*GO$7*KVARDI,2))</f>
        <v/>
      </c>
      <c r="GQ93" s="39"/>
      <c r="GR93" s="40" t="str">
        <f aca="false">IF(OR(INDEX(Undirviðmið!$G$6:$G$105,(COLUMN()-7-1)/2+1)&lt;&gt;"Starfsbundið",GQ93="",GQ$8="",GQ$7=""),"",ROUND(GQ93/GQ$8*GQ$7*KVARDI,2))</f>
        <v/>
      </c>
      <c r="GS93" s="39"/>
      <c r="GT93" s="40" t="str">
        <f aca="false">IF(OR(INDEX(Undirviðmið!$G$6:$G$105,(COLUMN()-7-1)/2+1)&lt;&gt;"Starfsbundið",GS93="",GS$8="",GS$7=""),"",ROUND(GS93/GS$8*GS$7*KVARDI,2))</f>
        <v/>
      </c>
      <c r="GU93" s="39"/>
      <c r="GV93" s="40" t="str">
        <f aca="false">IF(OR(INDEX(Undirviðmið!$G$6:$G$105,(COLUMN()-7-1)/2+1)&lt;&gt;"Starfsbundið",GU93="",GU$8="",GU$7=""),"",ROUND(GU93/GU$8*GU$7*KVARDI,2))</f>
        <v/>
      </c>
      <c r="GW93" s="39"/>
      <c r="GX93" s="40" t="str">
        <f aca="false">IF(OR(INDEX(Undirviðmið!$G$6:$G$105,(COLUMN()-7-1)/2+1)&lt;&gt;"Starfsbundið",GW93="",GW$8="",GW$7=""),"",ROUND(GW93/GW$8*GW$7*KVARDI,2))</f>
        <v/>
      </c>
      <c r="GZ93" s="20"/>
    </row>
    <row r="94" customFormat="false" ht="15" hidden="true" customHeight="true" outlineLevel="1" collapsed="false">
      <c r="B94" s="37" t="str">
        <f aca="false" t="array" ref="B94:B94">IFERROR(INDEX(Starfsmenn!$C$6:$C$10005,MATCH(0,COUNTIF($B$11:B93,Starfsmenn!$C$6:$C$10005)+(Starfsmenn!$C$6:$C$10005=""),0)),"")</f>
        <v/>
      </c>
      <c r="C94" s="38" t="n">
        <f aca="false">IFERROR(SUMIF($G$10:$GX$10,"Stig",$G94:$GX94),0)</f>
        <v>0</v>
      </c>
      <c r="G94" s="39"/>
      <c r="H94" s="40" t="str">
        <f aca="false">IF(OR(INDEX(Undirviðmið!$G$6:$G$105,(COLUMN()-7-1)/2+1)&lt;&gt;"Starfsbundið",G94="",G$8="",G$7=""),"",ROUND(G94/G$8*G$7*KVARDI,2))</f>
        <v/>
      </c>
      <c r="I94" s="39"/>
      <c r="J94" s="40" t="str">
        <f aca="false">IF(OR(INDEX(Undirviðmið!$G$6:$G$105,(COLUMN()-7-1)/2+1)&lt;&gt;"Starfsbundið",I94="",I$8="",I$7=""),"",ROUND(I94/I$8*I$7*KVARDI,2))</f>
        <v/>
      </c>
      <c r="K94" s="39"/>
      <c r="L94" s="40" t="str">
        <f aca="false">IF(OR(INDEX(Undirviðmið!$G$6:$G$105,(COLUMN()-7-1)/2+1)&lt;&gt;"Starfsbundið",K94="",K$8="",K$7=""),"",ROUND(K94/K$8*K$7*KVARDI,2))</f>
        <v/>
      </c>
      <c r="M94" s="39"/>
      <c r="N94" s="40" t="str">
        <f aca="false">IF(OR(INDEX(Undirviðmið!$G$6:$G$105,(COLUMN()-7-1)/2+1)&lt;&gt;"Starfsbundið",M94="",M$8="",M$7=""),"",ROUND(M94/M$8*M$7*KVARDI,2))</f>
        <v/>
      </c>
      <c r="O94" s="39"/>
      <c r="P94" s="40" t="str">
        <f aca="false">IF(OR(INDEX(Undirviðmið!$G$6:$G$105,(COLUMN()-7-1)/2+1)&lt;&gt;"Starfsbundið",O94="",O$8="",O$7=""),"",ROUND(O94/O$8*O$7*KVARDI,2))</f>
        <v/>
      </c>
      <c r="Q94" s="39"/>
      <c r="R94" s="40" t="str">
        <f aca="false">IF(OR(INDEX(Undirviðmið!$G$6:$G$105,(COLUMN()-7-1)/2+1)&lt;&gt;"Starfsbundið",Q94="",Q$8="",Q$7=""),"",ROUND(Q94/Q$8*Q$7*KVARDI,2))</f>
        <v/>
      </c>
      <c r="S94" s="39"/>
      <c r="T94" s="40" t="str">
        <f aca="false">IF(OR(INDEX(Undirviðmið!$G$6:$G$105,(COLUMN()-7-1)/2+1)&lt;&gt;"Starfsbundið",S94="",S$8="",S$7=""),"",ROUND(S94/S$8*S$7*KVARDI,2))</f>
        <v/>
      </c>
      <c r="U94" s="39"/>
      <c r="V94" s="40" t="str">
        <f aca="false">IF(OR(INDEX(Undirviðmið!$G$6:$G$105,(COLUMN()-7-1)/2+1)&lt;&gt;"Starfsbundið",U94="",U$8="",U$7=""),"",ROUND(U94/U$8*U$7*KVARDI,2))</f>
        <v/>
      </c>
      <c r="W94" s="39"/>
      <c r="X94" s="40" t="str">
        <f aca="false">IF(OR(INDEX(Undirviðmið!$G$6:$G$105,(COLUMN()-7-1)/2+1)&lt;&gt;"Starfsbundið",W94="",W$8="",W$7=""),"",ROUND(W94/W$8*W$7*KVARDI,2))</f>
        <v/>
      </c>
      <c r="Y94" s="39"/>
      <c r="Z94" s="40" t="str">
        <f aca="false">IF(OR(INDEX(Undirviðmið!$G$6:$G$105,(COLUMN()-7-1)/2+1)&lt;&gt;"Starfsbundið",Y94="",Y$8="",Y$7=""),"",ROUND(Y94/Y$8*Y$7*KVARDI,2))</f>
        <v/>
      </c>
      <c r="AA94" s="39"/>
      <c r="AB94" s="40" t="str">
        <f aca="false">IF(OR(INDEX(Undirviðmið!$G$6:$G$105,(COLUMN()-7-1)/2+1)&lt;&gt;"Starfsbundið",AA94="",AA$8="",AA$7=""),"",ROUND(AA94/AA$8*AA$7*KVARDI,2))</f>
        <v/>
      </c>
      <c r="AC94" s="39"/>
      <c r="AD94" s="40" t="str">
        <f aca="false">IF(OR(INDEX(Undirviðmið!$G$6:$G$105,(COLUMN()-7-1)/2+1)&lt;&gt;"Starfsbundið",AC94="",AC$8="",AC$7=""),"",ROUND(AC94/AC$8*AC$7*KVARDI,2))</f>
        <v/>
      </c>
      <c r="AE94" s="39"/>
      <c r="AF94" s="40" t="str">
        <f aca="false">IF(OR(INDEX(Undirviðmið!$G$6:$G$105,(COLUMN()-7-1)/2+1)&lt;&gt;"Starfsbundið",AE94="",AE$8="",AE$7=""),"",ROUND(AE94/AE$8*AE$7*KVARDI,2))</f>
        <v/>
      </c>
      <c r="AG94" s="39"/>
      <c r="AH94" s="40" t="str">
        <f aca="false">IF(OR(INDEX(Undirviðmið!$G$6:$G$105,(COLUMN()-7-1)/2+1)&lt;&gt;"Starfsbundið",AG94="",AG$8="",AG$7=""),"",ROUND(AG94/AG$8*AG$7*KVARDI,2))</f>
        <v/>
      </c>
      <c r="AI94" s="39"/>
      <c r="AJ94" s="40" t="str">
        <f aca="false">IF(OR(INDEX(Undirviðmið!$G$6:$G$105,(COLUMN()-7-1)/2+1)&lt;&gt;"Starfsbundið",AI94="",AI$8="",AI$7=""),"",ROUND(AI94/AI$8*AI$7*KVARDI,2))</f>
        <v/>
      </c>
      <c r="AK94" s="39"/>
      <c r="AL94" s="40" t="str">
        <f aca="false">IF(OR(INDEX(Undirviðmið!$G$6:$G$105,(COLUMN()-7-1)/2+1)&lt;&gt;"Starfsbundið",AK94="",AK$8="",AK$7=""),"",ROUND(AK94/AK$8*AK$7*KVARDI,2))</f>
        <v/>
      </c>
      <c r="AM94" s="39"/>
      <c r="AN94" s="40" t="str">
        <f aca="false">IF(OR(INDEX(Undirviðmið!$G$6:$G$105,(COLUMN()-7-1)/2+1)&lt;&gt;"Starfsbundið",AM94="",AM$8="",AM$7=""),"",ROUND(AM94/AM$8*AM$7*KVARDI,2))</f>
        <v/>
      </c>
      <c r="AO94" s="39"/>
      <c r="AP94" s="40" t="str">
        <f aca="false">IF(OR(INDEX(Undirviðmið!$G$6:$G$105,(COLUMN()-7-1)/2+1)&lt;&gt;"Starfsbundið",AO94="",AO$8="",AO$7=""),"",ROUND(AO94/AO$8*AO$7*KVARDI,2))</f>
        <v/>
      </c>
      <c r="AQ94" s="39"/>
      <c r="AR94" s="40" t="str">
        <f aca="false">IF(OR(INDEX(Undirviðmið!$G$6:$G$105,(COLUMN()-7-1)/2+1)&lt;&gt;"Starfsbundið",AQ94="",AQ$8="",AQ$7=""),"",ROUND(AQ94/AQ$8*AQ$7*KVARDI,2))</f>
        <v/>
      </c>
      <c r="AS94" s="39"/>
      <c r="AT94" s="40" t="str">
        <f aca="false">IF(OR(INDEX(Undirviðmið!$G$6:$G$105,(COLUMN()-7-1)/2+1)&lt;&gt;"Starfsbundið",AS94="",AS$8="",AS$7=""),"",ROUND(AS94/AS$8*AS$7*KVARDI,2))</f>
        <v/>
      </c>
      <c r="AU94" s="39"/>
      <c r="AV94" s="40" t="str">
        <f aca="false">IF(OR(INDEX(Undirviðmið!$G$6:$G$105,(COLUMN()-7-1)/2+1)&lt;&gt;"Starfsbundið",AU94="",AU$8="",AU$7=""),"",ROUND(AU94/AU$8*AU$7*KVARDI,2))</f>
        <v/>
      </c>
      <c r="AW94" s="39"/>
      <c r="AX94" s="40" t="str">
        <f aca="false">IF(OR(INDEX(Undirviðmið!$G$6:$G$105,(COLUMN()-7-1)/2+1)&lt;&gt;"Starfsbundið",AW94="",AW$8="",AW$7=""),"",ROUND(AW94/AW$8*AW$7*KVARDI,2))</f>
        <v/>
      </c>
      <c r="AY94" s="39"/>
      <c r="AZ94" s="40" t="str">
        <f aca="false">IF(OR(INDEX(Undirviðmið!$G$6:$G$105,(COLUMN()-7-1)/2+1)&lt;&gt;"Starfsbundið",AY94="",AY$8="",AY$7=""),"",ROUND(AY94/AY$8*AY$7*KVARDI,2))</f>
        <v/>
      </c>
      <c r="BA94" s="39"/>
      <c r="BB94" s="40" t="str">
        <f aca="false">IF(OR(INDEX(Undirviðmið!$G$6:$G$105,(COLUMN()-7-1)/2+1)&lt;&gt;"Starfsbundið",BA94="",BA$8="",BA$7=""),"",ROUND(BA94/BA$8*BA$7*KVARDI,2))</f>
        <v/>
      </c>
      <c r="BC94" s="39"/>
      <c r="BD94" s="40" t="str">
        <f aca="false">IF(OR(INDEX(Undirviðmið!$G$6:$G$105,(COLUMN()-7-1)/2+1)&lt;&gt;"Starfsbundið",BC94="",BC$8="",BC$7=""),"",ROUND(BC94/BC$8*BC$7*KVARDI,2))</f>
        <v/>
      </c>
      <c r="BE94" s="39"/>
      <c r="BF94" s="40" t="str">
        <f aca="false">IF(OR(INDEX(Undirviðmið!$G$6:$G$105,(COLUMN()-7-1)/2+1)&lt;&gt;"Starfsbundið",BE94="",BE$8="",BE$7=""),"",ROUND(BE94/BE$8*BE$7*KVARDI,2))</f>
        <v/>
      </c>
      <c r="BG94" s="39"/>
      <c r="BH94" s="40" t="str">
        <f aca="false">IF(OR(INDEX(Undirviðmið!$G$6:$G$105,(COLUMN()-7-1)/2+1)&lt;&gt;"Starfsbundið",BG94="",BG$8="",BG$7=""),"",ROUND(BG94/BG$8*BG$7*KVARDI,2))</f>
        <v/>
      </c>
      <c r="BI94" s="39"/>
      <c r="BJ94" s="40" t="str">
        <f aca="false">IF(OR(INDEX(Undirviðmið!$G$6:$G$105,(COLUMN()-7-1)/2+1)&lt;&gt;"Starfsbundið",BI94="",BI$8="",BI$7=""),"",ROUND(BI94/BI$8*BI$7*KVARDI,2))</f>
        <v/>
      </c>
      <c r="BK94" s="39"/>
      <c r="BL94" s="40" t="str">
        <f aca="false">IF(OR(INDEX(Undirviðmið!$G$6:$G$105,(COLUMN()-7-1)/2+1)&lt;&gt;"Starfsbundið",BK94="",BK$8="",BK$7=""),"",ROUND(BK94/BK$8*BK$7*KVARDI,2))</f>
        <v/>
      </c>
      <c r="BM94" s="39"/>
      <c r="BN94" s="40" t="str">
        <f aca="false">IF(OR(INDEX(Undirviðmið!$G$6:$G$105,(COLUMN()-7-1)/2+1)&lt;&gt;"Starfsbundið",BM94="",BM$8="",BM$7=""),"",ROUND(BM94/BM$8*BM$7*KVARDI,2))</f>
        <v/>
      </c>
      <c r="BO94" s="39"/>
      <c r="BP94" s="40" t="str">
        <f aca="false">IF(OR(INDEX(Undirviðmið!$G$6:$G$105,(COLUMN()-7-1)/2+1)&lt;&gt;"Starfsbundið",BO94="",BO$8="",BO$7=""),"",ROUND(BO94/BO$8*BO$7*KVARDI,2))</f>
        <v/>
      </c>
      <c r="BQ94" s="39"/>
      <c r="BR94" s="40" t="str">
        <f aca="false">IF(OR(INDEX(Undirviðmið!$G$6:$G$105,(COLUMN()-7-1)/2+1)&lt;&gt;"Starfsbundið",BQ94="",BQ$8="",BQ$7=""),"",ROUND(BQ94/BQ$8*BQ$7*KVARDI,2))</f>
        <v/>
      </c>
      <c r="BS94" s="39"/>
      <c r="BT94" s="40" t="str">
        <f aca="false">IF(OR(INDEX(Undirviðmið!$G$6:$G$105,(COLUMN()-7-1)/2+1)&lt;&gt;"Starfsbundið",BS94="",BS$8="",BS$7=""),"",ROUND(BS94/BS$8*BS$7*KVARDI,2))</f>
        <v/>
      </c>
      <c r="BU94" s="39"/>
      <c r="BV94" s="40" t="str">
        <f aca="false">IF(OR(INDEX(Undirviðmið!$G$6:$G$105,(COLUMN()-7-1)/2+1)&lt;&gt;"Starfsbundið",BU94="",BU$8="",BU$7=""),"",ROUND(BU94/BU$8*BU$7*KVARDI,2))</f>
        <v/>
      </c>
      <c r="BW94" s="39"/>
      <c r="BX94" s="40" t="str">
        <f aca="false">IF(OR(INDEX(Undirviðmið!$G$6:$G$105,(COLUMN()-7-1)/2+1)&lt;&gt;"Starfsbundið",BW94="",BW$8="",BW$7=""),"",ROUND(BW94/BW$8*BW$7*KVARDI,2))</f>
        <v/>
      </c>
      <c r="BY94" s="39"/>
      <c r="BZ94" s="40" t="str">
        <f aca="false">IF(OR(INDEX(Undirviðmið!$G$6:$G$105,(COLUMN()-7-1)/2+1)&lt;&gt;"Starfsbundið",BY94="",BY$8="",BY$7=""),"",ROUND(BY94/BY$8*BY$7*KVARDI,2))</f>
        <v/>
      </c>
      <c r="CA94" s="39"/>
      <c r="CB94" s="40" t="str">
        <f aca="false">IF(OR(INDEX(Undirviðmið!$G$6:$G$105,(COLUMN()-7-1)/2+1)&lt;&gt;"Starfsbundið",CA94="",CA$8="",CA$7=""),"",ROUND(CA94/CA$8*CA$7*KVARDI,2))</f>
        <v/>
      </c>
      <c r="CC94" s="39"/>
      <c r="CD94" s="40" t="str">
        <f aca="false">IF(OR(INDEX(Undirviðmið!$G$6:$G$105,(COLUMN()-7-1)/2+1)&lt;&gt;"Starfsbundið",CC94="",CC$8="",CC$7=""),"",ROUND(CC94/CC$8*CC$7*KVARDI,2))</f>
        <v/>
      </c>
      <c r="CE94" s="39"/>
      <c r="CF94" s="40" t="str">
        <f aca="false">IF(OR(INDEX(Undirviðmið!$G$6:$G$105,(COLUMN()-7-1)/2+1)&lt;&gt;"Starfsbundið",CE94="",CE$8="",CE$7=""),"",ROUND(CE94/CE$8*CE$7*KVARDI,2))</f>
        <v/>
      </c>
      <c r="CG94" s="39"/>
      <c r="CH94" s="40" t="str">
        <f aca="false">IF(OR(INDEX(Undirviðmið!$G$6:$G$105,(COLUMN()-7-1)/2+1)&lt;&gt;"Starfsbundið",CG94="",CG$8="",CG$7=""),"",ROUND(CG94/CG$8*CG$7*KVARDI,2))</f>
        <v/>
      </c>
      <c r="CI94" s="39"/>
      <c r="CJ94" s="40" t="str">
        <f aca="false">IF(OR(INDEX(Undirviðmið!$G$6:$G$105,(COLUMN()-7-1)/2+1)&lt;&gt;"Starfsbundið",CI94="",CI$8="",CI$7=""),"",ROUND(CI94/CI$8*CI$7*KVARDI,2))</f>
        <v/>
      </c>
      <c r="CK94" s="39"/>
      <c r="CL94" s="40" t="str">
        <f aca="false">IF(OR(INDEX(Undirviðmið!$G$6:$G$105,(COLUMN()-7-1)/2+1)&lt;&gt;"Starfsbundið",CK94="",CK$8="",CK$7=""),"",ROUND(CK94/CK$8*CK$7*KVARDI,2))</f>
        <v/>
      </c>
      <c r="CM94" s="39"/>
      <c r="CN94" s="40" t="str">
        <f aca="false">IF(OR(INDEX(Undirviðmið!$G$6:$G$105,(COLUMN()-7-1)/2+1)&lt;&gt;"Starfsbundið",CM94="",CM$8="",CM$7=""),"",ROUND(CM94/CM$8*CM$7*KVARDI,2))</f>
        <v/>
      </c>
      <c r="CO94" s="39"/>
      <c r="CP94" s="40" t="str">
        <f aca="false">IF(OR(INDEX(Undirviðmið!$G$6:$G$105,(COLUMN()-7-1)/2+1)&lt;&gt;"Starfsbundið",CO94="",CO$8="",CO$7=""),"",ROUND(CO94/CO$8*CO$7*KVARDI,2))</f>
        <v/>
      </c>
      <c r="CQ94" s="39"/>
      <c r="CR94" s="40" t="str">
        <f aca="false">IF(OR(INDEX(Undirviðmið!$G$6:$G$105,(COLUMN()-7-1)/2+1)&lt;&gt;"Starfsbundið",CQ94="",CQ$8="",CQ$7=""),"",ROUND(CQ94/CQ$8*CQ$7*KVARDI,2))</f>
        <v/>
      </c>
      <c r="CS94" s="39"/>
      <c r="CT94" s="40" t="str">
        <f aca="false">IF(OR(INDEX(Undirviðmið!$G$6:$G$105,(COLUMN()-7-1)/2+1)&lt;&gt;"Starfsbundið",CS94="",CS$8="",CS$7=""),"",ROUND(CS94/CS$8*CS$7*KVARDI,2))</f>
        <v/>
      </c>
      <c r="CU94" s="39"/>
      <c r="CV94" s="40" t="str">
        <f aca="false">IF(OR(INDEX(Undirviðmið!$G$6:$G$105,(COLUMN()-7-1)/2+1)&lt;&gt;"Starfsbundið",CU94="",CU$8="",CU$7=""),"",ROUND(CU94/CU$8*CU$7*KVARDI,2))</f>
        <v/>
      </c>
      <c r="CW94" s="39"/>
      <c r="CX94" s="40" t="str">
        <f aca="false">IF(OR(INDEX(Undirviðmið!$G$6:$G$105,(COLUMN()-7-1)/2+1)&lt;&gt;"Starfsbundið",CW94="",CW$8="",CW$7=""),"",ROUND(CW94/CW$8*CW$7*KVARDI,2))</f>
        <v/>
      </c>
      <c r="CY94" s="39"/>
      <c r="CZ94" s="40" t="str">
        <f aca="false">IF(OR(INDEX(Undirviðmið!$G$6:$G$105,(COLUMN()-7-1)/2+1)&lt;&gt;"Starfsbundið",CY94="",CY$8="",CY$7=""),"",ROUND(CY94/CY$8*CY$7*KVARDI,2))</f>
        <v/>
      </c>
      <c r="DA94" s="39"/>
      <c r="DB94" s="40" t="str">
        <f aca="false">IF(OR(INDEX(Undirviðmið!$G$6:$G$105,(COLUMN()-7-1)/2+1)&lt;&gt;"Starfsbundið",DA94="",DA$8="",DA$7=""),"",ROUND(DA94/DA$8*DA$7*KVARDI,2))</f>
        <v/>
      </c>
      <c r="DC94" s="39"/>
      <c r="DD94" s="40" t="str">
        <f aca="false">IF(OR(INDEX(Undirviðmið!$G$6:$G$105,(COLUMN()-7-1)/2+1)&lt;&gt;"Starfsbundið",DC94="",DC$8="",DC$7=""),"",ROUND(DC94/DC$8*DC$7*KVARDI,2))</f>
        <v/>
      </c>
      <c r="DE94" s="39"/>
      <c r="DF94" s="40" t="str">
        <f aca="false">IF(OR(INDEX(Undirviðmið!$G$6:$G$105,(COLUMN()-7-1)/2+1)&lt;&gt;"Starfsbundið",DE94="",DE$8="",DE$7=""),"",ROUND(DE94/DE$8*DE$7*KVARDI,2))</f>
        <v/>
      </c>
      <c r="DG94" s="39"/>
      <c r="DH94" s="40" t="str">
        <f aca="false">IF(OR(INDEX(Undirviðmið!$G$6:$G$105,(COLUMN()-7-1)/2+1)&lt;&gt;"Starfsbundið",DG94="",DG$8="",DG$7=""),"",ROUND(DG94/DG$8*DG$7*KVARDI,2))</f>
        <v/>
      </c>
      <c r="DI94" s="39"/>
      <c r="DJ94" s="40" t="str">
        <f aca="false">IF(OR(INDEX(Undirviðmið!$G$6:$G$105,(COLUMN()-7-1)/2+1)&lt;&gt;"Starfsbundið",DI94="",DI$8="",DI$7=""),"",ROUND(DI94/DI$8*DI$7*KVARDI,2))</f>
        <v/>
      </c>
      <c r="DK94" s="39"/>
      <c r="DL94" s="40" t="str">
        <f aca="false">IF(OR(INDEX(Undirviðmið!$G$6:$G$105,(COLUMN()-7-1)/2+1)&lt;&gt;"Starfsbundið",DK94="",DK$8="",DK$7=""),"",ROUND(DK94/DK$8*DK$7*KVARDI,2))</f>
        <v/>
      </c>
      <c r="DM94" s="39"/>
      <c r="DN94" s="40" t="str">
        <f aca="false">IF(OR(INDEX(Undirviðmið!$G$6:$G$105,(COLUMN()-7-1)/2+1)&lt;&gt;"Starfsbundið",DM94="",DM$8="",DM$7=""),"",ROUND(DM94/DM$8*DM$7*KVARDI,2))</f>
        <v/>
      </c>
      <c r="DO94" s="39"/>
      <c r="DP94" s="40" t="str">
        <f aca="false">IF(OR(INDEX(Undirviðmið!$G$6:$G$105,(COLUMN()-7-1)/2+1)&lt;&gt;"Starfsbundið",DO94="",DO$8="",DO$7=""),"",ROUND(DO94/DO$8*DO$7*KVARDI,2))</f>
        <v/>
      </c>
      <c r="DQ94" s="39"/>
      <c r="DR94" s="40" t="str">
        <f aca="false">IF(OR(INDEX(Undirviðmið!$G$6:$G$105,(COLUMN()-7-1)/2+1)&lt;&gt;"Starfsbundið",DQ94="",DQ$8="",DQ$7=""),"",ROUND(DQ94/DQ$8*DQ$7*KVARDI,2))</f>
        <v/>
      </c>
      <c r="DS94" s="39"/>
      <c r="DT94" s="40" t="str">
        <f aca="false">IF(OR(INDEX(Undirviðmið!$G$6:$G$105,(COLUMN()-7-1)/2+1)&lt;&gt;"Starfsbundið",DS94="",DS$8="",DS$7=""),"",ROUND(DS94/DS$8*DS$7*KVARDI,2))</f>
        <v/>
      </c>
      <c r="DU94" s="39"/>
      <c r="DV94" s="40" t="str">
        <f aca="false">IF(OR(INDEX(Undirviðmið!$G$6:$G$105,(COLUMN()-7-1)/2+1)&lt;&gt;"Starfsbundið",DU94="",DU$8="",DU$7=""),"",ROUND(DU94/DU$8*DU$7*KVARDI,2))</f>
        <v/>
      </c>
      <c r="DW94" s="39"/>
      <c r="DX94" s="40" t="str">
        <f aca="false">IF(OR(INDEX(Undirviðmið!$G$6:$G$105,(COLUMN()-7-1)/2+1)&lt;&gt;"Starfsbundið",DW94="",DW$8="",DW$7=""),"",ROUND(DW94/DW$8*DW$7*KVARDI,2))</f>
        <v/>
      </c>
      <c r="DY94" s="39"/>
      <c r="DZ94" s="40" t="str">
        <f aca="false">IF(OR(INDEX(Undirviðmið!$G$6:$G$105,(COLUMN()-7-1)/2+1)&lt;&gt;"Starfsbundið",DY94="",DY$8="",DY$7=""),"",ROUND(DY94/DY$8*DY$7*KVARDI,2))</f>
        <v/>
      </c>
      <c r="EA94" s="39"/>
      <c r="EB94" s="40" t="str">
        <f aca="false">IF(OR(INDEX(Undirviðmið!$G$6:$G$105,(COLUMN()-7-1)/2+1)&lt;&gt;"Starfsbundið",EA94="",EA$8="",EA$7=""),"",ROUND(EA94/EA$8*EA$7*KVARDI,2))</f>
        <v/>
      </c>
      <c r="EC94" s="39"/>
      <c r="ED94" s="40" t="str">
        <f aca="false">IF(OR(INDEX(Undirviðmið!$G$6:$G$105,(COLUMN()-7-1)/2+1)&lt;&gt;"Starfsbundið",EC94="",EC$8="",EC$7=""),"",ROUND(EC94/EC$8*EC$7*KVARDI,2))</f>
        <v/>
      </c>
      <c r="EE94" s="39"/>
      <c r="EF94" s="40" t="str">
        <f aca="false">IF(OR(INDEX(Undirviðmið!$G$6:$G$105,(COLUMN()-7-1)/2+1)&lt;&gt;"Starfsbundið",EE94="",EE$8="",EE$7=""),"",ROUND(EE94/EE$8*EE$7*KVARDI,2))</f>
        <v/>
      </c>
      <c r="EG94" s="39"/>
      <c r="EH94" s="40" t="str">
        <f aca="false">IF(OR(INDEX(Undirviðmið!$G$6:$G$105,(COLUMN()-7-1)/2+1)&lt;&gt;"Starfsbundið",EG94="",EG$8="",EG$7=""),"",ROUND(EG94/EG$8*EG$7*KVARDI,2))</f>
        <v/>
      </c>
      <c r="EI94" s="39"/>
      <c r="EJ94" s="40" t="str">
        <f aca="false">IF(OR(INDEX(Undirviðmið!$G$6:$G$105,(COLUMN()-7-1)/2+1)&lt;&gt;"Starfsbundið",EI94="",EI$8="",EI$7=""),"",ROUND(EI94/EI$8*EI$7*KVARDI,2))</f>
        <v/>
      </c>
      <c r="EK94" s="39"/>
      <c r="EL94" s="40" t="str">
        <f aca="false">IF(OR(INDEX(Undirviðmið!$G$6:$G$105,(COLUMN()-7-1)/2+1)&lt;&gt;"Starfsbundið",EK94="",EK$8="",EK$7=""),"",ROUND(EK94/EK$8*EK$7*KVARDI,2))</f>
        <v/>
      </c>
      <c r="EM94" s="39"/>
      <c r="EN94" s="40" t="str">
        <f aca="false">IF(OR(INDEX(Undirviðmið!$G$6:$G$105,(COLUMN()-7-1)/2+1)&lt;&gt;"Starfsbundið",EM94="",EM$8="",EM$7=""),"",ROUND(EM94/EM$8*EM$7*KVARDI,2))</f>
        <v/>
      </c>
      <c r="EO94" s="39"/>
      <c r="EP94" s="40" t="str">
        <f aca="false">IF(OR(INDEX(Undirviðmið!$G$6:$G$105,(COLUMN()-7-1)/2+1)&lt;&gt;"Starfsbundið",EO94="",EO$8="",EO$7=""),"",ROUND(EO94/EO$8*EO$7*KVARDI,2))</f>
        <v/>
      </c>
      <c r="EQ94" s="39"/>
      <c r="ER94" s="40" t="str">
        <f aca="false">IF(OR(INDEX(Undirviðmið!$G$6:$G$105,(COLUMN()-7-1)/2+1)&lt;&gt;"Starfsbundið",EQ94="",EQ$8="",EQ$7=""),"",ROUND(EQ94/EQ$8*EQ$7*KVARDI,2))</f>
        <v/>
      </c>
      <c r="ES94" s="39"/>
      <c r="ET94" s="40" t="str">
        <f aca="false">IF(OR(INDEX(Undirviðmið!$G$6:$G$105,(COLUMN()-7-1)/2+1)&lt;&gt;"Starfsbundið",ES94="",ES$8="",ES$7=""),"",ROUND(ES94/ES$8*ES$7*KVARDI,2))</f>
        <v/>
      </c>
      <c r="EU94" s="39"/>
      <c r="EV94" s="40" t="str">
        <f aca="false">IF(OR(INDEX(Undirviðmið!$G$6:$G$105,(COLUMN()-7-1)/2+1)&lt;&gt;"Starfsbundið",EU94="",EU$8="",EU$7=""),"",ROUND(EU94/EU$8*EU$7*KVARDI,2))</f>
        <v/>
      </c>
      <c r="EW94" s="39"/>
      <c r="EX94" s="40" t="str">
        <f aca="false">IF(OR(INDEX(Undirviðmið!$G$6:$G$105,(COLUMN()-7-1)/2+1)&lt;&gt;"Starfsbundið",EW94="",EW$8="",EW$7=""),"",ROUND(EW94/EW$8*EW$7*KVARDI,2))</f>
        <v/>
      </c>
      <c r="EY94" s="39"/>
      <c r="EZ94" s="40" t="str">
        <f aca="false">IF(OR(INDEX(Undirviðmið!$G$6:$G$105,(COLUMN()-7-1)/2+1)&lt;&gt;"Starfsbundið",EY94="",EY$8="",EY$7=""),"",ROUND(EY94/EY$8*EY$7*KVARDI,2))</f>
        <v/>
      </c>
      <c r="FA94" s="39"/>
      <c r="FB94" s="40" t="str">
        <f aca="false">IF(OR(INDEX(Undirviðmið!$G$6:$G$105,(COLUMN()-7-1)/2+1)&lt;&gt;"Starfsbundið",FA94="",FA$8="",FA$7=""),"",ROUND(FA94/FA$8*FA$7*KVARDI,2))</f>
        <v/>
      </c>
      <c r="FC94" s="39"/>
      <c r="FD94" s="40" t="str">
        <f aca="false">IF(OR(INDEX(Undirviðmið!$G$6:$G$105,(COLUMN()-7-1)/2+1)&lt;&gt;"Starfsbundið",FC94="",FC$8="",FC$7=""),"",ROUND(FC94/FC$8*FC$7*KVARDI,2))</f>
        <v/>
      </c>
      <c r="FE94" s="39"/>
      <c r="FF94" s="40" t="str">
        <f aca="false">IF(OR(INDEX(Undirviðmið!$G$6:$G$105,(COLUMN()-7-1)/2+1)&lt;&gt;"Starfsbundið",FE94="",FE$8="",FE$7=""),"",ROUND(FE94/FE$8*FE$7*KVARDI,2))</f>
        <v/>
      </c>
      <c r="FG94" s="39"/>
      <c r="FH94" s="40" t="str">
        <f aca="false">IF(OR(INDEX(Undirviðmið!$G$6:$G$105,(COLUMN()-7-1)/2+1)&lt;&gt;"Starfsbundið",FG94="",FG$8="",FG$7=""),"",ROUND(FG94/FG$8*FG$7*KVARDI,2))</f>
        <v/>
      </c>
      <c r="FI94" s="39"/>
      <c r="FJ94" s="40" t="str">
        <f aca="false">IF(OR(INDEX(Undirviðmið!$G$6:$G$105,(COLUMN()-7-1)/2+1)&lt;&gt;"Starfsbundið",FI94="",FI$8="",FI$7=""),"",ROUND(FI94/FI$8*FI$7*KVARDI,2))</f>
        <v/>
      </c>
      <c r="FK94" s="39"/>
      <c r="FL94" s="40" t="str">
        <f aca="false">IF(OR(INDEX(Undirviðmið!$G$6:$G$105,(COLUMN()-7-1)/2+1)&lt;&gt;"Starfsbundið",FK94="",FK$8="",FK$7=""),"",ROUND(FK94/FK$8*FK$7*KVARDI,2))</f>
        <v/>
      </c>
      <c r="FM94" s="39"/>
      <c r="FN94" s="40" t="str">
        <f aca="false">IF(OR(INDEX(Undirviðmið!$G$6:$G$105,(COLUMN()-7-1)/2+1)&lt;&gt;"Starfsbundið",FM94="",FM$8="",FM$7=""),"",ROUND(FM94/FM$8*FM$7*KVARDI,2))</f>
        <v/>
      </c>
      <c r="FO94" s="39"/>
      <c r="FP94" s="40" t="str">
        <f aca="false">IF(OR(INDEX(Undirviðmið!$G$6:$G$105,(COLUMN()-7-1)/2+1)&lt;&gt;"Starfsbundið",FO94="",FO$8="",FO$7=""),"",ROUND(FO94/FO$8*FO$7*KVARDI,2))</f>
        <v/>
      </c>
      <c r="FQ94" s="39"/>
      <c r="FR94" s="40" t="str">
        <f aca="false">IF(OR(INDEX(Undirviðmið!$G$6:$G$105,(COLUMN()-7-1)/2+1)&lt;&gt;"Starfsbundið",FQ94="",FQ$8="",FQ$7=""),"",ROUND(FQ94/FQ$8*FQ$7*KVARDI,2))</f>
        <v/>
      </c>
      <c r="FS94" s="39"/>
      <c r="FT94" s="40" t="str">
        <f aca="false">IF(OR(INDEX(Undirviðmið!$G$6:$G$105,(COLUMN()-7-1)/2+1)&lt;&gt;"Starfsbundið",FS94="",FS$8="",FS$7=""),"",ROUND(FS94/FS$8*FS$7*KVARDI,2))</f>
        <v/>
      </c>
      <c r="FU94" s="39"/>
      <c r="FV94" s="40" t="str">
        <f aca="false">IF(OR(INDEX(Undirviðmið!$G$6:$G$105,(COLUMN()-7-1)/2+1)&lt;&gt;"Starfsbundið",FU94="",FU$8="",FU$7=""),"",ROUND(FU94/FU$8*FU$7*KVARDI,2))</f>
        <v/>
      </c>
      <c r="FW94" s="39"/>
      <c r="FX94" s="40" t="str">
        <f aca="false">IF(OR(INDEX(Undirviðmið!$G$6:$G$105,(COLUMN()-7-1)/2+1)&lt;&gt;"Starfsbundið",FW94="",FW$8="",FW$7=""),"",ROUND(FW94/FW$8*FW$7*KVARDI,2))</f>
        <v/>
      </c>
      <c r="FY94" s="39"/>
      <c r="FZ94" s="40" t="str">
        <f aca="false">IF(OR(INDEX(Undirviðmið!$G$6:$G$105,(COLUMN()-7-1)/2+1)&lt;&gt;"Starfsbundið",FY94="",FY$8="",FY$7=""),"",ROUND(FY94/FY$8*FY$7*KVARDI,2))</f>
        <v/>
      </c>
      <c r="GA94" s="39"/>
      <c r="GB94" s="40" t="str">
        <f aca="false">IF(OR(INDEX(Undirviðmið!$G$6:$G$105,(COLUMN()-7-1)/2+1)&lt;&gt;"Starfsbundið",GA94="",GA$8="",GA$7=""),"",ROUND(GA94/GA$8*GA$7*KVARDI,2))</f>
        <v/>
      </c>
      <c r="GC94" s="39"/>
      <c r="GD94" s="40" t="str">
        <f aca="false">IF(OR(INDEX(Undirviðmið!$G$6:$G$105,(COLUMN()-7-1)/2+1)&lt;&gt;"Starfsbundið",GC94="",GC$8="",GC$7=""),"",ROUND(GC94/GC$8*GC$7*KVARDI,2))</f>
        <v/>
      </c>
      <c r="GE94" s="39"/>
      <c r="GF94" s="40" t="str">
        <f aca="false">IF(OR(INDEX(Undirviðmið!$G$6:$G$105,(COLUMN()-7-1)/2+1)&lt;&gt;"Starfsbundið",GE94="",GE$8="",GE$7=""),"",ROUND(GE94/GE$8*GE$7*KVARDI,2))</f>
        <v/>
      </c>
      <c r="GG94" s="39"/>
      <c r="GH94" s="40" t="str">
        <f aca="false">IF(OR(INDEX(Undirviðmið!$G$6:$G$105,(COLUMN()-7-1)/2+1)&lt;&gt;"Starfsbundið",GG94="",GG$8="",GG$7=""),"",ROUND(GG94/GG$8*GG$7*KVARDI,2))</f>
        <v/>
      </c>
      <c r="GI94" s="39"/>
      <c r="GJ94" s="40" t="str">
        <f aca="false">IF(OR(INDEX(Undirviðmið!$G$6:$G$105,(COLUMN()-7-1)/2+1)&lt;&gt;"Starfsbundið",GI94="",GI$8="",GI$7=""),"",ROUND(GI94/GI$8*GI$7*KVARDI,2))</f>
        <v/>
      </c>
      <c r="GK94" s="39"/>
      <c r="GL94" s="40" t="str">
        <f aca="false">IF(OR(INDEX(Undirviðmið!$G$6:$G$105,(COLUMN()-7-1)/2+1)&lt;&gt;"Starfsbundið",GK94="",GK$8="",GK$7=""),"",ROUND(GK94/GK$8*GK$7*KVARDI,2))</f>
        <v/>
      </c>
      <c r="GM94" s="39"/>
      <c r="GN94" s="40" t="str">
        <f aca="false">IF(OR(INDEX(Undirviðmið!$G$6:$G$105,(COLUMN()-7-1)/2+1)&lt;&gt;"Starfsbundið",GM94="",GM$8="",GM$7=""),"",ROUND(GM94/GM$8*GM$7*KVARDI,2))</f>
        <v/>
      </c>
      <c r="GO94" s="39"/>
      <c r="GP94" s="40" t="str">
        <f aca="false">IF(OR(INDEX(Undirviðmið!$G$6:$G$105,(COLUMN()-7-1)/2+1)&lt;&gt;"Starfsbundið",GO94="",GO$8="",GO$7=""),"",ROUND(GO94/GO$8*GO$7*KVARDI,2))</f>
        <v/>
      </c>
      <c r="GQ94" s="39"/>
      <c r="GR94" s="40" t="str">
        <f aca="false">IF(OR(INDEX(Undirviðmið!$G$6:$G$105,(COLUMN()-7-1)/2+1)&lt;&gt;"Starfsbundið",GQ94="",GQ$8="",GQ$7=""),"",ROUND(GQ94/GQ$8*GQ$7*KVARDI,2))</f>
        <v/>
      </c>
      <c r="GS94" s="39"/>
      <c r="GT94" s="40" t="str">
        <f aca="false">IF(OR(INDEX(Undirviðmið!$G$6:$G$105,(COLUMN()-7-1)/2+1)&lt;&gt;"Starfsbundið",GS94="",GS$8="",GS$7=""),"",ROUND(GS94/GS$8*GS$7*KVARDI,2))</f>
        <v/>
      </c>
      <c r="GU94" s="39"/>
      <c r="GV94" s="40" t="str">
        <f aca="false">IF(OR(INDEX(Undirviðmið!$G$6:$G$105,(COLUMN()-7-1)/2+1)&lt;&gt;"Starfsbundið",GU94="",GU$8="",GU$7=""),"",ROUND(GU94/GU$8*GU$7*KVARDI,2))</f>
        <v/>
      </c>
      <c r="GW94" s="39"/>
      <c r="GX94" s="40" t="str">
        <f aca="false">IF(OR(INDEX(Undirviðmið!$G$6:$G$105,(COLUMN()-7-1)/2+1)&lt;&gt;"Starfsbundið",GW94="",GW$8="",GW$7=""),"",ROUND(GW94/GW$8*GW$7*KVARDI,2))</f>
        <v/>
      </c>
      <c r="GZ94" s="20"/>
    </row>
    <row r="95" customFormat="false" ht="15" hidden="true" customHeight="true" outlineLevel="1" collapsed="false">
      <c r="B95" s="37" t="str">
        <f aca="false" t="array" ref="B95:B95">IFERROR(INDEX(Starfsmenn!$C$6:$C$10005,MATCH(0,COUNTIF($B$11:B94,Starfsmenn!$C$6:$C$10005)+(Starfsmenn!$C$6:$C$10005=""),0)),"")</f>
        <v/>
      </c>
      <c r="C95" s="38" t="n">
        <f aca="false">IFERROR(SUMIF($G$10:$GX$10,"Stig",$G95:$GX95),0)</f>
        <v>0</v>
      </c>
      <c r="G95" s="39"/>
      <c r="H95" s="40" t="str">
        <f aca="false">IF(OR(INDEX(Undirviðmið!$G$6:$G$105,(COLUMN()-7-1)/2+1)&lt;&gt;"Starfsbundið",G95="",G$8="",G$7=""),"",ROUND(G95/G$8*G$7*KVARDI,2))</f>
        <v/>
      </c>
      <c r="I95" s="39"/>
      <c r="J95" s="40" t="str">
        <f aca="false">IF(OR(INDEX(Undirviðmið!$G$6:$G$105,(COLUMN()-7-1)/2+1)&lt;&gt;"Starfsbundið",I95="",I$8="",I$7=""),"",ROUND(I95/I$8*I$7*KVARDI,2))</f>
        <v/>
      </c>
      <c r="K95" s="39"/>
      <c r="L95" s="40" t="str">
        <f aca="false">IF(OR(INDEX(Undirviðmið!$G$6:$G$105,(COLUMN()-7-1)/2+1)&lt;&gt;"Starfsbundið",K95="",K$8="",K$7=""),"",ROUND(K95/K$8*K$7*KVARDI,2))</f>
        <v/>
      </c>
      <c r="M95" s="39"/>
      <c r="N95" s="40" t="str">
        <f aca="false">IF(OR(INDEX(Undirviðmið!$G$6:$G$105,(COLUMN()-7-1)/2+1)&lt;&gt;"Starfsbundið",M95="",M$8="",M$7=""),"",ROUND(M95/M$8*M$7*KVARDI,2))</f>
        <v/>
      </c>
      <c r="O95" s="39"/>
      <c r="P95" s="40" t="str">
        <f aca="false">IF(OR(INDEX(Undirviðmið!$G$6:$G$105,(COLUMN()-7-1)/2+1)&lt;&gt;"Starfsbundið",O95="",O$8="",O$7=""),"",ROUND(O95/O$8*O$7*KVARDI,2))</f>
        <v/>
      </c>
      <c r="Q95" s="39"/>
      <c r="R95" s="40" t="str">
        <f aca="false">IF(OR(INDEX(Undirviðmið!$G$6:$G$105,(COLUMN()-7-1)/2+1)&lt;&gt;"Starfsbundið",Q95="",Q$8="",Q$7=""),"",ROUND(Q95/Q$8*Q$7*KVARDI,2))</f>
        <v/>
      </c>
      <c r="S95" s="39"/>
      <c r="T95" s="40" t="str">
        <f aca="false">IF(OR(INDEX(Undirviðmið!$G$6:$G$105,(COLUMN()-7-1)/2+1)&lt;&gt;"Starfsbundið",S95="",S$8="",S$7=""),"",ROUND(S95/S$8*S$7*KVARDI,2))</f>
        <v/>
      </c>
      <c r="U95" s="39"/>
      <c r="V95" s="40" t="str">
        <f aca="false">IF(OR(INDEX(Undirviðmið!$G$6:$G$105,(COLUMN()-7-1)/2+1)&lt;&gt;"Starfsbundið",U95="",U$8="",U$7=""),"",ROUND(U95/U$8*U$7*KVARDI,2))</f>
        <v/>
      </c>
      <c r="W95" s="39"/>
      <c r="X95" s="40" t="str">
        <f aca="false">IF(OR(INDEX(Undirviðmið!$G$6:$G$105,(COLUMN()-7-1)/2+1)&lt;&gt;"Starfsbundið",W95="",W$8="",W$7=""),"",ROUND(W95/W$8*W$7*KVARDI,2))</f>
        <v/>
      </c>
      <c r="Y95" s="39"/>
      <c r="Z95" s="40" t="str">
        <f aca="false">IF(OR(INDEX(Undirviðmið!$G$6:$G$105,(COLUMN()-7-1)/2+1)&lt;&gt;"Starfsbundið",Y95="",Y$8="",Y$7=""),"",ROUND(Y95/Y$8*Y$7*KVARDI,2))</f>
        <v/>
      </c>
      <c r="AA95" s="39"/>
      <c r="AB95" s="40" t="str">
        <f aca="false">IF(OR(INDEX(Undirviðmið!$G$6:$G$105,(COLUMN()-7-1)/2+1)&lt;&gt;"Starfsbundið",AA95="",AA$8="",AA$7=""),"",ROUND(AA95/AA$8*AA$7*KVARDI,2))</f>
        <v/>
      </c>
      <c r="AC95" s="39"/>
      <c r="AD95" s="40" t="str">
        <f aca="false">IF(OR(INDEX(Undirviðmið!$G$6:$G$105,(COLUMN()-7-1)/2+1)&lt;&gt;"Starfsbundið",AC95="",AC$8="",AC$7=""),"",ROUND(AC95/AC$8*AC$7*KVARDI,2))</f>
        <v/>
      </c>
      <c r="AE95" s="39"/>
      <c r="AF95" s="40" t="str">
        <f aca="false">IF(OR(INDEX(Undirviðmið!$G$6:$G$105,(COLUMN()-7-1)/2+1)&lt;&gt;"Starfsbundið",AE95="",AE$8="",AE$7=""),"",ROUND(AE95/AE$8*AE$7*KVARDI,2))</f>
        <v/>
      </c>
      <c r="AG95" s="39"/>
      <c r="AH95" s="40" t="str">
        <f aca="false">IF(OR(INDEX(Undirviðmið!$G$6:$G$105,(COLUMN()-7-1)/2+1)&lt;&gt;"Starfsbundið",AG95="",AG$8="",AG$7=""),"",ROUND(AG95/AG$8*AG$7*KVARDI,2))</f>
        <v/>
      </c>
      <c r="AI95" s="39"/>
      <c r="AJ95" s="40" t="str">
        <f aca="false">IF(OR(INDEX(Undirviðmið!$G$6:$G$105,(COLUMN()-7-1)/2+1)&lt;&gt;"Starfsbundið",AI95="",AI$8="",AI$7=""),"",ROUND(AI95/AI$8*AI$7*KVARDI,2))</f>
        <v/>
      </c>
      <c r="AK95" s="39"/>
      <c r="AL95" s="40" t="str">
        <f aca="false">IF(OR(INDEX(Undirviðmið!$G$6:$G$105,(COLUMN()-7-1)/2+1)&lt;&gt;"Starfsbundið",AK95="",AK$8="",AK$7=""),"",ROUND(AK95/AK$8*AK$7*KVARDI,2))</f>
        <v/>
      </c>
      <c r="AM95" s="39"/>
      <c r="AN95" s="40" t="str">
        <f aca="false">IF(OR(INDEX(Undirviðmið!$G$6:$G$105,(COLUMN()-7-1)/2+1)&lt;&gt;"Starfsbundið",AM95="",AM$8="",AM$7=""),"",ROUND(AM95/AM$8*AM$7*KVARDI,2))</f>
        <v/>
      </c>
      <c r="AO95" s="39"/>
      <c r="AP95" s="40" t="str">
        <f aca="false">IF(OR(INDEX(Undirviðmið!$G$6:$G$105,(COLUMN()-7-1)/2+1)&lt;&gt;"Starfsbundið",AO95="",AO$8="",AO$7=""),"",ROUND(AO95/AO$8*AO$7*KVARDI,2))</f>
        <v/>
      </c>
      <c r="AQ95" s="39"/>
      <c r="AR95" s="40" t="str">
        <f aca="false">IF(OR(INDEX(Undirviðmið!$G$6:$G$105,(COLUMN()-7-1)/2+1)&lt;&gt;"Starfsbundið",AQ95="",AQ$8="",AQ$7=""),"",ROUND(AQ95/AQ$8*AQ$7*KVARDI,2))</f>
        <v/>
      </c>
      <c r="AS95" s="39"/>
      <c r="AT95" s="40" t="str">
        <f aca="false">IF(OR(INDEX(Undirviðmið!$G$6:$G$105,(COLUMN()-7-1)/2+1)&lt;&gt;"Starfsbundið",AS95="",AS$8="",AS$7=""),"",ROUND(AS95/AS$8*AS$7*KVARDI,2))</f>
        <v/>
      </c>
      <c r="AU95" s="39"/>
      <c r="AV95" s="40" t="str">
        <f aca="false">IF(OR(INDEX(Undirviðmið!$G$6:$G$105,(COLUMN()-7-1)/2+1)&lt;&gt;"Starfsbundið",AU95="",AU$8="",AU$7=""),"",ROUND(AU95/AU$8*AU$7*KVARDI,2))</f>
        <v/>
      </c>
      <c r="AW95" s="39"/>
      <c r="AX95" s="40" t="str">
        <f aca="false">IF(OR(INDEX(Undirviðmið!$G$6:$G$105,(COLUMN()-7-1)/2+1)&lt;&gt;"Starfsbundið",AW95="",AW$8="",AW$7=""),"",ROUND(AW95/AW$8*AW$7*KVARDI,2))</f>
        <v/>
      </c>
      <c r="AY95" s="39"/>
      <c r="AZ95" s="40" t="str">
        <f aca="false">IF(OR(INDEX(Undirviðmið!$G$6:$G$105,(COLUMN()-7-1)/2+1)&lt;&gt;"Starfsbundið",AY95="",AY$8="",AY$7=""),"",ROUND(AY95/AY$8*AY$7*KVARDI,2))</f>
        <v/>
      </c>
      <c r="BA95" s="39"/>
      <c r="BB95" s="40" t="str">
        <f aca="false">IF(OR(INDEX(Undirviðmið!$G$6:$G$105,(COLUMN()-7-1)/2+1)&lt;&gt;"Starfsbundið",BA95="",BA$8="",BA$7=""),"",ROUND(BA95/BA$8*BA$7*KVARDI,2))</f>
        <v/>
      </c>
      <c r="BC95" s="39"/>
      <c r="BD95" s="40" t="str">
        <f aca="false">IF(OR(INDEX(Undirviðmið!$G$6:$G$105,(COLUMN()-7-1)/2+1)&lt;&gt;"Starfsbundið",BC95="",BC$8="",BC$7=""),"",ROUND(BC95/BC$8*BC$7*KVARDI,2))</f>
        <v/>
      </c>
      <c r="BE95" s="39"/>
      <c r="BF95" s="40" t="str">
        <f aca="false">IF(OR(INDEX(Undirviðmið!$G$6:$G$105,(COLUMN()-7-1)/2+1)&lt;&gt;"Starfsbundið",BE95="",BE$8="",BE$7=""),"",ROUND(BE95/BE$8*BE$7*KVARDI,2))</f>
        <v/>
      </c>
      <c r="BG95" s="39"/>
      <c r="BH95" s="40" t="str">
        <f aca="false">IF(OR(INDEX(Undirviðmið!$G$6:$G$105,(COLUMN()-7-1)/2+1)&lt;&gt;"Starfsbundið",BG95="",BG$8="",BG$7=""),"",ROUND(BG95/BG$8*BG$7*KVARDI,2))</f>
        <v/>
      </c>
      <c r="BI95" s="39"/>
      <c r="BJ95" s="40" t="str">
        <f aca="false">IF(OR(INDEX(Undirviðmið!$G$6:$G$105,(COLUMN()-7-1)/2+1)&lt;&gt;"Starfsbundið",BI95="",BI$8="",BI$7=""),"",ROUND(BI95/BI$8*BI$7*KVARDI,2))</f>
        <v/>
      </c>
      <c r="BK95" s="39"/>
      <c r="BL95" s="40" t="str">
        <f aca="false">IF(OR(INDEX(Undirviðmið!$G$6:$G$105,(COLUMN()-7-1)/2+1)&lt;&gt;"Starfsbundið",BK95="",BK$8="",BK$7=""),"",ROUND(BK95/BK$8*BK$7*KVARDI,2))</f>
        <v/>
      </c>
      <c r="BM95" s="39"/>
      <c r="BN95" s="40" t="str">
        <f aca="false">IF(OR(INDEX(Undirviðmið!$G$6:$G$105,(COLUMN()-7-1)/2+1)&lt;&gt;"Starfsbundið",BM95="",BM$8="",BM$7=""),"",ROUND(BM95/BM$8*BM$7*KVARDI,2))</f>
        <v/>
      </c>
      <c r="BO95" s="39"/>
      <c r="BP95" s="40" t="str">
        <f aca="false">IF(OR(INDEX(Undirviðmið!$G$6:$G$105,(COLUMN()-7-1)/2+1)&lt;&gt;"Starfsbundið",BO95="",BO$8="",BO$7=""),"",ROUND(BO95/BO$8*BO$7*KVARDI,2))</f>
        <v/>
      </c>
      <c r="BQ95" s="39"/>
      <c r="BR95" s="40" t="str">
        <f aca="false">IF(OR(INDEX(Undirviðmið!$G$6:$G$105,(COLUMN()-7-1)/2+1)&lt;&gt;"Starfsbundið",BQ95="",BQ$8="",BQ$7=""),"",ROUND(BQ95/BQ$8*BQ$7*KVARDI,2))</f>
        <v/>
      </c>
      <c r="BS95" s="39"/>
      <c r="BT95" s="40" t="str">
        <f aca="false">IF(OR(INDEX(Undirviðmið!$G$6:$G$105,(COLUMN()-7-1)/2+1)&lt;&gt;"Starfsbundið",BS95="",BS$8="",BS$7=""),"",ROUND(BS95/BS$8*BS$7*KVARDI,2))</f>
        <v/>
      </c>
      <c r="BU95" s="39"/>
      <c r="BV95" s="40" t="str">
        <f aca="false">IF(OR(INDEX(Undirviðmið!$G$6:$G$105,(COLUMN()-7-1)/2+1)&lt;&gt;"Starfsbundið",BU95="",BU$8="",BU$7=""),"",ROUND(BU95/BU$8*BU$7*KVARDI,2))</f>
        <v/>
      </c>
      <c r="BW95" s="39"/>
      <c r="BX95" s="40" t="str">
        <f aca="false">IF(OR(INDEX(Undirviðmið!$G$6:$G$105,(COLUMN()-7-1)/2+1)&lt;&gt;"Starfsbundið",BW95="",BW$8="",BW$7=""),"",ROUND(BW95/BW$8*BW$7*KVARDI,2))</f>
        <v/>
      </c>
      <c r="BY95" s="39"/>
      <c r="BZ95" s="40" t="str">
        <f aca="false">IF(OR(INDEX(Undirviðmið!$G$6:$G$105,(COLUMN()-7-1)/2+1)&lt;&gt;"Starfsbundið",BY95="",BY$8="",BY$7=""),"",ROUND(BY95/BY$8*BY$7*KVARDI,2))</f>
        <v/>
      </c>
      <c r="CA95" s="39"/>
      <c r="CB95" s="40" t="str">
        <f aca="false">IF(OR(INDEX(Undirviðmið!$G$6:$G$105,(COLUMN()-7-1)/2+1)&lt;&gt;"Starfsbundið",CA95="",CA$8="",CA$7=""),"",ROUND(CA95/CA$8*CA$7*KVARDI,2))</f>
        <v/>
      </c>
      <c r="CC95" s="39"/>
      <c r="CD95" s="40" t="str">
        <f aca="false">IF(OR(INDEX(Undirviðmið!$G$6:$G$105,(COLUMN()-7-1)/2+1)&lt;&gt;"Starfsbundið",CC95="",CC$8="",CC$7=""),"",ROUND(CC95/CC$8*CC$7*KVARDI,2))</f>
        <v/>
      </c>
      <c r="CE95" s="39"/>
      <c r="CF95" s="40" t="str">
        <f aca="false">IF(OR(INDEX(Undirviðmið!$G$6:$G$105,(COLUMN()-7-1)/2+1)&lt;&gt;"Starfsbundið",CE95="",CE$8="",CE$7=""),"",ROUND(CE95/CE$8*CE$7*KVARDI,2))</f>
        <v/>
      </c>
      <c r="CG95" s="39"/>
      <c r="CH95" s="40" t="str">
        <f aca="false">IF(OR(INDEX(Undirviðmið!$G$6:$G$105,(COLUMN()-7-1)/2+1)&lt;&gt;"Starfsbundið",CG95="",CG$8="",CG$7=""),"",ROUND(CG95/CG$8*CG$7*KVARDI,2))</f>
        <v/>
      </c>
      <c r="CI95" s="39"/>
      <c r="CJ95" s="40" t="str">
        <f aca="false">IF(OR(INDEX(Undirviðmið!$G$6:$G$105,(COLUMN()-7-1)/2+1)&lt;&gt;"Starfsbundið",CI95="",CI$8="",CI$7=""),"",ROUND(CI95/CI$8*CI$7*KVARDI,2))</f>
        <v/>
      </c>
      <c r="CK95" s="39"/>
      <c r="CL95" s="40" t="str">
        <f aca="false">IF(OR(INDEX(Undirviðmið!$G$6:$G$105,(COLUMN()-7-1)/2+1)&lt;&gt;"Starfsbundið",CK95="",CK$8="",CK$7=""),"",ROUND(CK95/CK$8*CK$7*KVARDI,2))</f>
        <v/>
      </c>
      <c r="CM95" s="39"/>
      <c r="CN95" s="40" t="str">
        <f aca="false">IF(OR(INDEX(Undirviðmið!$G$6:$G$105,(COLUMN()-7-1)/2+1)&lt;&gt;"Starfsbundið",CM95="",CM$8="",CM$7=""),"",ROUND(CM95/CM$8*CM$7*KVARDI,2))</f>
        <v/>
      </c>
      <c r="CO95" s="39"/>
      <c r="CP95" s="40" t="str">
        <f aca="false">IF(OR(INDEX(Undirviðmið!$G$6:$G$105,(COLUMN()-7-1)/2+1)&lt;&gt;"Starfsbundið",CO95="",CO$8="",CO$7=""),"",ROUND(CO95/CO$8*CO$7*KVARDI,2))</f>
        <v/>
      </c>
      <c r="CQ95" s="39"/>
      <c r="CR95" s="40" t="str">
        <f aca="false">IF(OR(INDEX(Undirviðmið!$G$6:$G$105,(COLUMN()-7-1)/2+1)&lt;&gt;"Starfsbundið",CQ95="",CQ$8="",CQ$7=""),"",ROUND(CQ95/CQ$8*CQ$7*KVARDI,2))</f>
        <v/>
      </c>
      <c r="CS95" s="39"/>
      <c r="CT95" s="40" t="str">
        <f aca="false">IF(OR(INDEX(Undirviðmið!$G$6:$G$105,(COLUMN()-7-1)/2+1)&lt;&gt;"Starfsbundið",CS95="",CS$8="",CS$7=""),"",ROUND(CS95/CS$8*CS$7*KVARDI,2))</f>
        <v/>
      </c>
      <c r="CU95" s="39"/>
      <c r="CV95" s="40" t="str">
        <f aca="false">IF(OR(INDEX(Undirviðmið!$G$6:$G$105,(COLUMN()-7-1)/2+1)&lt;&gt;"Starfsbundið",CU95="",CU$8="",CU$7=""),"",ROUND(CU95/CU$8*CU$7*KVARDI,2))</f>
        <v/>
      </c>
      <c r="CW95" s="39"/>
      <c r="CX95" s="40" t="str">
        <f aca="false">IF(OR(INDEX(Undirviðmið!$G$6:$G$105,(COLUMN()-7-1)/2+1)&lt;&gt;"Starfsbundið",CW95="",CW$8="",CW$7=""),"",ROUND(CW95/CW$8*CW$7*KVARDI,2))</f>
        <v/>
      </c>
      <c r="CY95" s="39"/>
      <c r="CZ95" s="40" t="str">
        <f aca="false">IF(OR(INDEX(Undirviðmið!$G$6:$G$105,(COLUMN()-7-1)/2+1)&lt;&gt;"Starfsbundið",CY95="",CY$8="",CY$7=""),"",ROUND(CY95/CY$8*CY$7*KVARDI,2))</f>
        <v/>
      </c>
      <c r="DA95" s="39"/>
      <c r="DB95" s="40" t="str">
        <f aca="false">IF(OR(INDEX(Undirviðmið!$G$6:$G$105,(COLUMN()-7-1)/2+1)&lt;&gt;"Starfsbundið",DA95="",DA$8="",DA$7=""),"",ROUND(DA95/DA$8*DA$7*KVARDI,2))</f>
        <v/>
      </c>
      <c r="DC95" s="39"/>
      <c r="DD95" s="40" t="str">
        <f aca="false">IF(OR(INDEX(Undirviðmið!$G$6:$G$105,(COLUMN()-7-1)/2+1)&lt;&gt;"Starfsbundið",DC95="",DC$8="",DC$7=""),"",ROUND(DC95/DC$8*DC$7*KVARDI,2))</f>
        <v/>
      </c>
      <c r="DE95" s="39"/>
      <c r="DF95" s="40" t="str">
        <f aca="false">IF(OR(INDEX(Undirviðmið!$G$6:$G$105,(COLUMN()-7-1)/2+1)&lt;&gt;"Starfsbundið",DE95="",DE$8="",DE$7=""),"",ROUND(DE95/DE$8*DE$7*KVARDI,2))</f>
        <v/>
      </c>
      <c r="DG95" s="39"/>
      <c r="DH95" s="40" t="str">
        <f aca="false">IF(OR(INDEX(Undirviðmið!$G$6:$G$105,(COLUMN()-7-1)/2+1)&lt;&gt;"Starfsbundið",DG95="",DG$8="",DG$7=""),"",ROUND(DG95/DG$8*DG$7*KVARDI,2))</f>
        <v/>
      </c>
      <c r="DI95" s="39"/>
      <c r="DJ95" s="40" t="str">
        <f aca="false">IF(OR(INDEX(Undirviðmið!$G$6:$G$105,(COLUMN()-7-1)/2+1)&lt;&gt;"Starfsbundið",DI95="",DI$8="",DI$7=""),"",ROUND(DI95/DI$8*DI$7*KVARDI,2))</f>
        <v/>
      </c>
      <c r="DK95" s="39"/>
      <c r="DL95" s="40" t="str">
        <f aca="false">IF(OR(INDEX(Undirviðmið!$G$6:$G$105,(COLUMN()-7-1)/2+1)&lt;&gt;"Starfsbundið",DK95="",DK$8="",DK$7=""),"",ROUND(DK95/DK$8*DK$7*KVARDI,2))</f>
        <v/>
      </c>
      <c r="DM95" s="39"/>
      <c r="DN95" s="40" t="str">
        <f aca="false">IF(OR(INDEX(Undirviðmið!$G$6:$G$105,(COLUMN()-7-1)/2+1)&lt;&gt;"Starfsbundið",DM95="",DM$8="",DM$7=""),"",ROUND(DM95/DM$8*DM$7*KVARDI,2))</f>
        <v/>
      </c>
      <c r="DO95" s="39"/>
      <c r="DP95" s="40" t="str">
        <f aca="false">IF(OR(INDEX(Undirviðmið!$G$6:$G$105,(COLUMN()-7-1)/2+1)&lt;&gt;"Starfsbundið",DO95="",DO$8="",DO$7=""),"",ROUND(DO95/DO$8*DO$7*KVARDI,2))</f>
        <v/>
      </c>
      <c r="DQ95" s="39"/>
      <c r="DR95" s="40" t="str">
        <f aca="false">IF(OR(INDEX(Undirviðmið!$G$6:$G$105,(COLUMN()-7-1)/2+1)&lt;&gt;"Starfsbundið",DQ95="",DQ$8="",DQ$7=""),"",ROUND(DQ95/DQ$8*DQ$7*KVARDI,2))</f>
        <v/>
      </c>
      <c r="DS95" s="39"/>
      <c r="DT95" s="40" t="str">
        <f aca="false">IF(OR(INDEX(Undirviðmið!$G$6:$G$105,(COLUMN()-7-1)/2+1)&lt;&gt;"Starfsbundið",DS95="",DS$8="",DS$7=""),"",ROUND(DS95/DS$8*DS$7*KVARDI,2))</f>
        <v/>
      </c>
      <c r="DU95" s="39"/>
      <c r="DV95" s="40" t="str">
        <f aca="false">IF(OR(INDEX(Undirviðmið!$G$6:$G$105,(COLUMN()-7-1)/2+1)&lt;&gt;"Starfsbundið",DU95="",DU$8="",DU$7=""),"",ROUND(DU95/DU$8*DU$7*KVARDI,2))</f>
        <v/>
      </c>
      <c r="DW95" s="39"/>
      <c r="DX95" s="40" t="str">
        <f aca="false">IF(OR(INDEX(Undirviðmið!$G$6:$G$105,(COLUMN()-7-1)/2+1)&lt;&gt;"Starfsbundið",DW95="",DW$8="",DW$7=""),"",ROUND(DW95/DW$8*DW$7*KVARDI,2))</f>
        <v/>
      </c>
      <c r="DY95" s="39"/>
      <c r="DZ95" s="40" t="str">
        <f aca="false">IF(OR(INDEX(Undirviðmið!$G$6:$G$105,(COLUMN()-7-1)/2+1)&lt;&gt;"Starfsbundið",DY95="",DY$8="",DY$7=""),"",ROUND(DY95/DY$8*DY$7*KVARDI,2))</f>
        <v/>
      </c>
      <c r="EA95" s="39"/>
      <c r="EB95" s="40" t="str">
        <f aca="false">IF(OR(INDEX(Undirviðmið!$G$6:$G$105,(COLUMN()-7-1)/2+1)&lt;&gt;"Starfsbundið",EA95="",EA$8="",EA$7=""),"",ROUND(EA95/EA$8*EA$7*KVARDI,2))</f>
        <v/>
      </c>
      <c r="EC95" s="39"/>
      <c r="ED95" s="40" t="str">
        <f aca="false">IF(OR(INDEX(Undirviðmið!$G$6:$G$105,(COLUMN()-7-1)/2+1)&lt;&gt;"Starfsbundið",EC95="",EC$8="",EC$7=""),"",ROUND(EC95/EC$8*EC$7*KVARDI,2))</f>
        <v/>
      </c>
      <c r="EE95" s="39"/>
      <c r="EF95" s="40" t="str">
        <f aca="false">IF(OR(INDEX(Undirviðmið!$G$6:$G$105,(COLUMN()-7-1)/2+1)&lt;&gt;"Starfsbundið",EE95="",EE$8="",EE$7=""),"",ROUND(EE95/EE$8*EE$7*KVARDI,2))</f>
        <v/>
      </c>
      <c r="EG95" s="39"/>
      <c r="EH95" s="40" t="str">
        <f aca="false">IF(OR(INDEX(Undirviðmið!$G$6:$G$105,(COLUMN()-7-1)/2+1)&lt;&gt;"Starfsbundið",EG95="",EG$8="",EG$7=""),"",ROUND(EG95/EG$8*EG$7*KVARDI,2))</f>
        <v/>
      </c>
      <c r="EI95" s="39"/>
      <c r="EJ95" s="40" t="str">
        <f aca="false">IF(OR(INDEX(Undirviðmið!$G$6:$G$105,(COLUMN()-7-1)/2+1)&lt;&gt;"Starfsbundið",EI95="",EI$8="",EI$7=""),"",ROUND(EI95/EI$8*EI$7*KVARDI,2))</f>
        <v/>
      </c>
      <c r="EK95" s="39"/>
      <c r="EL95" s="40" t="str">
        <f aca="false">IF(OR(INDEX(Undirviðmið!$G$6:$G$105,(COLUMN()-7-1)/2+1)&lt;&gt;"Starfsbundið",EK95="",EK$8="",EK$7=""),"",ROUND(EK95/EK$8*EK$7*KVARDI,2))</f>
        <v/>
      </c>
      <c r="EM95" s="39"/>
      <c r="EN95" s="40" t="str">
        <f aca="false">IF(OR(INDEX(Undirviðmið!$G$6:$G$105,(COLUMN()-7-1)/2+1)&lt;&gt;"Starfsbundið",EM95="",EM$8="",EM$7=""),"",ROUND(EM95/EM$8*EM$7*KVARDI,2))</f>
        <v/>
      </c>
      <c r="EO95" s="39"/>
      <c r="EP95" s="40" t="str">
        <f aca="false">IF(OR(INDEX(Undirviðmið!$G$6:$G$105,(COLUMN()-7-1)/2+1)&lt;&gt;"Starfsbundið",EO95="",EO$8="",EO$7=""),"",ROUND(EO95/EO$8*EO$7*KVARDI,2))</f>
        <v/>
      </c>
      <c r="EQ95" s="39"/>
      <c r="ER95" s="40" t="str">
        <f aca="false">IF(OR(INDEX(Undirviðmið!$G$6:$G$105,(COLUMN()-7-1)/2+1)&lt;&gt;"Starfsbundið",EQ95="",EQ$8="",EQ$7=""),"",ROUND(EQ95/EQ$8*EQ$7*KVARDI,2))</f>
        <v/>
      </c>
      <c r="ES95" s="39"/>
      <c r="ET95" s="40" t="str">
        <f aca="false">IF(OR(INDEX(Undirviðmið!$G$6:$G$105,(COLUMN()-7-1)/2+1)&lt;&gt;"Starfsbundið",ES95="",ES$8="",ES$7=""),"",ROUND(ES95/ES$8*ES$7*KVARDI,2))</f>
        <v/>
      </c>
      <c r="EU95" s="39"/>
      <c r="EV95" s="40" t="str">
        <f aca="false">IF(OR(INDEX(Undirviðmið!$G$6:$G$105,(COLUMN()-7-1)/2+1)&lt;&gt;"Starfsbundið",EU95="",EU$8="",EU$7=""),"",ROUND(EU95/EU$8*EU$7*KVARDI,2))</f>
        <v/>
      </c>
      <c r="EW95" s="39"/>
      <c r="EX95" s="40" t="str">
        <f aca="false">IF(OR(INDEX(Undirviðmið!$G$6:$G$105,(COLUMN()-7-1)/2+1)&lt;&gt;"Starfsbundið",EW95="",EW$8="",EW$7=""),"",ROUND(EW95/EW$8*EW$7*KVARDI,2))</f>
        <v/>
      </c>
      <c r="EY95" s="39"/>
      <c r="EZ95" s="40" t="str">
        <f aca="false">IF(OR(INDEX(Undirviðmið!$G$6:$G$105,(COLUMN()-7-1)/2+1)&lt;&gt;"Starfsbundið",EY95="",EY$8="",EY$7=""),"",ROUND(EY95/EY$8*EY$7*KVARDI,2))</f>
        <v/>
      </c>
      <c r="FA95" s="39"/>
      <c r="FB95" s="40" t="str">
        <f aca="false">IF(OR(INDEX(Undirviðmið!$G$6:$G$105,(COLUMN()-7-1)/2+1)&lt;&gt;"Starfsbundið",FA95="",FA$8="",FA$7=""),"",ROUND(FA95/FA$8*FA$7*KVARDI,2))</f>
        <v/>
      </c>
      <c r="FC95" s="39"/>
      <c r="FD95" s="40" t="str">
        <f aca="false">IF(OR(INDEX(Undirviðmið!$G$6:$G$105,(COLUMN()-7-1)/2+1)&lt;&gt;"Starfsbundið",FC95="",FC$8="",FC$7=""),"",ROUND(FC95/FC$8*FC$7*KVARDI,2))</f>
        <v/>
      </c>
      <c r="FE95" s="39"/>
      <c r="FF95" s="40" t="str">
        <f aca="false">IF(OR(INDEX(Undirviðmið!$G$6:$G$105,(COLUMN()-7-1)/2+1)&lt;&gt;"Starfsbundið",FE95="",FE$8="",FE$7=""),"",ROUND(FE95/FE$8*FE$7*KVARDI,2))</f>
        <v/>
      </c>
      <c r="FG95" s="39"/>
      <c r="FH95" s="40" t="str">
        <f aca="false">IF(OR(INDEX(Undirviðmið!$G$6:$G$105,(COLUMN()-7-1)/2+1)&lt;&gt;"Starfsbundið",FG95="",FG$8="",FG$7=""),"",ROUND(FG95/FG$8*FG$7*KVARDI,2))</f>
        <v/>
      </c>
      <c r="FI95" s="39"/>
      <c r="FJ95" s="40" t="str">
        <f aca="false">IF(OR(INDEX(Undirviðmið!$G$6:$G$105,(COLUMN()-7-1)/2+1)&lt;&gt;"Starfsbundið",FI95="",FI$8="",FI$7=""),"",ROUND(FI95/FI$8*FI$7*KVARDI,2))</f>
        <v/>
      </c>
      <c r="FK95" s="39"/>
      <c r="FL95" s="40" t="str">
        <f aca="false">IF(OR(INDEX(Undirviðmið!$G$6:$G$105,(COLUMN()-7-1)/2+1)&lt;&gt;"Starfsbundið",FK95="",FK$8="",FK$7=""),"",ROUND(FK95/FK$8*FK$7*KVARDI,2))</f>
        <v/>
      </c>
      <c r="FM95" s="39"/>
      <c r="FN95" s="40" t="str">
        <f aca="false">IF(OR(INDEX(Undirviðmið!$G$6:$G$105,(COLUMN()-7-1)/2+1)&lt;&gt;"Starfsbundið",FM95="",FM$8="",FM$7=""),"",ROUND(FM95/FM$8*FM$7*KVARDI,2))</f>
        <v/>
      </c>
      <c r="FO95" s="39"/>
      <c r="FP95" s="40" t="str">
        <f aca="false">IF(OR(INDEX(Undirviðmið!$G$6:$G$105,(COLUMN()-7-1)/2+1)&lt;&gt;"Starfsbundið",FO95="",FO$8="",FO$7=""),"",ROUND(FO95/FO$8*FO$7*KVARDI,2))</f>
        <v/>
      </c>
      <c r="FQ95" s="39"/>
      <c r="FR95" s="40" t="str">
        <f aca="false">IF(OR(INDEX(Undirviðmið!$G$6:$G$105,(COLUMN()-7-1)/2+1)&lt;&gt;"Starfsbundið",FQ95="",FQ$8="",FQ$7=""),"",ROUND(FQ95/FQ$8*FQ$7*KVARDI,2))</f>
        <v/>
      </c>
      <c r="FS95" s="39"/>
      <c r="FT95" s="40" t="str">
        <f aca="false">IF(OR(INDEX(Undirviðmið!$G$6:$G$105,(COLUMN()-7-1)/2+1)&lt;&gt;"Starfsbundið",FS95="",FS$8="",FS$7=""),"",ROUND(FS95/FS$8*FS$7*KVARDI,2))</f>
        <v/>
      </c>
      <c r="FU95" s="39"/>
      <c r="FV95" s="40" t="str">
        <f aca="false">IF(OR(INDEX(Undirviðmið!$G$6:$G$105,(COLUMN()-7-1)/2+1)&lt;&gt;"Starfsbundið",FU95="",FU$8="",FU$7=""),"",ROUND(FU95/FU$8*FU$7*KVARDI,2))</f>
        <v/>
      </c>
      <c r="FW95" s="39"/>
      <c r="FX95" s="40" t="str">
        <f aca="false">IF(OR(INDEX(Undirviðmið!$G$6:$G$105,(COLUMN()-7-1)/2+1)&lt;&gt;"Starfsbundið",FW95="",FW$8="",FW$7=""),"",ROUND(FW95/FW$8*FW$7*KVARDI,2))</f>
        <v/>
      </c>
      <c r="FY95" s="39"/>
      <c r="FZ95" s="40" t="str">
        <f aca="false">IF(OR(INDEX(Undirviðmið!$G$6:$G$105,(COLUMN()-7-1)/2+1)&lt;&gt;"Starfsbundið",FY95="",FY$8="",FY$7=""),"",ROUND(FY95/FY$8*FY$7*KVARDI,2))</f>
        <v/>
      </c>
      <c r="GA95" s="39"/>
      <c r="GB95" s="40" t="str">
        <f aca="false">IF(OR(INDEX(Undirviðmið!$G$6:$G$105,(COLUMN()-7-1)/2+1)&lt;&gt;"Starfsbundið",GA95="",GA$8="",GA$7=""),"",ROUND(GA95/GA$8*GA$7*KVARDI,2))</f>
        <v/>
      </c>
      <c r="GC95" s="39"/>
      <c r="GD95" s="40" t="str">
        <f aca="false">IF(OR(INDEX(Undirviðmið!$G$6:$G$105,(COLUMN()-7-1)/2+1)&lt;&gt;"Starfsbundið",GC95="",GC$8="",GC$7=""),"",ROUND(GC95/GC$8*GC$7*KVARDI,2))</f>
        <v/>
      </c>
      <c r="GE95" s="39"/>
      <c r="GF95" s="40" t="str">
        <f aca="false">IF(OR(INDEX(Undirviðmið!$G$6:$G$105,(COLUMN()-7-1)/2+1)&lt;&gt;"Starfsbundið",GE95="",GE$8="",GE$7=""),"",ROUND(GE95/GE$8*GE$7*KVARDI,2))</f>
        <v/>
      </c>
      <c r="GG95" s="39"/>
      <c r="GH95" s="40" t="str">
        <f aca="false">IF(OR(INDEX(Undirviðmið!$G$6:$G$105,(COLUMN()-7-1)/2+1)&lt;&gt;"Starfsbundið",GG95="",GG$8="",GG$7=""),"",ROUND(GG95/GG$8*GG$7*KVARDI,2))</f>
        <v/>
      </c>
      <c r="GI95" s="39"/>
      <c r="GJ95" s="40" t="str">
        <f aca="false">IF(OR(INDEX(Undirviðmið!$G$6:$G$105,(COLUMN()-7-1)/2+1)&lt;&gt;"Starfsbundið",GI95="",GI$8="",GI$7=""),"",ROUND(GI95/GI$8*GI$7*KVARDI,2))</f>
        <v/>
      </c>
      <c r="GK95" s="39"/>
      <c r="GL95" s="40" t="str">
        <f aca="false">IF(OR(INDEX(Undirviðmið!$G$6:$G$105,(COLUMN()-7-1)/2+1)&lt;&gt;"Starfsbundið",GK95="",GK$8="",GK$7=""),"",ROUND(GK95/GK$8*GK$7*KVARDI,2))</f>
        <v/>
      </c>
      <c r="GM95" s="39"/>
      <c r="GN95" s="40" t="str">
        <f aca="false">IF(OR(INDEX(Undirviðmið!$G$6:$G$105,(COLUMN()-7-1)/2+1)&lt;&gt;"Starfsbundið",GM95="",GM$8="",GM$7=""),"",ROUND(GM95/GM$8*GM$7*KVARDI,2))</f>
        <v/>
      </c>
      <c r="GO95" s="39"/>
      <c r="GP95" s="40" t="str">
        <f aca="false">IF(OR(INDEX(Undirviðmið!$G$6:$G$105,(COLUMN()-7-1)/2+1)&lt;&gt;"Starfsbundið",GO95="",GO$8="",GO$7=""),"",ROUND(GO95/GO$8*GO$7*KVARDI,2))</f>
        <v/>
      </c>
      <c r="GQ95" s="39"/>
      <c r="GR95" s="40" t="str">
        <f aca="false">IF(OR(INDEX(Undirviðmið!$G$6:$G$105,(COLUMN()-7-1)/2+1)&lt;&gt;"Starfsbundið",GQ95="",GQ$8="",GQ$7=""),"",ROUND(GQ95/GQ$8*GQ$7*KVARDI,2))</f>
        <v/>
      </c>
      <c r="GS95" s="39"/>
      <c r="GT95" s="40" t="str">
        <f aca="false">IF(OR(INDEX(Undirviðmið!$G$6:$G$105,(COLUMN()-7-1)/2+1)&lt;&gt;"Starfsbundið",GS95="",GS$8="",GS$7=""),"",ROUND(GS95/GS$8*GS$7*KVARDI,2))</f>
        <v/>
      </c>
      <c r="GU95" s="39"/>
      <c r="GV95" s="40" t="str">
        <f aca="false">IF(OR(INDEX(Undirviðmið!$G$6:$G$105,(COLUMN()-7-1)/2+1)&lt;&gt;"Starfsbundið",GU95="",GU$8="",GU$7=""),"",ROUND(GU95/GU$8*GU$7*KVARDI,2))</f>
        <v/>
      </c>
      <c r="GW95" s="39"/>
      <c r="GX95" s="40" t="str">
        <f aca="false">IF(OR(INDEX(Undirviðmið!$G$6:$G$105,(COLUMN()-7-1)/2+1)&lt;&gt;"Starfsbundið",GW95="",GW$8="",GW$7=""),"",ROUND(GW95/GW$8*GW$7*KVARDI,2))</f>
        <v/>
      </c>
      <c r="GZ95" s="20"/>
    </row>
    <row r="96" customFormat="false" ht="15" hidden="true" customHeight="true" outlineLevel="1" collapsed="false">
      <c r="B96" s="37" t="str">
        <f aca="false" t="array" ref="B96:B96">IFERROR(INDEX(Starfsmenn!$C$6:$C$10005,MATCH(0,COUNTIF($B$11:B95,Starfsmenn!$C$6:$C$10005)+(Starfsmenn!$C$6:$C$10005=""),0)),"")</f>
        <v/>
      </c>
      <c r="C96" s="38" t="n">
        <f aca="false">IFERROR(SUMIF($G$10:$GX$10,"Stig",$G96:$GX96),0)</f>
        <v>0</v>
      </c>
      <c r="G96" s="39"/>
      <c r="H96" s="40" t="str">
        <f aca="false">IF(OR(INDEX(Undirviðmið!$G$6:$G$105,(COLUMN()-7-1)/2+1)&lt;&gt;"Starfsbundið",G96="",G$8="",G$7=""),"",ROUND(G96/G$8*G$7*KVARDI,2))</f>
        <v/>
      </c>
      <c r="I96" s="39"/>
      <c r="J96" s="40" t="str">
        <f aca="false">IF(OR(INDEX(Undirviðmið!$G$6:$G$105,(COLUMN()-7-1)/2+1)&lt;&gt;"Starfsbundið",I96="",I$8="",I$7=""),"",ROUND(I96/I$8*I$7*KVARDI,2))</f>
        <v/>
      </c>
      <c r="K96" s="39"/>
      <c r="L96" s="40" t="str">
        <f aca="false">IF(OR(INDEX(Undirviðmið!$G$6:$G$105,(COLUMN()-7-1)/2+1)&lt;&gt;"Starfsbundið",K96="",K$8="",K$7=""),"",ROUND(K96/K$8*K$7*KVARDI,2))</f>
        <v/>
      </c>
      <c r="M96" s="39"/>
      <c r="N96" s="40" t="str">
        <f aca="false">IF(OR(INDEX(Undirviðmið!$G$6:$G$105,(COLUMN()-7-1)/2+1)&lt;&gt;"Starfsbundið",M96="",M$8="",M$7=""),"",ROUND(M96/M$8*M$7*KVARDI,2))</f>
        <v/>
      </c>
      <c r="O96" s="39"/>
      <c r="P96" s="40" t="str">
        <f aca="false">IF(OR(INDEX(Undirviðmið!$G$6:$G$105,(COLUMN()-7-1)/2+1)&lt;&gt;"Starfsbundið",O96="",O$8="",O$7=""),"",ROUND(O96/O$8*O$7*KVARDI,2))</f>
        <v/>
      </c>
      <c r="Q96" s="39"/>
      <c r="R96" s="40" t="str">
        <f aca="false">IF(OR(INDEX(Undirviðmið!$G$6:$G$105,(COLUMN()-7-1)/2+1)&lt;&gt;"Starfsbundið",Q96="",Q$8="",Q$7=""),"",ROUND(Q96/Q$8*Q$7*KVARDI,2))</f>
        <v/>
      </c>
      <c r="S96" s="39"/>
      <c r="T96" s="40" t="str">
        <f aca="false">IF(OR(INDEX(Undirviðmið!$G$6:$G$105,(COLUMN()-7-1)/2+1)&lt;&gt;"Starfsbundið",S96="",S$8="",S$7=""),"",ROUND(S96/S$8*S$7*KVARDI,2))</f>
        <v/>
      </c>
      <c r="U96" s="39"/>
      <c r="V96" s="40" t="str">
        <f aca="false">IF(OR(INDEX(Undirviðmið!$G$6:$G$105,(COLUMN()-7-1)/2+1)&lt;&gt;"Starfsbundið",U96="",U$8="",U$7=""),"",ROUND(U96/U$8*U$7*KVARDI,2))</f>
        <v/>
      </c>
      <c r="W96" s="39"/>
      <c r="X96" s="40" t="str">
        <f aca="false">IF(OR(INDEX(Undirviðmið!$G$6:$G$105,(COLUMN()-7-1)/2+1)&lt;&gt;"Starfsbundið",W96="",W$8="",W$7=""),"",ROUND(W96/W$8*W$7*KVARDI,2))</f>
        <v/>
      </c>
      <c r="Y96" s="39"/>
      <c r="Z96" s="40" t="str">
        <f aca="false">IF(OR(INDEX(Undirviðmið!$G$6:$G$105,(COLUMN()-7-1)/2+1)&lt;&gt;"Starfsbundið",Y96="",Y$8="",Y$7=""),"",ROUND(Y96/Y$8*Y$7*KVARDI,2))</f>
        <v/>
      </c>
      <c r="AA96" s="39"/>
      <c r="AB96" s="40" t="str">
        <f aca="false">IF(OR(INDEX(Undirviðmið!$G$6:$G$105,(COLUMN()-7-1)/2+1)&lt;&gt;"Starfsbundið",AA96="",AA$8="",AA$7=""),"",ROUND(AA96/AA$8*AA$7*KVARDI,2))</f>
        <v/>
      </c>
      <c r="AC96" s="39"/>
      <c r="AD96" s="40" t="str">
        <f aca="false">IF(OR(INDEX(Undirviðmið!$G$6:$G$105,(COLUMN()-7-1)/2+1)&lt;&gt;"Starfsbundið",AC96="",AC$8="",AC$7=""),"",ROUND(AC96/AC$8*AC$7*KVARDI,2))</f>
        <v/>
      </c>
      <c r="AE96" s="39"/>
      <c r="AF96" s="40" t="str">
        <f aca="false">IF(OR(INDEX(Undirviðmið!$G$6:$G$105,(COLUMN()-7-1)/2+1)&lt;&gt;"Starfsbundið",AE96="",AE$8="",AE$7=""),"",ROUND(AE96/AE$8*AE$7*KVARDI,2))</f>
        <v/>
      </c>
      <c r="AG96" s="39"/>
      <c r="AH96" s="40" t="str">
        <f aca="false">IF(OR(INDEX(Undirviðmið!$G$6:$G$105,(COLUMN()-7-1)/2+1)&lt;&gt;"Starfsbundið",AG96="",AG$8="",AG$7=""),"",ROUND(AG96/AG$8*AG$7*KVARDI,2))</f>
        <v/>
      </c>
      <c r="AI96" s="39"/>
      <c r="AJ96" s="40" t="str">
        <f aca="false">IF(OR(INDEX(Undirviðmið!$G$6:$G$105,(COLUMN()-7-1)/2+1)&lt;&gt;"Starfsbundið",AI96="",AI$8="",AI$7=""),"",ROUND(AI96/AI$8*AI$7*KVARDI,2))</f>
        <v/>
      </c>
      <c r="AK96" s="39"/>
      <c r="AL96" s="40" t="str">
        <f aca="false">IF(OR(INDEX(Undirviðmið!$G$6:$G$105,(COLUMN()-7-1)/2+1)&lt;&gt;"Starfsbundið",AK96="",AK$8="",AK$7=""),"",ROUND(AK96/AK$8*AK$7*KVARDI,2))</f>
        <v/>
      </c>
      <c r="AM96" s="39"/>
      <c r="AN96" s="40" t="str">
        <f aca="false">IF(OR(INDEX(Undirviðmið!$G$6:$G$105,(COLUMN()-7-1)/2+1)&lt;&gt;"Starfsbundið",AM96="",AM$8="",AM$7=""),"",ROUND(AM96/AM$8*AM$7*KVARDI,2))</f>
        <v/>
      </c>
      <c r="AO96" s="39"/>
      <c r="AP96" s="40" t="str">
        <f aca="false">IF(OR(INDEX(Undirviðmið!$G$6:$G$105,(COLUMN()-7-1)/2+1)&lt;&gt;"Starfsbundið",AO96="",AO$8="",AO$7=""),"",ROUND(AO96/AO$8*AO$7*KVARDI,2))</f>
        <v/>
      </c>
      <c r="AQ96" s="39"/>
      <c r="AR96" s="40" t="str">
        <f aca="false">IF(OR(INDEX(Undirviðmið!$G$6:$G$105,(COLUMN()-7-1)/2+1)&lt;&gt;"Starfsbundið",AQ96="",AQ$8="",AQ$7=""),"",ROUND(AQ96/AQ$8*AQ$7*KVARDI,2))</f>
        <v/>
      </c>
      <c r="AS96" s="39"/>
      <c r="AT96" s="40" t="str">
        <f aca="false">IF(OR(INDEX(Undirviðmið!$G$6:$G$105,(COLUMN()-7-1)/2+1)&lt;&gt;"Starfsbundið",AS96="",AS$8="",AS$7=""),"",ROUND(AS96/AS$8*AS$7*KVARDI,2))</f>
        <v/>
      </c>
      <c r="AU96" s="39"/>
      <c r="AV96" s="40" t="str">
        <f aca="false">IF(OR(INDEX(Undirviðmið!$G$6:$G$105,(COLUMN()-7-1)/2+1)&lt;&gt;"Starfsbundið",AU96="",AU$8="",AU$7=""),"",ROUND(AU96/AU$8*AU$7*KVARDI,2))</f>
        <v/>
      </c>
      <c r="AW96" s="39"/>
      <c r="AX96" s="40" t="str">
        <f aca="false">IF(OR(INDEX(Undirviðmið!$G$6:$G$105,(COLUMN()-7-1)/2+1)&lt;&gt;"Starfsbundið",AW96="",AW$8="",AW$7=""),"",ROUND(AW96/AW$8*AW$7*KVARDI,2))</f>
        <v/>
      </c>
      <c r="AY96" s="39"/>
      <c r="AZ96" s="40" t="str">
        <f aca="false">IF(OR(INDEX(Undirviðmið!$G$6:$G$105,(COLUMN()-7-1)/2+1)&lt;&gt;"Starfsbundið",AY96="",AY$8="",AY$7=""),"",ROUND(AY96/AY$8*AY$7*KVARDI,2))</f>
        <v/>
      </c>
      <c r="BA96" s="39"/>
      <c r="BB96" s="40" t="str">
        <f aca="false">IF(OR(INDEX(Undirviðmið!$G$6:$G$105,(COLUMN()-7-1)/2+1)&lt;&gt;"Starfsbundið",BA96="",BA$8="",BA$7=""),"",ROUND(BA96/BA$8*BA$7*KVARDI,2))</f>
        <v/>
      </c>
      <c r="BC96" s="39"/>
      <c r="BD96" s="40" t="str">
        <f aca="false">IF(OR(INDEX(Undirviðmið!$G$6:$G$105,(COLUMN()-7-1)/2+1)&lt;&gt;"Starfsbundið",BC96="",BC$8="",BC$7=""),"",ROUND(BC96/BC$8*BC$7*KVARDI,2))</f>
        <v/>
      </c>
      <c r="BE96" s="39"/>
      <c r="BF96" s="40" t="str">
        <f aca="false">IF(OR(INDEX(Undirviðmið!$G$6:$G$105,(COLUMN()-7-1)/2+1)&lt;&gt;"Starfsbundið",BE96="",BE$8="",BE$7=""),"",ROUND(BE96/BE$8*BE$7*KVARDI,2))</f>
        <v/>
      </c>
      <c r="BG96" s="39"/>
      <c r="BH96" s="40" t="str">
        <f aca="false">IF(OR(INDEX(Undirviðmið!$G$6:$G$105,(COLUMN()-7-1)/2+1)&lt;&gt;"Starfsbundið",BG96="",BG$8="",BG$7=""),"",ROUND(BG96/BG$8*BG$7*KVARDI,2))</f>
        <v/>
      </c>
      <c r="BI96" s="39"/>
      <c r="BJ96" s="40" t="str">
        <f aca="false">IF(OR(INDEX(Undirviðmið!$G$6:$G$105,(COLUMN()-7-1)/2+1)&lt;&gt;"Starfsbundið",BI96="",BI$8="",BI$7=""),"",ROUND(BI96/BI$8*BI$7*KVARDI,2))</f>
        <v/>
      </c>
      <c r="BK96" s="39"/>
      <c r="BL96" s="40" t="str">
        <f aca="false">IF(OR(INDEX(Undirviðmið!$G$6:$G$105,(COLUMN()-7-1)/2+1)&lt;&gt;"Starfsbundið",BK96="",BK$8="",BK$7=""),"",ROUND(BK96/BK$8*BK$7*KVARDI,2))</f>
        <v/>
      </c>
      <c r="BM96" s="39"/>
      <c r="BN96" s="40" t="str">
        <f aca="false">IF(OR(INDEX(Undirviðmið!$G$6:$G$105,(COLUMN()-7-1)/2+1)&lt;&gt;"Starfsbundið",BM96="",BM$8="",BM$7=""),"",ROUND(BM96/BM$8*BM$7*KVARDI,2))</f>
        <v/>
      </c>
      <c r="BO96" s="39"/>
      <c r="BP96" s="40" t="str">
        <f aca="false">IF(OR(INDEX(Undirviðmið!$G$6:$G$105,(COLUMN()-7-1)/2+1)&lt;&gt;"Starfsbundið",BO96="",BO$8="",BO$7=""),"",ROUND(BO96/BO$8*BO$7*KVARDI,2))</f>
        <v/>
      </c>
      <c r="BQ96" s="39"/>
      <c r="BR96" s="40" t="str">
        <f aca="false">IF(OR(INDEX(Undirviðmið!$G$6:$G$105,(COLUMN()-7-1)/2+1)&lt;&gt;"Starfsbundið",BQ96="",BQ$8="",BQ$7=""),"",ROUND(BQ96/BQ$8*BQ$7*KVARDI,2))</f>
        <v/>
      </c>
      <c r="BS96" s="39"/>
      <c r="BT96" s="40" t="str">
        <f aca="false">IF(OR(INDEX(Undirviðmið!$G$6:$G$105,(COLUMN()-7-1)/2+1)&lt;&gt;"Starfsbundið",BS96="",BS$8="",BS$7=""),"",ROUND(BS96/BS$8*BS$7*KVARDI,2))</f>
        <v/>
      </c>
      <c r="BU96" s="39"/>
      <c r="BV96" s="40" t="str">
        <f aca="false">IF(OR(INDEX(Undirviðmið!$G$6:$G$105,(COLUMN()-7-1)/2+1)&lt;&gt;"Starfsbundið",BU96="",BU$8="",BU$7=""),"",ROUND(BU96/BU$8*BU$7*KVARDI,2))</f>
        <v/>
      </c>
      <c r="BW96" s="39"/>
      <c r="BX96" s="40" t="str">
        <f aca="false">IF(OR(INDEX(Undirviðmið!$G$6:$G$105,(COLUMN()-7-1)/2+1)&lt;&gt;"Starfsbundið",BW96="",BW$8="",BW$7=""),"",ROUND(BW96/BW$8*BW$7*KVARDI,2))</f>
        <v/>
      </c>
      <c r="BY96" s="39"/>
      <c r="BZ96" s="40" t="str">
        <f aca="false">IF(OR(INDEX(Undirviðmið!$G$6:$G$105,(COLUMN()-7-1)/2+1)&lt;&gt;"Starfsbundið",BY96="",BY$8="",BY$7=""),"",ROUND(BY96/BY$8*BY$7*KVARDI,2))</f>
        <v/>
      </c>
      <c r="CA96" s="39"/>
      <c r="CB96" s="40" t="str">
        <f aca="false">IF(OR(INDEX(Undirviðmið!$G$6:$G$105,(COLUMN()-7-1)/2+1)&lt;&gt;"Starfsbundið",CA96="",CA$8="",CA$7=""),"",ROUND(CA96/CA$8*CA$7*KVARDI,2))</f>
        <v/>
      </c>
      <c r="CC96" s="39"/>
      <c r="CD96" s="40" t="str">
        <f aca="false">IF(OR(INDEX(Undirviðmið!$G$6:$G$105,(COLUMN()-7-1)/2+1)&lt;&gt;"Starfsbundið",CC96="",CC$8="",CC$7=""),"",ROUND(CC96/CC$8*CC$7*KVARDI,2))</f>
        <v/>
      </c>
      <c r="CE96" s="39"/>
      <c r="CF96" s="40" t="str">
        <f aca="false">IF(OR(INDEX(Undirviðmið!$G$6:$G$105,(COLUMN()-7-1)/2+1)&lt;&gt;"Starfsbundið",CE96="",CE$8="",CE$7=""),"",ROUND(CE96/CE$8*CE$7*KVARDI,2))</f>
        <v/>
      </c>
      <c r="CG96" s="39"/>
      <c r="CH96" s="40" t="str">
        <f aca="false">IF(OR(INDEX(Undirviðmið!$G$6:$G$105,(COLUMN()-7-1)/2+1)&lt;&gt;"Starfsbundið",CG96="",CG$8="",CG$7=""),"",ROUND(CG96/CG$8*CG$7*KVARDI,2))</f>
        <v/>
      </c>
      <c r="CI96" s="39"/>
      <c r="CJ96" s="40" t="str">
        <f aca="false">IF(OR(INDEX(Undirviðmið!$G$6:$G$105,(COLUMN()-7-1)/2+1)&lt;&gt;"Starfsbundið",CI96="",CI$8="",CI$7=""),"",ROUND(CI96/CI$8*CI$7*KVARDI,2))</f>
        <v/>
      </c>
      <c r="CK96" s="39"/>
      <c r="CL96" s="40" t="str">
        <f aca="false">IF(OR(INDEX(Undirviðmið!$G$6:$G$105,(COLUMN()-7-1)/2+1)&lt;&gt;"Starfsbundið",CK96="",CK$8="",CK$7=""),"",ROUND(CK96/CK$8*CK$7*KVARDI,2))</f>
        <v/>
      </c>
      <c r="CM96" s="39"/>
      <c r="CN96" s="40" t="str">
        <f aca="false">IF(OR(INDEX(Undirviðmið!$G$6:$G$105,(COLUMN()-7-1)/2+1)&lt;&gt;"Starfsbundið",CM96="",CM$8="",CM$7=""),"",ROUND(CM96/CM$8*CM$7*KVARDI,2))</f>
        <v/>
      </c>
      <c r="CO96" s="39"/>
      <c r="CP96" s="40" t="str">
        <f aca="false">IF(OR(INDEX(Undirviðmið!$G$6:$G$105,(COLUMN()-7-1)/2+1)&lt;&gt;"Starfsbundið",CO96="",CO$8="",CO$7=""),"",ROUND(CO96/CO$8*CO$7*KVARDI,2))</f>
        <v/>
      </c>
      <c r="CQ96" s="39"/>
      <c r="CR96" s="40" t="str">
        <f aca="false">IF(OR(INDEX(Undirviðmið!$G$6:$G$105,(COLUMN()-7-1)/2+1)&lt;&gt;"Starfsbundið",CQ96="",CQ$8="",CQ$7=""),"",ROUND(CQ96/CQ$8*CQ$7*KVARDI,2))</f>
        <v/>
      </c>
      <c r="CS96" s="39"/>
      <c r="CT96" s="40" t="str">
        <f aca="false">IF(OR(INDEX(Undirviðmið!$G$6:$G$105,(COLUMN()-7-1)/2+1)&lt;&gt;"Starfsbundið",CS96="",CS$8="",CS$7=""),"",ROUND(CS96/CS$8*CS$7*KVARDI,2))</f>
        <v/>
      </c>
      <c r="CU96" s="39"/>
      <c r="CV96" s="40" t="str">
        <f aca="false">IF(OR(INDEX(Undirviðmið!$G$6:$G$105,(COLUMN()-7-1)/2+1)&lt;&gt;"Starfsbundið",CU96="",CU$8="",CU$7=""),"",ROUND(CU96/CU$8*CU$7*KVARDI,2))</f>
        <v/>
      </c>
      <c r="CW96" s="39"/>
      <c r="CX96" s="40" t="str">
        <f aca="false">IF(OR(INDEX(Undirviðmið!$G$6:$G$105,(COLUMN()-7-1)/2+1)&lt;&gt;"Starfsbundið",CW96="",CW$8="",CW$7=""),"",ROUND(CW96/CW$8*CW$7*KVARDI,2))</f>
        <v/>
      </c>
      <c r="CY96" s="39"/>
      <c r="CZ96" s="40" t="str">
        <f aca="false">IF(OR(INDEX(Undirviðmið!$G$6:$G$105,(COLUMN()-7-1)/2+1)&lt;&gt;"Starfsbundið",CY96="",CY$8="",CY$7=""),"",ROUND(CY96/CY$8*CY$7*KVARDI,2))</f>
        <v/>
      </c>
      <c r="DA96" s="39"/>
      <c r="DB96" s="40" t="str">
        <f aca="false">IF(OR(INDEX(Undirviðmið!$G$6:$G$105,(COLUMN()-7-1)/2+1)&lt;&gt;"Starfsbundið",DA96="",DA$8="",DA$7=""),"",ROUND(DA96/DA$8*DA$7*KVARDI,2))</f>
        <v/>
      </c>
      <c r="DC96" s="39"/>
      <c r="DD96" s="40" t="str">
        <f aca="false">IF(OR(INDEX(Undirviðmið!$G$6:$G$105,(COLUMN()-7-1)/2+1)&lt;&gt;"Starfsbundið",DC96="",DC$8="",DC$7=""),"",ROUND(DC96/DC$8*DC$7*KVARDI,2))</f>
        <v/>
      </c>
      <c r="DE96" s="39"/>
      <c r="DF96" s="40" t="str">
        <f aca="false">IF(OR(INDEX(Undirviðmið!$G$6:$G$105,(COLUMN()-7-1)/2+1)&lt;&gt;"Starfsbundið",DE96="",DE$8="",DE$7=""),"",ROUND(DE96/DE$8*DE$7*KVARDI,2))</f>
        <v/>
      </c>
      <c r="DG96" s="39"/>
      <c r="DH96" s="40" t="str">
        <f aca="false">IF(OR(INDEX(Undirviðmið!$G$6:$G$105,(COLUMN()-7-1)/2+1)&lt;&gt;"Starfsbundið",DG96="",DG$8="",DG$7=""),"",ROUND(DG96/DG$8*DG$7*KVARDI,2))</f>
        <v/>
      </c>
      <c r="DI96" s="39"/>
      <c r="DJ96" s="40" t="str">
        <f aca="false">IF(OR(INDEX(Undirviðmið!$G$6:$G$105,(COLUMN()-7-1)/2+1)&lt;&gt;"Starfsbundið",DI96="",DI$8="",DI$7=""),"",ROUND(DI96/DI$8*DI$7*KVARDI,2))</f>
        <v/>
      </c>
      <c r="DK96" s="39"/>
      <c r="DL96" s="40" t="str">
        <f aca="false">IF(OR(INDEX(Undirviðmið!$G$6:$G$105,(COLUMN()-7-1)/2+1)&lt;&gt;"Starfsbundið",DK96="",DK$8="",DK$7=""),"",ROUND(DK96/DK$8*DK$7*KVARDI,2))</f>
        <v/>
      </c>
      <c r="DM96" s="39"/>
      <c r="DN96" s="40" t="str">
        <f aca="false">IF(OR(INDEX(Undirviðmið!$G$6:$G$105,(COLUMN()-7-1)/2+1)&lt;&gt;"Starfsbundið",DM96="",DM$8="",DM$7=""),"",ROUND(DM96/DM$8*DM$7*KVARDI,2))</f>
        <v/>
      </c>
      <c r="DO96" s="39"/>
      <c r="DP96" s="40" t="str">
        <f aca="false">IF(OR(INDEX(Undirviðmið!$G$6:$G$105,(COLUMN()-7-1)/2+1)&lt;&gt;"Starfsbundið",DO96="",DO$8="",DO$7=""),"",ROUND(DO96/DO$8*DO$7*KVARDI,2))</f>
        <v/>
      </c>
      <c r="DQ96" s="39"/>
      <c r="DR96" s="40" t="str">
        <f aca="false">IF(OR(INDEX(Undirviðmið!$G$6:$G$105,(COLUMN()-7-1)/2+1)&lt;&gt;"Starfsbundið",DQ96="",DQ$8="",DQ$7=""),"",ROUND(DQ96/DQ$8*DQ$7*KVARDI,2))</f>
        <v/>
      </c>
      <c r="DS96" s="39"/>
      <c r="DT96" s="40" t="str">
        <f aca="false">IF(OR(INDEX(Undirviðmið!$G$6:$G$105,(COLUMN()-7-1)/2+1)&lt;&gt;"Starfsbundið",DS96="",DS$8="",DS$7=""),"",ROUND(DS96/DS$8*DS$7*KVARDI,2))</f>
        <v/>
      </c>
      <c r="DU96" s="39"/>
      <c r="DV96" s="40" t="str">
        <f aca="false">IF(OR(INDEX(Undirviðmið!$G$6:$G$105,(COLUMN()-7-1)/2+1)&lt;&gt;"Starfsbundið",DU96="",DU$8="",DU$7=""),"",ROUND(DU96/DU$8*DU$7*KVARDI,2))</f>
        <v/>
      </c>
      <c r="DW96" s="39"/>
      <c r="DX96" s="40" t="str">
        <f aca="false">IF(OR(INDEX(Undirviðmið!$G$6:$G$105,(COLUMN()-7-1)/2+1)&lt;&gt;"Starfsbundið",DW96="",DW$8="",DW$7=""),"",ROUND(DW96/DW$8*DW$7*KVARDI,2))</f>
        <v/>
      </c>
      <c r="DY96" s="39"/>
      <c r="DZ96" s="40" t="str">
        <f aca="false">IF(OR(INDEX(Undirviðmið!$G$6:$G$105,(COLUMN()-7-1)/2+1)&lt;&gt;"Starfsbundið",DY96="",DY$8="",DY$7=""),"",ROUND(DY96/DY$8*DY$7*KVARDI,2))</f>
        <v/>
      </c>
      <c r="EA96" s="39"/>
      <c r="EB96" s="40" t="str">
        <f aca="false">IF(OR(INDEX(Undirviðmið!$G$6:$G$105,(COLUMN()-7-1)/2+1)&lt;&gt;"Starfsbundið",EA96="",EA$8="",EA$7=""),"",ROUND(EA96/EA$8*EA$7*KVARDI,2))</f>
        <v/>
      </c>
      <c r="EC96" s="39"/>
      <c r="ED96" s="40" t="str">
        <f aca="false">IF(OR(INDEX(Undirviðmið!$G$6:$G$105,(COLUMN()-7-1)/2+1)&lt;&gt;"Starfsbundið",EC96="",EC$8="",EC$7=""),"",ROUND(EC96/EC$8*EC$7*KVARDI,2))</f>
        <v/>
      </c>
      <c r="EE96" s="39"/>
      <c r="EF96" s="40" t="str">
        <f aca="false">IF(OR(INDEX(Undirviðmið!$G$6:$G$105,(COLUMN()-7-1)/2+1)&lt;&gt;"Starfsbundið",EE96="",EE$8="",EE$7=""),"",ROUND(EE96/EE$8*EE$7*KVARDI,2))</f>
        <v/>
      </c>
      <c r="EG96" s="39"/>
      <c r="EH96" s="40" t="str">
        <f aca="false">IF(OR(INDEX(Undirviðmið!$G$6:$G$105,(COLUMN()-7-1)/2+1)&lt;&gt;"Starfsbundið",EG96="",EG$8="",EG$7=""),"",ROUND(EG96/EG$8*EG$7*KVARDI,2))</f>
        <v/>
      </c>
      <c r="EI96" s="39"/>
      <c r="EJ96" s="40" t="str">
        <f aca="false">IF(OR(INDEX(Undirviðmið!$G$6:$G$105,(COLUMN()-7-1)/2+1)&lt;&gt;"Starfsbundið",EI96="",EI$8="",EI$7=""),"",ROUND(EI96/EI$8*EI$7*KVARDI,2))</f>
        <v/>
      </c>
      <c r="EK96" s="39"/>
      <c r="EL96" s="40" t="str">
        <f aca="false">IF(OR(INDEX(Undirviðmið!$G$6:$G$105,(COLUMN()-7-1)/2+1)&lt;&gt;"Starfsbundið",EK96="",EK$8="",EK$7=""),"",ROUND(EK96/EK$8*EK$7*KVARDI,2))</f>
        <v/>
      </c>
      <c r="EM96" s="39"/>
      <c r="EN96" s="40" t="str">
        <f aca="false">IF(OR(INDEX(Undirviðmið!$G$6:$G$105,(COLUMN()-7-1)/2+1)&lt;&gt;"Starfsbundið",EM96="",EM$8="",EM$7=""),"",ROUND(EM96/EM$8*EM$7*KVARDI,2))</f>
        <v/>
      </c>
      <c r="EO96" s="39"/>
      <c r="EP96" s="40" t="str">
        <f aca="false">IF(OR(INDEX(Undirviðmið!$G$6:$G$105,(COLUMN()-7-1)/2+1)&lt;&gt;"Starfsbundið",EO96="",EO$8="",EO$7=""),"",ROUND(EO96/EO$8*EO$7*KVARDI,2))</f>
        <v/>
      </c>
      <c r="EQ96" s="39"/>
      <c r="ER96" s="40" t="str">
        <f aca="false">IF(OR(INDEX(Undirviðmið!$G$6:$G$105,(COLUMN()-7-1)/2+1)&lt;&gt;"Starfsbundið",EQ96="",EQ$8="",EQ$7=""),"",ROUND(EQ96/EQ$8*EQ$7*KVARDI,2))</f>
        <v/>
      </c>
      <c r="ES96" s="39"/>
      <c r="ET96" s="40" t="str">
        <f aca="false">IF(OR(INDEX(Undirviðmið!$G$6:$G$105,(COLUMN()-7-1)/2+1)&lt;&gt;"Starfsbundið",ES96="",ES$8="",ES$7=""),"",ROUND(ES96/ES$8*ES$7*KVARDI,2))</f>
        <v/>
      </c>
      <c r="EU96" s="39"/>
      <c r="EV96" s="40" t="str">
        <f aca="false">IF(OR(INDEX(Undirviðmið!$G$6:$G$105,(COLUMN()-7-1)/2+1)&lt;&gt;"Starfsbundið",EU96="",EU$8="",EU$7=""),"",ROUND(EU96/EU$8*EU$7*KVARDI,2))</f>
        <v/>
      </c>
      <c r="EW96" s="39"/>
      <c r="EX96" s="40" t="str">
        <f aca="false">IF(OR(INDEX(Undirviðmið!$G$6:$G$105,(COLUMN()-7-1)/2+1)&lt;&gt;"Starfsbundið",EW96="",EW$8="",EW$7=""),"",ROUND(EW96/EW$8*EW$7*KVARDI,2))</f>
        <v/>
      </c>
      <c r="EY96" s="39"/>
      <c r="EZ96" s="40" t="str">
        <f aca="false">IF(OR(INDEX(Undirviðmið!$G$6:$G$105,(COLUMN()-7-1)/2+1)&lt;&gt;"Starfsbundið",EY96="",EY$8="",EY$7=""),"",ROUND(EY96/EY$8*EY$7*KVARDI,2))</f>
        <v/>
      </c>
      <c r="FA96" s="39"/>
      <c r="FB96" s="40" t="str">
        <f aca="false">IF(OR(INDEX(Undirviðmið!$G$6:$G$105,(COLUMN()-7-1)/2+1)&lt;&gt;"Starfsbundið",FA96="",FA$8="",FA$7=""),"",ROUND(FA96/FA$8*FA$7*KVARDI,2))</f>
        <v/>
      </c>
      <c r="FC96" s="39"/>
      <c r="FD96" s="40" t="str">
        <f aca="false">IF(OR(INDEX(Undirviðmið!$G$6:$G$105,(COLUMN()-7-1)/2+1)&lt;&gt;"Starfsbundið",FC96="",FC$8="",FC$7=""),"",ROUND(FC96/FC$8*FC$7*KVARDI,2))</f>
        <v/>
      </c>
      <c r="FE96" s="39"/>
      <c r="FF96" s="40" t="str">
        <f aca="false">IF(OR(INDEX(Undirviðmið!$G$6:$G$105,(COLUMN()-7-1)/2+1)&lt;&gt;"Starfsbundið",FE96="",FE$8="",FE$7=""),"",ROUND(FE96/FE$8*FE$7*KVARDI,2))</f>
        <v/>
      </c>
      <c r="FG96" s="39"/>
      <c r="FH96" s="40" t="str">
        <f aca="false">IF(OR(INDEX(Undirviðmið!$G$6:$G$105,(COLUMN()-7-1)/2+1)&lt;&gt;"Starfsbundið",FG96="",FG$8="",FG$7=""),"",ROUND(FG96/FG$8*FG$7*KVARDI,2))</f>
        <v/>
      </c>
      <c r="FI96" s="39"/>
      <c r="FJ96" s="40" t="str">
        <f aca="false">IF(OR(INDEX(Undirviðmið!$G$6:$G$105,(COLUMN()-7-1)/2+1)&lt;&gt;"Starfsbundið",FI96="",FI$8="",FI$7=""),"",ROUND(FI96/FI$8*FI$7*KVARDI,2))</f>
        <v/>
      </c>
      <c r="FK96" s="39"/>
      <c r="FL96" s="40" t="str">
        <f aca="false">IF(OR(INDEX(Undirviðmið!$G$6:$G$105,(COLUMN()-7-1)/2+1)&lt;&gt;"Starfsbundið",FK96="",FK$8="",FK$7=""),"",ROUND(FK96/FK$8*FK$7*KVARDI,2))</f>
        <v/>
      </c>
      <c r="FM96" s="39"/>
      <c r="FN96" s="40" t="str">
        <f aca="false">IF(OR(INDEX(Undirviðmið!$G$6:$G$105,(COLUMN()-7-1)/2+1)&lt;&gt;"Starfsbundið",FM96="",FM$8="",FM$7=""),"",ROUND(FM96/FM$8*FM$7*KVARDI,2))</f>
        <v/>
      </c>
      <c r="FO96" s="39"/>
      <c r="FP96" s="40" t="str">
        <f aca="false">IF(OR(INDEX(Undirviðmið!$G$6:$G$105,(COLUMN()-7-1)/2+1)&lt;&gt;"Starfsbundið",FO96="",FO$8="",FO$7=""),"",ROUND(FO96/FO$8*FO$7*KVARDI,2))</f>
        <v/>
      </c>
      <c r="FQ96" s="39"/>
      <c r="FR96" s="40" t="str">
        <f aca="false">IF(OR(INDEX(Undirviðmið!$G$6:$G$105,(COLUMN()-7-1)/2+1)&lt;&gt;"Starfsbundið",FQ96="",FQ$8="",FQ$7=""),"",ROUND(FQ96/FQ$8*FQ$7*KVARDI,2))</f>
        <v/>
      </c>
      <c r="FS96" s="39"/>
      <c r="FT96" s="40" t="str">
        <f aca="false">IF(OR(INDEX(Undirviðmið!$G$6:$G$105,(COLUMN()-7-1)/2+1)&lt;&gt;"Starfsbundið",FS96="",FS$8="",FS$7=""),"",ROUND(FS96/FS$8*FS$7*KVARDI,2))</f>
        <v/>
      </c>
      <c r="FU96" s="39"/>
      <c r="FV96" s="40" t="str">
        <f aca="false">IF(OR(INDEX(Undirviðmið!$G$6:$G$105,(COLUMN()-7-1)/2+1)&lt;&gt;"Starfsbundið",FU96="",FU$8="",FU$7=""),"",ROUND(FU96/FU$8*FU$7*KVARDI,2))</f>
        <v/>
      </c>
      <c r="FW96" s="39"/>
      <c r="FX96" s="40" t="str">
        <f aca="false">IF(OR(INDEX(Undirviðmið!$G$6:$G$105,(COLUMN()-7-1)/2+1)&lt;&gt;"Starfsbundið",FW96="",FW$8="",FW$7=""),"",ROUND(FW96/FW$8*FW$7*KVARDI,2))</f>
        <v/>
      </c>
      <c r="FY96" s="39"/>
      <c r="FZ96" s="40" t="str">
        <f aca="false">IF(OR(INDEX(Undirviðmið!$G$6:$G$105,(COLUMN()-7-1)/2+1)&lt;&gt;"Starfsbundið",FY96="",FY$8="",FY$7=""),"",ROUND(FY96/FY$8*FY$7*KVARDI,2))</f>
        <v/>
      </c>
      <c r="GA96" s="39"/>
      <c r="GB96" s="40" t="str">
        <f aca="false">IF(OR(INDEX(Undirviðmið!$G$6:$G$105,(COLUMN()-7-1)/2+1)&lt;&gt;"Starfsbundið",GA96="",GA$8="",GA$7=""),"",ROUND(GA96/GA$8*GA$7*KVARDI,2))</f>
        <v/>
      </c>
      <c r="GC96" s="39"/>
      <c r="GD96" s="40" t="str">
        <f aca="false">IF(OR(INDEX(Undirviðmið!$G$6:$G$105,(COLUMN()-7-1)/2+1)&lt;&gt;"Starfsbundið",GC96="",GC$8="",GC$7=""),"",ROUND(GC96/GC$8*GC$7*KVARDI,2))</f>
        <v/>
      </c>
      <c r="GE96" s="39"/>
      <c r="GF96" s="40" t="str">
        <f aca="false">IF(OR(INDEX(Undirviðmið!$G$6:$G$105,(COLUMN()-7-1)/2+1)&lt;&gt;"Starfsbundið",GE96="",GE$8="",GE$7=""),"",ROUND(GE96/GE$8*GE$7*KVARDI,2))</f>
        <v/>
      </c>
      <c r="GG96" s="39"/>
      <c r="GH96" s="40" t="str">
        <f aca="false">IF(OR(INDEX(Undirviðmið!$G$6:$G$105,(COLUMN()-7-1)/2+1)&lt;&gt;"Starfsbundið",GG96="",GG$8="",GG$7=""),"",ROUND(GG96/GG$8*GG$7*KVARDI,2))</f>
        <v/>
      </c>
      <c r="GI96" s="39"/>
      <c r="GJ96" s="40" t="str">
        <f aca="false">IF(OR(INDEX(Undirviðmið!$G$6:$G$105,(COLUMN()-7-1)/2+1)&lt;&gt;"Starfsbundið",GI96="",GI$8="",GI$7=""),"",ROUND(GI96/GI$8*GI$7*KVARDI,2))</f>
        <v/>
      </c>
      <c r="GK96" s="39"/>
      <c r="GL96" s="40" t="str">
        <f aca="false">IF(OR(INDEX(Undirviðmið!$G$6:$G$105,(COLUMN()-7-1)/2+1)&lt;&gt;"Starfsbundið",GK96="",GK$8="",GK$7=""),"",ROUND(GK96/GK$8*GK$7*KVARDI,2))</f>
        <v/>
      </c>
      <c r="GM96" s="39"/>
      <c r="GN96" s="40" t="str">
        <f aca="false">IF(OR(INDEX(Undirviðmið!$G$6:$G$105,(COLUMN()-7-1)/2+1)&lt;&gt;"Starfsbundið",GM96="",GM$8="",GM$7=""),"",ROUND(GM96/GM$8*GM$7*KVARDI,2))</f>
        <v/>
      </c>
      <c r="GO96" s="39"/>
      <c r="GP96" s="40" t="str">
        <f aca="false">IF(OR(INDEX(Undirviðmið!$G$6:$G$105,(COLUMN()-7-1)/2+1)&lt;&gt;"Starfsbundið",GO96="",GO$8="",GO$7=""),"",ROUND(GO96/GO$8*GO$7*KVARDI,2))</f>
        <v/>
      </c>
      <c r="GQ96" s="39"/>
      <c r="GR96" s="40" t="str">
        <f aca="false">IF(OR(INDEX(Undirviðmið!$G$6:$G$105,(COLUMN()-7-1)/2+1)&lt;&gt;"Starfsbundið",GQ96="",GQ$8="",GQ$7=""),"",ROUND(GQ96/GQ$8*GQ$7*KVARDI,2))</f>
        <v/>
      </c>
      <c r="GS96" s="39"/>
      <c r="GT96" s="40" t="str">
        <f aca="false">IF(OR(INDEX(Undirviðmið!$G$6:$G$105,(COLUMN()-7-1)/2+1)&lt;&gt;"Starfsbundið",GS96="",GS$8="",GS$7=""),"",ROUND(GS96/GS$8*GS$7*KVARDI,2))</f>
        <v/>
      </c>
      <c r="GU96" s="39"/>
      <c r="GV96" s="40" t="str">
        <f aca="false">IF(OR(INDEX(Undirviðmið!$G$6:$G$105,(COLUMN()-7-1)/2+1)&lt;&gt;"Starfsbundið",GU96="",GU$8="",GU$7=""),"",ROUND(GU96/GU$8*GU$7*KVARDI,2))</f>
        <v/>
      </c>
      <c r="GW96" s="39"/>
      <c r="GX96" s="40" t="str">
        <f aca="false">IF(OR(INDEX(Undirviðmið!$G$6:$G$105,(COLUMN()-7-1)/2+1)&lt;&gt;"Starfsbundið",GW96="",GW$8="",GW$7=""),"",ROUND(GW96/GW$8*GW$7*KVARDI,2))</f>
        <v/>
      </c>
      <c r="GZ96" s="20"/>
    </row>
    <row r="97" customFormat="false" ht="15" hidden="true" customHeight="true" outlineLevel="1" collapsed="false">
      <c r="B97" s="37" t="str">
        <f aca="false" t="array" ref="B97:B97">IFERROR(INDEX(Starfsmenn!$C$6:$C$10005,MATCH(0,COUNTIF($B$11:B96,Starfsmenn!$C$6:$C$10005)+(Starfsmenn!$C$6:$C$10005=""),0)),"")</f>
        <v/>
      </c>
      <c r="C97" s="38" t="n">
        <f aca="false">IFERROR(SUMIF($G$10:$GX$10,"Stig",$G97:$GX97),0)</f>
        <v>0</v>
      </c>
      <c r="G97" s="39"/>
      <c r="H97" s="40" t="str">
        <f aca="false">IF(OR(INDEX(Undirviðmið!$G$6:$G$105,(COLUMN()-7-1)/2+1)&lt;&gt;"Starfsbundið",G97="",G$8="",G$7=""),"",ROUND(G97/G$8*G$7*KVARDI,2))</f>
        <v/>
      </c>
      <c r="I97" s="39"/>
      <c r="J97" s="40" t="str">
        <f aca="false">IF(OR(INDEX(Undirviðmið!$G$6:$G$105,(COLUMN()-7-1)/2+1)&lt;&gt;"Starfsbundið",I97="",I$8="",I$7=""),"",ROUND(I97/I$8*I$7*KVARDI,2))</f>
        <v/>
      </c>
      <c r="K97" s="39"/>
      <c r="L97" s="40" t="str">
        <f aca="false">IF(OR(INDEX(Undirviðmið!$G$6:$G$105,(COLUMN()-7-1)/2+1)&lt;&gt;"Starfsbundið",K97="",K$8="",K$7=""),"",ROUND(K97/K$8*K$7*KVARDI,2))</f>
        <v/>
      </c>
      <c r="M97" s="39"/>
      <c r="N97" s="40" t="str">
        <f aca="false">IF(OR(INDEX(Undirviðmið!$G$6:$G$105,(COLUMN()-7-1)/2+1)&lt;&gt;"Starfsbundið",M97="",M$8="",M$7=""),"",ROUND(M97/M$8*M$7*KVARDI,2))</f>
        <v/>
      </c>
      <c r="O97" s="39"/>
      <c r="P97" s="40" t="str">
        <f aca="false">IF(OR(INDEX(Undirviðmið!$G$6:$G$105,(COLUMN()-7-1)/2+1)&lt;&gt;"Starfsbundið",O97="",O$8="",O$7=""),"",ROUND(O97/O$8*O$7*KVARDI,2))</f>
        <v/>
      </c>
      <c r="Q97" s="39"/>
      <c r="R97" s="40" t="str">
        <f aca="false">IF(OR(INDEX(Undirviðmið!$G$6:$G$105,(COLUMN()-7-1)/2+1)&lt;&gt;"Starfsbundið",Q97="",Q$8="",Q$7=""),"",ROUND(Q97/Q$8*Q$7*KVARDI,2))</f>
        <v/>
      </c>
      <c r="S97" s="39"/>
      <c r="T97" s="40" t="str">
        <f aca="false">IF(OR(INDEX(Undirviðmið!$G$6:$G$105,(COLUMN()-7-1)/2+1)&lt;&gt;"Starfsbundið",S97="",S$8="",S$7=""),"",ROUND(S97/S$8*S$7*KVARDI,2))</f>
        <v/>
      </c>
      <c r="U97" s="39"/>
      <c r="V97" s="40" t="str">
        <f aca="false">IF(OR(INDEX(Undirviðmið!$G$6:$G$105,(COLUMN()-7-1)/2+1)&lt;&gt;"Starfsbundið",U97="",U$8="",U$7=""),"",ROUND(U97/U$8*U$7*KVARDI,2))</f>
        <v/>
      </c>
      <c r="W97" s="39"/>
      <c r="X97" s="40" t="str">
        <f aca="false">IF(OR(INDEX(Undirviðmið!$G$6:$G$105,(COLUMN()-7-1)/2+1)&lt;&gt;"Starfsbundið",W97="",W$8="",W$7=""),"",ROUND(W97/W$8*W$7*KVARDI,2))</f>
        <v/>
      </c>
      <c r="Y97" s="39"/>
      <c r="Z97" s="40" t="str">
        <f aca="false">IF(OR(INDEX(Undirviðmið!$G$6:$G$105,(COLUMN()-7-1)/2+1)&lt;&gt;"Starfsbundið",Y97="",Y$8="",Y$7=""),"",ROUND(Y97/Y$8*Y$7*KVARDI,2))</f>
        <v/>
      </c>
      <c r="AA97" s="39"/>
      <c r="AB97" s="40" t="str">
        <f aca="false">IF(OR(INDEX(Undirviðmið!$G$6:$G$105,(COLUMN()-7-1)/2+1)&lt;&gt;"Starfsbundið",AA97="",AA$8="",AA$7=""),"",ROUND(AA97/AA$8*AA$7*KVARDI,2))</f>
        <v/>
      </c>
      <c r="AC97" s="39"/>
      <c r="AD97" s="40" t="str">
        <f aca="false">IF(OR(INDEX(Undirviðmið!$G$6:$G$105,(COLUMN()-7-1)/2+1)&lt;&gt;"Starfsbundið",AC97="",AC$8="",AC$7=""),"",ROUND(AC97/AC$8*AC$7*KVARDI,2))</f>
        <v/>
      </c>
      <c r="AE97" s="39"/>
      <c r="AF97" s="40" t="str">
        <f aca="false">IF(OR(INDEX(Undirviðmið!$G$6:$G$105,(COLUMN()-7-1)/2+1)&lt;&gt;"Starfsbundið",AE97="",AE$8="",AE$7=""),"",ROUND(AE97/AE$8*AE$7*KVARDI,2))</f>
        <v/>
      </c>
      <c r="AG97" s="39"/>
      <c r="AH97" s="40" t="str">
        <f aca="false">IF(OR(INDEX(Undirviðmið!$G$6:$G$105,(COLUMN()-7-1)/2+1)&lt;&gt;"Starfsbundið",AG97="",AG$8="",AG$7=""),"",ROUND(AG97/AG$8*AG$7*KVARDI,2))</f>
        <v/>
      </c>
      <c r="AI97" s="39"/>
      <c r="AJ97" s="40" t="str">
        <f aca="false">IF(OR(INDEX(Undirviðmið!$G$6:$G$105,(COLUMN()-7-1)/2+1)&lt;&gt;"Starfsbundið",AI97="",AI$8="",AI$7=""),"",ROUND(AI97/AI$8*AI$7*KVARDI,2))</f>
        <v/>
      </c>
      <c r="AK97" s="39"/>
      <c r="AL97" s="40" t="str">
        <f aca="false">IF(OR(INDEX(Undirviðmið!$G$6:$G$105,(COLUMN()-7-1)/2+1)&lt;&gt;"Starfsbundið",AK97="",AK$8="",AK$7=""),"",ROUND(AK97/AK$8*AK$7*KVARDI,2))</f>
        <v/>
      </c>
      <c r="AM97" s="39"/>
      <c r="AN97" s="40" t="str">
        <f aca="false">IF(OR(INDEX(Undirviðmið!$G$6:$G$105,(COLUMN()-7-1)/2+1)&lt;&gt;"Starfsbundið",AM97="",AM$8="",AM$7=""),"",ROUND(AM97/AM$8*AM$7*KVARDI,2))</f>
        <v/>
      </c>
      <c r="AO97" s="39"/>
      <c r="AP97" s="40" t="str">
        <f aca="false">IF(OR(INDEX(Undirviðmið!$G$6:$G$105,(COLUMN()-7-1)/2+1)&lt;&gt;"Starfsbundið",AO97="",AO$8="",AO$7=""),"",ROUND(AO97/AO$8*AO$7*KVARDI,2))</f>
        <v/>
      </c>
      <c r="AQ97" s="39"/>
      <c r="AR97" s="40" t="str">
        <f aca="false">IF(OR(INDEX(Undirviðmið!$G$6:$G$105,(COLUMN()-7-1)/2+1)&lt;&gt;"Starfsbundið",AQ97="",AQ$8="",AQ$7=""),"",ROUND(AQ97/AQ$8*AQ$7*KVARDI,2))</f>
        <v/>
      </c>
      <c r="AS97" s="39"/>
      <c r="AT97" s="40" t="str">
        <f aca="false">IF(OR(INDEX(Undirviðmið!$G$6:$G$105,(COLUMN()-7-1)/2+1)&lt;&gt;"Starfsbundið",AS97="",AS$8="",AS$7=""),"",ROUND(AS97/AS$8*AS$7*KVARDI,2))</f>
        <v/>
      </c>
      <c r="AU97" s="39"/>
      <c r="AV97" s="40" t="str">
        <f aca="false">IF(OR(INDEX(Undirviðmið!$G$6:$G$105,(COLUMN()-7-1)/2+1)&lt;&gt;"Starfsbundið",AU97="",AU$8="",AU$7=""),"",ROUND(AU97/AU$8*AU$7*KVARDI,2))</f>
        <v/>
      </c>
      <c r="AW97" s="39"/>
      <c r="AX97" s="40" t="str">
        <f aca="false">IF(OR(INDEX(Undirviðmið!$G$6:$G$105,(COLUMN()-7-1)/2+1)&lt;&gt;"Starfsbundið",AW97="",AW$8="",AW$7=""),"",ROUND(AW97/AW$8*AW$7*KVARDI,2))</f>
        <v/>
      </c>
      <c r="AY97" s="39"/>
      <c r="AZ97" s="40" t="str">
        <f aca="false">IF(OR(INDEX(Undirviðmið!$G$6:$G$105,(COLUMN()-7-1)/2+1)&lt;&gt;"Starfsbundið",AY97="",AY$8="",AY$7=""),"",ROUND(AY97/AY$8*AY$7*KVARDI,2))</f>
        <v/>
      </c>
      <c r="BA97" s="39"/>
      <c r="BB97" s="40" t="str">
        <f aca="false">IF(OR(INDEX(Undirviðmið!$G$6:$G$105,(COLUMN()-7-1)/2+1)&lt;&gt;"Starfsbundið",BA97="",BA$8="",BA$7=""),"",ROUND(BA97/BA$8*BA$7*KVARDI,2))</f>
        <v/>
      </c>
      <c r="BC97" s="39"/>
      <c r="BD97" s="40" t="str">
        <f aca="false">IF(OR(INDEX(Undirviðmið!$G$6:$G$105,(COLUMN()-7-1)/2+1)&lt;&gt;"Starfsbundið",BC97="",BC$8="",BC$7=""),"",ROUND(BC97/BC$8*BC$7*KVARDI,2))</f>
        <v/>
      </c>
      <c r="BE97" s="39"/>
      <c r="BF97" s="40" t="str">
        <f aca="false">IF(OR(INDEX(Undirviðmið!$G$6:$G$105,(COLUMN()-7-1)/2+1)&lt;&gt;"Starfsbundið",BE97="",BE$8="",BE$7=""),"",ROUND(BE97/BE$8*BE$7*KVARDI,2))</f>
        <v/>
      </c>
      <c r="BG97" s="39"/>
      <c r="BH97" s="40" t="str">
        <f aca="false">IF(OR(INDEX(Undirviðmið!$G$6:$G$105,(COLUMN()-7-1)/2+1)&lt;&gt;"Starfsbundið",BG97="",BG$8="",BG$7=""),"",ROUND(BG97/BG$8*BG$7*KVARDI,2))</f>
        <v/>
      </c>
      <c r="BI97" s="39"/>
      <c r="BJ97" s="40" t="str">
        <f aca="false">IF(OR(INDEX(Undirviðmið!$G$6:$G$105,(COLUMN()-7-1)/2+1)&lt;&gt;"Starfsbundið",BI97="",BI$8="",BI$7=""),"",ROUND(BI97/BI$8*BI$7*KVARDI,2))</f>
        <v/>
      </c>
      <c r="BK97" s="39"/>
      <c r="BL97" s="40" t="str">
        <f aca="false">IF(OR(INDEX(Undirviðmið!$G$6:$G$105,(COLUMN()-7-1)/2+1)&lt;&gt;"Starfsbundið",BK97="",BK$8="",BK$7=""),"",ROUND(BK97/BK$8*BK$7*KVARDI,2))</f>
        <v/>
      </c>
      <c r="BM97" s="39"/>
      <c r="BN97" s="40" t="str">
        <f aca="false">IF(OR(INDEX(Undirviðmið!$G$6:$G$105,(COLUMN()-7-1)/2+1)&lt;&gt;"Starfsbundið",BM97="",BM$8="",BM$7=""),"",ROUND(BM97/BM$8*BM$7*KVARDI,2))</f>
        <v/>
      </c>
      <c r="BO97" s="39"/>
      <c r="BP97" s="40" t="str">
        <f aca="false">IF(OR(INDEX(Undirviðmið!$G$6:$G$105,(COLUMN()-7-1)/2+1)&lt;&gt;"Starfsbundið",BO97="",BO$8="",BO$7=""),"",ROUND(BO97/BO$8*BO$7*KVARDI,2))</f>
        <v/>
      </c>
      <c r="BQ97" s="39"/>
      <c r="BR97" s="40" t="str">
        <f aca="false">IF(OR(INDEX(Undirviðmið!$G$6:$G$105,(COLUMN()-7-1)/2+1)&lt;&gt;"Starfsbundið",BQ97="",BQ$8="",BQ$7=""),"",ROUND(BQ97/BQ$8*BQ$7*KVARDI,2))</f>
        <v/>
      </c>
      <c r="BS97" s="39"/>
      <c r="BT97" s="40" t="str">
        <f aca="false">IF(OR(INDEX(Undirviðmið!$G$6:$G$105,(COLUMN()-7-1)/2+1)&lt;&gt;"Starfsbundið",BS97="",BS$8="",BS$7=""),"",ROUND(BS97/BS$8*BS$7*KVARDI,2))</f>
        <v/>
      </c>
      <c r="BU97" s="39"/>
      <c r="BV97" s="40" t="str">
        <f aca="false">IF(OR(INDEX(Undirviðmið!$G$6:$G$105,(COLUMN()-7-1)/2+1)&lt;&gt;"Starfsbundið",BU97="",BU$8="",BU$7=""),"",ROUND(BU97/BU$8*BU$7*KVARDI,2))</f>
        <v/>
      </c>
      <c r="BW97" s="39"/>
      <c r="BX97" s="40" t="str">
        <f aca="false">IF(OR(INDEX(Undirviðmið!$G$6:$G$105,(COLUMN()-7-1)/2+1)&lt;&gt;"Starfsbundið",BW97="",BW$8="",BW$7=""),"",ROUND(BW97/BW$8*BW$7*KVARDI,2))</f>
        <v/>
      </c>
      <c r="BY97" s="39"/>
      <c r="BZ97" s="40" t="str">
        <f aca="false">IF(OR(INDEX(Undirviðmið!$G$6:$G$105,(COLUMN()-7-1)/2+1)&lt;&gt;"Starfsbundið",BY97="",BY$8="",BY$7=""),"",ROUND(BY97/BY$8*BY$7*KVARDI,2))</f>
        <v/>
      </c>
      <c r="CA97" s="39"/>
      <c r="CB97" s="40" t="str">
        <f aca="false">IF(OR(INDEX(Undirviðmið!$G$6:$G$105,(COLUMN()-7-1)/2+1)&lt;&gt;"Starfsbundið",CA97="",CA$8="",CA$7=""),"",ROUND(CA97/CA$8*CA$7*KVARDI,2))</f>
        <v/>
      </c>
      <c r="CC97" s="39"/>
      <c r="CD97" s="40" t="str">
        <f aca="false">IF(OR(INDEX(Undirviðmið!$G$6:$G$105,(COLUMN()-7-1)/2+1)&lt;&gt;"Starfsbundið",CC97="",CC$8="",CC$7=""),"",ROUND(CC97/CC$8*CC$7*KVARDI,2))</f>
        <v/>
      </c>
      <c r="CE97" s="39"/>
      <c r="CF97" s="40" t="str">
        <f aca="false">IF(OR(INDEX(Undirviðmið!$G$6:$G$105,(COLUMN()-7-1)/2+1)&lt;&gt;"Starfsbundið",CE97="",CE$8="",CE$7=""),"",ROUND(CE97/CE$8*CE$7*KVARDI,2))</f>
        <v/>
      </c>
      <c r="CG97" s="39"/>
      <c r="CH97" s="40" t="str">
        <f aca="false">IF(OR(INDEX(Undirviðmið!$G$6:$G$105,(COLUMN()-7-1)/2+1)&lt;&gt;"Starfsbundið",CG97="",CG$8="",CG$7=""),"",ROUND(CG97/CG$8*CG$7*KVARDI,2))</f>
        <v/>
      </c>
      <c r="CI97" s="39"/>
      <c r="CJ97" s="40" t="str">
        <f aca="false">IF(OR(INDEX(Undirviðmið!$G$6:$G$105,(COLUMN()-7-1)/2+1)&lt;&gt;"Starfsbundið",CI97="",CI$8="",CI$7=""),"",ROUND(CI97/CI$8*CI$7*KVARDI,2))</f>
        <v/>
      </c>
      <c r="CK97" s="39"/>
      <c r="CL97" s="40" t="str">
        <f aca="false">IF(OR(INDEX(Undirviðmið!$G$6:$G$105,(COLUMN()-7-1)/2+1)&lt;&gt;"Starfsbundið",CK97="",CK$8="",CK$7=""),"",ROUND(CK97/CK$8*CK$7*KVARDI,2))</f>
        <v/>
      </c>
      <c r="CM97" s="39"/>
      <c r="CN97" s="40" t="str">
        <f aca="false">IF(OR(INDEX(Undirviðmið!$G$6:$G$105,(COLUMN()-7-1)/2+1)&lt;&gt;"Starfsbundið",CM97="",CM$8="",CM$7=""),"",ROUND(CM97/CM$8*CM$7*KVARDI,2))</f>
        <v/>
      </c>
      <c r="CO97" s="39"/>
      <c r="CP97" s="40" t="str">
        <f aca="false">IF(OR(INDEX(Undirviðmið!$G$6:$G$105,(COLUMN()-7-1)/2+1)&lt;&gt;"Starfsbundið",CO97="",CO$8="",CO$7=""),"",ROUND(CO97/CO$8*CO$7*KVARDI,2))</f>
        <v/>
      </c>
      <c r="CQ97" s="39"/>
      <c r="CR97" s="40" t="str">
        <f aca="false">IF(OR(INDEX(Undirviðmið!$G$6:$G$105,(COLUMN()-7-1)/2+1)&lt;&gt;"Starfsbundið",CQ97="",CQ$8="",CQ$7=""),"",ROUND(CQ97/CQ$8*CQ$7*KVARDI,2))</f>
        <v/>
      </c>
      <c r="CS97" s="39"/>
      <c r="CT97" s="40" t="str">
        <f aca="false">IF(OR(INDEX(Undirviðmið!$G$6:$G$105,(COLUMN()-7-1)/2+1)&lt;&gt;"Starfsbundið",CS97="",CS$8="",CS$7=""),"",ROUND(CS97/CS$8*CS$7*KVARDI,2))</f>
        <v/>
      </c>
      <c r="CU97" s="39"/>
      <c r="CV97" s="40" t="str">
        <f aca="false">IF(OR(INDEX(Undirviðmið!$G$6:$G$105,(COLUMN()-7-1)/2+1)&lt;&gt;"Starfsbundið",CU97="",CU$8="",CU$7=""),"",ROUND(CU97/CU$8*CU$7*KVARDI,2))</f>
        <v/>
      </c>
      <c r="CW97" s="39"/>
      <c r="CX97" s="40" t="str">
        <f aca="false">IF(OR(INDEX(Undirviðmið!$G$6:$G$105,(COLUMN()-7-1)/2+1)&lt;&gt;"Starfsbundið",CW97="",CW$8="",CW$7=""),"",ROUND(CW97/CW$8*CW$7*KVARDI,2))</f>
        <v/>
      </c>
      <c r="CY97" s="39"/>
      <c r="CZ97" s="40" t="str">
        <f aca="false">IF(OR(INDEX(Undirviðmið!$G$6:$G$105,(COLUMN()-7-1)/2+1)&lt;&gt;"Starfsbundið",CY97="",CY$8="",CY$7=""),"",ROUND(CY97/CY$8*CY$7*KVARDI,2))</f>
        <v/>
      </c>
      <c r="DA97" s="39"/>
      <c r="DB97" s="40" t="str">
        <f aca="false">IF(OR(INDEX(Undirviðmið!$G$6:$G$105,(COLUMN()-7-1)/2+1)&lt;&gt;"Starfsbundið",DA97="",DA$8="",DA$7=""),"",ROUND(DA97/DA$8*DA$7*KVARDI,2))</f>
        <v/>
      </c>
      <c r="DC97" s="39"/>
      <c r="DD97" s="40" t="str">
        <f aca="false">IF(OR(INDEX(Undirviðmið!$G$6:$G$105,(COLUMN()-7-1)/2+1)&lt;&gt;"Starfsbundið",DC97="",DC$8="",DC$7=""),"",ROUND(DC97/DC$8*DC$7*KVARDI,2))</f>
        <v/>
      </c>
      <c r="DE97" s="39"/>
      <c r="DF97" s="40" t="str">
        <f aca="false">IF(OR(INDEX(Undirviðmið!$G$6:$G$105,(COLUMN()-7-1)/2+1)&lt;&gt;"Starfsbundið",DE97="",DE$8="",DE$7=""),"",ROUND(DE97/DE$8*DE$7*KVARDI,2))</f>
        <v/>
      </c>
      <c r="DG97" s="39"/>
      <c r="DH97" s="40" t="str">
        <f aca="false">IF(OR(INDEX(Undirviðmið!$G$6:$G$105,(COLUMN()-7-1)/2+1)&lt;&gt;"Starfsbundið",DG97="",DG$8="",DG$7=""),"",ROUND(DG97/DG$8*DG$7*KVARDI,2))</f>
        <v/>
      </c>
      <c r="DI97" s="39"/>
      <c r="DJ97" s="40" t="str">
        <f aca="false">IF(OR(INDEX(Undirviðmið!$G$6:$G$105,(COLUMN()-7-1)/2+1)&lt;&gt;"Starfsbundið",DI97="",DI$8="",DI$7=""),"",ROUND(DI97/DI$8*DI$7*KVARDI,2))</f>
        <v/>
      </c>
      <c r="DK97" s="39"/>
      <c r="DL97" s="40" t="str">
        <f aca="false">IF(OR(INDEX(Undirviðmið!$G$6:$G$105,(COLUMN()-7-1)/2+1)&lt;&gt;"Starfsbundið",DK97="",DK$8="",DK$7=""),"",ROUND(DK97/DK$8*DK$7*KVARDI,2))</f>
        <v/>
      </c>
      <c r="DM97" s="39"/>
      <c r="DN97" s="40" t="str">
        <f aca="false">IF(OR(INDEX(Undirviðmið!$G$6:$G$105,(COLUMN()-7-1)/2+1)&lt;&gt;"Starfsbundið",DM97="",DM$8="",DM$7=""),"",ROUND(DM97/DM$8*DM$7*KVARDI,2))</f>
        <v/>
      </c>
      <c r="DO97" s="39"/>
      <c r="DP97" s="40" t="str">
        <f aca="false">IF(OR(INDEX(Undirviðmið!$G$6:$G$105,(COLUMN()-7-1)/2+1)&lt;&gt;"Starfsbundið",DO97="",DO$8="",DO$7=""),"",ROUND(DO97/DO$8*DO$7*KVARDI,2))</f>
        <v/>
      </c>
      <c r="DQ97" s="39"/>
      <c r="DR97" s="40" t="str">
        <f aca="false">IF(OR(INDEX(Undirviðmið!$G$6:$G$105,(COLUMN()-7-1)/2+1)&lt;&gt;"Starfsbundið",DQ97="",DQ$8="",DQ$7=""),"",ROUND(DQ97/DQ$8*DQ$7*KVARDI,2))</f>
        <v/>
      </c>
      <c r="DS97" s="39"/>
      <c r="DT97" s="40" t="str">
        <f aca="false">IF(OR(INDEX(Undirviðmið!$G$6:$G$105,(COLUMN()-7-1)/2+1)&lt;&gt;"Starfsbundið",DS97="",DS$8="",DS$7=""),"",ROUND(DS97/DS$8*DS$7*KVARDI,2))</f>
        <v/>
      </c>
      <c r="DU97" s="39"/>
      <c r="DV97" s="40" t="str">
        <f aca="false">IF(OR(INDEX(Undirviðmið!$G$6:$G$105,(COLUMN()-7-1)/2+1)&lt;&gt;"Starfsbundið",DU97="",DU$8="",DU$7=""),"",ROUND(DU97/DU$8*DU$7*KVARDI,2))</f>
        <v/>
      </c>
      <c r="DW97" s="39"/>
      <c r="DX97" s="40" t="str">
        <f aca="false">IF(OR(INDEX(Undirviðmið!$G$6:$G$105,(COLUMN()-7-1)/2+1)&lt;&gt;"Starfsbundið",DW97="",DW$8="",DW$7=""),"",ROUND(DW97/DW$8*DW$7*KVARDI,2))</f>
        <v/>
      </c>
      <c r="DY97" s="39"/>
      <c r="DZ97" s="40" t="str">
        <f aca="false">IF(OR(INDEX(Undirviðmið!$G$6:$G$105,(COLUMN()-7-1)/2+1)&lt;&gt;"Starfsbundið",DY97="",DY$8="",DY$7=""),"",ROUND(DY97/DY$8*DY$7*KVARDI,2))</f>
        <v/>
      </c>
      <c r="EA97" s="39"/>
      <c r="EB97" s="40" t="str">
        <f aca="false">IF(OR(INDEX(Undirviðmið!$G$6:$G$105,(COLUMN()-7-1)/2+1)&lt;&gt;"Starfsbundið",EA97="",EA$8="",EA$7=""),"",ROUND(EA97/EA$8*EA$7*KVARDI,2))</f>
        <v/>
      </c>
      <c r="EC97" s="39"/>
      <c r="ED97" s="40" t="str">
        <f aca="false">IF(OR(INDEX(Undirviðmið!$G$6:$G$105,(COLUMN()-7-1)/2+1)&lt;&gt;"Starfsbundið",EC97="",EC$8="",EC$7=""),"",ROUND(EC97/EC$8*EC$7*KVARDI,2))</f>
        <v/>
      </c>
      <c r="EE97" s="39"/>
      <c r="EF97" s="40" t="str">
        <f aca="false">IF(OR(INDEX(Undirviðmið!$G$6:$G$105,(COLUMN()-7-1)/2+1)&lt;&gt;"Starfsbundið",EE97="",EE$8="",EE$7=""),"",ROUND(EE97/EE$8*EE$7*KVARDI,2))</f>
        <v/>
      </c>
      <c r="EG97" s="39"/>
      <c r="EH97" s="40" t="str">
        <f aca="false">IF(OR(INDEX(Undirviðmið!$G$6:$G$105,(COLUMN()-7-1)/2+1)&lt;&gt;"Starfsbundið",EG97="",EG$8="",EG$7=""),"",ROUND(EG97/EG$8*EG$7*KVARDI,2))</f>
        <v/>
      </c>
      <c r="EI97" s="39"/>
      <c r="EJ97" s="40" t="str">
        <f aca="false">IF(OR(INDEX(Undirviðmið!$G$6:$G$105,(COLUMN()-7-1)/2+1)&lt;&gt;"Starfsbundið",EI97="",EI$8="",EI$7=""),"",ROUND(EI97/EI$8*EI$7*KVARDI,2))</f>
        <v/>
      </c>
      <c r="EK97" s="39"/>
      <c r="EL97" s="40" t="str">
        <f aca="false">IF(OR(INDEX(Undirviðmið!$G$6:$G$105,(COLUMN()-7-1)/2+1)&lt;&gt;"Starfsbundið",EK97="",EK$8="",EK$7=""),"",ROUND(EK97/EK$8*EK$7*KVARDI,2))</f>
        <v/>
      </c>
      <c r="EM97" s="39"/>
      <c r="EN97" s="40" t="str">
        <f aca="false">IF(OR(INDEX(Undirviðmið!$G$6:$G$105,(COLUMN()-7-1)/2+1)&lt;&gt;"Starfsbundið",EM97="",EM$8="",EM$7=""),"",ROUND(EM97/EM$8*EM$7*KVARDI,2))</f>
        <v/>
      </c>
      <c r="EO97" s="39"/>
      <c r="EP97" s="40" t="str">
        <f aca="false">IF(OR(INDEX(Undirviðmið!$G$6:$G$105,(COLUMN()-7-1)/2+1)&lt;&gt;"Starfsbundið",EO97="",EO$8="",EO$7=""),"",ROUND(EO97/EO$8*EO$7*KVARDI,2))</f>
        <v/>
      </c>
      <c r="EQ97" s="39"/>
      <c r="ER97" s="40" t="str">
        <f aca="false">IF(OR(INDEX(Undirviðmið!$G$6:$G$105,(COLUMN()-7-1)/2+1)&lt;&gt;"Starfsbundið",EQ97="",EQ$8="",EQ$7=""),"",ROUND(EQ97/EQ$8*EQ$7*KVARDI,2))</f>
        <v/>
      </c>
      <c r="ES97" s="39"/>
      <c r="ET97" s="40" t="str">
        <f aca="false">IF(OR(INDEX(Undirviðmið!$G$6:$G$105,(COLUMN()-7-1)/2+1)&lt;&gt;"Starfsbundið",ES97="",ES$8="",ES$7=""),"",ROUND(ES97/ES$8*ES$7*KVARDI,2))</f>
        <v/>
      </c>
      <c r="EU97" s="39"/>
      <c r="EV97" s="40" t="str">
        <f aca="false">IF(OR(INDEX(Undirviðmið!$G$6:$G$105,(COLUMN()-7-1)/2+1)&lt;&gt;"Starfsbundið",EU97="",EU$8="",EU$7=""),"",ROUND(EU97/EU$8*EU$7*KVARDI,2))</f>
        <v/>
      </c>
      <c r="EW97" s="39"/>
      <c r="EX97" s="40" t="str">
        <f aca="false">IF(OR(INDEX(Undirviðmið!$G$6:$G$105,(COLUMN()-7-1)/2+1)&lt;&gt;"Starfsbundið",EW97="",EW$8="",EW$7=""),"",ROUND(EW97/EW$8*EW$7*KVARDI,2))</f>
        <v/>
      </c>
      <c r="EY97" s="39"/>
      <c r="EZ97" s="40" t="str">
        <f aca="false">IF(OR(INDEX(Undirviðmið!$G$6:$G$105,(COLUMN()-7-1)/2+1)&lt;&gt;"Starfsbundið",EY97="",EY$8="",EY$7=""),"",ROUND(EY97/EY$8*EY$7*KVARDI,2))</f>
        <v/>
      </c>
      <c r="FA97" s="39"/>
      <c r="FB97" s="40" t="str">
        <f aca="false">IF(OR(INDEX(Undirviðmið!$G$6:$G$105,(COLUMN()-7-1)/2+1)&lt;&gt;"Starfsbundið",FA97="",FA$8="",FA$7=""),"",ROUND(FA97/FA$8*FA$7*KVARDI,2))</f>
        <v/>
      </c>
      <c r="FC97" s="39"/>
      <c r="FD97" s="40" t="str">
        <f aca="false">IF(OR(INDEX(Undirviðmið!$G$6:$G$105,(COLUMN()-7-1)/2+1)&lt;&gt;"Starfsbundið",FC97="",FC$8="",FC$7=""),"",ROUND(FC97/FC$8*FC$7*KVARDI,2))</f>
        <v/>
      </c>
      <c r="FE97" s="39"/>
      <c r="FF97" s="40" t="str">
        <f aca="false">IF(OR(INDEX(Undirviðmið!$G$6:$G$105,(COLUMN()-7-1)/2+1)&lt;&gt;"Starfsbundið",FE97="",FE$8="",FE$7=""),"",ROUND(FE97/FE$8*FE$7*KVARDI,2))</f>
        <v/>
      </c>
      <c r="FG97" s="39"/>
      <c r="FH97" s="40" t="str">
        <f aca="false">IF(OR(INDEX(Undirviðmið!$G$6:$G$105,(COLUMN()-7-1)/2+1)&lt;&gt;"Starfsbundið",FG97="",FG$8="",FG$7=""),"",ROUND(FG97/FG$8*FG$7*KVARDI,2))</f>
        <v/>
      </c>
      <c r="FI97" s="39"/>
      <c r="FJ97" s="40" t="str">
        <f aca="false">IF(OR(INDEX(Undirviðmið!$G$6:$G$105,(COLUMN()-7-1)/2+1)&lt;&gt;"Starfsbundið",FI97="",FI$8="",FI$7=""),"",ROUND(FI97/FI$8*FI$7*KVARDI,2))</f>
        <v/>
      </c>
      <c r="FK97" s="39"/>
      <c r="FL97" s="40" t="str">
        <f aca="false">IF(OR(INDEX(Undirviðmið!$G$6:$G$105,(COLUMN()-7-1)/2+1)&lt;&gt;"Starfsbundið",FK97="",FK$8="",FK$7=""),"",ROUND(FK97/FK$8*FK$7*KVARDI,2))</f>
        <v/>
      </c>
      <c r="FM97" s="39"/>
      <c r="FN97" s="40" t="str">
        <f aca="false">IF(OR(INDEX(Undirviðmið!$G$6:$G$105,(COLUMN()-7-1)/2+1)&lt;&gt;"Starfsbundið",FM97="",FM$8="",FM$7=""),"",ROUND(FM97/FM$8*FM$7*KVARDI,2))</f>
        <v/>
      </c>
      <c r="FO97" s="39"/>
      <c r="FP97" s="40" t="str">
        <f aca="false">IF(OR(INDEX(Undirviðmið!$G$6:$G$105,(COLUMN()-7-1)/2+1)&lt;&gt;"Starfsbundið",FO97="",FO$8="",FO$7=""),"",ROUND(FO97/FO$8*FO$7*KVARDI,2))</f>
        <v/>
      </c>
      <c r="FQ97" s="39"/>
      <c r="FR97" s="40" t="str">
        <f aca="false">IF(OR(INDEX(Undirviðmið!$G$6:$G$105,(COLUMN()-7-1)/2+1)&lt;&gt;"Starfsbundið",FQ97="",FQ$8="",FQ$7=""),"",ROUND(FQ97/FQ$8*FQ$7*KVARDI,2))</f>
        <v/>
      </c>
      <c r="FS97" s="39"/>
      <c r="FT97" s="40" t="str">
        <f aca="false">IF(OR(INDEX(Undirviðmið!$G$6:$G$105,(COLUMN()-7-1)/2+1)&lt;&gt;"Starfsbundið",FS97="",FS$8="",FS$7=""),"",ROUND(FS97/FS$8*FS$7*KVARDI,2))</f>
        <v/>
      </c>
      <c r="FU97" s="39"/>
      <c r="FV97" s="40" t="str">
        <f aca="false">IF(OR(INDEX(Undirviðmið!$G$6:$G$105,(COLUMN()-7-1)/2+1)&lt;&gt;"Starfsbundið",FU97="",FU$8="",FU$7=""),"",ROUND(FU97/FU$8*FU$7*KVARDI,2))</f>
        <v/>
      </c>
      <c r="FW97" s="39"/>
      <c r="FX97" s="40" t="str">
        <f aca="false">IF(OR(INDEX(Undirviðmið!$G$6:$G$105,(COLUMN()-7-1)/2+1)&lt;&gt;"Starfsbundið",FW97="",FW$8="",FW$7=""),"",ROUND(FW97/FW$8*FW$7*KVARDI,2))</f>
        <v/>
      </c>
      <c r="FY97" s="39"/>
      <c r="FZ97" s="40" t="str">
        <f aca="false">IF(OR(INDEX(Undirviðmið!$G$6:$G$105,(COLUMN()-7-1)/2+1)&lt;&gt;"Starfsbundið",FY97="",FY$8="",FY$7=""),"",ROUND(FY97/FY$8*FY$7*KVARDI,2))</f>
        <v/>
      </c>
      <c r="GA97" s="39"/>
      <c r="GB97" s="40" t="str">
        <f aca="false">IF(OR(INDEX(Undirviðmið!$G$6:$G$105,(COLUMN()-7-1)/2+1)&lt;&gt;"Starfsbundið",GA97="",GA$8="",GA$7=""),"",ROUND(GA97/GA$8*GA$7*KVARDI,2))</f>
        <v/>
      </c>
      <c r="GC97" s="39"/>
      <c r="GD97" s="40" t="str">
        <f aca="false">IF(OR(INDEX(Undirviðmið!$G$6:$G$105,(COLUMN()-7-1)/2+1)&lt;&gt;"Starfsbundið",GC97="",GC$8="",GC$7=""),"",ROUND(GC97/GC$8*GC$7*KVARDI,2))</f>
        <v/>
      </c>
      <c r="GE97" s="39"/>
      <c r="GF97" s="40" t="str">
        <f aca="false">IF(OR(INDEX(Undirviðmið!$G$6:$G$105,(COLUMN()-7-1)/2+1)&lt;&gt;"Starfsbundið",GE97="",GE$8="",GE$7=""),"",ROUND(GE97/GE$8*GE$7*KVARDI,2))</f>
        <v/>
      </c>
      <c r="GG97" s="39"/>
      <c r="GH97" s="40" t="str">
        <f aca="false">IF(OR(INDEX(Undirviðmið!$G$6:$G$105,(COLUMN()-7-1)/2+1)&lt;&gt;"Starfsbundið",GG97="",GG$8="",GG$7=""),"",ROUND(GG97/GG$8*GG$7*KVARDI,2))</f>
        <v/>
      </c>
      <c r="GI97" s="39"/>
      <c r="GJ97" s="40" t="str">
        <f aca="false">IF(OR(INDEX(Undirviðmið!$G$6:$G$105,(COLUMN()-7-1)/2+1)&lt;&gt;"Starfsbundið",GI97="",GI$8="",GI$7=""),"",ROUND(GI97/GI$8*GI$7*KVARDI,2))</f>
        <v/>
      </c>
      <c r="GK97" s="39"/>
      <c r="GL97" s="40" t="str">
        <f aca="false">IF(OR(INDEX(Undirviðmið!$G$6:$G$105,(COLUMN()-7-1)/2+1)&lt;&gt;"Starfsbundið",GK97="",GK$8="",GK$7=""),"",ROUND(GK97/GK$8*GK$7*KVARDI,2))</f>
        <v/>
      </c>
      <c r="GM97" s="39"/>
      <c r="GN97" s="40" t="str">
        <f aca="false">IF(OR(INDEX(Undirviðmið!$G$6:$G$105,(COLUMN()-7-1)/2+1)&lt;&gt;"Starfsbundið",GM97="",GM$8="",GM$7=""),"",ROUND(GM97/GM$8*GM$7*KVARDI,2))</f>
        <v/>
      </c>
      <c r="GO97" s="39"/>
      <c r="GP97" s="40" t="str">
        <f aca="false">IF(OR(INDEX(Undirviðmið!$G$6:$G$105,(COLUMN()-7-1)/2+1)&lt;&gt;"Starfsbundið",GO97="",GO$8="",GO$7=""),"",ROUND(GO97/GO$8*GO$7*KVARDI,2))</f>
        <v/>
      </c>
      <c r="GQ97" s="39"/>
      <c r="GR97" s="40" t="str">
        <f aca="false">IF(OR(INDEX(Undirviðmið!$G$6:$G$105,(COLUMN()-7-1)/2+1)&lt;&gt;"Starfsbundið",GQ97="",GQ$8="",GQ$7=""),"",ROUND(GQ97/GQ$8*GQ$7*KVARDI,2))</f>
        <v/>
      </c>
      <c r="GS97" s="39"/>
      <c r="GT97" s="40" t="str">
        <f aca="false">IF(OR(INDEX(Undirviðmið!$G$6:$G$105,(COLUMN()-7-1)/2+1)&lt;&gt;"Starfsbundið",GS97="",GS$8="",GS$7=""),"",ROUND(GS97/GS$8*GS$7*KVARDI,2))</f>
        <v/>
      </c>
      <c r="GU97" s="39"/>
      <c r="GV97" s="40" t="str">
        <f aca="false">IF(OR(INDEX(Undirviðmið!$G$6:$G$105,(COLUMN()-7-1)/2+1)&lt;&gt;"Starfsbundið",GU97="",GU$8="",GU$7=""),"",ROUND(GU97/GU$8*GU$7*KVARDI,2))</f>
        <v/>
      </c>
      <c r="GW97" s="39"/>
      <c r="GX97" s="40" t="str">
        <f aca="false">IF(OR(INDEX(Undirviðmið!$G$6:$G$105,(COLUMN()-7-1)/2+1)&lt;&gt;"Starfsbundið",GW97="",GW$8="",GW$7=""),"",ROUND(GW97/GW$8*GW$7*KVARDI,2))</f>
        <v/>
      </c>
      <c r="GZ97" s="20"/>
    </row>
    <row r="98" customFormat="false" ht="15" hidden="true" customHeight="true" outlineLevel="1" collapsed="false">
      <c r="B98" s="37" t="str">
        <f aca="false" t="array" ref="B98:B98">IFERROR(INDEX(Starfsmenn!$C$6:$C$10005,MATCH(0,COUNTIF($B$11:B97,Starfsmenn!$C$6:$C$10005)+(Starfsmenn!$C$6:$C$10005=""),0)),"")</f>
        <v/>
      </c>
      <c r="C98" s="38" t="n">
        <f aca="false">IFERROR(SUMIF($G$10:$GX$10,"Stig",$G98:$GX98),0)</f>
        <v>0</v>
      </c>
      <c r="G98" s="39"/>
      <c r="H98" s="40" t="str">
        <f aca="false">IF(OR(INDEX(Undirviðmið!$G$6:$G$105,(COLUMN()-7-1)/2+1)&lt;&gt;"Starfsbundið",G98="",G$8="",G$7=""),"",ROUND(G98/G$8*G$7*KVARDI,2))</f>
        <v/>
      </c>
      <c r="I98" s="39"/>
      <c r="J98" s="40" t="str">
        <f aca="false">IF(OR(INDEX(Undirviðmið!$G$6:$G$105,(COLUMN()-7-1)/2+1)&lt;&gt;"Starfsbundið",I98="",I$8="",I$7=""),"",ROUND(I98/I$8*I$7*KVARDI,2))</f>
        <v/>
      </c>
      <c r="K98" s="39"/>
      <c r="L98" s="40" t="str">
        <f aca="false">IF(OR(INDEX(Undirviðmið!$G$6:$G$105,(COLUMN()-7-1)/2+1)&lt;&gt;"Starfsbundið",K98="",K$8="",K$7=""),"",ROUND(K98/K$8*K$7*KVARDI,2))</f>
        <v/>
      </c>
      <c r="M98" s="39"/>
      <c r="N98" s="40" t="str">
        <f aca="false">IF(OR(INDEX(Undirviðmið!$G$6:$G$105,(COLUMN()-7-1)/2+1)&lt;&gt;"Starfsbundið",M98="",M$8="",M$7=""),"",ROUND(M98/M$8*M$7*KVARDI,2))</f>
        <v/>
      </c>
      <c r="O98" s="39"/>
      <c r="P98" s="40" t="str">
        <f aca="false">IF(OR(INDEX(Undirviðmið!$G$6:$G$105,(COLUMN()-7-1)/2+1)&lt;&gt;"Starfsbundið",O98="",O$8="",O$7=""),"",ROUND(O98/O$8*O$7*KVARDI,2))</f>
        <v/>
      </c>
      <c r="Q98" s="39"/>
      <c r="R98" s="40" t="str">
        <f aca="false">IF(OR(INDEX(Undirviðmið!$G$6:$G$105,(COLUMN()-7-1)/2+1)&lt;&gt;"Starfsbundið",Q98="",Q$8="",Q$7=""),"",ROUND(Q98/Q$8*Q$7*KVARDI,2))</f>
        <v/>
      </c>
      <c r="S98" s="39"/>
      <c r="T98" s="40" t="str">
        <f aca="false">IF(OR(INDEX(Undirviðmið!$G$6:$G$105,(COLUMN()-7-1)/2+1)&lt;&gt;"Starfsbundið",S98="",S$8="",S$7=""),"",ROUND(S98/S$8*S$7*KVARDI,2))</f>
        <v/>
      </c>
      <c r="U98" s="39"/>
      <c r="V98" s="40" t="str">
        <f aca="false">IF(OR(INDEX(Undirviðmið!$G$6:$G$105,(COLUMN()-7-1)/2+1)&lt;&gt;"Starfsbundið",U98="",U$8="",U$7=""),"",ROUND(U98/U$8*U$7*KVARDI,2))</f>
        <v/>
      </c>
      <c r="W98" s="39"/>
      <c r="X98" s="40" t="str">
        <f aca="false">IF(OR(INDEX(Undirviðmið!$G$6:$G$105,(COLUMN()-7-1)/2+1)&lt;&gt;"Starfsbundið",W98="",W$8="",W$7=""),"",ROUND(W98/W$8*W$7*KVARDI,2))</f>
        <v/>
      </c>
      <c r="Y98" s="39"/>
      <c r="Z98" s="40" t="str">
        <f aca="false">IF(OR(INDEX(Undirviðmið!$G$6:$G$105,(COLUMN()-7-1)/2+1)&lt;&gt;"Starfsbundið",Y98="",Y$8="",Y$7=""),"",ROUND(Y98/Y$8*Y$7*KVARDI,2))</f>
        <v/>
      </c>
      <c r="AA98" s="39"/>
      <c r="AB98" s="40" t="str">
        <f aca="false">IF(OR(INDEX(Undirviðmið!$G$6:$G$105,(COLUMN()-7-1)/2+1)&lt;&gt;"Starfsbundið",AA98="",AA$8="",AA$7=""),"",ROUND(AA98/AA$8*AA$7*KVARDI,2))</f>
        <v/>
      </c>
      <c r="AC98" s="39"/>
      <c r="AD98" s="40" t="str">
        <f aca="false">IF(OR(INDEX(Undirviðmið!$G$6:$G$105,(COLUMN()-7-1)/2+1)&lt;&gt;"Starfsbundið",AC98="",AC$8="",AC$7=""),"",ROUND(AC98/AC$8*AC$7*KVARDI,2))</f>
        <v/>
      </c>
      <c r="AE98" s="39"/>
      <c r="AF98" s="40" t="str">
        <f aca="false">IF(OR(INDEX(Undirviðmið!$G$6:$G$105,(COLUMN()-7-1)/2+1)&lt;&gt;"Starfsbundið",AE98="",AE$8="",AE$7=""),"",ROUND(AE98/AE$8*AE$7*KVARDI,2))</f>
        <v/>
      </c>
      <c r="AG98" s="39"/>
      <c r="AH98" s="40" t="str">
        <f aca="false">IF(OR(INDEX(Undirviðmið!$G$6:$G$105,(COLUMN()-7-1)/2+1)&lt;&gt;"Starfsbundið",AG98="",AG$8="",AG$7=""),"",ROUND(AG98/AG$8*AG$7*KVARDI,2))</f>
        <v/>
      </c>
      <c r="AI98" s="39"/>
      <c r="AJ98" s="40" t="str">
        <f aca="false">IF(OR(INDEX(Undirviðmið!$G$6:$G$105,(COLUMN()-7-1)/2+1)&lt;&gt;"Starfsbundið",AI98="",AI$8="",AI$7=""),"",ROUND(AI98/AI$8*AI$7*KVARDI,2))</f>
        <v/>
      </c>
      <c r="AK98" s="39"/>
      <c r="AL98" s="40" t="str">
        <f aca="false">IF(OR(INDEX(Undirviðmið!$G$6:$G$105,(COLUMN()-7-1)/2+1)&lt;&gt;"Starfsbundið",AK98="",AK$8="",AK$7=""),"",ROUND(AK98/AK$8*AK$7*KVARDI,2))</f>
        <v/>
      </c>
      <c r="AM98" s="39"/>
      <c r="AN98" s="40" t="str">
        <f aca="false">IF(OR(INDEX(Undirviðmið!$G$6:$G$105,(COLUMN()-7-1)/2+1)&lt;&gt;"Starfsbundið",AM98="",AM$8="",AM$7=""),"",ROUND(AM98/AM$8*AM$7*KVARDI,2))</f>
        <v/>
      </c>
      <c r="AO98" s="39"/>
      <c r="AP98" s="40" t="str">
        <f aca="false">IF(OR(INDEX(Undirviðmið!$G$6:$G$105,(COLUMN()-7-1)/2+1)&lt;&gt;"Starfsbundið",AO98="",AO$8="",AO$7=""),"",ROUND(AO98/AO$8*AO$7*KVARDI,2))</f>
        <v/>
      </c>
      <c r="AQ98" s="39"/>
      <c r="AR98" s="40" t="str">
        <f aca="false">IF(OR(INDEX(Undirviðmið!$G$6:$G$105,(COLUMN()-7-1)/2+1)&lt;&gt;"Starfsbundið",AQ98="",AQ$8="",AQ$7=""),"",ROUND(AQ98/AQ$8*AQ$7*KVARDI,2))</f>
        <v/>
      </c>
      <c r="AS98" s="39"/>
      <c r="AT98" s="40" t="str">
        <f aca="false">IF(OR(INDEX(Undirviðmið!$G$6:$G$105,(COLUMN()-7-1)/2+1)&lt;&gt;"Starfsbundið",AS98="",AS$8="",AS$7=""),"",ROUND(AS98/AS$8*AS$7*KVARDI,2))</f>
        <v/>
      </c>
      <c r="AU98" s="39"/>
      <c r="AV98" s="40" t="str">
        <f aca="false">IF(OR(INDEX(Undirviðmið!$G$6:$G$105,(COLUMN()-7-1)/2+1)&lt;&gt;"Starfsbundið",AU98="",AU$8="",AU$7=""),"",ROUND(AU98/AU$8*AU$7*KVARDI,2))</f>
        <v/>
      </c>
      <c r="AW98" s="39"/>
      <c r="AX98" s="40" t="str">
        <f aca="false">IF(OR(INDEX(Undirviðmið!$G$6:$G$105,(COLUMN()-7-1)/2+1)&lt;&gt;"Starfsbundið",AW98="",AW$8="",AW$7=""),"",ROUND(AW98/AW$8*AW$7*KVARDI,2))</f>
        <v/>
      </c>
      <c r="AY98" s="39"/>
      <c r="AZ98" s="40" t="str">
        <f aca="false">IF(OR(INDEX(Undirviðmið!$G$6:$G$105,(COLUMN()-7-1)/2+1)&lt;&gt;"Starfsbundið",AY98="",AY$8="",AY$7=""),"",ROUND(AY98/AY$8*AY$7*KVARDI,2))</f>
        <v/>
      </c>
      <c r="BA98" s="39"/>
      <c r="BB98" s="40" t="str">
        <f aca="false">IF(OR(INDEX(Undirviðmið!$G$6:$G$105,(COLUMN()-7-1)/2+1)&lt;&gt;"Starfsbundið",BA98="",BA$8="",BA$7=""),"",ROUND(BA98/BA$8*BA$7*KVARDI,2))</f>
        <v/>
      </c>
      <c r="BC98" s="39"/>
      <c r="BD98" s="40" t="str">
        <f aca="false">IF(OR(INDEX(Undirviðmið!$G$6:$G$105,(COLUMN()-7-1)/2+1)&lt;&gt;"Starfsbundið",BC98="",BC$8="",BC$7=""),"",ROUND(BC98/BC$8*BC$7*KVARDI,2))</f>
        <v/>
      </c>
      <c r="BE98" s="39"/>
      <c r="BF98" s="40" t="str">
        <f aca="false">IF(OR(INDEX(Undirviðmið!$G$6:$G$105,(COLUMN()-7-1)/2+1)&lt;&gt;"Starfsbundið",BE98="",BE$8="",BE$7=""),"",ROUND(BE98/BE$8*BE$7*KVARDI,2))</f>
        <v/>
      </c>
      <c r="BG98" s="39"/>
      <c r="BH98" s="40" t="str">
        <f aca="false">IF(OR(INDEX(Undirviðmið!$G$6:$G$105,(COLUMN()-7-1)/2+1)&lt;&gt;"Starfsbundið",BG98="",BG$8="",BG$7=""),"",ROUND(BG98/BG$8*BG$7*KVARDI,2))</f>
        <v/>
      </c>
      <c r="BI98" s="39"/>
      <c r="BJ98" s="40" t="str">
        <f aca="false">IF(OR(INDEX(Undirviðmið!$G$6:$G$105,(COLUMN()-7-1)/2+1)&lt;&gt;"Starfsbundið",BI98="",BI$8="",BI$7=""),"",ROUND(BI98/BI$8*BI$7*KVARDI,2))</f>
        <v/>
      </c>
      <c r="BK98" s="39"/>
      <c r="BL98" s="40" t="str">
        <f aca="false">IF(OR(INDEX(Undirviðmið!$G$6:$G$105,(COLUMN()-7-1)/2+1)&lt;&gt;"Starfsbundið",BK98="",BK$8="",BK$7=""),"",ROUND(BK98/BK$8*BK$7*KVARDI,2))</f>
        <v/>
      </c>
      <c r="BM98" s="39"/>
      <c r="BN98" s="40" t="str">
        <f aca="false">IF(OR(INDEX(Undirviðmið!$G$6:$G$105,(COLUMN()-7-1)/2+1)&lt;&gt;"Starfsbundið",BM98="",BM$8="",BM$7=""),"",ROUND(BM98/BM$8*BM$7*KVARDI,2))</f>
        <v/>
      </c>
      <c r="BO98" s="39"/>
      <c r="BP98" s="40" t="str">
        <f aca="false">IF(OR(INDEX(Undirviðmið!$G$6:$G$105,(COLUMN()-7-1)/2+1)&lt;&gt;"Starfsbundið",BO98="",BO$8="",BO$7=""),"",ROUND(BO98/BO$8*BO$7*KVARDI,2))</f>
        <v/>
      </c>
      <c r="BQ98" s="39"/>
      <c r="BR98" s="40" t="str">
        <f aca="false">IF(OR(INDEX(Undirviðmið!$G$6:$G$105,(COLUMN()-7-1)/2+1)&lt;&gt;"Starfsbundið",BQ98="",BQ$8="",BQ$7=""),"",ROUND(BQ98/BQ$8*BQ$7*KVARDI,2))</f>
        <v/>
      </c>
      <c r="BS98" s="39"/>
      <c r="BT98" s="40" t="str">
        <f aca="false">IF(OR(INDEX(Undirviðmið!$G$6:$G$105,(COLUMN()-7-1)/2+1)&lt;&gt;"Starfsbundið",BS98="",BS$8="",BS$7=""),"",ROUND(BS98/BS$8*BS$7*KVARDI,2))</f>
        <v/>
      </c>
      <c r="BU98" s="39"/>
      <c r="BV98" s="40" t="str">
        <f aca="false">IF(OR(INDEX(Undirviðmið!$G$6:$G$105,(COLUMN()-7-1)/2+1)&lt;&gt;"Starfsbundið",BU98="",BU$8="",BU$7=""),"",ROUND(BU98/BU$8*BU$7*KVARDI,2))</f>
        <v/>
      </c>
      <c r="BW98" s="39"/>
      <c r="BX98" s="40" t="str">
        <f aca="false">IF(OR(INDEX(Undirviðmið!$G$6:$G$105,(COLUMN()-7-1)/2+1)&lt;&gt;"Starfsbundið",BW98="",BW$8="",BW$7=""),"",ROUND(BW98/BW$8*BW$7*KVARDI,2))</f>
        <v/>
      </c>
      <c r="BY98" s="39"/>
      <c r="BZ98" s="40" t="str">
        <f aca="false">IF(OR(INDEX(Undirviðmið!$G$6:$G$105,(COLUMN()-7-1)/2+1)&lt;&gt;"Starfsbundið",BY98="",BY$8="",BY$7=""),"",ROUND(BY98/BY$8*BY$7*KVARDI,2))</f>
        <v/>
      </c>
      <c r="CA98" s="39"/>
      <c r="CB98" s="40" t="str">
        <f aca="false">IF(OR(INDEX(Undirviðmið!$G$6:$G$105,(COLUMN()-7-1)/2+1)&lt;&gt;"Starfsbundið",CA98="",CA$8="",CA$7=""),"",ROUND(CA98/CA$8*CA$7*KVARDI,2))</f>
        <v/>
      </c>
      <c r="CC98" s="39"/>
      <c r="CD98" s="40" t="str">
        <f aca="false">IF(OR(INDEX(Undirviðmið!$G$6:$G$105,(COLUMN()-7-1)/2+1)&lt;&gt;"Starfsbundið",CC98="",CC$8="",CC$7=""),"",ROUND(CC98/CC$8*CC$7*KVARDI,2))</f>
        <v/>
      </c>
      <c r="CE98" s="39"/>
      <c r="CF98" s="40" t="str">
        <f aca="false">IF(OR(INDEX(Undirviðmið!$G$6:$G$105,(COLUMN()-7-1)/2+1)&lt;&gt;"Starfsbundið",CE98="",CE$8="",CE$7=""),"",ROUND(CE98/CE$8*CE$7*KVARDI,2))</f>
        <v/>
      </c>
      <c r="CG98" s="39"/>
      <c r="CH98" s="40" t="str">
        <f aca="false">IF(OR(INDEX(Undirviðmið!$G$6:$G$105,(COLUMN()-7-1)/2+1)&lt;&gt;"Starfsbundið",CG98="",CG$8="",CG$7=""),"",ROUND(CG98/CG$8*CG$7*KVARDI,2))</f>
        <v/>
      </c>
      <c r="CI98" s="39"/>
      <c r="CJ98" s="40" t="str">
        <f aca="false">IF(OR(INDEX(Undirviðmið!$G$6:$G$105,(COLUMN()-7-1)/2+1)&lt;&gt;"Starfsbundið",CI98="",CI$8="",CI$7=""),"",ROUND(CI98/CI$8*CI$7*KVARDI,2))</f>
        <v/>
      </c>
      <c r="CK98" s="39"/>
      <c r="CL98" s="40" t="str">
        <f aca="false">IF(OR(INDEX(Undirviðmið!$G$6:$G$105,(COLUMN()-7-1)/2+1)&lt;&gt;"Starfsbundið",CK98="",CK$8="",CK$7=""),"",ROUND(CK98/CK$8*CK$7*KVARDI,2))</f>
        <v/>
      </c>
      <c r="CM98" s="39"/>
      <c r="CN98" s="40" t="str">
        <f aca="false">IF(OR(INDEX(Undirviðmið!$G$6:$G$105,(COLUMN()-7-1)/2+1)&lt;&gt;"Starfsbundið",CM98="",CM$8="",CM$7=""),"",ROUND(CM98/CM$8*CM$7*KVARDI,2))</f>
        <v/>
      </c>
      <c r="CO98" s="39"/>
      <c r="CP98" s="40" t="str">
        <f aca="false">IF(OR(INDEX(Undirviðmið!$G$6:$G$105,(COLUMN()-7-1)/2+1)&lt;&gt;"Starfsbundið",CO98="",CO$8="",CO$7=""),"",ROUND(CO98/CO$8*CO$7*KVARDI,2))</f>
        <v/>
      </c>
      <c r="CQ98" s="39"/>
      <c r="CR98" s="40" t="str">
        <f aca="false">IF(OR(INDEX(Undirviðmið!$G$6:$G$105,(COLUMN()-7-1)/2+1)&lt;&gt;"Starfsbundið",CQ98="",CQ$8="",CQ$7=""),"",ROUND(CQ98/CQ$8*CQ$7*KVARDI,2))</f>
        <v/>
      </c>
      <c r="CS98" s="39"/>
      <c r="CT98" s="40" t="str">
        <f aca="false">IF(OR(INDEX(Undirviðmið!$G$6:$G$105,(COLUMN()-7-1)/2+1)&lt;&gt;"Starfsbundið",CS98="",CS$8="",CS$7=""),"",ROUND(CS98/CS$8*CS$7*KVARDI,2))</f>
        <v/>
      </c>
      <c r="CU98" s="39"/>
      <c r="CV98" s="40" t="str">
        <f aca="false">IF(OR(INDEX(Undirviðmið!$G$6:$G$105,(COLUMN()-7-1)/2+1)&lt;&gt;"Starfsbundið",CU98="",CU$8="",CU$7=""),"",ROUND(CU98/CU$8*CU$7*KVARDI,2))</f>
        <v/>
      </c>
      <c r="CW98" s="39"/>
      <c r="CX98" s="40" t="str">
        <f aca="false">IF(OR(INDEX(Undirviðmið!$G$6:$G$105,(COLUMN()-7-1)/2+1)&lt;&gt;"Starfsbundið",CW98="",CW$8="",CW$7=""),"",ROUND(CW98/CW$8*CW$7*KVARDI,2))</f>
        <v/>
      </c>
      <c r="CY98" s="39"/>
      <c r="CZ98" s="40" t="str">
        <f aca="false">IF(OR(INDEX(Undirviðmið!$G$6:$G$105,(COLUMN()-7-1)/2+1)&lt;&gt;"Starfsbundið",CY98="",CY$8="",CY$7=""),"",ROUND(CY98/CY$8*CY$7*KVARDI,2))</f>
        <v/>
      </c>
      <c r="DA98" s="39"/>
      <c r="DB98" s="40" t="str">
        <f aca="false">IF(OR(INDEX(Undirviðmið!$G$6:$G$105,(COLUMN()-7-1)/2+1)&lt;&gt;"Starfsbundið",DA98="",DA$8="",DA$7=""),"",ROUND(DA98/DA$8*DA$7*KVARDI,2))</f>
        <v/>
      </c>
      <c r="DC98" s="39"/>
      <c r="DD98" s="40" t="str">
        <f aca="false">IF(OR(INDEX(Undirviðmið!$G$6:$G$105,(COLUMN()-7-1)/2+1)&lt;&gt;"Starfsbundið",DC98="",DC$8="",DC$7=""),"",ROUND(DC98/DC$8*DC$7*KVARDI,2))</f>
        <v/>
      </c>
      <c r="DE98" s="39"/>
      <c r="DF98" s="40" t="str">
        <f aca="false">IF(OR(INDEX(Undirviðmið!$G$6:$G$105,(COLUMN()-7-1)/2+1)&lt;&gt;"Starfsbundið",DE98="",DE$8="",DE$7=""),"",ROUND(DE98/DE$8*DE$7*KVARDI,2))</f>
        <v/>
      </c>
      <c r="DG98" s="39"/>
      <c r="DH98" s="40" t="str">
        <f aca="false">IF(OR(INDEX(Undirviðmið!$G$6:$G$105,(COLUMN()-7-1)/2+1)&lt;&gt;"Starfsbundið",DG98="",DG$8="",DG$7=""),"",ROUND(DG98/DG$8*DG$7*KVARDI,2))</f>
        <v/>
      </c>
      <c r="DI98" s="39"/>
      <c r="DJ98" s="40" t="str">
        <f aca="false">IF(OR(INDEX(Undirviðmið!$G$6:$G$105,(COLUMN()-7-1)/2+1)&lt;&gt;"Starfsbundið",DI98="",DI$8="",DI$7=""),"",ROUND(DI98/DI$8*DI$7*KVARDI,2))</f>
        <v/>
      </c>
      <c r="DK98" s="39"/>
      <c r="DL98" s="40" t="str">
        <f aca="false">IF(OR(INDEX(Undirviðmið!$G$6:$G$105,(COLUMN()-7-1)/2+1)&lt;&gt;"Starfsbundið",DK98="",DK$8="",DK$7=""),"",ROUND(DK98/DK$8*DK$7*KVARDI,2))</f>
        <v/>
      </c>
      <c r="DM98" s="39"/>
      <c r="DN98" s="40" t="str">
        <f aca="false">IF(OR(INDEX(Undirviðmið!$G$6:$G$105,(COLUMN()-7-1)/2+1)&lt;&gt;"Starfsbundið",DM98="",DM$8="",DM$7=""),"",ROUND(DM98/DM$8*DM$7*KVARDI,2))</f>
        <v/>
      </c>
      <c r="DO98" s="39"/>
      <c r="DP98" s="40" t="str">
        <f aca="false">IF(OR(INDEX(Undirviðmið!$G$6:$G$105,(COLUMN()-7-1)/2+1)&lt;&gt;"Starfsbundið",DO98="",DO$8="",DO$7=""),"",ROUND(DO98/DO$8*DO$7*KVARDI,2))</f>
        <v/>
      </c>
      <c r="DQ98" s="39"/>
      <c r="DR98" s="40" t="str">
        <f aca="false">IF(OR(INDEX(Undirviðmið!$G$6:$G$105,(COLUMN()-7-1)/2+1)&lt;&gt;"Starfsbundið",DQ98="",DQ$8="",DQ$7=""),"",ROUND(DQ98/DQ$8*DQ$7*KVARDI,2))</f>
        <v/>
      </c>
      <c r="DS98" s="39"/>
      <c r="DT98" s="40" t="str">
        <f aca="false">IF(OR(INDEX(Undirviðmið!$G$6:$G$105,(COLUMN()-7-1)/2+1)&lt;&gt;"Starfsbundið",DS98="",DS$8="",DS$7=""),"",ROUND(DS98/DS$8*DS$7*KVARDI,2))</f>
        <v/>
      </c>
      <c r="DU98" s="39"/>
      <c r="DV98" s="40" t="str">
        <f aca="false">IF(OR(INDEX(Undirviðmið!$G$6:$G$105,(COLUMN()-7-1)/2+1)&lt;&gt;"Starfsbundið",DU98="",DU$8="",DU$7=""),"",ROUND(DU98/DU$8*DU$7*KVARDI,2))</f>
        <v/>
      </c>
      <c r="DW98" s="39"/>
      <c r="DX98" s="40" t="str">
        <f aca="false">IF(OR(INDEX(Undirviðmið!$G$6:$G$105,(COLUMN()-7-1)/2+1)&lt;&gt;"Starfsbundið",DW98="",DW$8="",DW$7=""),"",ROUND(DW98/DW$8*DW$7*KVARDI,2))</f>
        <v/>
      </c>
      <c r="DY98" s="39"/>
      <c r="DZ98" s="40" t="str">
        <f aca="false">IF(OR(INDEX(Undirviðmið!$G$6:$G$105,(COLUMN()-7-1)/2+1)&lt;&gt;"Starfsbundið",DY98="",DY$8="",DY$7=""),"",ROUND(DY98/DY$8*DY$7*KVARDI,2))</f>
        <v/>
      </c>
      <c r="EA98" s="39"/>
      <c r="EB98" s="40" t="str">
        <f aca="false">IF(OR(INDEX(Undirviðmið!$G$6:$G$105,(COLUMN()-7-1)/2+1)&lt;&gt;"Starfsbundið",EA98="",EA$8="",EA$7=""),"",ROUND(EA98/EA$8*EA$7*KVARDI,2))</f>
        <v/>
      </c>
      <c r="EC98" s="39"/>
      <c r="ED98" s="40" t="str">
        <f aca="false">IF(OR(INDEX(Undirviðmið!$G$6:$G$105,(COLUMN()-7-1)/2+1)&lt;&gt;"Starfsbundið",EC98="",EC$8="",EC$7=""),"",ROUND(EC98/EC$8*EC$7*KVARDI,2))</f>
        <v/>
      </c>
      <c r="EE98" s="39"/>
      <c r="EF98" s="40" t="str">
        <f aca="false">IF(OR(INDEX(Undirviðmið!$G$6:$G$105,(COLUMN()-7-1)/2+1)&lt;&gt;"Starfsbundið",EE98="",EE$8="",EE$7=""),"",ROUND(EE98/EE$8*EE$7*KVARDI,2))</f>
        <v/>
      </c>
      <c r="EG98" s="39"/>
      <c r="EH98" s="40" t="str">
        <f aca="false">IF(OR(INDEX(Undirviðmið!$G$6:$G$105,(COLUMN()-7-1)/2+1)&lt;&gt;"Starfsbundið",EG98="",EG$8="",EG$7=""),"",ROUND(EG98/EG$8*EG$7*KVARDI,2))</f>
        <v/>
      </c>
      <c r="EI98" s="39"/>
      <c r="EJ98" s="40" t="str">
        <f aca="false">IF(OR(INDEX(Undirviðmið!$G$6:$G$105,(COLUMN()-7-1)/2+1)&lt;&gt;"Starfsbundið",EI98="",EI$8="",EI$7=""),"",ROUND(EI98/EI$8*EI$7*KVARDI,2))</f>
        <v/>
      </c>
      <c r="EK98" s="39"/>
      <c r="EL98" s="40" t="str">
        <f aca="false">IF(OR(INDEX(Undirviðmið!$G$6:$G$105,(COLUMN()-7-1)/2+1)&lt;&gt;"Starfsbundið",EK98="",EK$8="",EK$7=""),"",ROUND(EK98/EK$8*EK$7*KVARDI,2))</f>
        <v/>
      </c>
      <c r="EM98" s="39"/>
      <c r="EN98" s="40" t="str">
        <f aca="false">IF(OR(INDEX(Undirviðmið!$G$6:$G$105,(COLUMN()-7-1)/2+1)&lt;&gt;"Starfsbundið",EM98="",EM$8="",EM$7=""),"",ROUND(EM98/EM$8*EM$7*KVARDI,2))</f>
        <v/>
      </c>
      <c r="EO98" s="39"/>
      <c r="EP98" s="40" t="str">
        <f aca="false">IF(OR(INDEX(Undirviðmið!$G$6:$G$105,(COLUMN()-7-1)/2+1)&lt;&gt;"Starfsbundið",EO98="",EO$8="",EO$7=""),"",ROUND(EO98/EO$8*EO$7*KVARDI,2))</f>
        <v/>
      </c>
      <c r="EQ98" s="39"/>
      <c r="ER98" s="40" t="str">
        <f aca="false">IF(OR(INDEX(Undirviðmið!$G$6:$G$105,(COLUMN()-7-1)/2+1)&lt;&gt;"Starfsbundið",EQ98="",EQ$8="",EQ$7=""),"",ROUND(EQ98/EQ$8*EQ$7*KVARDI,2))</f>
        <v/>
      </c>
      <c r="ES98" s="39"/>
      <c r="ET98" s="40" t="str">
        <f aca="false">IF(OR(INDEX(Undirviðmið!$G$6:$G$105,(COLUMN()-7-1)/2+1)&lt;&gt;"Starfsbundið",ES98="",ES$8="",ES$7=""),"",ROUND(ES98/ES$8*ES$7*KVARDI,2))</f>
        <v/>
      </c>
      <c r="EU98" s="39"/>
      <c r="EV98" s="40" t="str">
        <f aca="false">IF(OR(INDEX(Undirviðmið!$G$6:$G$105,(COLUMN()-7-1)/2+1)&lt;&gt;"Starfsbundið",EU98="",EU$8="",EU$7=""),"",ROUND(EU98/EU$8*EU$7*KVARDI,2))</f>
        <v/>
      </c>
      <c r="EW98" s="39"/>
      <c r="EX98" s="40" t="str">
        <f aca="false">IF(OR(INDEX(Undirviðmið!$G$6:$G$105,(COLUMN()-7-1)/2+1)&lt;&gt;"Starfsbundið",EW98="",EW$8="",EW$7=""),"",ROUND(EW98/EW$8*EW$7*KVARDI,2))</f>
        <v/>
      </c>
      <c r="EY98" s="39"/>
      <c r="EZ98" s="40" t="str">
        <f aca="false">IF(OR(INDEX(Undirviðmið!$G$6:$G$105,(COLUMN()-7-1)/2+1)&lt;&gt;"Starfsbundið",EY98="",EY$8="",EY$7=""),"",ROUND(EY98/EY$8*EY$7*KVARDI,2))</f>
        <v/>
      </c>
      <c r="FA98" s="39"/>
      <c r="FB98" s="40" t="str">
        <f aca="false">IF(OR(INDEX(Undirviðmið!$G$6:$G$105,(COLUMN()-7-1)/2+1)&lt;&gt;"Starfsbundið",FA98="",FA$8="",FA$7=""),"",ROUND(FA98/FA$8*FA$7*KVARDI,2))</f>
        <v/>
      </c>
      <c r="FC98" s="39"/>
      <c r="FD98" s="40" t="str">
        <f aca="false">IF(OR(INDEX(Undirviðmið!$G$6:$G$105,(COLUMN()-7-1)/2+1)&lt;&gt;"Starfsbundið",FC98="",FC$8="",FC$7=""),"",ROUND(FC98/FC$8*FC$7*KVARDI,2))</f>
        <v/>
      </c>
      <c r="FE98" s="39"/>
      <c r="FF98" s="40" t="str">
        <f aca="false">IF(OR(INDEX(Undirviðmið!$G$6:$G$105,(COLUMN()-7-1)/2+1)&lt;&gt;"Starfsbundið",FE98="",FE$8="",FE$7=""),"",ROUND(FE98/FE$8*FE$7*KVARDI,2))</f>
        <v/>
      </c>
      <c r="FG98" s="39"/>
      <c r="FH98" s="40" t="str">
        <f aca="false">IF(OR(INDEX(Undirviðmið!$G$6:$G$105,(COLUMN()-7-1)/2+1)&lt;&gt;"Starfsbundið",FG98="",FG$8="",FG$7=""),"",ROUND(FG98/FG$8*FG$7*KVARDI,2))</f>
        <v/>
      </c>
      <c r="FI98" s="39"/>
      <c r="FJ98" s="40" t="str">
        <f aca="false">IF(OR(INDEX(Undirviðmið!$G$6:$G$105,(COLUMN()-7-1)/2+1)&lt;&gt;"Starfsbundið",FI98="",FI$8="",FI$7=""),"",ROUND(FI98/FI$8*FI$7*KVARDI,2))</f>
        <v/>
      </c>
      <c r="FK98" s="39"/>
      <c r="FL98" s="40" t="str">
        <f aca="false">IF(OR(INDEX(Undirviðmið!$G$6:$G$105,(COLUMN()-7-1)/2+1)&lt;&gt;"Starfsbundið",FK98="",FK$8="",FK$7=""),"",ROUND(FK98/FK$8*FK$7*KVARDI,2))</f>
        <v/>
      </c>
      <c r="FM98" s="39"/>
      <c r="FN98" s="40" t="str">
        <f aca="false">IF(OR(INDEX(Undirviðmið!$G$6:$G$105,(COLUMN()-7-1)/2+1)&lt;&gt;"Starfsbundið",FM98="",FM$8="",FM$7=""),"",ROUND(FM98/FM$8*FM$7*KVARDI,2))</f>
        <v/>
      </c>
      <c r="FO98" s="39"/>
      <c r="FP98" s="40" t="str">
        <f aca="false">IF(OR(INDEX(Undirviðmið!$G$6:$G$105,(COLUMN()-7-1)/2+1)&lt;&gt;"Starfsbundið",FO98="",FO$8="",FO$7=""),"",ROUND(FO98/FO$8*FO$7*KVARDI,2))</f>
        <v/>
      </c>
      <c r="FQ98" s="39"/>
      <c r="FR98" s="40" t="str">
        <f aca="false">IF(OR(INDEX(Undirviðmið!$G$6:$G$105,(COLUMN()-7-1)/2+1)&lt;&gt;"Starfsbundið",FQ98="",FQ$8="",FQ$7=""),"",ROUND(FQ98/FQ$8*FQ$7*KVARDI,2))</f>
        <v/>
      </c>
      <c r="FS98" s="39"/>
      <c r="FT98" s="40" t="str">
        <f aca="false">IF(OR(INDEX(Undirviðmið!$G$6:$G$105,(COLUMN()-7-1)/2+1)&lt;&gt;"Starfsbundið",FS98="",FS$8="",FS$7=""),"",ROUND(FS98/FS$8*FS$7*KVARDI,2))</f>
        <v/>
      </c>
      <c r="FU98" s="39"/>
      <c r="FV98" s="40" t="str">
        <f aca="false">IF(OR(INDEX(Undirviðmið!$G$6:$G$105,(COLUMN()-7-1)/2+1)&lt;&gt;"Starfsbundið",FU98="",FU$8="",FU$7=""),"",ROUND(FU98/FU$8*FU$7*KVARDI,2))</f>
        <v/>
      </c>
      <c r="FW98" s="39"/>
      <c r="FX98" s="40" t="str">
        <f aca="false">IF(OR(INDEX(Undirviðmið!$G$6:$G$105,(COLUMN()-7-1)/2+1)&lt;&gt;"Starfsbundið",FW98="",FW$8="",FW$7=""),"",ROUND(FW98/FW$8*FW$7*KVARDI,2))</f>
        <v/>
      </c>
      <c r="FY98" s="39"/>
      <c r="FZ98" s="40" t="str">
        <f aca="false">IF(OR(INDEX(Undirviðmið!$G$6:$G$105,(COLUMN()-7-1)/2+1)&lt;&gt;"Starfsbundið",FY98="",FY$8="",FY$7=""),"",ROUND(FY98/FY$8*FY$7*KVARDI,2))</f>
        <v/>
      </c>
      <c r="GA98" s="39"/>
      <c r="GB98" s="40" t="str">
        <f aca="false">IF(OR(INDEX(Undirviðmið!$G$6:$G$105,(COLUMN()-7-1)/2+1)&lt;&gt;"Starfsbundið",GA98="",GA$8="",GA$7=""),"",ROUND(GA98/GA$8*GA$7*KVARDI,2))</f>
        <v/>
      </c>
      <c r="GC98" s="39"/>
      <c r="GD98" s="40" t="str">
        <f aca="false">IF(OR(INDEX(Undirviðmið!$G$6:$G$105,(COLUMN()-7-1)/2+1)&lt;&gt;"Starfsbundið",GC98="",GC$8="",GC$7=""),"",ROUND(GC98/GC$8*GC$7*KVARDI,2))</f>
        <v/>
      </c>
      <c r="GE98" s="39"/>
      <c r="GF98" s="40" t="str">
        <f aca="false">IF(OR(INDEX(Undirviðmið!$G$6:$G$105,(COLUMN()-7-1)/2+1)&lt;&gt;"Starfsbundið",GE98="",GE$8="",GE$7=""),"",ROUND(GE98/GE$8*GE$7*KVARDI,2))</f>
        <v/>
      </c>
      <c r="GG98" s="39"/>
      <c r="GH98" s="40" t="str">
        <f aca="false">IF(OR(INDEX(Undirviðmið!$G$6:$G$105,(COLUMN()-7-1)/2+1)&lt;&gt;"Starfsbundið",GG98="",GG$8="",GG$7=""),"",ROUND(GG98/GG$8*GG$7*KVARDI,2))</f>
        <v/>
      </c>
      <c r="GI98" s="39"/>
      <c r="GJ98" s="40" t="str">
        <f aca="false">IF(OR(INDEX(Undirviðmið!$G$6:$G$105,(COLUMN()-7-1)/2+1)&lt;&gt;"Starfsbundið",GI98="",GI$8="",GI$7=""),"",ROUND(GI98/GI$8*GI$7*KVARDI,2))</f>
        <v/>
      </c>
      <c r="GK98" s="39"/>
      <c r="GL98" s="40" t="str">
        <f aca="false">IF(OR(INDEX(Undirviðmið!$G$6:$G$105,(COLUMN()-7-1)/2+1)&lt;&gt;"Starfsbundið",GK98="",GK$8="",GK$7=""),"",ROUND(GK98/GK$8*GK$7*KVARDI,2))</f>
        <v/>
      </c>
      <c r="GM98" s="39"/>
      <c r="GN98" s="40" t="str">
        <f aca="false">IF(OR(INDEX(Undirviðmið!$G$6:$G$105,(COLUMN()-7-1)/2+1)&lt;&gt;"Starfsbundið",GM98="",GM$8="",GM$7=""),"",ROUND(GM98/GM$8*GM$7*KVARDI,2))</f>
        <v/>
      </c>
      <c r="GO98" s="39"/>
      <c r="GP98" s="40" t="str">
        <f aca="false">IF(OR(INDEX(Undirviðmið!$G$6:$G$105,(COLUMN()-7-1)/2+1)&lt;&gt;"Starfsbundið",GO98="",GO$8="",GO$7=""),"",ROUND(GO98/GO$8*GO$7*KVARDI,2))</f>
        <v/>
      </c>
      <c r="GQ98" s="39"/>
      <c r="GR98" s="40" t="str">
        <f aca="false">IF(OR(INDEX(Undirviðmið!$G$6:$G$105,(COLUMN()-7-1)/2+1)&lt;&gt;"Starfsbundið",GQ98="",GQ$8="",GQ$7=""),"",ROUND(GQ98/GQ$8*GQ$7*KVARDI,2))</f>
        <v/>
      </c>
      <c r="GS98" s="39"/>
      <c r="GT98" s="40" t="str">
        <f aca="false">IF(OR(INDEX(Undirviðmið!$G$6:$G$105,(COLUMN()-7-1)/2+1)&lt;&gt;"Starfsbundið",GS98="",GS$8="",GS$7=""),"",ROUND(GS98/GS$8*GS$7*KVARDI,2))</f>
        <v/>
      </c>
      <c r="GU98" s="39"/>
      <c r="GV98" s="40" t="str">
        <f aca="false">IF(OR(INDEX(Undirviðmið!$G$6:$G$105,(COLUMN()-7-1)/2+1)&lt;&gt;"Starfsbundið",GU98="",GU$8="",GU$7=""),"",ROUND(GU98/GU$8*GU$7*KVARDI,2))</f>
        <v/>
      </c>
      <c r="GW98" s="39"/>
      <c r="GX98" s="40" t="str">
        <f aca="false">IF(OR(INDEX(Undirviðmið!$G$6:$G$105,(COLUMN()-7-1)/2+1)&lt;&gt;"Starfsbundið",GW98="",GW$8="",GW$7=""),"",ROUND(GW98/GW$8*GW$7*KVARDI,2))</f>
        <v/>
      </c>
      <c r="GZ98" s="20"/>
    </row>
    <row r="99" customFormat="false" ht="15" hidden="true" customHeight="true" outlineLevel="1" collapsed="false">
      <c r="B99" s="37" t="str">
        <f aca="false" t="array" ref="B99:B99">IFERROR(INDEX(Starfsmenn!$C$6:$C$10005,MATCH(0,COUNTIF($B$11:B98,Starfsmenn!$C$6:$C$10005)+(Starfsmenn!$C$6:$C$10005=""),0)),"")</f>
        <v/>
      </c>
      <c r="C99" s="38" t="n">
        <f aca="false">IFERROR(SUMIF($G$10:$GX$10,"Stig",$G99:$GX99),0)</f>
        <v>0</v>
      </c>
      <c r="G99" s="39"/>
      <c r="H99" s="40" t="str">
        <f aca="false">IF(OR(INDEX(Undirviðmið!$G$6:$G$105,(COLUMN()-7-1)/2+1)&lt;&gt;"Starfsbundið",G99="",G$8="",G$7=""),"",ROUND(G99/G$8*G$7*KVARDI,2))</f>
        <v/>
      </c>
      <c r="I99" s="39"/>
      <c r="J99" s="40" t="str">
        <f aca="false">IF(OR(INDEX(Undirviðmið!$G$6:$G$105,(COLUMN()-7-1)/2+1)&lt;&gt;"Starfsbundið",I99="",I$8="",I$7=""),"",ROUND(I99/I$8*I$7*KVARDI,2))</f>
        <v/>
      </c>
      <c r="K99" s="39"/>
      <c r="L99" s="40" t="str">
        <f aca="false">IF(OR(INDEX(Undirviðmið!$G$6:$G$105,(COLUMN()-7-1)/2+1)&lt;&gt;"Starfsbundið",K99="",K$8="",K$7=""),"",ROUND(K99/K$8*K$7*KVARDI,2))</f>
        <v/>
      </c>
      <c r="M99" s="39"/>
      <c r="N99" s="40" t="str">
        <f aca="false">IF(OR(INDEX(Undirviðmið!$G$6:$G$105,(COLUMN()-7-1)/2+1)&lt;&gt;"Starfsbundið",M99="",M$8="",M$7=""),"",ROUND(M99/M$8*M$7*KVARDI,2))</f>
        <v/>
      </c>
      <c r="O99" s="39"/>
      <c r="P99" s="40" t="str">
        <f aca="false">IF(OR(INDEX(Undirviðmið!$G$6:$G$105,(COLUMN()-7-1)/2+1)&lt;&gt;"Starfsbundið",O99="",O$8="",O$7=""),"",ROUND(O99/O$8*O$7*KVARDI,2))</f>
        <v/>
      </c>
      <c r="Q99" s="39"/>
      <c r="R99" s="40" t="str">
        <f aca="false">IF(OR(INDEX(Undirviðmið!$G$6:$G$105,(COLUMN()-7-1)/2+1)&lt;&gt;"Starfsbundið",Q99="",Q$8="",Q$7=""),"",ROUND(Q99/Q$8*Q$7*KVARDI,2))</f>
        <v/>
      </c>
      <c r="S99" s="39"/>
      <c r="T99" s="40" t="str">
        <f aca="false">IF(OR(INDEX(Undirviðmið!$G$6:$G$105,(COLUMN()-7-1)/2+1)&lt;&gt;"Starfsbundið",S99="",S$8="",S$7=""),"",ROUND(S99/S$8*S$7*KVARDI,2))</f>
        <v/>
      </c>
      <c r="U99" s="39"/>
      <c r="V99" s="40" t="str">
        <f aca="false">IF(OR(INDEX(Undirviðmið!$G$6:$G$105,(COLUMN()-7-1)/2+1)&lt;&gt;"Starfsbundið",U99="",U$8="",U$7=""),"",ROUND(U99/U$8*U$7*KVARDI,2))</f>
        <v/>
      </c>
      <c r="W99" s="39"/>
      <c r="X99" s="40" t="str">
        <f aca="false">IF(OR(INDEX(Undirviðmið!$G$6:$G$105,(COLUMN()-7-1)/2+1)&lt;&gt;"Starfsbundið",W99="",W$8="",W$7=""),"",ROUND(W99/W$8*W$7*KVARDI,2))</f>
        <v/>
      </c>
      <c r="Y99" s="39"/>
      <c r="Z99" s="40" t="str">
        <f aca="false">IF(OR(INDEX(Undirviðmið!$G$6:$G$105,(COLUMN()-7-1)/2+1)&lt;&gt;"Starfsbundið",Y99="",Y$8="",Y$7=""),"",ROUND(Y99/Y$8*Y$7*KVARDI,2))</f>
        <v/>
      </c>
      <c r="AA99" s="39"/>
      <c r="AB99" s="40" t="str">
        <f aca="false">IF(OR(INDEX(Undirviðmið!$G$6:$G$105,(COLUMN()-7-1)/2+1)&lt;&gt;"Starfsbundið",AA99="",AA$8="",AA$7=""),"",ROUND(AA99/AA$8*AA$7*KVARDI,2))</f>
        <v/>
      </c>
      <c r="AC99" s="39"/>
      <c r="AD99" s="40" t="str">
        <f aca="false">IF(OR(INDEX(Undirviðmið!$G$6:$G$105,(COLUMN()-7-1)/2+1)&lt;&gt;"Starfsbundið",AC99="",AC$8="",AC$7=""),"",ROUND(AC99/AC$8*AC$7*KVARDI,2))</f>
        <v/>
      </c>
      <c r="AE99" s="39"/>
      <c r="AF99" s="40" t="str">
        <f aca="false">IF(OR(INDEX(Undirviðmið!$G$6:$G$105,(COLUMN()-7-1)/2+1)&lt;&gt;"Starfsbundið",AE99="",AE$8="",AE$7=""),"",ROUND(AE99/AE$8*AE$7*KVARDI,2))</f>
        <v/>
      </c>
      <c r="AG99" s="39"/>
      <c r="AH99" s="40" t="str">
        <f aca="false">IF(OR(INDEX(Undirviðmið!$G$6:$G$105,(COLUMN()-7-1)/2+1)&lt;&gt;"Starfsbundið",AG99="",AG$8="",AG$7=""),"",ROUND(AG99/AG$8*AG$7*KVARDI,2))</f>
        <v/>
      </c>
      <c r="AI99" s="39"/>
      <c r="AJ99" s="40" t="str">
        <f aca="false">IF(OR(INDEX(Undirviðmið!$G$6:$G$105,(COLUMN()-7-1)/2+1)&lt;&gt;"Starfsbundið",AI99="",AI$8="",AI$7=""),"",ROUND(AI99/AI$8*AI$7*KVARDI,2))</f>
        <v/>
      </c>
      <c r="AK99" s="39"/>
      <c r="AL99" s="40" t="str">
        <f aca="false">IF(OR(INDEX(Undirviðmið!$G$6:$G$105,(COLUMN()-7-1)/2+1)&lt;&gt;"Starfsbundið",AK99="",AK$8="",AK$7=""),"",ROUND(AK99/AK$8*AK$7*KVARDI,2))</f>
        <v/>
      </c>
      <c r="AM99" s="39"/>
      <c r="AN99" s="40" t="str">
        <f aca="false">IF(OR(INDEX(Undirviðmið!$G$6:$G$105,(COLUMN()-7-1)/2+1)&lt;&gt;"Starfsbundið",AM99="",AM$8="",AM$7=""),"",ROUND(AM99/AM$8*AM$7*KVARDI,2))</f>
        <v/>
      </c>
      <c r="AO99" s="39"/>
      <c r="AP99" s="40" t="str">
        <f aca="false">IF(OR(INDEX(Undirviðmið!$G$6:$G$105,(COLUMN()-7-1)/2+1)&lt;&gt;"Starfsbundið",AO99="",AO$8="",AO$7=""),"",ROUND(AO99/AO$8*AO$7*KVARDI,2))</f>
        <v/>
      </c>
      <c r="AQ99" s="39"/>
      <c r="AR99" s="40" t="str">
        <f aca="false">IF(OR(INDEX(Undirviðmið!$G$6:$G$105,(COLUMN()-7-1)/2+1)&lt;&gt;"Starfsbundið",AQ99="",AQ$8="",AQ$7=""),"",ROUND(AQ99/AQ$8*AQ$7*KVARDI,2))</f>
        <v/>
      </c>
      <c r="AS99" s="39"/>
      <c r="AT99" s="40" t="str">
        <f aca="false">IF(OR(INDEX(Undirviðmið!$G$6:$G$105,(COLUMN()-7-1)/2+1)&lt;&gt;"Starfsbundið",AS99="",AS$8="",AS$7=""),"",ROUND(AS99/AS$8*AS$7*KVARDI,2))</f>
        <v/>
      </c>
      <c r="AU99" s="39"/>
      <c r="AV99" s="40" t="str">
        <f aca="false">IF(OR(INDEX(Undirviðmið!$G$6:$G$105,(COLUMN()-7-1)/2+1)&lt;&gt;"Starfsbundið",AU99="",AU$8="",AU$7=""),"",ROUND(AU99/AU$8*AU$7*KVARDI,2))</f>
        <v/>
      </c>
      <c r="AW99" s="39"/>
      <c r="AX99" s="40" t="str">
        <f aca="false">IF(OR(INDEX(Undirviðmið!$G$6:$G$105,(COLUMN()-7-1)/2+1)&lt;&gt;"Starfsbundið",AW99="",AW$8="",AW$7=""),"",ROUND(AW99/AW$8*AW$7*KVARDI,2))</f>
        <v/>
      </c>
      <c r="AY99" s="39"/>
      <c r="AZ99" s="40" t="str">
        <f aca="false">IF(OR(INDEX(Undirviðmið!$G$6:$G$105,(COLUMN()-7-1)/2+1)&lt;&gt;"Starfsbundið",AY99="",AY$8="",AY$7=""),"",ROUND(AY99/AY$8*AY$7*KVARDI,2))</f>
        <v/>
      </c>
      <c r="BA99" s="39"/>
      <c r="BB99" s="40" t="str">
        <f aca="false">IF(OR(INDEX(Undirviðmið!$G$6:$G$105,(COLUMN()-7-1)/2+1)&lt;&gt;"Starfsbundið",BA99="",BA$8="",BA$7=""),"",ROUND(BA99/BA$8*BA$7*KVARDI,2))</f>
        <v/>
      </c>
      <c r="BC99" s="39"/>
      <c r="BD99" s="40" t="str">
        <f aca="false">IF(OR(INDEX(Undirviðmið!$G$6:$G$105,(COLUMN()-7-1)/2+1)&lt;&gt;"Starfsbundið",BC99="",BC$8="",BC$7=""),"",ROUND(BC99/BC$8*BC$7*KVARDI,2))</f>
        <v/>
      </c>
      <c r="BE99" s="39"/>
      <c r="BF99" s="40" t="str">
        <f aca="false">IF(OR(INDEX(Undirviðmið!$G$6:$G$105,(COLUMN()-7-1)/2+1)&lt;&gt;"Starfsbundið",BE99="",BE$8="",BE$7=""),"",ROUND(BE99/BE$8*BE$7*KVARDI,2))</f>
        <v/>
      </c>
      <c r="BG99" s="39"/>
      <c r="BH99" s="40" t="str">
        <f aca="false">IF(OR(INDEX(Undirviðmið!$G$6:$G$105,(COLUMN()-7-1)/2+1)&lt;&gt;"Starfsbundið",BG99="",BG$8="",BG$7=""),"",ROUND(BG99/BG$8*BG$7*KVARDI,2))</f>
        <v/>
      </c>
      <c r="BI99" s="39"/>
      <c r="BJ99" s="40" t="str">
        <f aca="false">IF(OR(INDEX(Undirviðmið!$G$6:$G$105,(COLUMN()-7-1)/2+1)&lt;&gt;"Starfsbundið",BI99="",BI$8="",BI$7=""),"",ROUND(BI99/BI$8*BI$7*KVARDI,2))</f>
        <v/>
      </c>
      <c r="BK99" s="39"/>
      <c r="BL99" s="40" t="str">
        <f aca="false">IF(OR(INDEX(Undirviðmið!$G$6:$G$105,(COLUMN()-7-1)/2+1)&lt;&gt;"Starfsbundið",BK99="",BK$8="",BK$7=""),"",ROUND(BK99/BK$8*BK$7*KVARDI,2))</f>
        <v/>
      </c>
      <c r="BM99" s="39"/>
      <c r="BN99" s="40" t="str">
        <f aca="false">IF(OR(INDEX(Undirviðmið!$G$6:$G$105,(COLUMN()-7-1)/2+1)&lt;&gt;"Starfsbundið",BM99="",BM$8="",BM$7=""),"",ROUND(BM99/BM$8*BM$7*KVARDI,2))</f>
        <v/>
      </c>
      <c r="BO99" s="39"/>
      <c r="BP99" s="40" t="str">
        <f aca="false">IF(OR(INDEX(Undirviðmið!$G$6:$G$105,(COLUMN()-7-1)/2+1)&lt;&gt;"Starfsbundið",BO99="",BO$8="",BO$7=""),"",ROUND(BO99/BO$8*BO$7*KVARDI,2))</f>
        <v/>
      </c>
      <c r="BQ99" s="39"/>
      <c r="BR99" s="40" t="str">
        <f aca="false">IF(OR(INDEX(Undirviðmið!$G$6:$G$105,(COLUMN()-7-1)/2+1)&lt;&gt;"Starfsbundið",BQ99="",BQ$8="",BQ$7=""),"",ROUND(BQ99/BQ$8*BQ$7*KVARDI,2))</f>
        <v/>
      </c>
      <c r="BS99" s="39"/>
      <c r="BT99" s="40" t="str">
        <f aca="false">IF(OR(INDEX(Undirviðmið!$G$6:$G$105,(COLUMN()-7-1)/2+1)&lt;&gt;"Starfsbundið",BS99="",BS$8="",BS$7=""),"",ROUND(BS99/BS$8*BS$7*KVARDI,2))</f>
        <v/>
      </c>
      <c r="BU99" s="39"/>
      <c r="BV99" s="40" t="str">
        <f aca="false">IF(OR(INDEX(Undirviðmið!$G$6:$G$105,(COLUMN()-7-1)/2+1)&lt;&gt;"Starfsbundið",BU99="",BU$8="",BU$7=""),"",ROUND(BU99/BU$8*BU$7*KVARDI,2))</f>
        <v/>
      </c>
      <c r="BW99" s="39"/>
      <c r="BX99" s="40" t="str">
        <f aca="false">IF(OR(INDEX(Undirviðmið!$G$6:$G$105,(COLUMN()-7-1)/2+1)&lt;&gt;"Starfsbundið",BW99="",BW$8="",BW$7=""),"",ROUND(BW99/BW$8*BW$7*KVARDI,2))</f>
        <v/>
      </c>
      <c r="BY99" s="39"/>
      <c r="BZ99" s="40" t="str">
        <f aca="false">IF(OR(INDEX(Undirviðmið!$G$6:$G$105,(COLUMN()-7-1)/2+1)&lt;&gt;"Starfsbundið",BY99="",BY$8="",BY$7=""),"",ROUND(BY99/BY$8*BY$7*KVARDI,2))</f>
        <v/>
      </c>
      <c r="CA99" s="39"/>
      <c r="CB99" s="40" t="str">
        <f aca="false">IF(OR(INDEX(Undirviðmið!$G$6:$G$105,(COLUMN()-7-1)/2+1)&lt;&gt;"Starfsbundið",CA99="",CA$8="",CA$7=""),"",ROUND(CA99/CA$8*CA$7*KVARDI,2))</f>
        <v/>
      </c>
      <c r="CC99" s="39"/>
      <c r="CD99" s="40" t="str">
        <f aca="false">IF(OR(INDEX(Undirviðmið!$G$6:$G$105,(COLUMN()-7-1)/2+1)&lt;&gt;"Starfsbundið",CC99="",CC$8="",CC$7=""),"",ROUND(CC99/CC$8*CC$7*KVARDI,2))</f>
        <v/>
      </c>
      <c r="CE99" s="39"/>
      <c r="CF99" s="40" t="str">
        <f aca="false">IF(OR(INDEX(Undirviðmið!$G$6:$G$105,(COLUMN()-7-1)/2+1)&lt;&gt;"Starfsbundið",CE99="",CE$8="",CE$7=""),"",ROUND(CE99/CE$8*CE$7*KVARDI,2))</f>
        <v/>
      </c>
      <c r="CG99" s="39"/>
      <c r="CH99" s="40" t="str">
        <f aca="false">IF(OR(INDEX(Undirviðmið!$G$6:$G$105,(COLUMN()-7-1)/2+1)&lt;&gt;"Starfsbundið",CG99="",CG$8="",CG$7=""),"",ROUND(CG99/CG$8*CG$7*KVARDI,2))</f>
        <v/>
      </c>
      <c r="CI99" s="39"/>
      <c r="CJ99" s="40" t="str">
        <f aca="false">IF(OR(INDEX(Undirviðmið!$G$6:$G$105,(COLUMN()-7-1)/2+1)&lt;&gt;"Starfsbundið",CI99="",CI$8="",CI$7=""),"",ROUND(CI99/CI$8*CI$7*KVARDI,2))</f>
        <v/>
      </c>
      <c r="CK99" s="39"/>
      <c r="CL99" s="40" t="str">
        <f aca="false">IF(OR(INDEX(Undirviðmið!$G$6:$G$105,(COLUMN()-7-1)/2+1)&lt;&gt;"Starfsbundið",CK99="",CK$8="",CK$7=""),"",ROUND(CK99/CK$8*CK$7*KVARDI,2))</f>
        <v/>
      </c>
      <c r="CM99" s="39"/>
      <c r="CN99" s="40" t="str">
        <f aca="false">IF(OR(INDEX(Undirviðmið!$G$6:$G$105,(COLUMN()-7-1)/2+1)&lt;&gt;"Starfsbundið",CM99="",CM$8="",CM$7=""),"",ROUND(CM99/CM$8*CM$7*KVARDI,2))</f>
        <v/>
      </c>
      <c r="CO99" s="39"/>
      <c r="CP99" s="40" t="str">
        <f aca="false">IF(OR(INDEX(Undirviðmið!$G$6:$G$105,(COLUMN()-7-1)/2+1)&lt;&gt;"Starfsbundið",CO99="",CO$8="",CO$7=""),"",ROUND(CO99/CO$8*CO$7*KVARDI,2))</f>
        <v/>
      </c>
      <c r="CQ99" s="39"/>
      <c r="CR99" s="40" t="str">
        <f aca="false">IF(OR(INDEX(Undirviðmið!$G$6:$G$105,(COLUMN()-7-1)/2+1)&lt;&gt;"Starfsbundið",CQ99="",CQ$8="",CQ$7=""),"",ROUND(CQ99/CQ$8*CQ$7*KVARDI,2))</f>
        <v/>
      </c>
      <c r="CS99" s="39"/>
      <c r="CT99" s="40" t="str">
        <f aca="false">IF(OR(INDEX(Undirviðmið!$G$6:$G$105,(COLUMN()-7-1)/2+1)&lt;&gt;"Starfsbundið",CS99="",CS$8="",CS$7=""),"",ROUND(CS99/CS$8*CS$7*KVARDI,2))</f>
        <v/>
      </c>
      <c r="CU99" s="39"/>
      <c r="CV99" s="40" t="str">
        <f aca="false">IF(OR(INDEX(Undirviðmið!$G$6:$G$105,(COLUMN()-7-1)/2+1)&lt;&gt;"Starfsbundið",CU99="",CU$8="",CU$7=""),"",ROUND(CU99/CU$8*CU$7*KVARDI,2))</f>
        <v/>
      </c>
      <c r="CW99" s="39"/>
      <c r="CX99" s="40" t="str">
        <f aca="false">IF(OR(INDEX(Undirviðmið!$G$6:$G$105,(COLUMN()-7-1)/2+1)&lt;&gt;"Starfsbundið",CW99="",CW$8="",CW$7=""),"",ROUND(CW99/CW$8*CW$7*KVARDI,2))</f>
        <v/>
      </c>
      <c r="CY99" s="39"/>
      <c r="CZ99" s="40" t="str">
        <f aca="false">IF(OR(INDEX(Undirviðmið!$G$6:$G$105,(COLUMN()-7-1)/2+1)&lt;&gt;"Starfsbundið",CY99="",CY$8="",CY$7=""),"",ROUND(CY99/CY$8*CY$7*KVARDI,2))</f>
        <v/>
      </c>
      <c r="DA99" s="39"/>
      <c r="DB99" s="40" t="str">
        <f aca="false">IF(OR(INDEX(Undirviðmið!$G$6:$G$105,(COLUMN()-7-1)/2+1)&lt;&gt;"Starfsbundið",DA99="",DA$8="",DA$7=""),"",ROUND(DA99/DA$8*DA$7*KVARDI,2))</f>
        <v/>
      </c>
      <c r="DC99" s="39"/>
      <c r="DD99" s="40" t="str">
        <f aca="false">IF(OR(INDEX(Undirviðmið!$G$6:$G$105,(COLUMN()-7-1)/2+1)&lt;&gt;"Starfsbundið",DC99="",DC$8="",DC$7=""),"",ROUND(DC99/DC$8*DC$7*KVARDI,2))</f>
        <v/>
      </c>
      <c r="DE99" s="39"/>
      <c r="DF99" s="40" t="str">
        <f aca="false">IF(OR(INDEX(Undirviðmið!$G$6:$G$105,(COLUMN()-7-1)/2+1)&lt;&gt;"Starfsbundið",DE99="",DE$8="",DE$7=""),"",ROUND(DE99/DE$8*DE$7*KVARDI,2))</f>
        <v/>
      </c>
      <c r="DG99" s="39"/>
      <c r="DH99" s="40" t="str">
        <f aca="false">IF(OR(INDEX(Undirviðmið!$G$6:$G$105,(COLUMN()-7-1)/2+1)&lt;&gt;"Starfsbundið",DG99="",DG$8="",DG$7=""),"",ROUND(DG99/DG$8*DG$7*KVARDI,2))</f>
        <v/>
      </c>
      <c r="DI99" s="39"/>
      <c r="DJ99" s="40" t="str">
        <f aca="false">IF(OR(INDEX(Undirviðmið!$G$6:$G$105,(COLUMN()-7-1)/2+1)&lt;&gt;"Starfsbundið",DI99="",DI$8="",DI$7=""),"",ROUND(DI99/DI$8*DI$7*KVARDI,2))</f>
        <v/>
      </c>
      <c r="DK99" s="39"/>
      <c r="DL99" s="40" t="str">
        <f aca="false">IF(OR(INDEX(Undirviðmið!$G$6:$G$105,(COLUMN()-7-1)/2+1)&lt;&gt;"Starfsbundið",DK99="",DK$8="",DK$7=""),"",ROUND(DK99/DK$8*DK$7*KVARDI,2))</f>
        <v/>
      </c>
      <c r="DM99" s="39"/>
      <c r="DN99" s="40" t="str">
        <f aca="false">IF(OR(INDEX(Undirviðmið!$G$6:$G$105,(COLUMN()-7-1)/2+1)&lt;&gt;"Starfsbundið",DM99="",DM$8="",DM$7=""),"",ROUND(DM99/DM$8*DM$7*KVARDI,2))</f>
        <v/>
      </c>
      <c r="DO99" s="39"/>
      <c r="DP99" s="40" t="str">
        <f aca="false">IF(OR(INDEX(Undirviðmið!$G$6:$G$105,(COLUMN()-7-1)/2+1)&lt;&gt;"Starfsbundið",DO99="",DO$8="",DO$7=""),"",ROUND(DO99/DO$8*DO$7*KVARDI,2))</f>
        <v/>
      </c>
      <c r="DQ99" s="39"/>
      <c r="DR99" s="40" t="str">
        <f aca="false">IF(OR(INDEX(Undirviðmið!$G$6:$G$105,(COLUMN()-7-1)/2+1)&lt;&gt;"Starfsbundið",DQ99="",DQ$8="",DQ$7=""),"",ROUND(DQ99/DQ$8*DQ$7*KVARDI,2))</f>
        <v/>
      </c>
      <c r="DS99" s="39"/>
      <c r="DT99" s="40" t="str">
        <f aca="false">IF(OR(INDEX(Undirviðmið!$G$6:$G$105,(COLUMN()-7-1)/2+1)&lt;&gt;"Starfsbundið",DS99="",DS$8="",DS$7=""),"",ROUND(DS99/DS$8*DS$7*KVARDI,2))</f>
        <v/>
      </c>
      <c r="DU99" s="39"/>
      <c r="DV99" s="40" t="str">
        <f aca="false">IF(OR(INDEX(Undirviðmið!$G$6:$G$105,(COLUMN()-7-1)/2+1)&lt;&gt;"Starfsbundið",DU99="",DU$8="",DU$7=""),"",ROUND(DU99/DU$8*DU$7*KVARDI,2))</f>
        <v/>
      </c>
      <c r="DW99" s="39"/>
      <c r="DX99" s="40" t="str">
        <f aca="false">IF(OR(INDEX(Undirviðmið!$G$6:$G$105,(COLUMN()-7-1)/2+1)&lt;&gt;"Starfsbundið",DW99="",DW$8="",DW$7=""),"",ROUND(DW99/DW$8*DW$7*KVARDI,2))</f>
        <v/>
      </c>
      <c r="DY99" s="39"/>
      <c r="DZ99" s="40" t="str">
        <f aca="false">IF(OR(INDEX(Undirviðmið!$G$6:$G$105,(COLUMN()-7-1)/2+1)&lt;&gt;"Starfsbundið",DY99="",DY$8="",DY$7=""),"",ROUND(DY99/DY$8*DY$7*KVARDI,2))</f>
        <v/>
      </c>
      <c r="EA99" s="39"/>
      <c r="EB99" s="40" t="str">
        <f aca="false">IF(OR(INDEX(Undirviðmið!$G$6:$G$105,(COLUMN()-7-1)/2+1)&lt;&gt;"Starfsbundið",EA99="",EA$8="",EA$7=""),"",ROUND(EA99/EA$8*EA$7*KVARDI,2))</f>
        <v/>
      </c>
      <c r="EC99" s="39"/>
      <c r="ED99" s="40" t="str">
        <f aca="false">IF(OR(INDEX(Undirviðmið!$G$6:$G$105,(COLUMN()-7-1)/2+1)&lt;&gt;"Starfsbundið",EC99="",EC$8="",EC$7=""),"",ROUND(EC99/EC$8*EC$7*KVARDI,2))</f>
        <v/>
      </c>
      <c r="EE99" s="39"/>
      <c r="EF99" s="40" t="str">
        <f aca="false">IF(OR(INDEX(Undirviðmið!$G$6:$G$105,(COLUMN()-7-1)/2+1)&lt;&gt;"Starfsbundið",EE99="",EE$8="",EE$7=""),"",ROUND(EE99/EE$8*EE$7*KVARDI,2))</f>
        <v/>
      </c>
      <c r="EG99" s="39"/>
      <c r="EH99" s="40" t="str">
        <f aca="false">IF(OR(INDEX(Undirviðmið!$G$6:$G$105,(COLUMN()-7-1)/2+1)&lt;&gt;"Starfsbundið",EG99="",EG$8="",EG$7=""),"",ROUND(EG99/EG$8*EG$7*KVARDI,2))</f>
        <v/>
      </c>
      <c r="EI99" s="39"/>
      <c r="EJ99" s="40" t="str">
        <f aca="false">IF(OR(INDEX(Undirviðmið!$G$6:$G$105,(COLUMN()-7-1)/2+1)&lt;&gt;"Starfsbundið",EI99="",EI$8="",EI$7=""),"",ROUND(EI99/EI$8*EI$7*KVARDI,2))</f>
        <v/>
      </c>
      <c r="EK99" s="39"/>
      <c r="EL99" s="40" t="str">
        <f aca="false">IF(OR(INDEX(Undirviðmið!$G$6:$G$105,(COLUMN()-7-1)/2+1)&lt;&gt;"Starfsbundið",EK99="",EK$8="",EK$7=""),"",ROUND(EK99/EK$8*EK$7*KVARDI,2))</f>
        <v/>
      </c>
      <c r="EM99" s="39"/>
      <c r="EN99" s="40" t="str">
        <f aca="false">IF(OR(INDEX(Undirviðmið!$G$6:$G$105,(COLUMN()-7-1)/2+1)&lt;&gt;"Starfsbundið",EM99="",EM$8="",EM$7=""),"",ROUND(EM99/EM$8*EM$7*KVARDI,2))</f>
        <v/>
      </c>
      <c r="EO99" s="39"/>
      <c r="EP99" s="40" t="str">
        <f aca="false">IF(OR(INDEX(Undirviðmið!$G$6:$G$105,(COLUMN()-7-1)/2+1)&lt;&gt;"Starfsbundið",EO99="",EO$8="",EO$7=""),"",ROUND(EO99/EO$8*EO$7*KVARDI,2))</f>
        <v/>
      </c>
      <c r="EQ99" s="39"/>
      <c r="ER99" s="40" t="str">
        <f aca="false">IF(OR(INDEX(Undirviðmið!$G$6:$G$105,(COLUMN()-7-1)/2+1)&lt;&gt;"Starfsbundið",EQ99="",EQ$8="",EQ$7=""),"",ROUND(EQ99/EQ$8*EQ$7*KVARDI,2))</f>
        <v/>
      </c>
      <c r="ES99" s="39"/>
      <c r="ET99" s="40" t="str">
        <f aca="false">IF(OR(INDEX(Undirviðmið!$G$6:$G$105,(COLUMN()-7-1)/2+1)&lt;&gt;"Starfsbundið",ES99="",ES$8="",ES$7=""),"",ROUND(ES99/ES$8*ES$7*KVARDI,2))</f>
        <v/>
      </c>
      <c r="EU99" s="39"/>
      <c r="EV99" s="40" t="str">
        <f aca="false">IF(OR(INDEX(Undirviðmið!$G$6:$G$105,(COLUMN()-7-1)/2+1)&lt;&gt;"Starfsbundið",EU99="",EU$8="",EU$7=""),"",ROUND(EU99/EU$8*EU$7*KVARDI,2))</f>
        <v/>
      </c>
      <c r="EW99" s="39"/>
      <c r="EX99" s="40" t="str">
        <f aca="false">IF(OR(INDEX(Undirviðmið!$G$6:$G$105,(COLUMN()-7-1)/2+1)&lt;&gt;"Starfsbundið",EW99="",EW$8="",EW$7=""),"",ROUND(EW99/EW$8*EW$7*KVARDI,2))</f>
        <v/>
      </c>
      <c r="EY99" s="39"/>
      <c r="EZ99" s="40" t="str">
        <f aca="false">IF(OR(INDEX(Undirviðmið!$G$6:$G$105,(COLUMN()-7-1)/2+1)&lt;&gt;"Starfsbundið",EY99="",EY$8="",EY$7=""),"",ROUND(EY99/EY$8*EY$7*KVARDI,2))</f>
        <v/>
      </c>
      <c r="FA99" s="39"/>
      <c r="FB99" s="40" t="str">
        <f aca="false">IF(OR(INDEX(Undirviðmið!$G$6:$G$105,(COLUMN()-7-1)/2+1)&lt;&gt;"Starfsbundið",FA99="",FA$8="",FA$7=""),"",ROUND(FA99/FA$8*FA$7*KVARDI,2))</f>
        <v/>
      </c>
      <c r="FC99" s="39"/>
      <c r="FD99" s="40" t="str">
        <f aca="false">IF(OR(INDEX(Undirviðmið!$G$6:$G$105,(COLUMN()-7-1)/2+1)&lt;&gt;"Starfsbundið",FC99="",FC$8="",FC$7=""),"",ROUND(FC99/FC$8*FC$7*KVARDI,2))</f>
        <v/>
      </c>
      <c r="FE99" s="39"/>
      <c r="FF99" s="40" t="str">
        <f aca="false">IF(OR(INDEX(Undirviðmið!$G$6:$G$105,(COLUMN()-7-1)/2+1)&lt;&gt;"Starfsbundið",FE99="",FE$8="",FE$7=""),"",ROUND(FE99/FE$8*FE$7*KVARDI,2))</f>
        <v/>
      </c>
      <c r="FG99" s="39"/>
      <c r="FH99" s="40" t="str">
        <f aca="false">IF(OR(INDEX(Undirviðmið!$G$6:$G$105,(COLUMN()-7-1)/2+1)&lt;&gt;"Starfsbundið",FG99="",FG$8="",FG$7=""),"",ROUND(FG99/FG$8*FG$7*KVARDI,2))</f>
        <v/>
      </c>
      <c r="FI99" s="39"/>
      <c r="FJ99" s="40" t="str">
        <f aca="false">IF(OR(INDEX(Undirviðmið!$G$6:$G$105,(COLUMN()-7-1)/2+1)&lt;&gt;"Starfsbundið",FI99="",FI$8="",FI$7=""),"",ROUND(FI99/FI$8*FI$7*KVARDI,2))</f>
        <v/>
      </c>
      <c r="FK99" s="39"/>
      <c r="FL99" s="40" t="str">
        <f aca="false">IF(OR(INDEX(Undirviðmið!$G$6:$G$105,(COLUMN()-7-1)/2+1)&lt;&gt;"Starfsbundið",FK99="",FK$8="",FK$7=""),"",ROUND(FK99/FK$8*FK$7*KVARDI,2))</f>
        <v/>
      </c>
      <c r="FM99" s="39"/>
      <c r="FN99" s="40" t="str">
        <f aca="false">IF(OR(INDEX(Undirviðmið!$G$6:$G$105,(COLUMN()-7-1)/2+1)&lt;&gt;"Starfsbundið",FM99="",FM$8="",FM$7=""),"",ROUND(FM99/FM$8*FM$7*KVARDI,2))</f>
        <v/>
      </c>
      <c r="FO99" s="39"/>
      <c r="FP99" s="40" t="str">
        <f aca="false">IF(OR(INDEX(Undirviðmið!$G$6:$G$105,(COLUMN()-7-1)/2+1)&lt;&gt;"Starfsbundið",FO99="",FO$8="",FO$7=""),"",ROUND(FO99/FO$8*FO$7*KVARDI,2))</f>
        <v/>
      </c>
      <c r="FQ99" s="39"/>
      <c r="FR99" s="40" t="str">
        <f aca="false">IF(OR(INDEX(Undirviðmið!$G$6:$G$105,(COLUMN()-7-1)/2+1)&lt;&gt;"Starfsbundið",FQ99="",FQ$8="",FQ$7=""),"",ROUND(FQ99/FQ$8*FQ$7*KVARDI,2))</f>
        <v/>
      </c>
      <c r="FS99" s="39"/>
      <c r="FT99" s="40" t="str">
        <f aca="false">IF(OR(INDEX(Undirviðmið!$G$6:$G$105,(COLUMN()-7-1)/2+1)&lt;&gt;"Starfsbundið",FS99="",FS$8="",FS$7=""),"",ROUND(FS99/FS$8*FS$7*KVARDI,2))</f>
        <v/>
      </c>
      <c r="FU99" s="39"/>
      <c r="FV99" s="40" t="str">
        <f aca="false">IF(OR(INDEX(Undirviðmið!$G$6:$G$105,(COLUMN()-7-1)/2+1)&lt;&gt;"Starfsbundið",FU99="",FU$8="",FU$7=""),"",ROUND(FU99/FU$8*FU$7*KVARDI,2))</f>
        <v/>
      </c>
      <c r="FW99" s="39"/>
      <c r="FX99" s="40" t="str">
        <f aca="false">IF(OR(INDEX(Undirviðmið!$G$6:$G$105,(COLUMN()-7-1)/2+1)&lt;&gt;"Starfsbundið",FW99="",FW$8="",FW$7=""),"",ROUND(FW99/FW$8*FW$7*KVARDI,2))</f>
        <v/>
      </c>
      <c r="FY99" s="39"/>
      <c r="FZ99" s="40" t="str">
        <f aca="false">IF(OR(INDEX(Undirviðmið!$G$6:$G$105,(COLUMN()-7-1)/2+1)&lt;&gt;"Starfsbundið",FY99="",FY$8="",FY$7=""),"",ROUND(FY99/FY$8*FY$7*KVARDI,2))</f>
        <v/>
      </c>
      <c r="GA99" s="39"/>
      <c r="GB99" s="40" t="str">
        <f aca="false">IF(OR(INDEX(Undirviðmið!$G$6:$G$105,(COLUMN()-7-1)/2+1)&lt;&gt;"Starfsbundið",GA99="",GA$8="",GA$7=""),"",ROUND(GA99/GA$8*GA$7*KVARDI,2))</f>
        <v/>
      </c>
      <c r="GC99" s="39"/>
      <c r="GD99" s="40" t="str">
        <f aca="false">IF(OR(INDEX(Undirviðmið!$G$6:$G$105,(COLUMN()-7-1)/2+1)&lt;&gt;"Starfsbundið",GC99="",GC$8="",GC$7=""),"",ROUND(GC99/GC$8*GC$7*KVARDI,2))</f>
        <v/>
      </c>
      <c r="GE99" s="39"/>
      <c r="GF99" s="40" t="str">
        <f aca="false">IF(OR(INDEX(Undirviðmið!$G$6:$G$105,(COLUMN()-7-1)/2+1)&lt;&gt;"Starfsbundið",GE99="",GE$8="",GE$7=""),"",ROUND(GE99/GE$8*GE$7*KVARDI,2))</f>
        <v/>
      </c>
      <c r="GG99" s="39"/>
      <c r="GH99" s="40" t="str">
        <f aca="false">IF(OR(INDEX(Undirviðmið!$G$6:$G$105,(COLUMN()-7-1)/2+1)&lt;&gt;"Starfsbundið",GG99="",GG$8="",GG$7=""),"",ROUND(GG99/GG$8*GG$7*KVARDI,2))</f>
        <v/>
      </c>
      <c r="GI99" s="39"/>
      <c r="GJ99" s="40" t="str">
        <f aca="false">IF(OR(INDEX(Undirviðmið!$G$6:$G$105,(COLUMN()-7-1)/2+1)&lt;&gt;"Starfsbundið",GI99="",GI$8="",GI$7=""),"",ROUND(GI99/GI$8*GI$7*KVARDI,2))</f>
        <v/>
      </c>
      <c r="GK99" s="39"/>
      <c r="GL99" s="40" t="str">
        <f aca="false">IF(OR(INDEX(Undirviðmið!$G$6:$G$105,(COLUMN()-7-1)/2+1)&lt;&gt;"Starfsbundið",GK99="",GK$8="",GK$7=""),"",ROUND(GK99/GK$8*GK$7*KVARDI,2))</f>
        <v/>
      </c>
      <c r="GM99" s="39"/>
      <c r="GN99" s="40" t="str">
        <f aca="false">IF(OR(INDEX(Undirviðmið!$G$6:$G$105,(COLUMN()-7-1)/2+1)&lt;&gt;"Starfsbundið",GM99="",GM$8="",GM$7=""),"",ROUND(GM99/GM$8*GM$7*KVARDI,2))</f>
        <v/>
      </c>
      <c r="GO99" s="39"/>
      <c r="GP99" s="40" t="str">
        <f aca="false">IF(OR(INDEX(Undirviðmið!$G$6:$G$105,(COLUMN()-7-1)/2+1)&lt;&gt;"Starfsbundið",GO99="",GO$8="",GO$7=""),"",ROUND(GO99/GO$8*GO$7*KVARDI,2))</f>
        <v/>
      </c>
      <c r="GQ99" s="39"/>
      <c r="GR99" s="40" t="str">
        <f aca="false">IF(OR(INDEX(Undirviðmið!$G$6:$G$105,(COLUMN()-7-1)/2+1)&lt;&gt;"Starfsbundið",GQ99="",GQ$8="",GQ$7=""),"",ROUND(GQ99/GQ$8*GQ$7*KVARDI,2))</f>
        <v/>
      </c>
      <c r="GS99" s="39"/>
      <c r="GT99" s="40" t="str">
        <f aca="false">IF(OR(INDEX(Undirviðmið!$G$6:$G$105,(COLUMN()-7-1)/2+1)&lt;&gt;"Starfsbundið",GS99="",GS$8="",GS$7=""),"",ROUND(GS99/GS$8*GS$7*KVARDI,2))</f>
        <v/>
      </c>
      <c r="GU99" s="39"/>
      <c r="GV99" s="40" t="str">
        <f aca="false">IF(OR(INDEX(Undirviðmið!$G$6:$G$105,(COLUMN()-7-1)/2+1)&lt;&gt;"Starfsbundið",GU99="",GU$8="",GU$7=""),"",ROUND(GU99/GU$8*GU$7*KVARDI,2))</f>
        <v/>
      </c>
      <c r="GW99" s="39"/>
      <c r="GX99" s="40" t="str">
        <f aca="false">IF(OR(INDEX(Undirviðmið!$G$6:$G$105,(COLUMN()-7-1)/2+1)&lt;&gt;"Starfsbundið",GW99="",GW$8="",GW$7=""),"",ROUND(GW99/GW$8*GW$7*KVARDI,2))</f>
        <v/>
      </c>
      <c r="GZ99" s="20"/>
    </row>
    <row r="100" customFormat="false" ht="15" hidden="true" customHeight="true" outlineLevel="1" collapsed="false">
      <c r="B100" s="37" t="str">
        <f aca="false" t="array" ref="B100:B100">IFERROR(INDEX(Starfsmenn!$C$6:$C$10005,MATCH(0,COUNTIF($B$11:B99,Starfsmenn!$C$6:$C$10005)+(Starfsmenn!$C$6:$C$10005=""),0)),"")</f>
        <v/>
      </c>
      <c r="C100" s="38" t="n">
        <f aca="false">IFERROR(SUMIF($G$10:$GX$10,"Stig",$G100:$GX100),0)</f>
        <v>0</v>
      </c>
      <c r="G100" s="39"/>
      <c r="H100" s="40" t="str">
        <f aca="false">IF(OR(INDEX(Undirviðmið!$G$6:$G$105,(COLUMN()-7-1)/2+1)&lt;&gt;"Starfsbundið",G100="",G$8="",G$7=""),"",ROUND(G100/G$8*G$7*KVARDI,2))</f>
        <v/>
      </c>
      <c r="I100" s="39"/>
      <c r="J100" s="40" t="str">
        <f aca="false">IF(OR(INDEX(Undirviðmið!$G$6:$G$105,(COLUMN()-7-1)/2+1)&lt;&gt;"Starfsbundið",I100="",I$8="",I$7=""),"",ROUND(I100/I$8*I$7*KVARDI,2))</f>
        <v/>
      </c>
      <c r="K100" s="39"/>
      <c r="L100" s="40" t="str">
        <f aca="false">IF(OR(INDEX(Undirviðmið!$G$6:$G$105,(COLUMN()-7-1)/2+1)&lt;&gt;"Starfsbundið",K100="",K$8="",K$7=""),"",ROUND(K100/K$8*K$7*KVARDI,2))</f>
        <v/>
      </c>
      <c r="M100" s="39"/>
      <c r="N100" s="40" t="str">
        <f aca="false">IF(OR(INDEX(Undirviðmið!$G$6:$G$105,(COLUMN()-7-1)/2+1)&lt;&gt;"Starfsbundið",M100="",M$8="",M$7=""),"",ROUND(M100/M$8*M$7*KVARDI,2))</f>
        <v/>
      </c>
      <c r="O100" s="39"/>
      <c r="P100" s="40" t="str">
        <f aca="false">IF(OR(INDEX(Undirviðmið!$G$6:$G$105,(COLUMN()-7-1)/2+1)&lt;&gt;"Starfsbundið",O100="",O$8="",O$7=""),"",ROUND(O100/O$8*O$7*KVARDI,2))</f>
        <v/>
      </c>
      <c r="Q100" s="39"/>
      <c r="R100" s="40" t="str">
        <f aca="false">IF(OR(INDEX(Undirviðmið!$G$6:$G$105,(COLUMN()-7-1)/2+1)&lt;&gt;"Starfsbundið",Q100="",Q$8="",Q$7=""),"",ROUND(Q100/Q$8*Q$7*KVARDI,2))</f>
        <v/>
      </c>
      <c r="S100" s="39"/>
      <c r="T100" s="40" t="str">
        <f aca="false">IF(OR(INDEX(Undirviðmið!$G$6:$G$105,(COLUMN()-7-1)/2+1)&lt;&gt;"Starfsbundið",S100="",S$8="",S$7=""),"",ROUND(S100/S$8*S$7*KVARDI,2))</f>
        <v/>
      </c>
      <c r="U100" s="39"/>
      <c r="V100" s="40" t="str">
        <f aca="false">IF(OR(INDEX(Undirviðmið!$G$6:$G$105,(COLUMN()-7-1)/2+1)&lt;&gt;"Starfsbundið",U100="",U$8="",U$7=""),"",ROUND(U100/U$8*U$7*KVARDI,2))</f>
        <v/>
      </c>
      <c r="W100" s="39"/>
      <c r="X100" s="40" t="str">
        <f aca="false">IF(OR(INDEX(Undirviðmið!$G$6:$G$105,(COLUMN()-7-1)/2+1)&lt;&gt;"Starfsbundið",W100="",W$8="",W$7=""),"",ROUND(W100/W$8*W$7*KVARDI,2))</f>
        <v/>
      </c>
      <c r="Y100" s="39"/>
      <c r="Z100" s="40" t="str">
        <f aca="false">IF(OR(INDEX(Undirviðmið!$G$6:$G$105,(COLUMN()-7-1)/2+1)&lt;&gt;"Starfsbundið",Y100="",Y$8="",Y$7=""),"",ROUND(Y100/Y$8*Y$7*KVARDI,2))</f>
        <v/>
      </c>
      <c r="AA100" s="39"/>
      <c r="AB100" s="40" t="str">
        <f aca="false">IF(OR(INDEX(Undirviðmið!$G$6:$G$105,(COLUMN()-7-1)/2+1)&lt;&gt;"Starfsbundið",AA100="",AA$8="",AA$7=""),"",ROUND(AA100/AA$8*AA$7*KVARDI,2))</f>
        <v/>
      </c>
      <c r="AC100" s="39"/>
      <c r="AD100" s="40" t="str">
        <f aca="false">IF(OR(INDEX(Undirviðmið!$G$6:$G$105,(COLUMN()-7-1)/2+1)&lt;&gt;"Starfsbundið",AC100="",AC$8="",AC$7=""),"",ROUND(AC100/AC$8*AC$7*KVARDI,2))</f>
        <v/>
      </c>
      <c r="AE100" s="39"/>
      <c r="AF100" s="40" t="str">
        <f aca="false">IF(OR(INDEX(Undirviðmið!$G$6:$G$105,(COLUMN()-7-1)/2+1)&lt;&gt;"Starfsbundið",AE100="",AE$8="",AE$7=""),"",ROUND(AE100/AE$8*AE$7*KVARDI,2))</f>
        <v/>
      </c>
      <c r="AG100" s="39"/>
      <c r="AH100" s="40" t="str">
        <f aca="false">IF(OR(INDEX(Undirviðmið!$G$6:$G$105,(COLUMN()-7-1)/2+1)&lt;&gt;"Starfsbundið",AG100="",AG$8="",AG$7=""),"",ROUND(AG100/AG$8*AG$7*KVARDI,2))</f>
        <v/>
      </c>
      <c r="AI100" s="39"/>
      <c r="AJ100" s="40" t="str">
        <f aca="false">IF(OR(INDEX(Undirviðmið!$G$6:$G$105,(COLUMN()-7-1)/2+1)&lt;&gt;"Starfsbundið",AI100="",AI$8="",AI$7=""),"",ROUND(AI100/AI$8*AI$7*KVARDI,2))</f>
        <v/>
      </c>
      <c r="AK100" s="39"/>
      <c r="AL100" s="40" t="str">
        <f aca="false">IF(OR(INDEX(Undirviðmið!$G$6:$G$105,(COLUMN()-7-1)/2+1)&lt;&gt;"Starfsbundið",AK100="",AK$8="",AK$7=""),"",ROUND(AK100/AK$8*AK$7*KVARDI,2))</f>
        <v/>
      </c>
      <c r="AM100" s="39"/>
      <c r="AN100" s="40" t="str">
        <f aca="false">IF(OR(INDEX(Undirviðmið!$G$6:$G$105,(COLUMN()-7-1)/2+1)&lt;&gt;"Starfsbundið",AM100="",AM$8="",AM$7=""),"",ROUND(AM100/AM$8*AM$7*KVARDI,2))</f>
        <v/>
      </c>
      <c r="AO100" s="39"/>
      <c r="AP100" s="40" t="str">
        <f aca="false">IF(OR(INDEX(Undirviðmið!$G$6:$G$105,(COLUMN()-7-1)/2+1)&lt;&gt;"Starfsbundið",AO100="",AO$8="",AO$7=""),"",ROUND(AO100/AO$8*AO$7*KVARDI,2))</f>
        <v/>
      </c>
      <c r="AQ100" s="39"/>
      <c r="AR100" s="40" t="str">
        <f aca="false">IF(OR(INDEX(Undirviðmið!$G$6:$G$105,(COLUMN()-7-1)/2+1)&lt;&gt;"Starfsbundið",AQ100="",AQ$8="",AQ$7=""),"",ROUND(AQ100/AQ$8*AQ$7*KVARDI,2))</f>
        <v/>
      </c>
      <c r="AS100" s="39"/>
      <c r="AT100" s="40" t="str">
        <f aca="false">IF(OR(INDEX(Undirviðmið!$G$6:$G$105,(COLUMN()-7-1)/2+1)&lt;&gt;"Starfsbundið",AS100="",AS$8="",AS$7=""),"",ROUND(AS100/AS$8*AS$7*KVARDI,2))</f>
        <v/>
      </c>
      <c r="AU100" s="39"/>
      <c r="AV100" s="40" t="str">
        <f aca="false">IF(OR(INDEX(Undirviðmið!$G$6:$G$105,(COLUMN()-7-1)/2+1)&lt;&gt;"Starfsbundið",AU100="",AU$8="",AU$7=""),"",ROUND(AU100/AU$8*AU$7*KVARDI,2))</f>
        <v/>
      </c>
      <c r="AW100" s="39"/>
      <c r="AX100" s="40" t="str">
        <f aca="false">IF(OR(INDEX(Undirviðmið!$G$6:$G$105,(COLUMN()-7-1)/2+1)&lt;&gt;"Starfsbundið",AW100="",AW$8="",AW$7=""),"",ROUND(AW100/AW$8*AW$7*KVARDI,2))</f>
        <v/>
      </c>
      <c r="AY100" s="39"/>
      <c r="AZ100" s="40" t="str">
        <f aca="false">IF(OR(INDEX(Undirviðmið!$G$6:$G$105,(COLUMN()-7-1)/2+1)&lt;&gt;"Starfsbundið",AY100="",AY$8="",AY$7=""),"",ROUND(AY100/AY$8*AY$7*KVARDI,2))</f>
        <v/>
      </c>
      <c r="BA100" s="39"/>
      <c r="BB100" s="40" t="str">
        <f aca="false">IF(OR(INDEX(Undirviðmið!$G$6:$G$105,(COLUMN()-7-1)/2+1)&lt;&gt;"Starfsbundið",BA100="",BA$8="",BA$7=""),"",ROUND(BA100/BA$8*BA$7*KVARDI,2))</f>
        <v/>
      </c>
      <c r="BC100" s="39"/>
      <c r="BD100" s="40" t="str">
        <f aca="false">IF(OR(INDEX(Undirviðmið!$G$6:$G$105,(COLUMN()-7-1)/2+1)&lt;&gt;"Starfsbundið",BC100="",BC$8="",BC$7=""),"",ROUND(BC100/BC$8*BC$7*KVARDI,2))</f>
        <v/>
      </c>
      <c r="BE100" s="39"/>
      <c r="BF100" s="40" t="str">
        <f aca="false">IF(OR(INDEX(Undirviðmið!$G$6:$G$105,(COLUMN()-7-1)/2+1)&lt;&gt;"Starfsbundið",BE100="",BE$8="",BE$7=""),"",ROUND(BE100/BE$8*BE$7*KVARDI,2))</f>
        <v/>
      </c>
      <c r="BG100" s="39"/>
      <c r="BH100" s="40" t="str">
        <f aca="false">IF(OR(INDEX(Undirviðmið!$G$6:$G$105,(COLUMN()-7-1)/2+1)&lt;&gt;"Starfsbundið",BG100="",BG$8="",BG$7=""),"",ROUND(BG100/BG$8*BG$7*KVARDI,2))</f>
        <v/>
      </c>
      <c r="BI100" s="39"/>
      <c r="BJ100" s="40" t="str">
        <f aca="false">IF(OR(INDEX(Undirviðmið!$G$6:$G$105,(COLUMN()-7-1)/2+1)&lt;&gt;"Starfsbundið",BI100="",BI$8="",BI$7=""),"",ROUND(BI100/BI$8*BI$7*KVARDI,2))</f>
        <v/>
      </c>
      <c r="BK100" s="39"/>
      <c r="BL100" s="40" t="str">
        <f aca="false">IF(OR(INDEX(Undirviðmið!$G$6:$G$105,(COLUMN()-7-1)/2+1)&lt;&gt;"Starfsbundið",BK100="",BK$8="",BK$7=""),"",ROUND(BK100/BK$8*BK$7*KVARDI,2))</f>
        <v/>
      </c>
      <c r="BM100" s="39"/>
      <c r="BN100" s="40" t="str">
        <f aca="false">IF(OR(INDEX(Undirviðmið!$G$6:$G$105,(COLUMN()-7-1)/2+1)&lt;&gt;"Starfsbundið",BM100="",BM$8="",BM$7=""),"",ROUND(BM100/BM$8*BM$7*KVARDI,2))</f>
        <v/>
      </c>
      <c r="BO100" s="39"/>
      <c r="BP100" s="40" t="str">
        <f aca="false">IF(OR(INDEX(Undirviðmið!$G$6:$G$105,(COLUMN()-7-1)/2+1)&lt;&gt;"Starfsbundið",BO100="",BO$8="",BO$7=""),"",ROUND(BO100/BO$8*BO$7*KVARDI,2))</f>
        <v/>
      </c>
      <c r="BQ100" s="39"/>
      <c r="BR100" s="40" t="str">
        <f aca="false">IF(OR(INDEX(Undirviðmið!$G$6:$G$105,(COLUMN()-7-1)/2+1)&lt;&gt;"Starfsbundið",BQ100="",BQ$8="",BQ$7=""),"",ROUND(BQ100/BQ$8*BQ$7*KVARDI,2))</f>
        <v/>
      </c>
      <c r="BS100" s="39"/>
      <c r="BT100" s="40" t="str">
        <f aca="false">IF(OR(INDEX(Undirviðmið!$G$6:$G$105,(COLUMN()-7-1)/2+1)&lt;&gt;"Starfsbundið",BS100="",BS$8="",BS$7=""),"",ROUND(BS100/BS$8*BS$7*KVARDI,2))</f>
        <v/>
      </c>
      <c r="BU100" s="39"/>
      <c r="BV100" s="40" t="str">
        <f aca="false">IF(OR(INDEX(Undirviðmið!$G$6:$G$105,(COLUMN()-7-1)/2+1)&lt;&gt;"Starfsbundið",BU100="",BU$8="",BU$7=""),"",ROUND(BU100/BU$8*BU$7*KVARDI,2))</f>
        <v/>
      </c>
      <c r="BW100" s="39"/>
      <c r="BX100" s="40" t="str">
        <f aca="false">IF(OR(INDEX(Undirviðmið!$G$6:$G$105,(COLUMN()-7-1)/2+1)&lt;&gt;"Starfsbundið",BW100="",BW$8="",BW$7=""),"",ROUND(BW100/BW$8*BW$7*KVARDI,2))</f>
        <v/>
      </c>
      <c r="BY100" s="39"/>
      <c r="BZ100" s="40" t="str">
        <f aca="false">IF(OR(INDEX(Undirviðmið!$G$6:$G$105,(COLUMN()-7-1)/2+1)&lt;&gt;"Starfsbundið",BY100="",BY$8="",BY$7=""),"",ROUND(BY100/BY$8*BY$7*KVARDI,2))</f>
        <v/>
      </c>
      <c r="CA100" s="39"/>
      <c r="CB100" s="40" t="str">
        <f aca="false">IF(OR(INDEX(Undirviðmið!$G$6:$G$105,(COLUMN()-7-1)/2+1)&lt;&gt;"Starfsbundið",CA100="",CA$8="",CA$7=""),"",ROUND(CA100/CA$8*CA$7*KVARDI,2))</f>
        <v/>
      </c>
      <c r="CC100" s="39"/>
      <c r="CD100" s="40" t="str">
        <f aca="false">IF(OR(INDEX(Undirviðmið!$G$6:$G$105,(COLUMN()-7-1)/2+1)&lt;&gt;"Starfsbundið",CC100="",CC$8="",CC$7=""),"",ROUND(CC100/CC$8*CC$7*KVARDI,2))</f>
        <v/>
      </c>
      <c r="CE100" s="39"/>
      <c r="CF100" s="40" t="str">
        <f aca="false">IF(OR(INDEX(Undirviðmið!$G$6:$G$105,(COLUMN()-7-1)/2+1)&lt;&gt;"Starfsbundið",CE100="",CE$8="",CE$7=""),"",ROUND(CE100/CE$8*CE$7*KVARDI,2))</f>
        <v/>
      </c>
      <c r="CG100" s="39"/>
      <c r="CH100" s="40" t="str">
        <f aca="false">IF(OR(INDEX(Undirviðmið!$G$6:$G$105,(COLUMN()-7-1)/2+1)&lt;&gt;"Starfsbundið",CG100="",CG$8="",CG$7=""),"",ROUND(CG100/CG$8*CG$7*KVARDI,2))</f>
        <v/>
      </c>
      <c r="CI100" s="39"/>
      <c r="CJ100" s="40" t="str">
        <f aca="false">IF(OR(INDEX(Undirviðmið!$G$6:$G$105,(COLUMN()-7-1)/2+1)&lt;&gt;"Starfsbundið",CI100="",CI$8="",CI$7=""),"",ROUND(CI100/CI$8*CI$7*KVARDI,2))</f>
        <v/>
      </c>
      <c r="CK100" s="39"/>
      <c r="CL100" s="40" t="str">
        <f aca="false">IF(OR(INDEX(Undirviðmið!$G$6:$G$105,(COLUMN()-7-1)/2+1)&lt;&gt;"Starfsbundið",CK100="",CK$8="",CK$7=""),"",ROUND(CK100/CK$8*CK$7*KVARDI,2))</f>
        <v/>
      </c>
      <c r="CM100" s="39"/>
      <c r="CN100" s="40" t="str">
        <f aca="false">IF(OR(INDEX(Undirviðmið!$G$6:$G$105,(COLUMN()-7-1)/2+1)&lt;&gt;"Starfsbundið",CM100="",CM$8="",CM$7=""),"",ROUND(CM100/CM$8*CM$7*KVARDI,2))</f>
        <v/>
      </c>
      <c r="CO100" s="39"/>
      <c r="CP100" s="40" t="str">
        <f aca="false">IF(OR(INDEX(Undirviðmið!$G$6:$G$105,(COLUMN()-7-1)/2+1)&lt;&gt;"Starfsbundið",CO100="",CO$8="",CO$7=""),"",ROUND(CO100/CO$8*CO$7*KVARDI,2))</f>
        <v/>
      </c>
      <c r="CQ100" s="39"/>
      <c r="CR100" s="40" t="str">
        <f aca="false">IF(OR(INDEX(Undirviðmið!$G$6:$G$105,(COLUMN()-7-1)/2+1)&lt;&gt;"Starfsbundið",CQ100="",CQ$8="",CQ$7=""),"",ROUND(CQ100/CQ$8*CQ$7*KVARDI,2))</f>
        <v/>
      </c>
      <c r="CS100" s="39"/>
      <c r="CT100" s="40" t="str">
        <f aca="false">IF(OR(INDEX(Undirviðmið!$G$6:$G$105,(COLUMN()-7-1)/2+1)&lt;&gt;"Starfsbundið",CS100="",CS$8="",CS$7=""),"",ROUND(CS100/CS$8*CS$7*KVARDI,2))</f>
        <v/>
      </c>
      <c r="CU100" s="39"/>
      <c r="CV100" s="40" t="str">
        <f aca="false">IF(OR(INDEX(Undirviðmið!$G$6:$G$105,(COLUMN()-7-1)/2+1)&lt;&gt;"Starfsbundið",CU100="",CU$8="",CU$7=""),"",ROUND(CU100/CU$8*CU$7*KVARDI,2))</f>
        <v/>
      </c>
      <c r="CW100" s="39"/>
      <c r="CX100" s="40" t="str">
        <f aca="false">IF(OR(INDEX(Undirviðmið!$G$6:$G$105,(COLUMN()-7-1)/2+1)&lt;&gt;"Starfsbundið",CW100="",CW$8="",CW$7=""),"",ROUND(CW100/CW$8*CW$7*KVARDI,2))</f>
        <v/>
      </c>
      <c r="CY100" s="39"/>
      <c r="CZ100" s="40" t="str">
        <f aca="false">IF(OR(INDEX(Undirviðmið!$G$6:$G$105,(COLUMN()-7-1)/2+1)&lt;&gt;"Starfsbundið",CY100="",CY$8="",CY$7=""),"",ROUND(CY100/CY$8*CY$7*KVARDI,2))</f>
        <v/>
      </c>
      <c r="DA100" s="39"/>
      <c r="DB100" s="40" t="str">
        <f aca="false">IF(OR(INDEX(Undirviðmið!$G$6:$G$105,(COLUMN()-7-1)/2+1)&lt;&gt;"Starfsbundið",DA100="",DA$8="",DA$7=""),"",ROUND(DA100/DA$8*DA$7*KVARDI,2))</f>
        <v/>
      </c>
      <c r="DC100" s="39"/>
      <c r="DD100" s="40" t="str">
        <f aca="false">IF(OR(INDEX(Undirviðmið!$G$6:$G$105,(COLUMN()-7-1)/2+1)&lt;&gt;"Starfsbundið",DC100="",DC$8="",DC$7=""),"",ROUND(DC100/DC$8*DC$7*KVARDI,2))</f>
        <v/>
      </c>
      <c r="DE100" s="39"/>
      <c r="DF100" s="40" t="str">
        <f aca="false">IF(OR(INDEX(Undirviðmið!$G$6:$G$105,(COLUMN()-7-1)/2+1)&lt;&gt;"Starfsbundið",DE100="",DE$8="",DE$7=""),"",ROUND(DE100/DE$8*DE$7*KVARDI,2))</f>
        <v/>
      </c>
      <c r="DG100" s="39"/>
      <c r="DH100" s="40" t="str">
        <f aca="false">IF(OR(INDEX(Undirviðmið!$G$6:$G$105,(COLUMN()-7-1)/2+1)&lt;&gt;"Starfsbundið",DG100="",DG$8="",DG$7=""),"",ROUND(DG100/DG$8*DG$7*KVARDI,2))</f>
        <v/>
      </c>
      <c r="DI100" s="39"/>
      <c r="DJ100" s="40" t="str">
        <f aca="false">IF(OR(INDEX(Undirviðmið!$G$6:$G$105,(COLUMN()-7-1)/2+1)&lt;&gt;"Starfsbundið",DI100="",DI$8="",DI$7=""),"",ROUND(DI100/DI$8*DI$7*KVARDI,2))</f>
        <v/>
      </c>
      <c r="DK100" s="39"/>
      <c r="DL100" s="40" t="str">
        <f aca="false">IF(OR(INDEX(Undirviðmið!$G$6:$G$105,(COLUMN()-7-1)/2+1)&lt;&gt;"Starfsbundið",DK100="",DK$8="",DK$7=""),"",ROUND(DK100/DK$8*DK$7*KVARDI,2))</f>
        <v/>
      </c>
      <c r="DM100" s="39"/>
      <c r="DN100" s="40" t="str">
        <f aca="false">IF(OR(INDEX(Undirviðmið!$G$6:$G$105,(COLUMN()-7-1)/2+1)&lt;&gt;"Starfsbundið",DM100="",DM$8="",DM$7=""),"",ROUND(DM100/DM$8*DM$7*KVARDI,2))</f>
        <v/>
      </c>
      <c r="DO100" s="39"/>
      <c r="DP100" s="40" t="str">
        <f aca="false">IF(OR(INDEX(Undirviðmið!$G$6:$G$105,(COLUMN()-7-1)/2+1)&lt;&gt;"Starfsbundið",DO100="",DO$8="",DO$7=""),"",ROUND(DO100/DO$8*DO$7*KVARDI,2))</f>
        <v/>
      </c>
      <c r="DQ100" s="39"/>
      <c r="DR100" s="40" t="str">
        <f aca="false">IF(OR(INDEX(Undirviðmið!$G$6:$G$105,(COLUMN()-7-1)/2+1)&lt;&gt;"Starfsbundið",DQ100="",DQ$8="",DQ$7=""),"",ROUND(DQ100/DQ$8*DQ$7*KVARDI,2))</f>
        <v/>
      </c>
      <c r="DS100" s="39"/>
      <c r="DT100" s="40" t="str">
        <f aca="false">IF(OR(INDEX(Undirviðmið!$G$6:$G$105,(COLUMN()-7-1)/2+1)&lt;&gt;"Starfsbundið",DS100="",DS$8="",DS$7=""),"",ROUND(DS100/DS$8*DS$7*KVARDI,2))</f>
        <v/>
      </c>
      <c r="DU100" s="39"/>
      <c r="DV100" s="40" t="str">
        <f aca="false">IF(OR(INDEX(Undirviðmið!$G$6:$G$105,(COLUMN()-7-1)/2+1)&lt;&gt;"Starfsbundið",DU100="",DU$8="",DU$7=""),"",ROUND(DU100/DU$8*DU$7*KVARDI,2))</f>
        <v/>
      </c>
      <c r="DW100" s="39"/>
      <c r="DX100" s="40" t="str">
        <f aca="false">IF(OR(INDEX(Undirviðmið!$G$6:$G$105,(COLUMN()-7-1)/2+1)&lt;&gt;"Starfsbundið",DW100="",DW$8="",DW$7=""),"",ROUND(DW100/DW$8*DW$7*KVARDI,2))</f>
        <v/>
      </c>
      <c r="DY100" s="39"/>
      <c r="DZ100" s="40" t="str">
        <f aca="false">IF(OR(INDEX(Undirviðmið!$G$6:$G$105,(COLUMN()-7-1)/2+1)&lt;&gt;"Starfsbundið",DY100="",DY$8="",DY$7=""),"",ROUND(DY100/DY$8*DY$7*KVARDI,2))</f>
        <v/>
      </c>
      <c r="EA100" s="39"/>
      <c r="EB100" s="40" t="str">
        <f aca="false">IF(OR(INDEX(Undirviðmið!$G$6:$G$105,(COLUMN()-7-1)/2+1)&lt;&gt;"Starfsbundið",EA100="",EA$8="",EA$7=""),"",ROUND(EA100/EA$8*EA$7*KVARDI,2))</f>
        <v/>
      </c>
      <c r="EC100" s="39"/>
      <c r="ED100" s="40" t="str">
        <f aca="false">IF(OR(INDEX(Undirviðmið!$G$6:$G$105,(COLUMN()-7-1)/2+1)&lt;&gt;"Starfsbundið",EC100="",EC$8="",EC$7=""),"",ROUND(EC100/EC$8*EC$7*KVARDI,2))</f>
        <v/>
      </c>
      <c r="EE100" s="39"/>
      <c r="EF100" s="40" t="str">
        <f aca="false">IF(OR(INDEX(Undirviðmið!$G$6:$G$105,(COLUMN()-7-1)/2+1)&lt;&gt;"Starfsbundið",EE100="",EE$8="",EE$7=""),"",ROUND(EE100/EE$8*EE$7*KVARDI,2))</f>
        <v/>
      </c>
      <c r="EG100" s="39"/>
      <c r="EH100" s="40" t="str">
        <f aca="false">IF(OR(INDEX(Undirviðmið!$G$6:$G$105,(COLUMN()-7-1)/2+1)&lt;&gt;"Starfsbundið",EG100="",EG$8="",EG$7=""),"",ROUND(EG100/EG$8*EG$7*KVARDI,2))</f>
        <v/>
      </c>
      <c r="EI100" s="39"/>
      <c r="EJ100" s="40" t="str">
        <f aca="false">IF(OR(INDEX(Undirviðmið!$G$6:$G$105,(COLUMN()-7-1)/2+1)&lt;&gt;"Starfsbundið",EI100="",EI$8="",EI$7=""),"",ROUND(EI100/EI$8*EI$7*KVARDI,2))</f>
        <v/>
      </c>
      <c r="EK100" s="39"/>
      <c r="EL100" s="40" t="str">
        <f aca="false">IF(OR(INDEX(Undirviðmið!$G$6:$G$105,(COLUMN()-7-1)/2+1)&lt;&gt;"Starfsbundið",EK100="",EK$8="",EK$7=""),"",ROUND(EK100/EK$8*EK$7*KVARDI,2))</f>
        <v/>
      </c>
      <c r="EM100" s="39"/>
      <c r="EN100" s="40" t="str">
        <f aca="false">IF(OR(INDEX(Undirviðmið!$G$6:$G$105,(COLUMN()-7-1)/2+1)&lt;&gt;"Starfsbundið",EM100="",EM$8="",EM$7=""),"",ROUND(EM100/EM$8*EM$7*KVARDI,2))</f>
        <v/>
      </c>
      <c r="EO100" s="39"/>
      <c r="EP100" s="40" t="str">
        <f aca="false">IF(OR(INDEX(Undirviðmið!$G$6:$G$105,(COLUMN()-7-1)/2+1)&lt;&gt;"Starfsbundið",EO100="",EO$8="",EO$7=""),"",ROUND(EO100/EO$8*EO$7*KVARDI,2))</f>
        <v/>
      </c>
      <c r="EQ100" s="39"/>
      <c r="ER100" s="40" t="str">
        <f aca="false">IF(OR(INDEX(Undirviðmið!$G$6:$G$105,(COLUMN()-7-1)/2+1)&lt;&gt;"Starfsbundið",EQ100="",EQ$8="",EQ$7=""),"",ROUND(EQ100/EQ$8*EQ$7*KVARDI,2))</f>
        <v/>
      </c>
      <c r="ES100" s="39"/>
      <c r="ET100" s="40" t="str">
        <f aca="false">IF(OR(INDEX(Undirviðmið!$G$6:$G$105,(COLUMN()-7-1)/2+1)&lt;&gt;"Starfsbundið",ES100="",ES$8="",ES$7=""),"",ROUND(ES100/ES$8*ES$7*KVARDI,2))</f>
        <v/>
      </c>
      <c r="EU100" s="39"/>
      <c r="EV100" s="40" t="str">
        <f aca="false">IF(OR(INDEX(Undirviðmið!$G$6:$G$105,(COLUMN()-7-1)/2+1)&lt;&gt;"Starfsbundið",EU100="",EU$8="",EU$7=""),"",ROUND(EU100/EU$8*EU$7*KVARDI,2))</f>
        <v/>
      </c>
      <c r="EW100" s="39"/>
      <c r="EX100" s="40" t="str">
        <f aca="false">IF(OR(INDEX(Undirviðmið!$G$6:$G$105,(COLUMN()-7-1)/2+1)&lt;&gt;"Starfsbundið",EW100="",EW$8="",EW$7=""),"",ROUND(EW100/EW$8*EW$7*KVARDI,2))</f>
        <v/>
      </c>
      <c r="EY100" s="39"/>
      <c r="EZ100" s="40" t="str">
        <f aca="false">IF(OR(INDEX(Undirviðmið!$G$6:$G$105,(COLUMN()-7-1)/2+1)&lt;&gt;"Starfsbundið",EY100="",EY$8="",EY$7=""),"",ROUND(EY100/EY$8*EY$7*KVARDI,2))</f>
        <v/>
      </c>
      <c r="FA100" s="39"/>
      <c r="FB100" s="40" t="str">
        <f aca="false">IF(OR(INDEX(Undirviðmið!$G$6:$G$105,(COLUMN()-7-1)/2+1)&lt;&gt;"Starfsbundið",FA100="",FA$8="",FA$7=""),"",ROUND(FA100/FA$8*FA$7*KVARDI,2))</f>
        <v/>
      </c>
      <c r="FC100" s="39"/>
      <c r="FD100" s="40" t="str">
        <f aca="false">IF(OR(INDEX(Undirviðmið!$G$6:$G$105,(COLUMN()-7-1)/2+1)&lt;&gt;"Starfsbundið",FC100="",FC$8="",FC$7=""),"",ROUND(FC100/FC$8*FC$7*KVARDI,2))</f>
        <v/>
      </c>
      <c r="FE100" s="39"/>
      <c r="FF100" s="40" t="str">
        <f aca="false">IF(OR(INDEX(Undirviðmið!$G$6:$G$105,(COLUMN()-7-1)/2+1)&lt;&gt;"Starfsbundið",FE100="",FE$8="",FE$7=""),"",ROUND(FE100/FE$8*FE$7*KVARDI,2))</f>
        <v/>
      </c>
      <c r="FG100" s="39"/>
      <c r="FH100" s="40" t="str">
        <f aca="false">IF(OR(INDEX(Undirviðmið!$G$6:$G$105,(COLUMN()-7-1)/2+1)&lt;&gt;"Starfsbundið",FG100="",FG$8="",FG$7=""),"",ROUND(FG100/FG$8*FG$7*KVARDI,2))</f>
        <v/>
      </c>
      <c r="FI100" s="39"/>
      <c r="FJ100" s="40" t="str">
        <f aca="false">IF(OR(INDEX(Undirviðmið!$G$6:$G$105,(COLUMN()-7-1)/2+1)&lt;&gt;"Starfsbundið",FI100="",FI$8="",FI$7=""),"",ROUND(FI100/FI$8*FI$7*KVARDI,2))</f>
        <v/>
      </c>
      <c r="FK100" s="39"/>
      <c r="FL100" s="40" t="str">
        <f aca="false">IF(OR(INDEX(Undirviðmið!$G$6:$G$105,(COLUMN()-7-1)/2+1)&lt;&gt;"Starfsbundið",FK100="",FK$8="",FK$7=""),"",ROUND(FK100/FK$8*FK$7*KVARDI,2))</f>
        <v/>
      </c>
      <c r="FM100" s="39"/>
      <c r="FN100" s="40" t="str">
        <f aca="false">IF(OR(INDEX(Undirviðmið!$G$6:$G$105,(COLUMN()-7-1)/2+1)&lt;&gt;"Starfsbundið",FM100="",FM$8="",FM$7=""),"",ROUND(FM100/FM$8*FM$7*KVARDI,2))</f>
        <v/>
      </c>
      <c r="FO100" s="39"/>
      <c r="FP100" s="40" t="str">
        <f aca="false">IF(OR(INDEX(Undirviðmið!$G$6:$G$105,(COLUMN()-7-1)/2+1)&lt;&gt;"Starfsbundið",FO100="",FO$8="",FO$7=""),"",ROUND(FO100/FO$8*FO$7*KVARDI,2))</f>
        <v/>
      </c>
      <c r="FQ100" s="39"/>
      <c r="FR100" s="40" t="str">
        <f aca="false">IF(OR(INDEX(Undirviðmið!$G$6:$G$105,(COLUMN()-7-1)/2+1)&lt;&gt;"Starfsbundið",FQ100="",FQ$8="",FQ$7=""),"",ROUND(FQ100/FQ$8*FQ$7*KVARDI,2))</f>
        <v/>
      </c>
      <c r="FS100" s="39"/>
      <c r="FT100" s="40" t="str">
        <f aca="false">IF(OR(INDEX(Undirviðmið!$G$6:$G$105,(COLUMN()-7-1)/2+1)&lt;&gt;"Starfsbundið",FS100="",FS$8="",FS$7=""),"",ROUND(FS100/FS$8*FS$7*KVARDI,2))</f>
        <v/>
      </c>
      <c r="FU100" s="39"/>
      <c r="FV100" s="40" t="str">
        <f aca="false">IF(OR(INDEX(Undirviðmið!$G$6:$G$105,(COLUMN()-7-1)/2+1)&lt;&gt;"Starfsbundið",FU100="",FU$8="",FU$7=""),"",ROUND(FU100/FU$8*FU$7*KVARDI,2))</f>
        <v/>
      </c>
      <c r="FW100" s="39"/>
      <c r="FX100" s="40" t="str">
        <f aca="false">IF(OR(INDEX(Undirviðmið!$G$6:$G$105,(COLUMN()-7-1)/2+1)&lt;&gt;"Starfsbundið",FW100="",FW$8="",FW$7=""),"",ROUND(FW100/FW$8*FW$7*KVARDI,2))</f>
        <v/>
      </c>
      <c r="FY100" s="39"/>
      <c r="FZ100" s="40" t="str">
        <f aca="false">IF(OR(INDEX(Undirviðmið!$G$6:$G$105,(COLUMN()-7-1)/2+1)&lt;&gt;"Starfsbundið",FY100="",FY$8="",FY$7=""),"",ROUND(FY100/FY$8*FY$7*KVARDI,2))</f>
        <v/>
      </c>
      <c r="GA100" s="39"/>
      <c r="GB100" s="40" t="str">
        <f aca="false">IF(OR(INDEX(Undirviðmið!$G$6:$G$105,(COLUMN()-7-1)/2+1)&lt;&gt;"Starfsbundið",GA100="",GA$8="",GA$7=""),"",ROUND(GA100/GA$8*GA$7*KVARDI,2))</f>
        <v/>
      </c>
      <c r="GC100" s="39"/>
      <c r="GD100" s="40" t="str">
        <f aca="false">IF(OR(INDEX(Undirviðmið!$G$6:$G$105,(COLUMN()-7-1)/2+1)&lt;&gt;"Starfsbundið",GC100="",GC$8="",GC$7=""),"",ROUND(GC100/GC$8*GC$7*KVARDI,2))</f>
        <v/>
      </c>
      <c r="GE100" s="39"/>
      <c r="GF100" s="40" t="str">
        <f aca="false">IF(OR(INDEX(Undirviðmið!$G$6:$G$105,(COLUMN()-7-1)/2+1)&lt;&gt;"Starfsbundið",GE100="",GE$8="",GE$7=""),"",ROUND(GE100/GE$8*GE$7*KVARDI,2))</f>
        <v/>
      </c>
      <c r="GG100" s="39"/>
      <c r="GH100" s="40" t="str">
        <f aca="false">IF(OR(INDEX(Undirviðmið!$G$6:$G$105,(COLUMN()-7-1)/2+1)&lt;&gt;"Starfsbundið",GG100="",GG$8="",GG$7=""),"",ROUND(GG100/GG$8*GG$7*KVARDI,2))</f>
        <v/>
      </c>
      <c r="GI100" s="39"/>
      <c r="GJ100" s="40" t="str">
        <f aca="false">IF(OR(INDEX(Undirviðmið!$G$6:$G$105,(COLUMN()-7-1)/2+1)&lt;&gt;"Starfsbundið",GI100="",GI$8="",GI$7=""),"",ROUND(GI100/GI$8*GI$7*KVARDI,2))</f>
        <v/>
      </c>
      <c r="GK100" s="39"/>
      <c r="GL100" s="40" t="str">
        <f aca="false">IF(OR(INDEX(Undirviðmið!$G$6:$G$105,(COLUMN()-7-1)/2+1)&lt;&gt;"Starfsbundið",GK100="",GK$8="",GK$7=""),"",ROUND(GK100/GK$8*GK$7*KVARDI,2))</f>
        <v/>
      </c>
      <c r="GM100" s="39"/>
      <c r="GN100" s="40" t="str">
        <f aca="false">IF(OR(INDEX(Undirviðmið!$G$6:$G$105,(COLUMN()-7-1)/2+1)&lt;&gt;"Starfsbundið",GM100="",GM$8="",GM$7=""),"",ROUND(GM100/GM$8*GM$7*KVARDI,2))</f>
        <v/>
      </c>
      <c r="GO100" s="39"/>
      <c r="GP100" s="40" t="str">
        <f aca="false">IF(OR(INDEX(Undirviðmið!$G$6:$G$105,(COLUMN()-7-1)/2+1)&lt;&gt;"Starfsbundið",GO100="",GO$8="",GO$7=""),"",ROUND(GO100/GO$8*GO$7*KVARDI,2))</f>
        <v/>
      </c>
      <c r="GQ100" s="39"/>
      <c r="GR100" s="40" t="str">
        <f aca="false">IF(OR(INDEX(Undirviðmið!$G$6:$G$105,(COLUMN()-7-1)/2+1)&lt;&gt;"Starfsbundið",GQ100="",GQ$8="",GQ$7=""),"",ROUND(GQ100/GQ$8*GQ$7*KVARDI,2))</f>
        <v/>
      </c>
      <c r="GS100" s="39"/>
      <c r="GT100" s="40" t="str">
        <f aca="false">IF(OR(INDEX(Undirviðmið!$G$6:$G$105,(COLUMN()-7-1)/2+1)&lt;&gt;"Starfsbundið",GS100="",GS$8="",GS$7=""),"",ROUND(GS100/GS$8*GS$7*KVARDI,2))</f>
        <v/>
      </c>
      <c r="GU100" s="39"/>
      <c r="GV100" s="40" t="str">
        <f aca="false">IF(OR(INDEX(Undirviðmið!$G$6:$G$105,(COLUMN()-7-1)/2+1)&lt;&gt;"Starfsbundið",GU100="",GU$8="",GU$7=""),"",ROUND(GU100/GU$8*GU$7*KVARDI,2))</f>
        <v/>
      </c>
      <c r="GW100" s="39"/>
      <c r="GX100" s="40" t="str">
        <f aca="false">IF(OR(INDEX(Undirviðmið!$G$6:$G$105,(COLUMN()-7-1)/2+1)&lt;&gt;"Starfsbundið",GW100="",GW$8="",GW$7=""),"",ROUND(GW100/GW$8*GW$7*KVARDI,2))</f>
        <v/>
      </c>
      <c r="GZ100" s="20"/>
    </row>
    <row r="101" customFormat="false" ht="15" hidden="true" customHeight="true" outlineLevel="1" collapsed="false">
      <c r="B101" s="37" t="str">
        <f aca="false" t="array" ref="B101:B101">IFERROR(INDEX(Starfsmenn!$C$6:$C$10005,MATCH(0,COUNTIF($B$11:B100,Starfsmenn!$C$6:$C$10005)+(Starfsmenn!$C$6:$C$10005=""),0)),"")</f>
        <v/>
      </c>
      <c r="C101" s="38" t="n">
        <f aca="false">IFERROR(SUMIF($G$10:$GX$10,"Stig",$G101:$GX101),0)</f>
        <v>0</v>
      </c>
      <c r="G101" s="39"/>
      <c r="H101" s="40" t="str">
        <f aca="false">IF(OR(INDEX(Undirviðmið!$G$6:$G$105,(COLUMN()-7-1)/2+1)&lt;&gt;"Starfsbundið",G101="",G$8="",G$7=""),"",ROUND(G101/G$8*G$7*KVARDI,2))</f>
        <v/>
      </c>
      <c r="I101" s="39"/>
      <c r="J101" s="40" t="str">
        <f aca="false">IF(OR(INDEX(Undirviðmið!$G$6:$G$105,(COLUMN()-7-1)/2+1)&lt;&gt;"Starfsbundið",I101="",I$8="",I$7=""),"",ROUND(I101/I$8*I$7*KVARDI,2))</f>
        <v/>
      </c>
      <c r="K101" s="39"/>
      <c r="L101" s="40" t="str">
        <f aca="false">IF(OR(INDEX(Undirviðmið!$G$6:$G$105,(COLUMN()-7-1)/2+1)&lt;&gt;"Starfsbundið",K101="",K$8="",K$7=""),"",ROUND(K101/K$8*K$7*KVARDI,2))</f>
        <v/>
      </c>
      <c r="M101" s="39"/>
      <c r="N101" s="40" t="str">
        <f aca="false">IF(OR(INDEX(Undirviðmið!$G$6:$G$105,(COLUMN()-7-1)/2+1)&lt;&gt;"Starfsbundið",M101="",M$8="",M$7=""),"",ROUND(M101/M$8*M$7*KVARDI,2))</f>
        <v/>
      </c>
      <c r="O101" s="39"/>
      <c r="P101" s="40" t="str">
        <f aca="false">IF(OR(INDEX(Undirviðmið!$G$6:$G$105,(COLUMN()-7-1)/2+1)&lt;&gt;"Starfsbundið",O101="",O$8="",O$7=""),"",ROUND(O101/O$8*O$7*KVARDI,2))</f>
        <v/>
      </c>
      <c r="Q101" s="39"/>
      <c r="R101" s="40" t="str">
        <f aca="false">IF(OR(INDEX(Undirviðmið!$G$6:$G$105,(COLUMN()-7-1)/2+1)&lt;&gt;"Starfsbundið",Q101="",Q$8="",Q$7=""),"",ROUND(Q101/Q$8*Q$7*KVARDI,2))</f>
        <v/>
      </c>
      <c r="S101" s="39"/>
      <c r="T101" s="40" t="str">
        <f aca="false">IF(OR(INDEX(Undirviðmið!$G$6:$G$105,(COLUMN()-7-1)/2+1)&lt;&gt;"Starfsbundið",S101="",S$8="",S$7=""),"",ROUND(S101/S$8*S$7*KVARDI,2))</f>
        <v/>
      </c>
      <c r="U101" s="39"/>
      <c r="V101" s="40" t="str">
        <f aca="false">IF(OR(INDEX(Undirviðmið!$G$6:$G$105,(COLUMN()-7-1)/2+1)&lt;&gt;"Starfsbundið",U101="",U$8="",U$7=""),"",ROUND(U101/U$8*U$7*KVARDI,2))</f>
        <v/>
      </c>
      <c r="W101" s="39"/>
      <c r="X101" s="40" t="str">
        <f aca="false">IF(OR(INDEX(Undirviðmið!$G$6:$G$105,(COLUMN()-7-1)/2+1)&lt;&gt;"Starfsbundið",W101="",W$8="",W$7=""),"",ROUND(W101/W$8*W$7*KVARDI,2))</f>
        <v/>
      </c>
      <c r="Y101" s="39"/>
      <c r="Z101" s="40" t="str">
        <f aca="false">IF(OR(INDEX(Undirviðmið!$G$6:$G$105,(COLUMN()-7-1)/2+1)&lt;&gt;"Starfsbundið",Y101="",Y$8="",Y$7=""),"",ROUND(Y101/Y$8*Y$7*KVARDI,2))</f>
        <v/>
      </c>
      <c r="AA101" s="39"/>
      <c r="AB101" s="40" t="str">
        <f aca="false">IF(OR(INDEX(Undirviðmið!$G$6:$G$105,(COLUMN()-7-1)/2+1)&lt;&gt;"Starfsbundið",AA101="",AA$8="",AA$7=""),"",ROUND(AA101/AA$8*AA$7*KVARDI,2))</f>
        <v/>
      </c>
      <c r="AC101" s="39"/>
      <c r="AD101" s="40" t="str">
        <f aca="false">IF(OR(INDEX(Undirviðmið!$G$6:$G$105,(COLUMN()-7-1)/2+1)&lt;&gt;"Starfsbundið",AC101="",AC$8="",AC$7=""),"",ROUND(AC101/AC$8*AC$7*KVARDI,2))</f>
        <v/>
      </c>
      <c r="AE101" s="39"/>
      <c r="AF101" s="40" t="str">
        <f aca="false">IF(OR(INDEX(Undirviðmið!$G$6:$G$105,(COLUMN()-7-1)/2+1)&lt;&gt;"Starfsbundið",AE101="",AE$8="",AE$7=""),"",ROUND(AE101/AE$8*AE$7*KVARDI,2))</f>
        <v/>
      </c>
      <c r="AG101" s="39"/>
      <c r="AH101" s="40" t="str">
        <f aca="false">IF(OR(INDEX(Undirviðmið!$G$6:$G$105,(COLUMN()-7-1)/2+1)&lt;&gt;"Starfsbundið",AG101="",AG$8="",AG$7=""),"",ROUND(AG101/AG$8*AG$7*KVARDI,2))</f>
        <v/>
      </c>
      <c r="AI101" s="39"/>
      <c r="AJ101" s="40" t="str">
        <f aca="false">IF(OR(INDEX(Undirviðmið!$G$6:$G$105,(COLUMN()-7-1)/2+1)&lt;&gt;"Starfsbundið",AI101="",AI$8="",AI$7=""),"",ROUND(AI101/AI$8*AI$7*KVARDI,2))</f>
        <v/>
      </c>
      <c r="AK101" s="39"/>
      <c r="AL101" s="40" t="str">
        <f aca="false">IF(OR(INDEX(Undirviðmið!$G$6:$G$105,(COLUMN()-7-1)/2+1)&lt;&gt;"Starfsbundið",AK101="",AK$8="",AK$7=""),"",ROUND(AK101/AK$8*AK$7*KVARDI,2))</f>
        <v/>
      </c>
      <c r="AM101" s="39"/>
      <c r="AN101" s="40" t="str">
        <f aca="false">IF(OR(INDEX(Undirviðmið!$G$6:$G$105,(COLUMN()-7-1)/2+1)&lt;&gt;"Starfsbundið",AM101="",AM$8="",AM$7=""),"",ROUND(AM101/AM$8*AM$7*KVARDI,2))</f>
        <v/>
      </c>
      <c r="AO101" s="39"/>
      <c r="AP101" s="40" t="str">
        <f aca="false">IF(OR(INDEX(Undirviðmið!$G$6:$G$105,(COLUMN()-7-1)/2+1)&lt;&gt;"Starfsbundið",AO101="",AO$8="",AO$7=""),"",ROUND(AO101/AO$8*AO$7*KVARDI,2))</f>
        <v/>
      </c>
      <c r="AQ101" s="39"/>
      <c r="AR101" s="40" t="str">
        <f aca="false">IF(OR(INDEX(Undirviðmið!$G$6:$G$105,(COLUMN()-7-1)/2+1)&lt;&gt;"Starfsbundið",AQ101="",AQ$8="",AQ$7=""),"",ROUND(AQ101/AQ$8*AQ$7*KVARDI,2))</f>
        <v/>
      </c>
      <c r="AS101" s="39"/>
      <c r="AT101" s="40" t="str">
        <f aca="false">IF(OR(INDEX(Undirviðmið!$G$6:$G$105,(COLUMN()-7-1)/2+1)&lt;&gt;"Starfsbundið",AS101="",AS$8="",AS$7=""),"",ROUND(AS101/AS$8*AS$7*KVARDI,2))</f>
        <v/>
      </c>
      <c r="AU101" s="39"/>
      <c r="AV101" s="40" t="str">
        <f aca="false">IF(OR(INDEX(Undirviðmið!$G$6:$G$105,(COLUMN()-7-1)/2+1)&lt;&gt;"Starfsbundið",AU101="",AU$8="",AU$7=""),"",ROUND(AU101/AU$8*AU$7*KVARDI,2))</f>
        <v/>
      </c>
      <c r="AW101" s="39"/>
      <c r="AX101" s="40" t="str">
        <f aca="false">IF(OR(INDEX(Undirviðmið!$G$6:$G$105,(COLUMN()-7-1)/2+1)&lt;&gt;"Starfsbundið",AW101="",AW$8="",AW$7=""),"",ROUND(AW101/AW$8*AW$7*KVARDI,2))</f>
        <v/>
      </c>
      <c r="AY101" s="39"/>
      <c r="AZ101" s="40" t="str">
        <f aca="false">IF(OR(INDEX(Undirviðmið!$G$6:$G$105,(COLUMN()-7-1)/2+1)&lt;&gt;"Starfsbundið",AY101="",AY$8="",AY$7=""),"",ROUND(AY101/AY$8*AY$7*KVARDI,2))</f>
        <v/>
      </c>
      <c r="BA101" s="39"/>
      <c r="BB101" s="40" t="str">
        <f aca="false">IF(OR(INDEX(Undirviðmið!$G$6:$G$105,(COLUMN()-7-1)/2+1)&lt;&gt;"Starfsbundið",BA101="",BA$8="",BA$7=""),"",ROUND(BA101/BA$8*BA$7*KVARDI,2))</f>
        <v/>
      </c>
      <c r="BC101" s="39"/>
      <c r="BD101" s="40" t="str">
        <f aca="false">IF(OR(INDEX(Undirviðmið!$G$6:$G$105,(COLUMN()-7-1)/2+1)&lt;&gt;"Starfsbundið",BC101="",BC$8="",BC$7=""),"",ROUND(BC101/BC$8*BC$7*KVARDI,2))</f>
        <v/>
      </c>
      <c r="BE101" s="39"/>
      <c r="BF101" s="40" t="str">
        <f aca="false">IF(OR(INDEX(Undirviðmið!$G$6:$G$105,(COLUMN()-7-1)/2+1)&lt;&gt;"Starfsbundið",BE101="",BE$8="",BE$7=""),"",ROUND(BE101/BE$8*BE$7*KVARDI,2))</f>
        <v/>
      </c>
      <c r="BG101" s="39"/>
      <c r="BH101" s="40" t="str">
        <f aca="false">IF(OR(INDEX(Undirviðmið!$G$6:$G$105,(COLUMN()-7-1)/2+1)&lt;&gt;"Starfsbundið",BG101="",BG$8="",BG$7=""),"",ROUND(BG101/BG$8*BG$7*KVARDI,2))</f>
        <v/>
      </c>
      <c r="BI101" s="39"/>
      <c r="BJ101" s="40" t="str">
        <f aca="false">IF(OR(INDEX(Undirviðmið!$G$6:$G$105,(COLUMN()-7-1)/2+1)&lt;&gt;"Starfsbundið",BI101="",BI$8="",BI$7=""),"",ROUND(BI101/BI$8*BI$7*KVARDI,2))</f>
        <v/>
      </c>
      <c r="BK101" s="39"/>
      <c r="BL101" s="40" t="str">
        <f aca="false">IF(OR(INDEX(Undirviðmið!$G$6:$G$105,(COLUMN()-7-1)/2+1)&lt;&gt;"Starfsbundið",BK101="",BK$8="",BK$7=""),"",ROUND(BK101/BK$8*BK$7*KVARDI,2))</f>
        <v/>
      </c>
      <c r="BM101" s="39"/>
      <c r="BN101" s="40" t="str">
        <f aca="false">IF(OR(INDEX(Undirviðmið!$G$6:$G$105,(COLUMN()-7-1)/2+1)&lt;&gt;"Starfsbundið",BM101="",BM$8="",BM$7=""),"",ROUND(BM101/BM$8*BM$7*KVARDI,2))</f>
        <v/>
      </c>
      <c r="BO101" s="39"/>
      <c r="BP101" s="40" t="str">
        <f aca="false">IF(OR(INDEX(Undirviðmið!$G$6:$G$105,(COLUMN()-7-1)/2+1)&lt;&gt;"Starfsbundið",BO101="",BO$8="",BO$7=""),"",ROUND(BO101/BO$8*BO$7*KVARDI,2))</f>
        <v/>
      </c>
      <c r="BQ101" s="39"/>
      <c r="BR101" s="40" t="str">
        <f aca="false">IF(OR(INDEX(Undirviðmið!$G$6:$G$105,(COLUMN()-7-1)/2+1)&lt;&gt;"Starfsbundið",BQ101="",BQ$8="",BQ$7=""),"",ROUND(BQ101/BQ$8*BQ$7*KVARDI,2))</f>
        <v/>
      </c>
      <c r="BS101" s="39"/>
      <c r="BT101" s="40" t="str">
        <f aca="false">IF(OR(INDEX(Undirviðmið!$G$6:$G$105,(COLUMN()-7-1)/2+1)&lt;&gt;"Starfsbundið",BS101="",BS$8="",BS$7=""),"",ROUND(BS101/BS$8*BS$7*KVARDI,2))</f>
        <v/>
      </c>
      <c r="BU101" s="39"/>
      <c r="BV101" s="40" t="str">
        <f aca="false">IF(OR(INDEX(Undirviðmið!$G$6:$G$105,(COLUMN()-7-1)/2+1)&lt;&gt;"Starfsbundið",BU101="",BU$8="",BU$7=""),"",ROUND(BU101/BU$8*BU$7*KVARDI,2))</f>
        <v/>
      </c>
      <c r="BW101" s="39"/>
      <c r="BX101" s="40" t="str">
        <f aca="false">IF(OR(INDEX(Undirviðmið!$G$6:$G$105,(COLUMN()-7-1)/2+1)&lt;&gt;"Starfsbundið",BW101="",BW$8="",BW$7=""),"",ROUND(BW101/BW$8*BW$7*KVARDI,2))</f>
        <v/>
      </c>
      <c r="BY101" s="39"/>
      <c r="BZ101" s="40" t="str">
        <f aca="false">IF(OR(INDEX(Undirviðmið!$G$6:$G$105,(COLUMN()-7-1)/2+1)&lt;&gt;"Starfsbundið",BY101="",BY$8="",BY$7=""),"",ROUND(BY101/BY$8*BY$7*KVARDI,2))</f>
        <v/>
      </c>
      <c r="CA101" s="39"/>
      <c r="CB101" s="40" t="str">
        <f aca="false">IF(OR(INDEX(Undirviðmið!$G$6:$G$105,(COLUMN()-7-1)/2+1)&lt;&gt;"Starfsbundið",CA101="",CA$8="",CA$7=""),"",ROUND(CA101/CA$8*CA$7*KVARDI,2))</f>
        <v/>
      </c>
      <c r="CC101" s="39"/>
      <c r="CD101" s="40" t="str">
        <f aca="false">IF(OR(INDEX(Undirviðmið!$G$6:$G$105,(COLUMN()-7-1)/2+1)&lt;&gt;"Starfsbundið",CC101="",CC$8="",CC$7=""),"",ROUND(CC101/CC$8*CC$7*KVARDI,2))</f>
        <v/>
      </c>
      <c r="CE101" s="39"/>
      <c r="CF101" s="40" t="str">
        <f aca="false">IF(OR(INDEX(Undirviðmið!$G$6:$G$105,(COLUMN()-7-1)/2+1)&lt;&gt;"Starfsbundið",CE101="",CE$8="",CE$7=""),"",ROUND(CE101/CE$8*CE$7*KVARDI,2))</f>
        <v/>
      </c>
      <c r="CG101" s="39"/>
      <c r="CH101" s="40" t="str">
        <f aca="false">IF(OR(INDEX(Undirviðmið!$G$6:$G$105,(COLUMN()-7-1)/2+1)&lt;&gt;"Starfsbundið",CG101="",CG$8="",CG$7=""),"",ROUND(CG101/CG$8*CG$7*KVARDI,2))</f>
        <v/>
      </c>
      <c r="CI101" s="39"/>
      <c r="CJ101" s="40" t="str">
        <f aca="false">IF(OR(INDEX(Undirviðmið!$G$6:$G$105,(COLUMN()-7-1)/2+1)&lt;&gt;"Starfsbundið",CI101="",CI$8="",CI$7=""),"",ROUND(CI101/CI$8*CI$7*KVARDI,2))</f>
        <v/>
      </c>
      <c r="CK101" s="39"/>
      <c r="CL101" s="40" t="str">
        <f aca="false">IF(OR(INDEX(Undirviðmið!$G$6:$G$105,(COLUMN()-7-1)/2+1)&lt;&gt;"Starfsbundið",CK101="",CK$8="",CK$7=""),"",ROUND(CK101/CK$8*CK$7*KVARDI,2))</f>
        <v/>
      </c>
      <c r="CM101" s="39"/>
      <c r="CN101" s="40" t="str">
        <f aca="false">IF(OR(INDEX(Undirviðmið!$G$6:$G$105,(COLUMN()-7-1)/2+1)&lt;&gt;"Starfsbundið",CM101="",CM$8="",CM$7=""),"",ROUND(CM101/CM$8*CM$7*KVARDI,2))</f>
        <v/>
      </c>
      <c r="CO101" s="39"/>
      <c r="CP101" s="40" t="str">
        <f aca="false">IF(OR(INDEX(Undirviðmið!$G$6:$G$105,(COLUMN()-7-1)/2+1)&lt;&gt;"Starfsbundið",CO101="",CO$8="",CO$7=""),"",ROUND(CO101/CO$8*CO$7*KVARDI,2))</f>
        <v/>
      </c>
      <c r="CQ101" s="39"/>
      <c r="CR101" s="40" t="str">
        <f aca="false">IF(OR(INDEX(Undirviðmið!$G$6:$G$105,(COLUMN()-7-1)/2+1)&lt;&gt;"Starfsbundið",CQ101="",CQ$8="",CQ$7=""),"",ROUND(CQ101/CQ$8*CQ$7*KVARDI,2))</f>
        <v/>
      </c>
      <c r="CS101" s="39"/>
      <c r="CT101" s="40" t="str">
        <f aca="false">IF(OR(INDEX(Undirviðmið!$G$6:$G$105,(COLUMN()-7-1)/2+1)&lt;&gt;"Starfsbundið",CS101="",CS$8="",CS$7=""),"",ROUND(CS101/CS$8*CS$7*KVARDI,2))</f>
        <v/>
      </c>
      <c r="CU101" s="39"/>
      <c r="CV101" s="40" t="str">
        <f aca="false">IF(OR(INDEX(Undirviðmið!$G$6:$G$105,(COLUMN()-7-1)/2+1)&lt;&gt;"Starfsbundið",CU101="",CU$8="",CU$7=""),"",ROUND(CU101/CU$8*CU$7*KVARDI,2))</f>
        <v/>
      </c>
      <c r="CW101" s="39"/>
      <c r="CX101" s="40" t="str">
        <f aca="false">IF(OR(INDEX(Undirviðmið!$G$6:$G$105,(COLUMN()-7-1)/2+1)&lt;&gt;"Starfsbundið",CW101="",CW$8="",CW$7=""),"",ROUND(CW101/CW$8*CW$7*KVARDI,2))</f>
        <v/>
      </c>
      <c r="CY101" s="39"/>
      <c r="CZ101" s="40" t="str">
        <f aca="false">IF(OR(INDEX(Undirviðmið!$G$6:$G$105,(COLUMN()-7-1)/2+1)&lt;&gt;"Starfsbundið",CY101="",CY$8="",CY$7=""),"",ROUND(CY101/CY$8*CY$7*KVARDI,2))</f>
        <v/>
      </c>
      <c r="DA101" s="39"/>
      <c r="DB101" s="40" t="str">
        <f aca="false">IF(OR(INDEX(Undirviðmið!$G$6:$G$105,(COLUMN()-7-1)/2+1)&lt;&gt;"Starfsbundið",DA101="",DA$8="",DA$7=""),"",ROUND(DA101/DA$8*DA$7*KVARDI,2))</f>
        <v/>
      </c>
      <c r="DC101" s="39"/>
      <c r="DD101" s="40" t="str">
        <f aca="false">IF(OR(INDEX(Undirviðmið!$G$6:$G$105,(COLUMN()-7-1)/2+1)&lt;&gt;"Starfsbundið",DC101="",DC$8="",DC$7=""),"",ROUND(DC101/DC$8*DC$7*KVARDI,2))</f>
        <v/>
      </c>
      <c r="DE101" s="39"/>
      <c r="DF101" s="40" t="str">
        <f aca="false">IF(OR(INDEX(Undirviðmið!$G$6:$G$105,(COLUMN()-7-1)/2+1)&lt;&gt;"Starfsbundið",DE101="",DE$8="",DE$7=""),"",ROUND(DE101/DE$8*DE$7*KVARDI,2))</f>
        <v/>
      </c>
      <c r="DG101" s="39"/>
      <c r="DH101" s="40" t="str">
        <f aca="false">IF(OR(INDEX(Undirviðmið!$G$6:$G$105,(COLUMN()-7-1)/2+1)&lt;&gt;"Starfsbundið",DG101="",DG$8="",DG$7=""),"",ROUND(DG101/DG$8*DG$7*KVARDI,2))</f>
        <v/>
      </c>
      <c r="DI101" s="39"/>
      <c r="DJ101" s="40" t="str">
        <f aca="false">IF(OR(INDEX(Undirviðmið!$G$6:$G$105,(COLUMN()-7-1)/2+1)&lt;&gt;"Starfsbundið",DI101="",DI$8="",DI$7=""),"",ROUND(DI101/DI$8*DI$7*KVARDI,2))</f>
        <v/>
      </c>
      <c r="DK101" s="39"/>
      <c r="DL101" s="40" t="str">
        <f aca="false">IF(OR(INDEX(Undirviðmið!$G$6:$G$105,(COLUMN()-7-1)/2+1)&lt;&gt;"Starfsbundið",DK101="",DK$8="",DK$7=""),"",ROUND(DK101/DK$8*DK$7*KVARDI,2))</f>
        <v/>
      </c>
      <c r="DM101" s="39"/>
      <c r="DN101" s="40" t="str">
        <f aca="false">IF(OR(INDEX(Undirviðmið!$G$6:$G$105,(COLUMN()-7-1)/2+1)&lt;&gt;"Starfsbundið",DM101="",DM$8="",DM$7=""),"",ROUND(DM101/DM$8*DM$7*KVARDI,2))</f>
        <v/>
      </c>
      <c r="DO101" s="39"/>
      <c r="DP101" s="40" t="str">
        <f aca="false">IF(OR(INDEX(Undirviðmið!$G$6:$G$105,(COLUMN()-7-1)/2+1)&lt;&gt;"Starfsbundið",DO101="",DO$8="",DO$7=""),"",ROUND(DO101/DO$8*DO$7*KVARDI,2))</f>
        <v/>
      </c>
      <c r="DQ101" s="39"/>
      <c r="DR101" s="40" t="str">
        <f aca="false">IF(OR(INDEX(Undirviðmið!$G$6:$G$105,(COLUMN()-7-1)/2+1)&lt;&gt;"Starfsbundið",DQ101="",DQ$8="",DQ$7=""),"",ROUND(DQ101/DQ$8*DQ$7*KVARDI,2))</f>
        <v/>
      </c>
      <c r="DS101" s="39"/>
      <c r="DT101" s="40" t="str">
        <f aca="false">IF(OR(INDEX(Undirviðmið!$G$6:$G$105,(COLUMN()-7-1)/2+1)&lt;&gt;"Starfsbundið",DS101="",DS$8="",DS$7=""),"",ROUND(DS101/DS$8*DS$7*KVARDI,2))</f>
        <v/>
      </c>
      <c r="DU101" s="39"/>
      <c r="DV101" s="40" t="str">
        <f aca="false">IF(OR(INDEX(Undirviðmið!$G$6:$G$105,(COLUMN()-7-1)/2+1)&lt;&gt;"Starfsbundið",DU101="",DU$8="",DU$7=""),"",ROUND(DU101/DU$8*DU$7*KVARDI,2))</f>
        <v/>
      </c>
      <c r="DW101" s="39"/>
      <c r="DX101" s="40" t="str">
        <f aca="false">IF(OR(INDEX(Undirviðmið!$G$6:$G$105,(COLUMN()-7-1)/2+1)&lt;&gt;"Starfsbundið",DW101="",DW$8="",DW$7=""),"",ROUND(DW101/DW$8*DW$7*KVARDI,2))</f>
        <v/>
      </c>
      <c r="DY101" s="39"/>
      <c r="DZ101" s="40" t="str">
        <f aca="false">IF(OR(INDEX(Undirviðmið!$G$6:$G$105,(COLUMN()-7-1)/2+1)&lt;&gt;"Starfsbundið",DY101="",DY$8="",DY$7=""),"",ROUND(DY101/DY$8*DY$7*KVARDI,2))</f>
        <v/>
      </c>
      <c r="EA101" s="39"/>
      <c r="EB101" s="40" t="str">
        <f aca="false">IF(OR(INDEX(Undirviðmið!$G$6:$G$105,(COLUMN()-7-1)/2+1)&lt;&gt;"Starfsbundið",EA101="",EA$8="",EA$7=""),"",ROUND(EA101/EA$8*EA$7*KVARDI,2))</f>
        <v/>
      </c>
      <c r="EC101" s="39"/>
      <c r="ED101" s="40" t="str">
        <f aca="false">IF(OR(INDEX(Undirviðmið!$G$6:$G$105,(COLUMN()-7-1)/2+1)&lt;&gt;"Starfsbundið",EC101="",EC$8="",EC$7=""),"",ROUND(EC101/EC$8*EC$7*KVARDI,2))</f>
        <v/>
      </c>
      <c r="EE101" s="39"/>
      <c r="EF101" s="40" t="str">
        <f aca="false">IF(OR(INDEX(Undirviðmið!$G$6:$G$105,(COLUMN()-7-1)/2+1)&lt;&gt;"Starfsbundið",EE101="",EE$8="",EE$7=""),"",ROUND(EE101/EE$8*EE$7*KVARDI,2))</f>
        <v/>
      </c>
      <c r="EG101" s="39"/>
      <c r="EH101" s="40" t="str">
        <f aca="false">IF(OR(INDEX(Undirviðmið!$G$6:$G$105,(COLUMN()-7-1)/2+1)&lt;&gt;"Starfsbundið",EG101="",EG$8="",EG$7=""),"",ROUND(EG101/EG$8*EG$7*KVARDI,2))</f>
        <v/>
      </c>
      <c r="EI101" s="39"/>
      <c r="EJ101" s="40" t="str">
        <f aca="false">IF(OR(INDEX(Undirviðmið!$G$6:$G$105,(COLUMN()-7-1)/2+1)&lt;&gt;"Starfsbundið",EI101="",EI$8="",EI$7=""),"",ROUND(EI101/EI$8*EI$7*KVARDI,2))</f>
        <v/>
      </c>
      <c r="EK101" s="39"/>
      <c r="EL101" s="40" t="str">
        <f aca="false">IF(OR(INDEX(Undirviðmið!$G$6:$G$105,(COLUMN()-7-1)/2+1)&lt;&gt;"Starfsbundið",EK101="",EK$8="",EK$7=""),"",ROUND(EK101/EK$8*EK$7*KVARDI,2))</f>
        <v/>
      </c>
      <c r="EM101" s="39"/>
      <c r="EN101" s="40" t="str">
        <f aca="false">IF(OR(INDEX(Undirviðmið!$G$6:$G$105,(COLUMN()-7-1)/2+1)&lt;&gt;"Starfsbundið",EM101="",EM$8="",EM$7=""),"",ROUND(EM101/EM$8*EM$7*KVARDI,2))</f>
        <v/>
      </c>
      <c r="EO101" s="39"/>
      <c r="EP101" s="40" t="str">
        <f aca="false">IF(OR(INDEX(Undirviðmið!$G$6:$G$105,(COLUMN()-7-1)/2+1)&lt;&gt;"Starfsbundið",EO101="",EO$8="",EO$7=""),"",ROUND(EO101/EO$8*EO$7*KVARDI,2))</f>
        <v/>
      </c>
      <c r="EQ101" s="39"/>
      <c r="ER101" s="40" t="str">
        <f aca="false">IF(OR(INDEX(Undirviðmið!$G$6:$G$105,(COLUMN()-7-1)/2+1)&lt;&gt;"Starfsbundið",EQ101="",EQ$8="",EQ$7=""),"",ROUND(EQ101/EQ$8*EQ$7*KVARDI,2))</f>
        <v/>
      </c>
      <c r="ES101" s="39"/>
      <c r="ET101" s="40" t="str">
        <f aca="false">IF(OR(INDEX(Undirviðmið!$G$6:$G$105,(COLUMN()-7-1)/2+1)&lt;&gt;"Starfsbundið",ES101="",ES$8="",ES$7=""),"",ROUND(ES101/ES$8*ES$7*KVARDI,2))</f>
        <v/>
      </c>
      <c r="EU101" s="39"/>
      <c r="EV101" s="40" t="str">
        <f aca="false">IF(OR(INDEX(Undirviðmið!$G$6:$G$105,(COLUMN()-7-1)/2+1)&lt;&gt;"Starfsbundið",EU101="",EU$8="",EU$7=""),"",ROUND(EU101/EU$8*EU$7*KVARDI,2))</f>
        <v/>
      </c>
      <c r="EW101" s="39"/>
      <c r="EX101" s="40" t="str">
        <f aca="false">IF(OR(INDEX(Undirviðmið!$G$6:$G$105,(COLUMN()-7-1)/2+1)&lt;&gt;"Starfsbundið",EW101="",EW$8="",EW$7=""),"",ROUND(EW101/EW$8*EW$7*KVARDI,2))</f>
        <v/>
      </c>
      <c r="EY101" s="39"/>
      <c r="EZ101" s="40" t="str">
        <f aca="false">IF(OR(INDEX(Undirviðmið!$G$6:$G$105,(COLUMN()-7-1)/2+1)&lt;&gt;"Starfsbundið",EY101="",EY$8="",EY$7=""),"",ROUND(EY101/EY$8*EY$7*KVARDI,2))</f>
        <v/>
      </c>
      <c r="FA101" s="39"/>
      <c r="FB101" s="40" t="str">
        <f aca="false">IF(OR(INDEX(Undirviðmið!$G$6:$G$105,(COLUMN()-7-1)/2+1)&lt;&gt;"Starfsbundið",FA101="",FA$8="",FA$7=""),"",ROUND(FA101/FA$8*FA$7*KVARDI,2))</f>
        <v/>
      </c>
      <c r="FC101" s="39"/>
      <c r="FD101" s="40" t="str">
        <f aca="false">IF(OR(INDEX(Undirviðmið!$G$6:$G$105,(COLUMN()-7-1)/2+1)&lt;&gt;"Starfsbundið",FC101="",FC$8="",FC$7=""),"",ROUND(FC101/FC$8*FC$7*KVARDI,2))</f>
        <v/>
      </c>
      <c r="FE101" s="39"/>
      <c r="FF101" s="40" t="str">
        <f aca="false">IF(OR(INDEX(Undirviðmið!$G$6:$G$105,(COLUMN()-7-1)/2+1)&lt;&gt;"Starfsbundið",FE101="",FE$8="",FE$7=""),"",ROUND(FE101/FE$8*FE$7*KVARDI,2))</f>
        <v/>
      </c>
      <c r="FG101" s="39"/>
      <c r="FH101" s="40" t="str">
        <f aca="false">IF(OR(INDEX(Undirviðmið!$G$6:$G$105,(COLUMN()-7-1)/2+1)&lt;&gt;"Starfsbundið",FG101="",FG$8="",FG$7=""),"",ROUND(FG101/FG$8*FG$7*KVARDI,2))</f>
        <v/>
      </c>
      <c r="FI101" s="39"/>
      <c r="FJ101" s="40" t="str">
        <f aca="false">IF(OR(INDEX(Undirviðmið!$G$6:$G$105,(COLUMN()-7-1)/2+1)&lt;&gt;"Starfsbundið",FI101="",FI$8="",FI$7=""),"",ROUND(FI101/FI$8*FI$7*KVARDI,2))</f>
        <v/>
      </c>
      <c r="FK101" s="39"/>
      <c r="FL101" s="40" t="str">
        <f aca="false">IF(OR(INDEX(Undirviðmið!$G$6:$G$105,(COLUMN()-7-1)/2+1)&lt;&gt;"Starfsbundið",FK101="",FK$8="",FK$7=""),"",ROUND(FK101/FK$8*FK$7*KVARDI,2))</f>
        <v/>
      </c>
      <c r="FM101" s="39"/>
      <c r="FN101" s="40" t="str">
        <f aca="false">IF(OR(INDEX(Undirviðmið!$G$6:$G$105,(COLUMN()-7-1)/2+1)&lt;&gt;"Starfsbundið",FM101="",FM$8="",FM$7=""),"",ROUND(FM101/FM$8*FM$7*KVARDI,2))</f>
        <v/>
      </c>
      <c r="FO101" s="39"/>
      <c r="FP101" s="40" t="str">
        <f aca="false">IF(OR(INDEX(Undirviðmið!$G$6:$G$105,(COLUMN()-7-1)/2+1)&lt;&gt;"Starfsbundið",FO101="",FO$8="",FO$7=""),"",ROUND(FO101/FO$8*FO$7*KVARDI,2))</f>
        <v/>
      </c>
      <c r="FQ101" s="39"/>
      <c r="FR101" s="40" t="str">
        <f aca="false">IF(OR(INDEX(Undirviðmið!$G$6:$G$105,(COLUMN()-7-1)/2+1)&lt;&gt;"Starfsbundið",FQ101="",FQ$8="",FQ$7=""),"",ROUND(FQ101/FQ$8*FQ$7*KVARDI,2))</f>
        <v/>
      </c>
      <c r="FS101" s="39"/>
      <c r="FT101" s="40" t="str">
        <f aca="false">IF(OR(INDEX(Undirviðmið!$G$6:$G$105,(COLUMN()-7-1)/2+1)&lt;&gt;"Starfsbundið",FS101="",FS$8="",FS$7=""),"",ROUND(FS101/FS$8*FS$7*KVARDI,2))</f>
        <v/>
      </c>
      <c r="FU101" s="39"/>
      <c r="FV101" s="40" t="str">
        <f aca="false">IF(OR(INDEX(Undirviðmið!$G$6:$G$105,(COLUMN()-7-1)/2+1)&lt;&gt;"Starfsbundið",FU101="",FU$8="",FU$7=""),"",ROUND(FU101/FU$8*FU$7*KVARDI,2))</f>
        <v/>
      </c>
      <c r="FW101" s="39"/>
      <c r="FX101" s="40" t="str">
        <f aca="false">IF(OR(INDEX(Undirviðmið!$G$6:$G$105,(COLUMN()-7-1)/2+1)&lt;&gt;"Starfsbundið",FW101="",FW$8="",FW$7=""),"",ROUND(FW101/FW$8*FW$7*KVARDI,2))</f>
        <v/>
      </c>
      <c r="FY101" s="39"/>
      <c r="FZ101" s="40" t="str">
        <f aca="false">IF(OR(INDEX(Undirviðmið!$G$6:$G$105,(COLUMN()-7-1)/2+1)&lt;&gt;"Starfsbundið",FY101="",FY$8="",FY$7=""),"",ROUND(FY101/FY$8*FY$7*KVARDI,2))</f>
        <v/>
      </c>
      <c r="GA101" s="39"/>
      <c r="GB101" s="40" t="str">
        <f aca="false">IF(OR(INDEX(Undirviðmið!$G$6:$G$105,(COLUMN()-7-1)/2+1)&lt;&gt;"Starfsbundið",GA101="",GA$8="",GA$7=""),"",ROUND(GA101/GA$8*GA$7*KVARDI,2))</f>
        <v/>
      </c>
      <c r="GC101" s="39"/>
      <c r="GD101" s="40" t="str">
        <f aca="false">IF(OR(INDEX(Undirviðmið!$G$6:$G$105,(COLUMN()-7-1)/2+1)&lt;&gt;"Starfsbundið",GC101="",GC$8="",GC$7=""),"",ROUND(GC101/GC$8*GC$7*KVARDI,2))</f>
        <v/>
      </c>
      <c r="GE101" s="39"/>
      <c r="GF101" s="40" t="str">
        <f aca="false">IF(OR(INDEX(Undirviðmið!$G$6:$G$105,(COLUMN()-7-1)/2+1)&lt;&gt;"Starfsbundið",GE101="",GE$8="",GE$7=""),"",ROUND(GE101/GE$8*GE$7*KVARDI,2))</f>
        <v/>
      </c>
      <c r="GG101" s="39"/>
      <c r="GH101" s="40" t="str">
        <f aca="false">IF(OR(INDEX(Undirviðmið!$G$6:$G$105,(COLUMN()-7-1)/2+1)&lt;&gt;"Starfsbundið",GG101="",GG$8="",GG$7=""),"",ROUND(GG101/GG$8*GG$7*KVARDI,2))</f>
        <v/>
      </c>
      <c r="GI101" s="39"/>
      <c r="GJ101" s="40" t="str">
        <f aca="false">IF(OR(INDEX(Undirviðmið!$G$6:$G$105,(COLUMN()-7-1)/2+1)&lt;&gt;"Starfsbundið",GI101="",GI$8="",GI$7=""),"",ROUND(GI101/GI$8*GI$7*KVARDI,2))</f>
        <v/>
      </c>
      <c r="GK101" s="39"/>
      <c r="GL101" s="40" t="str">
        <f aca="false">IF(OR(INDEX(Undirviðmið!$G$6:$G$105,(COLUMN()-7-1)/2+1)&lt;&gt;"Starfsbundið",GK101="",GK$8="",GK$7=""),"",ROUND(GK101/GK$8*GK$7*KVARDI,2))</f>
        <v/>
      </c>
      <c r="GM101" s="39"/>
      <c r="GN101" s="40" t="str">
        <f aca="false">IF(OR(INDEX(Undirviðmið!$G$6:$G$105,(COLUMN()-7-1)/2+1)&lt;&gt;"Starfsbundið",GM101="",GM$8="",GM$7=""),"",ROUND(GM101/GM$8*GM$7*KVARDI,2))</f>
        <v/>
      </c>
      <c r="GO101" s="39"/>
      <c r="GP101" s="40" t="str">
        <f aca="false">IF(OR(INDEX(Undirviðmið!$G$6:$G$105,(COLUMN()-7-1)/2+1)&lt;&gt;"Starfsbundið",GO101="",GO$8="",GO$7=""),"",ROUND(GO101/GO$8*GO$7*KVARDI,2))</f>
        <v/>
      </c>
      <c r="GQ101" s="39"/>
      <c r="GR101" s="40" t="str">
        <f aca="false">IF(OR(INDEX(Undirviðmið!$G$6:$G$105,(COLUMN()-7-1)/2+1)&lt;&gt;"Starfsbundið",GQ101="",GQ$8="",GQ$7=""),"",ROUND(GQ101/GQ$8*GQ$7*KVARDI,2))</f>
        <v/>
      </c>
      <c r="GS101" s="39"/>
      <c r="GT101" s="40" t="str">
        <f aca="false">IF(OR(INDEX(Undirviðmið!$G$6:$G$105,(COLUMN()-7-1)/2+1)&lt;&gt;"Starfsbundið",GS101="",GS$8="",GS$7=""),"",ROUND(GS101/GS$8*GS$7*KVARDI,2))</f>
        <v/>
      </c>
      <c r="GU101" s="39"/>
      <c r="GV101" s="40" t="str">
        <f aca="false">IF(OR(INDEX(Undirviðmið!$G$6:$G$105,(COLUMN()-7-1)/2+1)&lt;&gt;"Starfsbundið",GU101="",GU$8="",GU$7=""),"",ROUND(GU101/GU$8*GU$7*KVARDI,2))</f>
        <v/>
      </c>
      <c r="GW101" s="39"/>
      <c r="GX101" s="40" t="str">
        <f aca="false">IF(OR(INDEX(Undirviðmið!$G$6:$G$105,(COLUMN()-7-1)/2+1)&lt;&gt;"Starfsbundið",GW101="",GW$8="",GW$7=""),"",ROUND(GW101/GW$8*GW$7*KVARDI,2))</f>
        <v/>
      </c>
      <c r="GZ101" s="20"/>
    </row>
    <row r="102" customFormat="false" ht="15" hidden="true" customHeight="true" outlineLevel="1" collapsed="false">
      <c r="B102" s="37" t="str">
        <f aca="false" t="array" ref="B102:B102">IFERROR(INDEX(Starfsmenn!$C$6:$C$10005,MATCH(0,COUNTIF($B$11:B101,Starfsmenn!$C$6:$C$10005)+(Starfsmenn!$C$6:$C$10005=""),0)),"")</f>
        <v/>
      </c>
      <c r="C102" s="38" t="n">
        <f aca="false">IFERROR(SUMIF($G$10:$GX$10,"Stig",$G102:$GX102),0)</f>
        <v>0</v>
      </c>
      <c r="G102" s="39"/>
      <c r="H102" s="40" t="str">
        <f aca="false">IF(OR(INDEX(Undirviðmið!$G$6:$G$105,(COLUMN()-7-1)/2+1)&lt;&gt;"Starfsbundið",G102="",G$8="",G$7=""),"",ROUND(G102/G$8*G$7*KVARDI,2))</f>
        <v/>
      </c>
      <c r="I102" s="39"/>
      <c r="J102" s="40" t="str">
        <f aca="false">IF(OR(INDEX(Undirviðmið!$G$6:$G$105,(COLUMN()-7-1)/2+1)&lt;&gt;"Starfsbundið",I102="",I$8="",I$7=""),"",ROUND(I102/I$8*I$7*KVARDI,2))</f>
        <v/>
      </c>
      <c r="K102" s="39"/>
      <c r="L102" s="40" t="str">
        <f aca="false">IF(OR(INDEX(Undirviðmið!$G$6:$G$105,(COLUMN()-7-1)/2+1)&lt;&gt;"Starfsbundið",K102="",K$8="",K$7=""),"",ROUND(K102/K$8*K$7*KVARDI,2))</f>
        <v/>
      </c>
      <c r="M102" s="39"/>
      <c r="N102" s="40" t="str">
        <f aca="false">IF(OR(INDEX(Undirviðmið!$G$6:$G$105,(COLUMN()-7-1)/2+1)&lt;&gt;"Starfsbundið",M102="",M$8="",M$7=""),"",ROUND(M102/M$8*M$7*KVARDI,2))</f>
        <v/>
      </c>
      <c r="O102" s="39"/>
      <c r="P102" s="40" t="str">
        <f aca="false">IF(OR(INDEX(Undirviðmið!$G$6:$G$105,(COLUMN()-7-1)/2+1)&lt;&gt;"Starfsbundið",O102="",O$8="",O$7=""),"",ROUND(O102/O$8*O$7*KVARDI,2))</f>
        <v/>
      </c>
      <c r="Q102" s="39"/>
      <c r="R102" s="40" t="str">
        <f aca="false">IF(OR(INDEX(Undirviðmið!$G$6:$G$105,(COLUMN()-7-1)/2+1)&lt;&gt;"Starfsbundið",Q102="",Q$8="",Q$7=""),"",ROUND(Q102/Q$8*Q$7*KVARDI,2))</f>
        <v/>
      </c>
      <c r="S102" s="39"/>
      <c r="T102" s="40" t="str">
        <f aca="false">IF(OR(INDEX(Undirviðmið!$G$6:$G$105,(COLUMN()-7-1)/2+1)&lt;&gt;"Starfsbundið",S102="",S$8="",S$7=""),"",ROUND(S102/S$8*S$7*KVARDI,2))</f>
        <v/>
      </c>
      <c r="U102" s="39"/>
      <c r="V102" s="40" t="str">
        <f aca="false">IF(OR(INDEX(Undirviðmið!$G$6:$G$105,(COLUMN()-7-1)/2+1)&lt;&gt;"Starfsbundið",U102="",U$8="",U$7=""),"",ROUND(U102/U$8*U$7*KVARDI,2))</f>
        <v/>
      </c>
      <c r="W102" s="39"/>
      <c r="X102" s="40" t="str">
        <f aca="false">IF(OR(INDEX(Undirviðmið!$G$6:$G$105,(COLUMN()-7-1)/2+1)&lt;&gt;"Starfsbundið",W102="",W$8="",W$7=""),"",ROUND(W102/W$8*W$7*KVARDI,2))</f>
        <v/>
      </c>
      <c r="Y102" s="39"/>
      <c r="Z102" s="40" t="str">
        <f aca="false">IF(OR(INDEX(Undirviðmið!$G$6:$G$105,(COLUMN()-7-1)/2+1)&lt;&gt;"Starfsbundið",Y102="",Y$8="",Y$7=""),"",ROUND(Y102/Y$8*Y$7*KVARDI,2))</f>
        <v/>
      </c>
      <c r="AA102" s="39"/>
      <c r="AB102" s="40" t="str">
        <f aca="false">IF(OR(INDEX(Undirviðmið!$G$6:$G$105,(COLUMN()-7-1)/2+1)&lt;&gt;"Starfsbundið",AA102="",AA$8="",AA$7=""),"",ROUND(AA102/AA$8*AA$7*KVARDI,2))</f>
        <v/>
      </c>
      <c r="AC102" s="39"/>
      <c r="AD102" s="40" t="str">
        <f aca="false">IF(OR(INDEX(Undirviðmið!$G$6:$G$105,(COLUMN()-7-1)/2+1)&lt;&gt;"Starfsbundið",AC102="",AC$8="",AC$7=""),"",ROUND(AC102/AC$8*AC$7*KVARDI,2))</f>
        <v/>
      </c>
      <c r="AE102" s="39"/>
      <c r="AF102" s="40" t="str">
        <f aca="false">IF(OR(INDEX(Undirviðmið!$G$6:$G$105,(COLUMN()-7-1)/2+1)&lt;&gt;"Starfsbundið",AE102="",AE$8="",AE$7=""),"",ROUND(AE102/AE$8*AE$7*KVARDI,2))</f>
        <v/>
      </c>
      <c r="AG102" s="39"/>
      <c r="AH102" s="40" t="str">
        <f aca="false">IF(OR(INDEX(Undirviðmið!$G$6:$G$105,(COLUMN()-7-1)/2+1)&lt;&gt;"Starfsbundið",AG102="",AG$8="",AG$7=""),"",ROUND(AG102/AG$8*AG$7*KVARDI,2))</f>
        <v/>
      </c>
      <c r="AI102" s="39"/>
      <c r="AJ102" s="40" t="str">
        <f aca="false">IF(OR(INDEX(Undirviðmið!$G$6:$G$105,(COLUMN()-7-1)/2+1)&lt;&gt;"Starfsbundið",AI102="",AI$8="",AI$7=""),"",ROUND(AI102/AI$8*AI$7*KVARDI,2))</f>
        <v/>
      </c>
      <c r="AK102" s="39"/>
      <c r="AL102" s="40" t="str">
        <f aca="false">IF(OR(INDEX(Undirviðmið!$G$6:$G$105,(COLUMN()-7-1)/2+1)&lt;&gt;"Starfsbundið",AK102="",AK$8="",AK$7=""),"",ROUND(AK102/AK$8*AK$7*KVARDI,2))</f>
        <v/>
      </c>
      <c r="AM102" s="39"/>
      <c r="AN102" s="40" t="str">
        <f aca="false">IF(OR(INDEX(Undirviðmið!$G$6:$G$105,(COLUMN()-7-1)/2+1)&lt;&gt;"Starfsbundið",AM102="",AM$8="",AM$7=""),"",ROUND(AM102/AM$8*AM$7*KVARDI,2))</f>
        <v/>
      </c>
      <c r="AO102" s="39"/>
      <c r="AP102" s="40" t="str">
        <f aca="false">IF(OR(INDEX(Undirviðmið!$G$6:$G$105,(COLUMN()-7-1)/2+1)&lt;&gt;"Starfsbundið",AO102="",AO$8="",AO$7=""),"",ROUND(AO102/AO$8*AO$7*KVARDI,2))</f>
        <v/>
      </c>
      <c r="AQ102" s="39"/>
      <c r="AR102" s="40" t="str">
        <f aca="false">IF(OR(INDEX(Undirviðmið!$G$6:$G$105,(COLUMN()-7-1)/2+1)&lt;&gt;"Starfsbundið",AQ102="",AQ$8="",AQ$7=""),"",ROUND(AQ102/AQ$8*AQ$7*KVARDI,2))</f>
        <v/>
      </c>
      <c r="AS102" s="39"/>
      <c r="AT102" s="40" t="str">
        <f aca="false">IF(OR(INDEX(Undirviðmið!$G$6:$G$105,(COLUMN()-7-1)/2+1)&lt;&gt;"Starfsbundið",AS102="",AS$8="",AS$7=""),"",ROUND(AS102/AS$8*AS$7*KVARDI,2))</f>
        <v/>
      </c>
      <c r="AU102" s="39"/>
      <c r="AV102" s="40" t="str">
        <f aca="false">IF(OR(INDEX(Undirviðmið!$G$6:$G$105,(COLUMN()-7-1)/2+1)&lt;&gt;"Starfsbundið",AU102="",AU$8="",AU$7=""),"",ROUND(AU102/AU$8*AU$7*KVARDI,2))</f>
        <v/>
      </c>
      <c r="AW102" s="39"/>
      <c r="AX102" s="40" t="str">
        <f aca="false">IF(OR(INDEX(Undirviðmið!$G$6:$G$105,(COLUMN()-7-1)/2+1)&lt;&gt;"Starfsbundið",AW102="",AW$8="",AW$7=""),"",ROUND(AW102/AW$8*AW$7*KVARDI,2))</f>
        <v/>
      </c>
      <c r="AY102" s="39"/>
      <c r="AZ102" s="40" t="str">
        <f aca="false">IF(OR(INDEX(Undirviðmið!$G$6:$G$105,(COLUMN()-7-1)/2+1)&lt;&gt;"Starfsbundið",AY102="",AY$8="",AY$7=""),"",ROUND(AY102/AY$8*AY$7*KVARDI,2))</f>
        <v/>
      </c>
      <c r="BA102" s="39"/>
      <c r="BB102" s="40" t="str">
        <f aca="false">IF(OR(INDEX(Undirviðmið!$G$6:$G$105,(COLUMN()-7-1)/2+1)&lt;&gt;"Starfsbundið",BA102="",BA$8="",BA$7=""),"",ROUND(BA102/BA$8*BA$7*KVARDI,2))</f>
        <v/>
      </c>
      <c r="BC102" s="39"/>
      <c r="BD102" s="40" t="str">
        <f aca="false">IF(OR(INDEX(Undirviðmið!$G$6:$G$105,(COLUMN()-7-1)/2+1)&lt;&gt;"Starfsbundið",BC102="",BC$8="",BC$7=""),"",ROUND(BC102/BC$8*BC$7*KVARDI,2))</f>
        <v/>
      </c>
      <c r="BE102" s="39"/>
      <c r="BF102" s="40" t="str">
        <f aca="false">IF(OR(INDEX(Undirviðmið!$G$6:$G$105,(COLUMN()-7-1)/2+1)&lt;&gt;"Starfsbundið",BE102="",BE$8="",BE$7=""),"",ROUND(BE102/BE$8*BE$7*KVARDI,2))</f>
        <v/>
      </c>
      <c r="BG102" s="39"/>
      <c r="BH102" s="40" t="str">
        <f aca="false">IF(OR(INDEX(Undirviðmið!$G$6:$G$105,(COLUMN()-7-1)/2+1)&lt;&gt;"Starfsbundið",BG102="",BG$8="",BG$7=""),"",ROUND(BG102/BG$8*BG$7*KVARDI,2))</f>
        <v/>
      </c>
      <c r="BI102" s="39"/>
      <c r="BJ102" s="40" t="str">
        <f aca="false">IF(OR(INDEX(Undirviðmið!$G$6:$G$105,(COLUMN()-7-1)/2+1)&lt;&gt;"Starfsbundið",BI102="",BI$8="",BI$7=""),"",ROUND(BI102/BI$8*BI$7*KVARDI,2))</f>
        <v/>
      </c>
      <c r="BK102" s="39"/>
      <c r="BL102" s="40" t="str">
        <f aca="false">IF(OR(INDEX(Undirviðmið!$G$6:$G$105,(COLUMN()-7-1)/2+1)&lt;&gt;"Starfsbundið",BK102="",BK$8="",BK$7=""),"",ROUND(BK102/BK$8*BK$7*KVARDI,2))</f>
        <v/>
      </c>
      <c r="BM102" s="39"/>
      <c r="BN102" s="40" t="str">
        <f aca="false">IF(OR(INDEX(Undirviðmið!$G$6:$G$105,(COLUMN()-7-1)/2+1)&lt;&gt;"Starfsbundið",BM102="",BM$8="",BM$7=""),"",ROUND(BM102/BM$8*BM$7*KVARDI,2))</f>
        <v/>
      </c>
      <c r="BO102" s="39"/>
      <c r="BP102" s="40" t="str">
        <f aca="false">IF(OR(INDEX(Undirviðmið!$G$6:$G$105,(COLUMN()-7-1)/2+1)&lt;&gt;"Starfsbundið",BO102="",BO$8="",BO$7=""),"",ROUND(BO102/BO$8*BO$7*KVARDI,2))</f>
        <v/>
      </c>
      <c r="BQ102" s="39"/>
      <c r="BR102" s="40" t="str">
        <f aca="false">IF(OR(INDEX(Undirviðmið!$G$6:$G$105,(COLUMN()-7-1)/2+1)&lt;&gt;"Starfsbundið",BQ102="",BQ$8="",BQ$7=""),"",ROUND(BQ102/BQ$8*BQ$7*KVARDI,2))</f>
        <v/>
      </c>
      <c r="BS102" s="39"/>
      <c r="BT102" s="40" t="str">
        <f aca="false">IF(OR(INDEX(Undirviðmið!$G$6:$G$105,(COLUMN()-7-1)/2+1)&lt;&gt;"Starfsbundið",BS102="",BS$8="",BS$7=""),"",ROUND(BS102/BS$8*BS$7*KVARDI,2))</f>
        <v/>
      </c>
      <c r="BU102" s="39"/>
      <c r="BV102" s="40" t="str">
        <f aca="false">IF(OR(INDEX(Undirviðmið!$G$6:$G$105,(COLUMN()-7-1)/2+1)&lt;&gt;"Starfsbundið",BU102="",BU$8="",BU$7=""),"",ROUND(BU102/BU$8*BU$7*KVARDI,2))</f>
        <v/>
      </c>
      <c r="BW102" s="39"/>
      <c r="BX102" s="40" t="str">
        <f aca="false">IF(OR(INDEX(Undirviðmið!$G$6:$G$105,(COLUMN()-7-1)/2+1)&lt;&gt;"Starfsbundið",BW102="",BW$8="",BW$7=""),"",ROUND(BW102/BW$8*BW$7*KVARDI,2))</f>
        <v/>
      </c>
      <c r="BY102" s="39"/>
      <c r="BZ102" s="40" t="str">
        <f aca="false">IF(OR(INDEX(Undirviðmið!$G$6:$G$105,(COLUMN()-7-1)/2+1)&lt;&gt;"Starfsbundið",BY102="",BY$8="",BY$7=""),"",ROUND(BY102/BY$8*BY$7*KVARDI,2))</f>
        <v/>
      </c>
      <c r="CA102" s="39"/>
      <c r="CB102" s="40" t="str">
        <f aca="false">IF(OR(INDEX(Undirviðmið!$G$6:$G$105,(COLUMN()-7-1)/2+1)&lt;&gt;"Starfsbundið",CA102="",CA$8="",CA$7=""),"",ROUND(CA102/CA$8*CA$7*KVARDI,2))</f>
        <v/>
      </c>
      <c r="CC102" s="39"/>
      <c r="CD102" s="40" t="str">
        <f aca="false">IF(OR(INDEX(Undirviðmið!$G$6:$G$105,(COLUMN()-7-1)/2+1)&lt;&gt;"Starfsbundið",CC102="",CC$8="",CC$7=""),"",ROUND(CC102/CC$8*CC$7*KVARDI,2))</f>
        <v/>
      </c>
      <c r="CE102" s="39"/>
      <c r="CF102" s="40" t="str">
        <f aca="false">IF(OR(INDEX(Undirviðmið!$G$6:$G$105,(COLUMN()-7-1)/2+1)&lt;&gt;"Starfsbundið",CE102="",CE$8="",CE$7=""),"",ROUND(CE102/CE$8*CE$7*KVARDI,2))</f>
        <v/>
      </c>
      <c r="CG102" s="39"/>
      <c r="CH102" s="40" t="str">
        <f aca="false">IF(OR(INDEX(Undirviðmið!$G$6:$G$105,(COLUMN()-7-1)/2+1)&lt;&gt;"Starfsbundið",CG102="",CG$8="",CG$7=""),"",ROUND(CG102/CG$8*CG$7*KVARDI,2))</f>
        <v/>
      </c>
      <c r="CI102" s="39"/>
      <c r="CJ102" s="40" t="str">
        <f aca="false">IF(OR(INDEX(Undirviðmið!$G$6:$G$105,(COLUMN()-7-1)/2+1)&lt;&gt;"Starfsbundið",CI102="",CI$8="",CI$7=""),"",ROUND(CI102/CI$8*CI$7*KVARDI,2))</f>
        <v/>
      </c>
      <c r="CK102" s="39"/>
      <c r="CL102" s="40" t="str">
        <f aca="false">IF(OR(INDEX(Undirviðmið!$G$6:$G$105,(COLUMN()-7-1)/2+1)&lt;&gt;"Starfsbundið",CK102="",CK$8="",CK$7=""),"",ROUND(CK102/CK$8*CK$7*KVARDI,2))</f>
        <v/>
      </c>
      <c r="CM102" s="39"/>
      <c r="CN102" s="40" t="str">
        <f aca="false">IF(OR(INDEX(Undirviðmið!$G$6:$G$105,(COLUMN()-7-1)/2+1)&lt;&gt;"Starfsbundið",CM102="",CM$8="",CM$7=""),"",ROUND(CM102/CM$8*CM$7*KVARDI,2))</f>
        <v/>
      </c>
      <c r="CO102" s="39"/>
      <c r="CP102" s="40" t="str">
        <f aca="false">IF(OR(INDEX(Undirviðmið!$G$6:$G$105,(COLUMN()-7-1)/2+1)&lt;&gt;"Starfsbundið",CO102="",CO$8="",CO$7=""),"",ROUND(CO102/CO$8*CO$7*KVARDI,2))</f>
        <v/>
      </c>
      <c r="CQ102" s="39"/>
      <c r="CR102" s="40" t="str">
        <f aca="false">IF(OR(INDEX(Undirviðmið!$G$6:$G$105,(COLUMN()-7-1)/2+1)&lt;&gt;"Starfsbundið",CQ102="",CQ$8="",CQ$7=""),"",ROUND(CQ102/CQ$8*CQ$7*KVARDI,2))</f>
        <v/>
      </c>
      <c r="CS102" s="39"/>
      <c r="CT102" s="40" t="str">
        <f aca="false">IF(OR(INDEX(Undirviðmið!$G$6:$G$105,(COLUMN()-7-1)/2+1)&lt;&gt;"Starfsbundið",CS102="",CS$8="",CS$7=""),"",ROUND(CS102/CS$8*CS$7*KVARDI,2))</f>
        <v/>
      </c>
      <c r="CU102" s="39"/>
      <c r="CV102" s="40" t="str">
        <f aca="false">IF(OR(INDEX(Undirviðmið!$G$6:$G$105,(COLUMN()-7-1)/2+1)&lt;&gt;"Starfsbundið",CU102="",CU$8="",CU$7=""),"",ROUND(CU102/CU$8*CU$7*KVARDI,2))</f>
        <v/>
      </c>
      <c r="CW102" s="39"/>
      <c r="CX102" s="40" t="str">
        <f aca="false">IF(OR(INDEX(Undirviðmið!$G$6:$G$105,(COLUMN()-7-1)/2+1)&lt;&gt;"Starfsbundið",CW102="",CW$8="",CW$7=""),"",ROUND(CW102/CW$8*CW$7*KVARDI,2))</f>
        <v/>
      </c>
      <c r="CY102" s="39"/>
      <c r="CZ102" s="40" t="str">
        <f aca="false">IF(OR(INDEX(Undirviðmið!$G$6:$G$105,(COLUMN()-7-1)/2+1)&lt;&gt;"Starfsbundið",CY102="",CY$8="",CY$7=""),"",ROUND(CY102/CY$8*CY$7*KVARDI,2))</f>
        <v/>
      </c>
      <c r="DA102" s="39"/>
      <c r="DB102" s="40" t="str">
        <f aca="false">IF(OR(INDEX(Undirviðmið!$G$6:$G$105,(COLUMN()-7-1)/2+1)&lt;&gt;"Starfsbundið",DA102="",DA$8="",DA$7=""),"",ROUND(DA102/DA$8*DA$7*KVARDI,2))</f>
        <v/>
      </c>
      <c r="DC102" s="39"/>
      <c r="DD102" s="40" t="str">
        <f aca="false">IF(OR(INDEX(Undirviðmið!$G$6:$G$105,(COLUMN()-7-1)/2+1)&lt;&gt;"Starfsbundið",DC102="",DC$8="",DC$7=""),"",ROUND(DC102/DC$8*DC$7*KVARDI,2))</f>
        <v/>
      </c>
      <c r="DE102" s="39"/>
      <c r="DF102" s="40" t="str">
        <f aca="false">IF(OR(INDEX(Undirviðmið!$G$6:$G$105,(COLUMN()-7-1)/2+1)&lt;&gt;"Starfsbundið",DE102="",DE$8="",DE$7=""),"",ROUND(DE102/DE$8*DE$7*KVARDI,2))</f>
        <v/>
      </c>
      <c r="DG102" s="39"/>
      <c r="DH102" s="40" t="str">
        <f aca="false">IF(OR(INDEX(Undirviðmið!$G$6:$G$105,(COLUMN()-7-1)/2+1)&lt;&gt;"Starfsbundið",DG102="",DG$8="",DG$7=""),"",ROUND(DG102/DG$8*DG$7*KVARDI,2))</f>
        <v/>
      </c>
      <c r="DI102" s="39"/>
      <c r="DJ102" s="40" t="str">
        <f aca="false">IF(OR(INDEX(Undirviðmið!$G$6:$G$105,(COLUMN()-7-1)/2+1)&lt;&gt;"Starfsbundið",DI102="",DI$8="",DI$7=""),"",ROUND(DI102/DI$8*DI$7*KVARDI,2))</f>
        <v/>
      </c>
      <c r="DK102" s="39"/>
      <c r="DL102" s="40" t="str">
        <f aca="false">IF(OR(INDEX(Undirviðmið!$G$6:$G$105,(COLUMN()-7-1)/2+1)&lt;&gt;"Starfsbundið",DK102="",DK$8="",DK$7=""),"",ROUND(DK102/DK$8*DK$7*KVARDI,2))</f>
        <v/>
      </c>
      <c r="DM102" s="39"/>
      <c r="DN102" s="40" t="str">
        <f aca="false">IF(OR(INDEX(Undirviðmið!$G$6:$G$105,(COLUMN()-7-1)/2+1)&lt;&gt;"Starfsbundið",DM102="",DM$8="",DM$7=""),"",ROUND(DM102/DM$8*DM$7*KVARDI,2))</f>
        <v/>
      </c>
      <c r="DO102" s="39"/>
      <c r="DP102" s="40" t="str">
        <f aca="false">IF(OR(INDEX(Undirviðmið!$G$6:$G$105,(COLUMN()-7-1)/2+1)&lt;&gt;"Starfsbundið",DO102="",DO$8="",DO$7=""),"",ROUND(DO102/DO$8*DO$7*KVARDI,2))</f>
        <v/>
      </c>
      <c r="DQ102" s="39"/>
      <c r="DR102" s="40" t="str">
        <f aca="false">IF(OR(INDEX(Undirviðmið!$G$6:$G$105,(COLUMN()-7-1)/2+1)&lt;&gt;"Starfsbundið",DQ102="",DQ$8="",DQ$7=""),"",ROUND(DQ102/DQ$8*DQ$7*KVARDI,2))</f>
        <v/>
      </c>
      <c r="DS102" s="39"/>
      <c r="DT102" s="40" t="str">
        <f aca="false">IF(OR(INDEX(Undirviðmið!$G$6:$G$105,(COLUMN()-7-1)/2+1)&lt;&gt;"Starfsbundið",DS102="",DS$8="",DS$7=""),"",ROUND(DS102/DS$8*DS$7*KVARDI,2))</f>
        <v/>
      </c>
      <c r="DU102" s="39"/>
      <c r="DV102" s="40" t="str">
        <f aca="false">IF(OR(INDEX(Undirviðmið!$G$6:$G$105,(COLUMN()-7-1)/2+1)&lt;&gt;"Starfsbundið",DU102="",DU$8="",DU$7=""),"",ROUND(DU102/DU$8*DU$7*KVARDI,2))</f>
        <v/>
      </c>
      <c r="DW102" s="39"/>
      <c r="DX102" s="40" t="str">
        <f aca="false">IF(OR(INDEX(Undirviðmið!$G$6:$G$105,(COLUMN()-7-1)/2+1)&lt;&gt;"Starfsbundið",DW102="",DW$8="",DW$7=""),"",ROUND(DW102/DW$8*DW$7*KVARDI,2))</f>
        <v/>
      </c>
      <c r="DY102" s="39"/>
      <c r="DZ102" s="40" t="str">
        <f aca="false">IF(OR(INDEX(Undirviðmið!$G$6:$G$105,(COLUMN()-7-1)/2+1)&lt;&gt;"Starfsbundið",DY102="",DY$8="",DY$7=""),"",ROUND(DY102/DY$8*DY$7*KVARDI,2))</f>
        <v/>
      </c>
      <c r="EA102" s="39"/>
      <c r="EB102" s="40" t="str">
        <f aca="false">IF(OR(INDEX(Undirviðmið!$G$6:$G$105,(COLUMN()-7-1)/2+1)&lt;&gt;"Starfsbundið",EA102="",EA$8="",EA$7=""),"",ROUND(EA102/EA$8*EA$7*KVARDI,2))</f>
        <v/>
      </c>
      <c r="EC102" s="39"/>
      <c r="ED102" s="40" t="str">
        <f aca="false">IF(OR(INDEX(Undirviðmið!$G$6:$G$105,(COLUMN()-7-1)/2+1)&lt;&gt;"Starfsbundið",EC102="",EC$8="",EC$7=""),"",ROUND(EC102/EC$8*EC$7*KVARDI,2))</f>
        <v/>
      </c>
      <c r="EE102" s="39"/>
      <c r="EF102" s="40" t="str">
        <f aca="false">IF(OR(INDEX(Undirviðmið!$G$6:$G$105,(COLUMN()-7-1)/2+1)&lt;&gt;"Starfsbundið",EE102="",EE$8="",EE$7=""),"",ROUND(EE102/EE$8*EE$7*KVARDI,2))</f>
        <v/>
      </c>
      <c r="EG102" s="39"/>
      <c r="EH102" s="40" t="str">
        <f aca="false">IF(OR(INDEX(Undirviðmið!$G$6:$G$105,(COLUMN()-7-1)/2+1)&lt;&gt;"Starfsbundið",EG102="",EG$8="",EG$7=""),"",ROUND(EG102/EG$8*EG$7*KVARDI,2))</f>
        <v/>
      </c>
      <c r="EI102" s="39"/>
      <c r="EJ102" s="40" t="str">
        <f aca="false">IF(OR(INDEX(Undirviðmið!$G$6:$G$105,(COLUMN()-7-1)/2+1)&lt;&gt;"Starfsbundið",EI102="",EI$8="",EI$7=""),"",ROUND(EI102/EI$8*EI$7*KVARDI,2))</f>
        <v/>
      </c>
      <c r="EK102" s="39"/>
      <c r="EL102" s="40" t="str">
        <f aca="false">IF(OR(INDEX(Undirviðmið!$G$6:$G$105,(COLUMN()-7-1)/2+1)&lt;&gt;"Starfsbundið",EK102="",EK$8="",EK$7=""),"",ROUND(EK102/EK$8*EK$7*KVARDI,2))</f>
        <v/>
      </c>
      <c r="EM102" s="39"/>
      <c r="EN102" s="40" t="str">
        <f aca="false">IF(OR(INDEX(Undirviðmið!$G$6:$G$105,(COLUMN()-7-1)/2+1)&lt;&gt;"Starfsbundið",EM102="",EM$8="",EM$7=""),"",ROUND(EM102/EM$8*EM$7*KVARDI,2))</f>
        <v/>
      </c>
      <c r="EO102" s="39"/>
      <c r="EP102" s="40" t="str">
        <f aca="false">IF(OR(INDEX(Undirviðmið!$G$6:$G$105,(COLUMN()-7-1)/2+1)&lt;&gt;"Starfsbundið",EO102="",EO$8="",EO$7=""),"",ROUND(EO102/EO$8*EO$7*KVARDI,2))</f>
        <v/>
      </c>
      <c r="EQ102" s="39"/>
      <c r="ER102" s="40" t="str">
        <f aca="false">IF(OR(INDEX(Undirviðmið!$G$6:$G$105,(COLUMN()-7-1)/2+1)&lt;&gt;"Starfsbundið",EQ102="",EQ$8="",EQ$7=""),"",ROUND(EQ102/EQ$8*EQ$7*KVARDI,2))</f>
        <v/>
      </c>
      <c r="ES102" s="39"/>
      <c r="ET102" s="40" t="str">
        <f aca="false">IF(OR(INDEX(Undirviðmið!$G$6:$G$105,(COLUMN()-7-1)/2+1)&lt;&gt;"Starfsbundið",ES102="",ES$8="",ES$7=""),"",ROUND(ES102/ES$8*ES$7*KVARDI,2))</f>
        <v/>
      </c>
      <c r="EU102" s="39"/>
      <c r="EV102" s="40" t="str">
        <f aca="false">IF(OR(INDEX(Undirviðmið!$G$6:$G$105,(COLUMN()-7-1)/2+1)&lt;&gt;"Starfsbundið",EU102="",EU$8="",EU$7=""),"",ROUND(EU102/EU$8*EU$7*KVARDI,2))</f>
        <v/>
      </c>
      <c r="EW102" s="39"/>
      <c r="EX102" s="40" t="str">
        <f aca="false">IF(OR(INDEX(Undirviðmið!$G$6:$G$105,(COLUMN()-7-1)/2+1)&lt;&gt;"Starfsbundið",EW102="",EW$8="",EW$7=""),"",ROUND(EW102/EW$8*EW$7*KVARDI,2))</f>
        <v/>
      </c>
      <c r="EY102" s="39"/>
      <c r="EZ102" s="40" t="str">
        <f aca="false">IF(OR(INDEX(Undirviðmið!$G$6:$G$105,(COLUMN()-7-1)/2+1)&lt;&gt;"Starfsbundið",EY102="",EY$8="",EY$7=""),"",ROUND(EY102/EY$8*EY$7*KVARDI,2))</f>
        <v/>
      </c>
      <c r="FA102" s="39"/>
      <c r="FB102" s="40" t="str">
        <f aca="false">IF(OR(INDEX(Undirviðmið!$G$6:$G$105,(COLUMN()-7-1)/2+1)&lt;&gt;"Starfsbundið",FA102="",FA$8="",FA$7=""),"",ROUND(FA102/FA$8*FA$7*KVARDI,2))</f>
        <v/>
      </c>
      <c r="FC102" s="39"/>
      <c r="FD102" s="40" t="str">
        <f aca="false">IF(OR(INDEX(Undirviðmið!$G$6:$G$105,(COLUMN()-7-1)/2+1)&lt;&gt;"Starfsbundið",FC102="",FC$8="",FC$7=""),"",ROUND(FC102/FC$8*FC$7*KVARDI,2))</f>
        <v/>
      </c>
      <c r="FE102" s="39"/>
      <c r="FF102" s="40" t="str">
        <f aca="false">IF(OR(INDEX(Undirviðmið!$G$6:$G$105,(COLUMN()-7-1)/2+1)&lt;&gt;"Starfsbundið",FE102="",FE$8="",FE$7=""),"",ROUND(FE102/FE$8*FE$7*KVARDI,2))</f>
        <v/>
      </c>
      <c r="FG102" s="39"/>
      <c r="FH102" s="40" t="str">
        <f aca="false">IF(OR(INDEX(Undirviðmið!$G$6:$G$105,(COLUMN()-7-1)/2+1)&lt;&gt;"Starfsbundið",FG102="",FG$8="",FG$7=""),"",ROUND(FG102/FG$8*FG$7*KVARDI,2))</f>
        <v/>
      </c>
      <c r="FI102" s="39"/>
      <c r="FJ102" s="40" t="str">
        <f aca="false">IF(OR(INDEX(Undirviðmið!$G$6:$G$105,(COLUMN()-7-1)/2+1)&lt;&gt;"Starfsbundið",FI102="",FI$8="",FI$7=""),"",ROUND(FI102/FI$8*FI$7*KVARDI,2))</f>
        <v/>
      </c>
      <c r="FK102" s="39"/>
      <c r="FL102" s="40" t="str">
        <f aca="false">IF(OR(INDEX(Undirviðmið!$G$6:$G$105,(COLUMN()-7-1)/2+1)&lt;&gt;"Starfsbundið",FK102="",FK$8="",FK$7=""),"",ROUND(FK102/FK$8*FK$7*KVARDI,2))</f>
        <v/>
      </c>
      <c r="FM102" s="39"/>
      <c r="FN102" s="40" t="str">
        <f aca="false">IF(OR(INDEX(Undirviðmið!$G$6:$G$105,(COLUMN()-7-1)/2+1)&lt;&gt;"Starfsbundið",FM102="",FM$8="",FM$7=""),"",ROUND(FM102/FM$8*FM$7*KVARDI,2))</f>
        <v/>
      </c>
      <c r="FO102" s="39"/>
      <c r="FP102" s="40" t="str">
        <f aca="false">IF(OR(INDEX(Undirviðmið!$G$6:$G$105,(COLUMN()-7-1)/2+1)&lt;&gt;"Starfsbundið",FO102="",FO$8="",FO$7=""),"",ROUND(FO102/FO$8*FO$7*KVARDI,2))</f>
        <v/>
      </c>
      <c r="FQ102" s="39"/>
      <c r="FR102" s="40" t="str">
        <f aca="false">IF(OR(INDEX(Undirviðmið!$G$6:$G$105,(COLUMN()-7-1)/2+1)&lt;&gt;"Starfsbundið",FQ102="",FQ$8="",FQ$7=""),"",ROUND(FQ102/FQ$8*FQ$7*KVARDI,2))</f>
        <v/>
      </c>
      <c r="FS102" s="39"/>
      <c r="FT102" s="40" t="str">
        <f aca="false">IF(OR(INDEX(Undirviðmið!$G$6:$G$105,(COLUMN()-7-1)/2+1)&lt;&gt;"Starfsbundið",FS102="",FS$8="",FS$7=""),"",ROUND(FS102/FS$8*FS$7*KVARDI,2))</f>
        <v/>
      </c>
      <c r="FU102" s="39"/>
      <c r="FV102" s="40" t="str">
        <f aca="false">IF(OR(INDEX(Undirviðmið!$G$6:$G$105,(COLUMN()-7-1)/2+1)&lt;&gt;"Starfsbundið",FU102="",FU$8="",FU$7=""),"",ROUND(FU102/FU$8*FU$7*KVARDI,2))</f>
        <v/>
      </c>
      <c r="FW102" s="39"/>
      <c r="FX102" s="40" t="str">
        <f aca="false">IF(OR(INDEX(Undirviðmið!$G$6:$G$105,(COLUMN()-7-1)/2+1)&lt;&gt;"Starfsbundið",FW102="",FW$8="",FW$7=""),"",ROUND(FW102/FW$8*FW$7*KVARDI,2))</f>
        <v/>
      </c>
      <c r="FY102" s="39"/>
      <c r="FZ102" s="40" t="str">
        <f aca="false">IF(OR(INDEX(Undirviðmið!$G$6:$G$105,(COLUMN()-7-1)/2+1)&lt;&gt;"Starfsbundið",FY102="",FY$8="",FY$7=""),"",ROUND(FY102/FY$8*FY$7*KVARDI,2))</f>
        <v/>
      </c>
      <c r="GA102" s="39"/>
      <c r="GB102" s="40" t="str">
        <f aca="false">IF(OR(INDEX(Undirviðmið!$G$6:$G$105,(COLUMN()-7-1)/2+1)&lt;&gt;"Starfsbundið",GA102="",GA$8="",GA$7=""),"",ROUND(GA102/GA$8*GA$7*KVARDI,2))</f>
        <v/>
      </c>
      <c r="GC102" s="39"/>
      <c r="GD102" s="40" t="str">
        <f aca="false">IF(OR(INDEX(Undirviðmið!$G$6:$G$105,(COLUMN()-7-1)/2+1)&lt;&gt;"Starfsbundið",GC102="",GC$8="",GC$7=""),"",ROUND(GC102/GC$8*GC$7*KVARDI,2))</f>
        <v/>
      </c>
      <c r="GE102" s="39"/>
      <c r="GF102" s="40" t="str">
        <f aca="false">IF(OR(INDEX(Undirviðmið!$G$6:$G$105,(COLUMN()-7-1)/2+1)&lt;&gt;"Starfsbundið",GE102="",GE$8="",GE$7=""),"",ROUND(GE102/GE$8*GE$7*KVARDI,2))</f>
        <v/>
      </c>
      <c r="GG102" s="39"/>
      <c r="GH102" s="40" t="str">
        <f aca="false">IF(OR(INDEX(Undirviðmið!$G$6:$G$105,(COLUMN()-7-1)/2+1)&lt;&gt;"Starfsbundið",GG102="",GG$8="",GG$7=""),"",ROUND(GG102/GG$8*GG$7*KVARDI,2))</f>
        <v/>
      </c>
      <c r="GI102" s="39"/>
      <c r="GJ102" s="40" t="str">
        <f aca="false">IF(OR(INDEX(Undirviðmið!$G$6:$G$105,(COLUMN()-7-1)/2+1)&lt;&gt;"Starfsbundið",GI102="",GI$8="",GI$7=""),"",ROUND(GI102/GI$8*GI$7*KVARDI,2))</f>
        <v/>
      </c>
      <c r="GK102" s="39"/>
      <c r="GL102" s="40" t="str">
        <f aca="false">IF(OR(INDEX(Undirviðmið!$G$6:$G$105,(COLUMN()-7-1)/2+1)&lt;&gt;"Starfsbundið",GK102="",GK$8="",GK$7=""),"",ROUND(GK102/GK$8*GK$7*KVARDI,2))</f>
        <v/>
      </c>
      <c r="GM102" s="39"/>
      <c r="GN102" s="40" t="str">
        <f aca="false">IF(OR(INDEX(Undirviðmið!$G$6:$G$105,(COLUMN()-7-1)/2+1)&lt;&gt;"Starfsbundið",GM102="",GM$8="",GM$7=""),"",ROUND(GM102/GM$8*GM$7*KVARDI,2))</f>
        <v/>
      </c>
      <c r="GO102" s="39"/>
      <c r="GP102" s="40" t="str">
        <f aca="false">IF(OR(INDEX(Undirviðmið!$G$6:$G$105,(COLUMN()-7-1)/2+1)&lt;&gt;"Starfsbundið",GO102="",GO$8="",GO$7=""),"",ROUND(GO102/GO$8*GO$7*KVARDI,2))</f>
        <v/>
      </c>
      <c r="GQ102" s="39"/>
      <c r="GR102" s="40" t="str">
        <f aca="false">IF(OR(INDEX(Undirviðmið!$G$6:$G$105,(COLUMN()-7-1)/2+1)&lt;&gt;"Starfsbundið",GQ102="",GQ$8="",GQ$7=""),"",ROUND(GQ102/GQ$8*GQ$7*KVARDI,2))</f>
        <v/>
      </c>
      <c r="GS102" s="39"/>
      <c r="GT102" s="40" t="str">
        <f aca="false">IF(OR(INDEX(Undirviðmið!$G$6:$G$105,(COLUMN()-7-1)/2+1)&lt;&gt;"Starfsbundið",GS102="",GS$8="",GS$7=""),"",ROUND(GS102/GS$8*GS$7*KVARDI,2))</f>
        <v/>
      </c>
      <c r="GU102" s="39"/>
      <c r="GV102" s="40" t="str">
        <f aca="false">IF(OR(INDEX(Undirviðmið!$G$6:$G$105,(COLUMN()-7-1)/2+1)&lt;&gt;"Starfsbundið",GU102="",GU$8="",GU$7=""),"",ROUND(GU102/GU$8*GU$7*KVARDI,2))</f>
        <v/>
      </c>
      <c r="GW102" s="39"/>
      <c r="GX102" s="40" t="str">
        <f aca="false">IF(OR(INDEX(Undirviðmið!$G$6:$G$105,(COLUMN()-7-1)/2+1)&lt;&gt;"Starfsbundið",GW102="",GW$8="",GW$7=""),"",ROUND(GW102/GW$8*GW$7*KVARDI,2))</f>
        <v/>
      </c>
      <c r="GZ102" s="20"/>
    </row>
    <row r="103" customFormat="false" ht="15" hidden="true" customHeight="true" outlineLevel="1" collapsed="false">
      <c r="B103" s="37" t="str">
        <f aca="false" t="array" ref="B103:B103">IFERROR(INDEX(Starfsmenn!$C$6:$C$10005,MATCH(0,COUNTIF($B$11:B102,Starfsmenn!$C$6:$C$10005)+(Starfsmenn!$C$6:$C$10005=""),0)),"")</f>
        <v/>
      </c>
      <c r="C103" s="38" t="n">
        <f aca="false">IFERROR(SUMIF($G$10:$GX$10,"Stig",$G103:$GX103),0)</f>
        <v>0</v>
      </c>
      <c r="G103" s="39"/>
      <c r="H103" s="40" t="str">
        <f aca="false">IF(OR(INDEX(Undirviðmið!$G$6:$G$105,(COLUMN()-7-1)/2+1)&lt;&gt;"Starfsbundið",G103="",G$8="",G$7=""),"",ROUND(G103/G$8*G$7*KVARDI,2))</f>
        <v/>
      </c>
      <c r="I103" s="39"/>
      <c r="J103" s="40" t="str">
        <f aca="false">IF(OR(INDEX(Undirviðmið!$G$6:$G$105,(COLUMN()-7-1)/2+1)&lt;&gt;"Starfsbundið",I103="",I$8="",I$7=""),"",ROUND(I103/I$8*I$7*KVARDI,2))</f>
        <v/>
      </c>
      <c r="K103" s="39"/>
      <c r="L103" s="40" t="str">
        <f aca="false">IF(OR(INDEX(Undirviðmið!$G$6:$G$105,(COLUMN()-7-1)/2+1)&lt;&gt;"Starfsbundið",K103="",K$8="",K$7=""),"",ROUND(K103/K$8*K$7*KVARDI,2))</f>
        <v/>
      </c>
      <c r="M103" s="39"/>
      <c r="N103" s="40" t="str">
        <f aca="false">IF(OR(INDEX(Undirviðmið!$G$6:$G$105,(COLUMN()-7-1)/2+1)&lt;&gt;"Starfsbundið",M103="",M$8="",M$7=""),"",ROUND(M103/M$8*M$7*KVARDI,2))</f>
        <v/>
      </c>
      <c r="O103" s="39"/>
      <c r="P103" s="40" t="str">
        <f aca="false">IF(OR(INDEX(Undirviðmið!$G$6:$G$105,(COLUMN()-7-1)/2+1)&lt;&gt;"Starfsbundið",O103="",O$8="",O$7=""),"",ROUND(O103/O$8*O$7*KVARDI,2))</f>
        <v/>
      </c>
      <c r="Q103" s="39"/>
      <c r="R103" s="40" t="str">
        <f aca="false">IF(OR(INDEX(Undirviðmið!$G$6:$G$105,(COLUMN()-7-1)/2+1)&lt;&gt;"Starfsbundið",Q103="",Q$8="",Q$7=""),"",ROUND(Q103/Q$8*Q$7*KVARDI,2))</f>
        <v/>
      </c>
      <c r="S103" s="39"/>
      <c r="T103" s="40" t="str">
        <f aca="false">IF(OR(INDEX(Undirviðmið!$G$6:$G$105,(COLUMN()-7-1)/2+1)&lt;&gt;"Starfsbundið",S103="",S$8="",S$7=""),"",ROUND(S103/S$8*S$7*KVARDI,2))</f>
        <v/>
      </c>
      <c r="U103" s="39"/>
      <c r="V103" s="40" t="str">
        <f aca="false">IF(OR(INDEX(Undirviðmið!$G$6:$G$105,(COLUMN()-7-1)/2+1)&lt;&gt;"Starfsbundið",U103="",U$8="",U$7=""),"",ROUND(U103/U$8*U$7*KVARDI,2))</f>
        <v/>
      </c>
      <c r="W103" s="39"/>
      <c r="X103" s="40" t="str">
        <f aca="false">IF(OR(INDEX(Undirviðmið!$G$6:$G$105,(COLUMN()-7-1)/2+1)&lt;&gt;"Starfsbundið",W103="",W$8="",W$7=""),"",ROUND(W103/W$8*W$7*KVARDI,2))</f>
        <v/>
      </c>
      <c r="Y103" s="39"/>
      <c r="Z103" s="40" t="str">
        <f aca="false">IF(OR(INDEX(Undirviðmið!$G$6:$G$105,(COLUMN()-7-1)/2+1)&lt;&gt;"Starfsbundið",Y103="",Y$8="",Y$7=""),"",ROUND(Y103/Y$8*Y$7*KVARDI,2))</f>
        <v/>
      </c>
      <c r="AA103" s="39"/>
      <c r="AB103" s="40" t="str">
        <f aca="false">IF(OR(INDEX(Undirviðmið!$G$6:$G$105,(COLUMN()-7-1)/2+1)&lt;&gt;"Starfsbundið",AA103="",AA$8="",AA$7=""),"",ROUND(AA103/AA$8*AA$7*KVARDI,2))</f>
        <v/>
      </c>
      <c r="AC103" s="39"/>
      <c r="AD103" s="40" t="str">
        <f aca="false">IF(OR(INDEX(Undirviðmið!$G$6:$G$105,(COLUMN()-7-1)/2+1)&lt;&gt;"Starfsbundið",AC103="",AC$8="",AC$7=""),"",ROUND(AC103/AC$8*AC$7*KVARDI,2))</f>
        <v/>
      </c>
      <c r="AE103" s="39"/>
      <c r="AF103" s="40" t="str">
        <f aca="false">IF(OR(INDEX(Undirviðmið!$G$6:$G$105,(COLUMN()-7-1)/2+1)&lt;&gt;"Starfsbundið",AE103="",AE$8="",AE$7=""),"",ROUND(AE103/AE$8*AE$7*KVARDI,2))</f>
        <v/>
      </c>
      <c r="AG103" s="39"/>
      <c r="AH103" s="40" t="str">
        <f aca="false">IF(OR(INDEX(Undirviðmið!$G$6:$G$105,(COLUMN()-7-1)/2+1)&lt;&gt;"Starfsbundið",AG103="",AG$8="",AG$7=""),"",ROUND(AG103/AG$8*AG$7*KVARDI,2))</f>
        <v/>
      </c>
      <c r="AI103" s="39"/>
      <c r="AJ103" s="40" t="str">
        <f aca="false">IF(OR(INDEX(Undirviðmið!$G$6:$G$105,(COLUMN()-7-1)/2+1)&lt;&gt;"Starfsbundið",AI103="",AI$8="",AI$7=""),"",ROUND(AI103/AI$8*AI$7*KVARDI,2))</f>
        <v/>
      </c>
      <c r="AK103" s="39"/>
      <c r="AL103" s="40" t="str">
        <f aca="false">IF(OR(INDEX(Undirviðmið!$G$6:$G$105,(COLUMN()-7-1)/2+1)&lt;&gt;"Starfsbundið",AK103="",AK$8="",AK$7=""),"",ROUND(AK103/AK$8*AK$7*KVARDI,2))</f>
        <v/>
      </c>
      <c r="AM103" s="39"/>
      <c r="AN103" s="40" t="str">
        <f aca="false">IF(OR(INDEX(Undirviðmið!$G$6:$G$105,(COLUMN()-7-1)/2+1)&lt;&gt;"Starfsbundið",AM103="",AM$8="",AM$7=""),"",ROUND(AM103/AM$8*AM$7*KVARDI,2))</f>
        <v/>
      </c>
      <c r="AO103" s="39"/>
      <c r="AP103" s="40" t="str">
        <f aca="false">IF(OR(INDEX(Undirviðmið!$G$6:$G$105,(COLUMN()-7-1)/2+1)&lt;&gt;"Starfsbundið",AO103="",AO$8="",AO$7=""),"",ROUND(AO103/AO$8*AO$7*KVARDI,2))</f>
        <v/>
      </c>
      <c r="AQ103" s="39"/>
      <c r="AR103" s="40" t="str">
        <f aca="false">IF(OR(INDEX(Undirviðmið!$G$6:$G$105,(COLUMN()-7-1)/2+1)&lt;&gt;"Starfsbundið",AQ103="",AQ$8="",AQ$7=""),"",ROUND(AQ103/AQ$8*AQ$7*KVARDI,2))</f>
        <v/>
      </c>
      <c r="AS103" s="39"/>
      <c r="AT103" s="40" t="str">
        <f aca="false">IF(OR(INDEX(Undirviðmið!$G$6:$G$105,(COLUMN()-7-1)/2+1)&lt;&gt;"Starfsbundið",AS103="",AS$8="",AS$7=""),"",ROUND(AS103/AS$8*AS$7*KVARDI,2))</f>
        <v/>
      </c>
      <c r="AU103" s="39"/>
      <c r="AV103" s="40" t="str">
        <f aca="false">IF(OR(INDEX(Undirviðmið!$G$6:$G$105,(COLUMN()-7-1)/2+1)&lt;&gt;"Starfsbundið",AU103="",AU$8="",AU$7=""),"",ROUND(AU103/AU$8*AU$7*KVARDI,2))</f>
        <v/>
      </c>
      <c r="AW103" s="39"/>
      <c r="AX103" s="40" t="str">
        <f aca="false">IF(OR(INDEX(Undirviðmið!$G$6:$G$105,(COLUMN()-7-1)/2+1)&lt;&gt;"Starfsbundið",AW103="",AW$8="",AW$7=""),"",ROUND(AW103/AW$8*AW$7*KVARDI,2))</f>
        <v/>
      </c>
      <c r="AY103" s="39"/>
      <c r="AZ103" s="40" t="str">
        <f aca="false">IF(OR(INDEX(Undirviðmið!$G$6:$G$105,(COLUMN()-7-1)/2+1)&lt;&gt;"Starfsbundið",AY103="",AY$8="",AY$7=""),"",ROUND(AY103/AY$8*AY$7*KVARDI,2))</f>
        <v/>
      </c>
      <c r="BA103" s="39"/>
      <c r="BB103" s="40" t="str">
        <f aca="false">IF(OR(INDEX(Undirviðmið!$G$6:$G$105,(COLUMN()-7-1)/2+1)&lt;&gt;"Starfsbundið",BA103="",BA$8="",BA$7=""),"",ROUND(BA103/BA$8*BA$7*KVARDI,2))</f>
        <v/>
      </c>
      <c r="BC103" s="39"/>
      <c r="BD103" s="40" t="str">
        <f aca="false">IF(OR(INDEX(Undirviðmið!$G$6:$G$105,(COLUMN()-7-1)/2+1)&lt;&gt;"Starfsbundið",BC103="",BC$8="",BC$7=""),"",ROUND(BC103/BC$8*BC$7*KVARDI,2))</f>
        <v/>
      </c>
      <c r="BE103" s="39"/>
      <c r="BF103" s="40" t="str">
        <f aca="false">IF(OR(INDEX(Undirviðmið!$G$6:$G$105,(COLUMN()-7-1)/2+1)&lt;&gt;"Starfsbundið",BE103="",BE$8="",BE$7=""),"",ROUND(BE103/BE$8*BE$7*KVARDI,2))</f>
        <v/>
      </c>
      <c r="BG103" s="39"/>
      <c r="BH103" s="40" t="str">
        <f aca="false">IF(OR(INDEX(Undirviðmið!$G$6:$G$105,(COLUMN()-7-1)/2+1)&lt;&gt;"Starfsbundið",BG103="",BG$8="",BG$7=""),"",ROUND(BG103/BG$8*BG$7*KVARDI,2))</f>
        <v/>
      </c>
      <c r="BI103" s="39"/>
      <c r="BJ103" s="40" t="str">
        <f aca="false">IF(OR(INDEX(Undirviðmið!$G$6:$G$105,(COLUMN()-7-1)/2+1)&lt;&gt;"Starfsbundið",BI103="",BI$8="",BI$7=""),"",ROUND(BI103/BI$8*BI$7*KVARDI,2))</f>
        <v/>
      </c>
      <c r="BK103" s="39"/>
      <c r="BL103" s="40" t="str">
        <f aca="false">IF(OR(INDEX(Undirviðmið!$G$6:$G$105,(COLUMN()-7-1)/2+1)&lt;&gt;"Starfsbundið",BK103="",BK$8="",BK$7=""),"",ROUND(BK103/BK$8*BK$7*KVARDI,2))</f>
        <v/>
      </c>
      <c r="BM103" s="39"/>
      <c r="BN103" s="40" t="str">
        <f aca="false">IF(OR(INDEX(Undirviðmið!$G$6:$G$105,(COLUMN()-7-1)/2+1)&lt;&gt;"Starfsbundið",BM103="",BM$8="",BM$7=""),"",ROUND(BM103/BM$8*BM$7*KVARDI,2))</f>
        <v/>
      </c>
      <c r="BO103" s="39"/>
      <c r="BP103" s="40" t="str">
        <f aca="false">IF(OR(INDEX(Undirviðmið!$G$6:$G$105,(COLUMN()-7-1)/2+1)&lt;&gt;"Starfsbundið",BO103="",BO$8="",BO$7=""),"",ROUND(BO103/BO$8*BO$7*KVARDI,2))</f>
        <v/>
      </c>
      <c r="BQ103" s="39"/>
      <c r="BR103" s="40" t="str">
        <f aca="false">IF(OR(INDEX(Undirviðmið!$G$6:$G$105,(COLUMN()-7-1)/2+1)&lt;&gt;"Starfsbundið",BQ103="",BQ$8="",BQ$7=""),"",ROUND(BQ103/BQ$8*BQ$7*KVARDI,2))</f>
        <v/>
      </c>
      <c r="BS103" s="39"/>
      <c r="BT103" s="40" t="str">
        <f aca="false">IF(OR(INDEX(Undirviðmið!$G$6:$G$105,(COLUMN()-7-1)/2+1)&lt;&gt;"Starfsbundið",BS103="",BS$8="",BS$7=""),"",ROUND(BS103/BS$8*BS$7*KVARDI,2))</f>
        <v/>
      </c>
      <c r="BU103" s="39"/>
      <c r="BV103" s="40" t="str">
        <f aca="false">IF(OR(INDEX(Undirviðmið!$G$6:$G$105,(COLUMN()-7-1)/2+1)&lt;&gt;"Starfsbundið",BU103="",BU$8="",BU$7=""),"",ROUND(BU103/BU$8*BU$7*KVARDI,2))</f>
        <v/>
      </c>
      <c r="BW103" s="39"/>
      <c r="BX103" s="40" t="str">
        <f aca="false">IF(OR(INDEX(Undirviðmið!$G$6:$G$105,(COLUMN()-7-1)/2+1)&lt;&gt;"Starfsbundið",BW103="",BW$8="",BW$7=""),"",ROUND(BW103/BW$8*BW$7*KVARDI,2))</f>
        <v/>
      </c>
      <c r="BY103" s="39"/>
      <c r="BZ103" s="40" t="str">
        <f aca="false">IF(OR(INDEX(Undirviðmið!$G$6:$G$105,(COLUMN()-7-1)/2+1)&lt;&gt;"Starfsbundið",BY103="",BY$8="",BY$7=""),"",ROUND(BY103/BY$8*BY$7*KVARDI,2))</f>
        <v/>
      </c>
      <c r="CA103" s="39"/>
      <c r="CB103" s="40" t="str">
        <f aca="false">IF(OR(INDEX(Undirviðmið!$G$6:$G$105,(COLUMN()-7-1)/2+1)&lt;&gt;"Starfsbundið",CA103="",CA$8="",CA$7=""),"",ROUND(CA103/CA$8*CA$7*KVARDI,2))</f>
        <v/>
      </c>
      <c r="CC103" s="39"/>
      <c r="CD103" s="40" t="str">
        <f aca="false">IF(OR(INDEX(Undirviðmið!$G$6:$G$105,(COLUMN()-7-1)/2+1)&lt;&gt;"Starfsbundið",CC103="",CC$8="",CC$7=""),"",ROUND(CC103/CC$8*CC$7*KVARDI,2))</f>
        <v/>
      </c>
      <c r="CE103" s="39"/>
      <c r="CF103" s="40" t="str">
        <f aca="false">IF(OR(INDEX(Undirviðmið!$G$6:$G$105,(COLUMN()-7-1)/2+1)&lt;&gt;"Starfsbundið",CE103="",CE$8="",CE$7=""),"",ROUND(CE103/CE$8*CE$7*KVARDI,2))</f>
        <v/>
      </c>
      <c r="CG103" s="39"/>
      <c r="CH103" s="40" t="str">
        <f aca="false">IF(OR(INDEX(Undirviðmið!$G$6:$G$105,(COLUMN()-7-1)/2+1)&lt;&gt;"Starfsbundið",CG103="",CG$8="",CG$7=""),"",ROUND(CG103/CG$8*CG$7*KVARDI,2))</f>
        <v/>
      </c>
      <c r="CI103" s="39"/>
      <c r="CJ103" s="40" t="str">
        <f aca="false">IF(OR(INDEX(Undirviðmið!$G$6:$G$105,(COLUMN()-7-1)/2+1)&lt;&gt;"Starfsbundið",CI103="",CI$8="",CI$7=""),"",ROUND(CI103/CI$8*CI$7*KVARDI,2))</f>
        <v/>
      </c>
      <c r="CK103" s="39"/>
      <c r="CL103" s="40" t="str">
        <f aca="false">IF(OR(INDEX(Undirviðmið!$G$6:$G$105,(COLUMN()-7-1)/2+1)&lt;&gt;"Starfsbundið",CK103="",CK$8="",CK$7=""),"",ROUND(CK103/CK$8*CK$7*KVARDI,2))</f>
        <v/>
      </c>
      <c r="CM103" s="39"/>
      <c r="CN103" s="40" t="str">
        <f aca="false">IF(OR(INDEX(Undirviðmið!$G$6:$G$105,(COLUMN()-7-1)/2+1)&lt;&gt;"Starfsbundið",CM103="",CM$8="",CM$7=""),"",ROUND(CM103/CM$8*CM$7*KVARDI,2))</f>
        <v/>
      </c>
      <c r="CO103" s="39"/>
      <c r="CP103" s="40" t="str">
        <f aca="false">IF(OR(INDEX(Undirviðmið!$G$6:$G$105,(COLUMN()-7-1)/2+1)&lt;&gt;"Starfsbundið",CO103="",CO$8="",CO$7=""),"",ROUND(CO103/CO$8*CO$7*KVARDI,2))</f>
        <v/>
      </c>
      <c r="CQ103" s="39"/>
      <c r="CR103" s="40" t="str">
        <f aca="false">IF(OR(INDEX(Undirviðmið!$G$6:$G$105,(COLUMN()-7-1)/2+1)&lt;&gt;"Starfsbundið",CQ103="",CQ$8="",CQ$7=""),"",ROUND(CQ103/CQ$8*CQ$7*KVARDI,2))</f>
        <v/>
      </c>
      <c r="CS103" s="39"/>
      <c r="CT103" s="40" t="str">
        <f aca="false">IF(OR(INDEX(Undirviðmið!$G$6:$G$105,(COLUMN()-7-1)/2+1)&lt;&gt;"Starfsbundið",CS103="",CS$8="",CS$7=""),"",ROUND(CS103/CS$8*CS$7*KVARDI,2))</f>
        <v/>
      </c>
      <c r="CU103" s="39"/>
      <c r="CV103" s="40" t="str">
        <f aca="false">IF(OR(INDEX(Undirviðmið!$G$6:$G$105,(COLUMN()-7-1)/2+1)&lt;&gt;"Starfsbundið",CU103="",CU$8="",CU$7=""),"",ROUND(CU103/CU$8*CU$7*KVARDI,2))</f>
        <v/>
      </c>
      <c r="CW103" s="39"/>
      <c r="CX103" s="40" t="str">
        <f aca="false">IF(OR(INDEX(Undirviðmið!$G$6:$G$105,(COLUMN()-7-1)/2+1)&lt;&gt;"Starfsbundið",CW103="",CW$8="",CW$7=""),"",ROUND(CW103/CW$8*CW$7*KVARDI,2))</f>
        <v/>
      </c>
      <c r="CY103" s="39"/>
      <c r="CZ103" s="40" t="str">
        <f aca="false">IF(OR(INDEX(Undirviðmið!$G$6:$G$105,(COLUMN()-7-1)/2+1)&lt;&gt;"Starfsbundið",CY103="",CY$8="",CY$7=""),"",ROUND(CY103/CY$8*CY$7*KVARDI,2))</f>
        <v/>
      </c>
      <c r="DA103" s="39"/>
      <c r="DB103" s="40" t="str">
        <f aca="false">IF(OR(INDEX(Undirviðmið!$G$6:$G$105,(COLUMN()-7-1)/2+1)&lt;&gt;"Starfsbundið",DA103="",DA$8="",DA$7=""),"",ROUND(DA103/DA$8*DA$7*KVARDI,2))</f>
        <v/>
      </c>
      <c r="DC103" s="39"/>
      <c r="DD103" s="40" t="str">
        <f aca="false">IF(OR(INDEX(Undirviðmið!$G$6:$G$105,(COLUMN()-7-1)/2+1)&lt;&gt;"Starfsbundið",DC103="",DC$8="",DC$7=""),"",ROUND(DC103/DC$8*DC$7*KVARDI,2))</f>
        <v/>
      </c>
      <c r="DE103" s="39"/>
      <c r="DF103" s="40" t="str">
        <f aca="false">IF(OR(INDEX(Undirviðmið!$G$6:$G$105,(COLUMN()-7-1)/2+1)&lt;&gt;"Starfsbundið",DE103="",DE$8="",DE$7=""),"",ROUND(DE103/DE$8*DE$7*KVARDI,2))</f>
        <v/>
      </c>
      <c r="DG103" s="39"/>
      <c r="DH103" s="40" t="str">
        <f aca="false">IF(OR(INDEX(Undirviðmið!$G$6:$G$105,(COLUMN()-7-1)/2+1)&lt;&gt;"Starfsbundið",DG103="",DG$8="",DG$7=""),"",ROUND(DG103/DG$8*DG$7*KVARDI,2))</f>
        <v/>
      </c>
      <c r="DI103" s="39"/>
      <c r="DJ103" s="40" t="str">
        <f aca="false">IF(OR(INDEX(Undirviðmið!$G$6:$G$105,(COLUMN()-7-1)/2+1)&lt;&gt;"Starfsbundið",DI103="",DI$8="",DI$7=""),"",ROUND(DI103/DI$8*DI$7*KVARDI,2))</f>
        <v/>
      </c>
      <c r="DK103" s="39"/>
      <c r="DL103" s="40" t="str">
        <f aca="false">IF(OR(INDEX(Undirviðmið!$G$6:$G$105,(COLUMN()-7-1)/2+1)&lt;&gt;"Starfsbundið",DK103="",DK$8="",DK$7=""),"",ROUND(DK103/DK$8*DK$7*KVARDI,2))</f>
        <v/>
      </c>
      <c r="DM103" s="39"/>
      <c r="DN103" s="40" t="str">
        <f aca="false">IF(OR(INDEX(Undirviðmið!$G$6:$G$105,(COLUMN()-7-1)/2+1)&lt;&gt;"Starfsbundið",DM103="",DM$8="",DM$7=""),"",ROUND(DM103/DM$8*DM$7*KVARDI,2))</f>
        <v/>
      </c>
      <c r="DO103" s="39"/>
      <c r="DP103" s="40" t="str">
        <f aca="false">IF(OR(INDEX(Undirviðmið!$G$6:$G$105,(COLUMN()-7-1)/2+1)&lt;&gt;"Starfsbundið",DO103="",DO$8="",DO$7=""),"",ROUND(DO103/DO$8*DO$7*KVARDI,2))</f>
        <v/>
      </c>
      <c r="DQ103" s="39"/>
      <c r="DR103" s="40" t="str">
        <f aca="false">IF(OR(INDEX(Undirviðmið!$G$6:$G$105,(COLUMN()-7-1)/2+1)&lt;&gt;"Starfsbundið",DQ103="",DQ$8="",DQ$7=""),"",ROUND(DQ103/DQ$8*DQ$7*KVARDI,2))</f>
        <v/>
      </c>
      <c r="DS103" s="39"/>
      <c r="DT103" s="40" t="str">
        <f aca="false">IF(OR(INDEX(Undirviðmið!$G$6:$G$105,(COLUMN()-7-1)/2+1)&lt;&gt;"Starfsbundið",DS103="",DS$8="",DS$7=""),"",ROUND(DS103/DS$8*DS$7*KVARDI,2))</f>
        <v/>
      </c>
      <c r="DU103" s="39"/>
      <c r="DV103" s="40" t="str">
        <f aca="false">IF(OR(INDEX(Undirviðmið!$G$6:$G$105,(COLUMN()-7-1)/2+1)&lt;&gt;"Starfsbundið",DU103="",DU$8="",DU$7=""),"",ROUND(DU103/DU$8*DU$7*KVARDI,2))</f>
        <v/>
      </c>
      <c r="DW103" s="39"/>
      <c r="DX103" s="40" t="str">
        <f aca="false">IF(OR(INDEX(Undirviðmið!$G$6:$G$105,(COLUMN()-7-1)/2+1)&lt;&gt;"Starfsbundið",DW103="",DW$8="",DW$7=""),"",ROUND(DW103/DW$8*DW$7*KVARDI,2))</f>
        <v/>
      </c>
      <c r="DY103" s="39"/>
      <c r="DZ103" s="40" t="str">
        <f aca="false">IF(OR(INDEX(Undirviðmið!$G$6:$G$105,(COLUMN()-7-1)/2+1)&lt;&gt;"Starfsbundið",DY103="",DY$8="",DY$7=""),"",ROUND(DY103/DY$8*DY$7*KVARDI,2))</f>
        <v/>
      </c>
      <c r="EA103" s="39"/>
      <c r="EB103" s="40" t="str">
        <f aca="false">IF(OR(INDEX(Undirviðmið!$G$6:$G$105,(COLUMN()-7-1)/2+1)&lt;&gt;"Starfsbundið",EA103="",EA$8="",EA$7=""),"",ROUND(EA103/EA$8*EA$7*KVARDI,2))</f>
        <v/>
      </c>
      <c r="EC103" s="39"/>
      <c r="ED103" s="40" t="str">
        <f aca="false">IF(OR(INDEX(Undirviðmið!$G$6:$G$105,(COLUMN()-7-1)/2+1)&lt;&gt;"Starfsbundið",EC103="",EC$8="",EC$7=""),"",ROUND(EC103/EC$8*EC$7*KVARDI,2))</f>
        <v/>
      </c>
      <c r="EE103" s="39"/>
      <c r="EF103" s="40" t="str">
        <f aca="false">IF(OR(INDEX(Undirviðmið!$G$6:$G$105,(COLUMN()-7-1)/2+1)&lt;&gt;"Starfsbundið",EE103="",EE$8="",EE$7=""),"",ROUND(EE103/EE$8*EE$7*KVARDI,2))</f>
        <v/>
      </c>
      <c r="EG103" s="39"/>
      <c r="EH103" s="40" t="str">
        <f aca="false">IF(OR(INDEX(Undirviðmið!$G$6:$G$105,(COLUMN()-7-1)/2+1)&lt;&gt;"Starfsbundið",EG103="",EG$8="",EG$7=""),"",ROUND(EG103/EG$8*EG$7*KVARDI,2))</f>
        <v/>
      </c>
      <c r="EI103" s="39"/>
      <c r="EJ103" s="40" t="str">
        <f aca="false">IF(OR(INDEX(Undirviðmið!$G$6:$G$105,(COLUMN()-7-1)/2+1)&lt;&gt;"Starfsbundið",EI103="",EI$8="",EI$7=""),"",ROUND(EI103/EI$8*EI$7*KVARDI,2))</f>
        <v/>
      </c>
      <c r="EK103" s="39"/>
      <c r="EL103" s="40" t="str">
        <f aca="false">IF(OR(INDEX(Undirviðmið!$G$6:$G$105,(COLUMN()-7-1)/2+1)&lt;&gt;"Starfsbundið",EK103="",EK$8="",EK$7=""),"",ROUND(EK103/EK$8*EK$7*KVARDI,2))</f>
        <v/>
      </c>
      <c r="EM103" s="39"/>
      <c r="EN103" s="40" t="str">
        <f aca="false">IF(OR(INDEX(Undirviðmið!$G$6:$G$105,(COLUMN()-7-1)/2+1)&lt;&gt;"Starfsbundið",EM103="",EM$8="",EM$7=""),"",ROUND(EM103/EM$8*EM$7*KVARDI,2))</f>
        <v/>
      </c>
      <c r="EO103" s="39"/>
      <c r="EP103" s="40" t="str">
        <f aca="false">IF(OR(INDEX(Undirviðmið!$G$6:$G$105,(COLUMN()-7-1)/2+1)&lt;&gt;"Starfsbundið",EO103="",EO$8="",EO$7=""),"",ROUND(EO103/EO$8*EO$7*KVARDI,2))</f>
        <v/>
      </c>
      <c r="EQ103" s="39"/>
      <c r="ER103" s="40" t="str">
        <f aca="false">IF(OR(INDEX(Undirviðmið!$G$6:$G$105,(COLUMN()-7-1)/2+1)&lt;&gt;"Starfsbundið",EQ103="",EQ$8="",EQ$7=""),"",ROUND(EQ103/EQ$8*EQ$7*KVARDI,2))</f>
        <v/>
      </c>
      <c r="ES103" s="39"/>
      <c r="ET103" s="40" t="str">
        <f aca="false">IF(OR(INDEX(Undirviðmið!$G$6:$G$105,(COLUMN()-7-1)/2+1)&lt;&gt;"Starfsbundið",ES103="",ES$8="",ES$7=""),"",ROUND(ES103/ES$8*ES$7*KVARDI,2))</f>
        <v/>
      </c>
      <c r="EU103" s="39"/>
      <c r="EV103" s="40" t="str">
        <f aca="false">IF(OR(INDEX(Undirviðmið!$G$6:$G$105,(COLUMN()-7-1)/2+1)&lt;&gt;"Starfsbundið",EU103="",EU$8="",EU$7=""),"",ROUND(EU103/EU$8*EU$7*KVARDI,2))</f>
        <v/>
      </c>
      <c r="EW103" s="39"/>
      <c r="EX103" s="40" t="str">
        <f aca="false">IF(OR(INDEX(Undirviðmið!$G$6:$G$105,(COLUMN()-7-1)/2+1)&lt;&gt;"Starfsbundið",EW103="",EW$8="",EW$7=""),"",ROUND(EW103/EW$8*EW$7*KVARDI,2))</f>
        <v/>
      </c>
      <c r="EY103" s="39"/>
      <c r="EZ103" s="40" t="str">
        <f aca="false">IF(OR(INDEX(Undirviðmið!$G$6:$G$105,(COLUMN()-7-1)/2+1)&lt;&gt;"Starfsbundið",EY103="",EY$8="",EY$7=""),"",ROUND(EY103/EY$8*EY$7*KVARDI,2))</f>
        <v/>
      </c>
      <c r="FA103" s="39"/>
      <c r="FB103" s="40" t="str">
        <f aca="false">IF(OR(INDEX(Undirviðmið!$G$6:$G$105,(COLUMN()-7-1)/2+1)&lt;&gt;"Starfsbundið",FA103="",FA$8="",FA$7=""),"",ROUND(FA103/FA$8*FA$7*KVARDI,2))</f>
        <v/>
      </c>
      <c r="FC103" s="39"/>
      <c r="FD103" s="40" t="str">
        <f aca="false">IF(OR(INDEX(Undirviðmið!$G$6:$G$105,(COLUMN()-7-1)/2+1)&lt;&gt;"Starfsbundið",FC103="",FC$8="",FC$7=""),"",ROUND(FC103/FC$8*FC$7*KVARDI,2))</f>
        <v/>
      </c>
      <c r="FE103" s="39"/>
      <c r="FF103" s="40" t="str">
        <f aca="false">IF(OR(INDEX(Undirviðmið!$G$6:$G$105,(COLUMN()-7-1)/2+1)&lt;&gt;"Starfsbundið",FE103="",FE$8="",FE$7=""),"",ROUND(FE103/FE$8*FE$7*KVARDI,2))</f>
        <v/>
      </c>
      <c r="FG103" s="39"/>
      <c r="FH103" s="40" t="str">
        <f aca="false">IF(OR(INDEX(Undirviðmið!$G$6:$G$105,(COLUMN()-7-1)/2+1)&lt;&gt;"Starfsbundið",FG103="",FG$8="",FG$7=""),"",ROUND(FG103/FG$8*FG$7*KVARDI,2))</f>
        <v/>
      </c>
      <c r="FI103" s="39"/>
      <c r="FJ103" s="40" t="str">
        <f aca="false">IF(OR(INDEX(Undirviðmið!$G$6:$G$105,(COLUMN()-7-1)/2+1)&lt;&gt;"Starfsbundið",FI103="",FI$8="",FI$7=""),"",ROUND(FI103/FI$8*FI$7*KVARDI,2))</f>
        <v/>
      </c>
      <c r="FK103" s="39"/>
      <c r="FL103" s="40" t="str">
        <f aca="false">IF(OR(INDEX(Undirviðmið!$G$6:$G$105,(COLUMN()-7-1)/2+1)&lt;&gt;"Starfsbundið",FK103="",FK$8="",FK$7=""),"",ROUND(FK103/FK$8*FK$7*KVARDI,2))</f>
        <v/>
      </c>
      <c r="FM103" s="39"/>
      <c r="FN103" s="40" t="str">
        <f aca="false">IF(OR(INDEX(Undirviðmið!$G$6:$G$105,(COLUMN()-7-1)/2+1)&lt;&gt;"Starfsbundið",FM103="",FM$8="",FM$7=""),"",ROUND(FM103/FM$8*FM$7*KVARDI,2))</f>
        <v/>
      </c>
      <c r="FO103" s="39"/>
      <c r="FP103" s="40" t="str">
        <f aca="false">IF(OR(INDEX(Undirviðmið!$G$6:$G$105,(COLUMN()-7-1)/2+1)&lt;&gt;"Starfsbundið",FO103="",FO$8="",FO$7=""),"",ROUND(FO103/FO$8*FO$7*KVARDI,2))</f>
        <v/>
      </c>
      <c r="FQ103" s="39"/>
      <c r="FR103" s="40" t="str">
        <f aca="false">IF(OR(INDEX(Undirviðmið!$G$6:$G$105,(COLUMN()-7-1)/2+1)&lt;&gt;"Starfsbundið",FQ103="",FQ$8="",FQ$7=""),"",ROUND(FQ103/FQ$8*FQ$7*KVARDI,2))</f>
        <v/>
      </c>
      <c r="FS103" s="39"/>
      <c r="FT103" s="40" t="str">
        <f aca="false">IF(OR(INDEX(Undirviðmið!$G$6:$G$105,(COLUMN()-7-1)/2+1)&lt;&gt;"Starfsbundið",FS103="",FS$8="",FS$7=""),"",ROUND(FS103/FS$8*FS$7*KVARDI,2))</f>
        <v/>
      </c>
      <c r="FU103" s="39"/>
      <c r="FV103" s="40" t="str">
        <f aca="false">IF(OR(INDEX(Undirviðmið!$G$6:$G$105,(COLUMN()-7-1)/2+1)&lt;&gt;"Starfsbundið",FU103="",FU$8="",FU$7=""),"",ROUND(FU103/FU$8*FU$7*KVARDI,2))</f>
        <v/>
      </c>
      <c r="FW103" s="39"/>
      <c r="FX103" s="40" t="str">
        <f aca="false">IF(OR(INDEX(Undirviðmið!$G$6:$G$105,(COLUMN()-7-1)/2+1)&lt;&gt;"Starfsbundið",FW103="",FW$8="",FW$7=""),"",ROUND(FW103/FW$8*FW$7*KVARDI,2))</f>
        <v/>
      </c>
      <c r="FY103" s="39"/>
      <c r="FZ103" s="40" t="str">
        <f aca="false">IF(OR(INDEX(Undirviðmið!$G$6:$G$105,(COLUMN()-7-1)/2+1)&lt;&gt;"Starfsbundið",FY103="",FY$8="",FY$7=""),"",ROUND(FY103/FY$8*FY$7*KVARDI,2))</f>
        <v/>
      </c>
      <c r="GA103" s="39"/>
      <c r="GB103" s="40" t="str">
        <f aca="false">IF(OR(INDEX(Undirviðmið!$G$6:$G$105,(COLUMN()-7-1)/2+1)&lt;&gt;"Starfsbundið",GA103="",GA$8="",GA$7=""),"",ROUND(GA103/GA$8*GA$7*KVARDI,2))</f>
        <v/>
      </c>
      <c r="GC103" s="39"/>
      <c r="GD103" s="40" t="str">
        <f aca="false">IF(OR(INDEX(Undirviðmið!$G$6:$G$105,(COLUMN()-7-1)/2+1)&lt;&gt;"Starfsbundið",GC103="",GC$8="",GC$7=""),"",ROUND(GC103/GC$8*GC$7*KVARDI,2))</f>
        <v/>
      </c>
      <c r="GE103" s="39"/>
      <c r="GF103" s="40" t="str">
        <f aca="false">IF(OR(INDEX(Undirviðmið!$G$6:$G$105,(COLUMN()-7-1)/2+1)&lt;&gt;"Starfsbundið",GE103="",GE$8="",GE$7=""),"",ROUND(GE103/GE$8*GE$7*KVARDI,2))</f>
        <v/>
      </c>
      <c r="GG103" s="39"/>
      <c r="GH103" s="40" t="str">
        <f aca="false">IF(OR(INDEX(Undirviðmið!$G$6:$G$105,(COLUMN()-7-1)/2+1)&lt;&gt;"Starfsbundið",GG103="",GG$8="",GG$7=""),"",ROUND(GG103/GG$8*GG$7*KVARDI,2))</f>
        <v/>
      </c>
      <c r="GI103" s="39"/>
      <c r="GJ103" s="40" t="str">
        <f aca="false">IF(OR(INDEX(Undirviðmið!$G$6:$G$105,(COLUMN()-7-1)/2+1)&lt;&gt;"Starfsbundið",GI103="",GI$8="",GI$7=""),"",ROUND(GI103/GI$8*GI$7*KVARDI,2))</f>
        <v/>
      </c>
      <c r="GK103" s="39"/>
      <c r="GL103" s="40" t="str">
        <f aca="false">IF(OR(INDEX(Undirviðmið!$G$6:$G$105,(COLUMN()-7-1)/2+1)&lt;&gt;"Starfsbundið",GK103="",GK$8="",GK$7=""),"",ROUND(GK103/GK$8*GK$7*KVARDI,2))</f>
        <v/>
      </c>
      <c r="GM103" s="39"/>
      <c r="GN103" s="40" t="str">
        <f aca="false">IF(OR(INDEX(Undirviðmið!$G$6:$G$105,(COLUMN()-7-1)/2+1)&lt;&gt;"Starfsbundið",GM103="",GM$8="",GM$7=""),"",ROUND(GM103/GM$8*GM$7*KVARDI,2))</f>
        <v/>
      </c>
      <c r="GO103" s="39"/>
      <c r="GP103" s="40" t="str">
        <f aca="false">IF(OR(INDEX(Undirviðmið!$G$6:$G$105,(COLUMN()-7-1)/2+1)&lt;&gt;"Starfsbundið",GO103="",GO$8="",GO$7=""),"",ROUND(GO103/GO$8*GO$7*KVARDI,2))</f>
        <v/>
      </c>
      <c r="GQ103" s="39"/>
      <c r="GR103" s="40" t="str">
        <f aca="false">IF(OR(INDEX(Undirviðmið!$G$6:$G$105,(COLUMN()-7-1)/2+1)&lt;&gt;"Starfsbundið",GQ103="",GQ$8="",GQ$7=""),"",ROUND(GQ103/GQ$8*GQ$7*KVARDI,2))</f>
        <v/>
      </c>
      <c r="GS103" s="39"/>
      <c r="GT103" s="40" t="str">
        <f aca="false">IF(OR(INDEX(Undirviðmið!$G$6:$G$105,(COLUMN()-7-1)/2+1)&lt;&gt;"Starfsbundið",GS103="",GS$8="",GS$7=""),"",ROUND(GS103/GS$8*GS$7*KVARDI,2))</f>
        <v/>
      </c>
      <c r="GU103" s="39"/>
      <c r="GV103" s="40" t="str">
        <f aca="false">IF(OR(INDEX(Undirviðmið!$G$6:$G$105,(COLUMN()-7-1)/2+1)&lt;&gt;"Starfsbundið",GU103="",GU$8="",GU$7=""),"",ROUND(GU103/GU$8*GU$7*KVARDI,2))</f>
        <v/>
      </c>
      <c r="GW103" s="39"/>
      <c r="GX103" s="40" t="str">
        <f aca="false">IF(OR(INDEX(Undirviðmið!$G$6:$G$105,(COLUMN()-7-1)/2+1)&lt;&gt;"Starfsbundið",GW103="",GW$8="",GW$7=""),"",ROUND(GW103/GW$8*GW$7*KVARDI,2))</f>
        <v/>
      </c>
      <c r="GZ103" s="20"/>
    </row>
    <row r="104" customFormat="false" ht="15" hidden="true" customHeight="true" outlineLevel="1" collapsed="false">
      <c r="B104" s="37" t="str">
        <f aca="false" t="array" ref="B104:B104">IFERROR(INDEX(Starfsmenn!$C$6:$C$10005,MATCH(0,COUNTIF($B$11:B103,Starfsmenn!$C$6:$C$10005)+(Starfsmenn!$C$6:$C$10005=""),0)),"")</f>
        <v/>
      </c>
      <c r="C104" s="38" t="n">
        <f aca="false">IFERROR(SUMIF($G$10:$GX$10,"Stig",$G104:$GX104),0)</f>
        <v>0</v>
      </c>
      <c r="G104" s="39"/>
      <c r="H104" s="40" t="str">
        <f aca="false">IF(OR(INDEX(Undirviðmið!$G$6:$G$105,(COLUMN()-7-1)/2+1)&lt;&gt;"Starfsbundið",G104="",G$8="",G$7=""),"",ROUND(G104/G$8*G$7*KVARDI,2))</f>
        <v/>
      </c>
      <c r="I104" s="39"/>
      <c r="J104" s="40" t="str">
        <f aca="false">IF(OR(INDEX(Undirviðmið!$G$6:$G$105,(COLUMN()-7-1)/2+1)&lt;&gt;"Starfsbundið",I104="",I$8="",I$7=""),"",ROUND(I104/I$8*I$7*KVARDI,2))</f>
        <v/>
      </c>
      <c r="K104" s="39"/>
      <c r="L104" s="40" t="str">
        <f aca="false">IF(OR(INDEX(Undirviðmið!$G$6:$G$105,(COLUMN()-7-1)/2+1)&lt;&gt;"Starfsbundið",K104="",K$8="",K$7=""),"",ROUND(K104/K$8*K$7*KVARDI,2))</f>
        <v/>
      </c>
      <c r="M104" s="39"/>
      <c r="N104" s="40" t="str">
        <f aca="false">IF(OR(INDEX(Undirviðmið!$G$6:$G$105,(COLUMN()-7-1)/2+1)&lt;&gt;"Starfsbundið",M104="",M$8="",M$7=""),"",ROUND(M104/M$8*M$7*KVARDI,2))</f>
        <v/>
      </c>
      <c r="O104" s="39"/>
      <c r="P104" s="40" t="str">
        <f aca="false">IF(OR(INDEX(Undirviðmið!$G$6:$G$105,(COLUMN()-7-1)/2+1)&lt;&gt;"Starfsbundið",O104="",O$8="",O$7=""),"",ROUND(O104/O$8*O$7*KVARDI,2))</f>
        <v/>
      </c>
      <c r="Q104" s="39"/>
      <c r="R104" s="40" t="str">
        <f aca="false">IF(OR(INDEX(Undirviðmið!$G$6:$G$105,(COLUMN()-7-1)/2+1)&lt;&gt;"Starfsbundið",Q104="",Q$8="",Q$7=""),"",ROUND(Q104/Q$8*Q$7*KVARDI,2))</f>
        <v/>
      </c>
      <c r="S104" s="39"/>
      <c r="T104" s="40" t="str">
        <f aca="false">IF(OR(INDEX(Undirviðmið!$G$6:$G$105,(COLUMN()-7-1)/2+1)&lt;&gt;"Starfsbundið",S104="",S$8="",S$7=""),"",ROUND(S104/S$8*S$7*KVARDI,2))</f>
        <v/>
      </c>
      <c r="U104" s="39"/>
      <c r="V104" s="40" t="str">
        <f aca="false">IF(OR(INDEX(Undirviðmið!$G$6:$G$105,(COLUMN()-7-1)/2+1)&lt;&gt;"Starfsbundið",U104="",U$8="",U$7=""),"",ROUND(U104/U$8*U$7*KVARDI,2))</f>
        <v/>
      </c>
      <c r="W104" s="39"/>
      <c r="X104" s="40" t="str">
        <f aca="false">IF(OR(INDEX(Undirviðmið!$G$6:$G$105,(COLUMN()-7-1)/2+1)&lt;&gt;"Starfsbundið",W104="",W$8="",W$7=""),"",ROUND(W104/W$8*W$7*KVARDI,2))</f>
        <v/>
      </c>
      <c r="Y104" s="39"/>
      <c r="Z104" s="40" t="str">
        <f aca="false">IF(OR(INDEX(Undirviðmið!$G$6:$G$105,(COLUMN()-7-1)/2+1)&lt;&gt;"Starfsbundið",Y104="",Y$8="",Y$7=""),"",ROUND(Y104/Y$8*Y$7*KVARDI,2))</f>
        <v/>
      </c>
      <c r="AA104" s="39"/>
      <c r="AB104" s="40" t="str">
        <f aca="false">IF(OR(INDEX(Undirviðmið!$G$6:$G$105,(COLUMN()-7-1)/2+1)&lt;&gt;"Starfsbundið",AA104="",AA$8="",AA$7=""),"",ROUND(AA104/AA$8*AA$7*KVARDI,2))</f>
        <v/>
      </c>
      <c r="AC104" s="39"/>
      <c r="AD104" s="40" t="str">
        <f aca="false">IF(OR(INDEX(Undirviðmið!$G$6:$G$105,(COLUMN()-7-1)/2+1)&lt;&gt;"Starfsbundið",AC104="",AC$8="",AC$7=""),"",ROUND(AC104/AC$8*AC$7*KVARDI,2))</f>
        <v/>
      </c>
      <c r="AE104" s="39"/>
      <c r="AF104" s="40" t="str">
        <f aca="false">IF(OR(INDEX(Undirviðmið!$G$6:$G$105,(COLUMN()-7-1)/2+1)&lt;&gt;"Starfsbundið",AE104="",AE$8="",AE$7=""),"",ROUND(AE104/AE$8*AE$7*KVARDI,2))</f>
        <v/>
      </c>
      <c r="AG104" s="39"/>
      <c r="AH104" s="40" t="str">
        <f aca="false">IF(OR(INDEX(Undirviðmið!$G$6:$G$105,(COLUMN()-7-1)/2+1)&lt;&gt;"Starfsbundið",AG104="",AG$8="",AG$7=""),"",ROUND(AG104/AG$8*AG$7*KVARDI,2))</f>
        <v/>
      </c>
      <c r="AI104" s="39"/>
      <c r="AJ104" s="40" t="str">
        <f aca="false">IF(OR(INDEX(Undirviðmið!$G$6:$G$105,(COLUMN()-7-1)/2+1)&lt;&gt;"Starfsbundið",AI104="",AI$8="",AI$7=""),"",ROUND(AI104/AI$8*AI$7*KVARDI,2))</f>
        <v/>
      </c>
      <c r="AK104" s="39"/>
      <c r="AL104" s="40" t="str">
        <f aca="false">IF(OR(INDEX(Undirviðmið!$G$6:$G$105,(COLUMN()-7-1)/2+1)&lt;&gt;"Starfsbundið",AK104="",AK$8="",AK$7=""),"",ROUND(AK104/AK$8*AK$7*KVARDI,2))</f>
        <v/>
      </c>
      <c r="AM104" s="39"/>
      <c r="AN104" s="40" t="str">
        <f aca="false">IF(OR(INDEX(Undirviðmið!$G$6:$G$105,(COLUMN()-7-1)/2+1)&lt;&gt;"Starfsbundið",AM104="",AM$8="",AM$7=""),"",ROUND(AM104/AM$8*AM$7*KVARDI,2))</f>
        <v/>
      </c>
      <c r="AO104" s="39"/>
      <c r="AP104" s="40" t="str">
        <f aca="false">IF(OR(INDEX(Undirviðmið!$G$6:$G$105,(COLUMN()-7-1)/2+1)&lt;&gt;"Starfsbundið",AO104="",AO$8="",AO$7=""),"",ROUND(AO104/AO$8*AO$7*KVARDI,2))</f>
        <v/>
      </c>
      <c r="AQ104" s="39"/>
      <c r="AR104" s="40" t="str">
        <f aca="false">IF(OR(INDEX(Undirviðmið!$G$6:$G$105,(COLUMN()-7-1)/2+1)&lt;&gt;"Starfsbundið",AQ104="",AQ$8="",AQ$7=""),"",ROUND(AQ104/AQ$8*AQ$7*KVARDI,2))</f>
        <v/>
      </c>
      <c r="AS104" s="39"/>
      <c r="AT104" s="40" t="str">
        <f aca="false">IF(OR(INDEX(Undirviðmið!$G$6:$G$105,(COLUMN()-7-1)/2+1)&lt;&gt;"Starfsbundið",AS104="",AS$8="",AS$7=""),"",ROUND(AS104/AS$8*AS$7*KVARDI,2))</f>
        <v/>
      </c>
      <c r="AU104" s="39"/>
      <c r="AV104" s="40" t="str">
        <f aca="false">IF(OR(INDEX(Undirviðmið!$G$6:$G$105,(COLUMN()-7-1)/2+1)&lt;&gt;"Starfsbundið",AU104="",AU$8="",AU$7=""),"",ROUND(AU104/AU$8*AU$7*KVARDI,2))</f>
        <v/>
      </c>
      <c r="AW104" s="39"/>
      <c r="AX104" s="40" t="str">
        <f aca="false">IF(OR(INDEX(Undirviðmið!$G$6:$G$105,(COLUMN()-7-1)/2+1)&lt;&gt;"Starfsbundið",AW104="",AW$8="",AW$7=""),"",ROUND(AW104/AW$8*AW$7*KVARDI,2))</f>
        <v/>
      </c>
      <c r="AY104" s="39"/>
      <c r="AZ104" s="40" t="str">
        <f aca="false">IF(OR(INDEX(Undirviðmið!$G$6:$G$105,(COLUMN()-7-1)/2+1)&lt;&gt;"Starfsbundið",AY104="",AY$8="",AY$7=""),"",ROUND(AY104/AY$8*AY$7*KVARDI,2))</f>
        <v/>
      </c>
      <c r="BA104" s="39"/>
      <c r="BB104" s="40" t="str">
        <f aca="false">IF(OR(INDEX(Undirviðmið!$G$6:$G$105,(COLUMN()-7-1)/2+1)&lt;&gt;"Starfsbundið",BA104="",BA$8="",BA$7=""),"",ROUND(BA104/BA$8*BA$7*KVARDI,2))</f>
        <v/>
      </c>
      <c r="BC104" s="39"/>
      <c r="BD104" s="40" t="str">
        <f aca="false">IF(OR(INDEX(Undirviðmið!$G$6:$G$105,(COLUMN()-7-1)/2+1)&lt;&gt;"Starfsbundið",BC104="",BC$8="",BC$7=""),"",ROUND(BC104/BC$8*BC$7*KVARDI,2))</f>
        <v/>
      </c>
      <c r="BE104" s="39"/>
      <c r="BF104" s="40" t="str">
        <f aca="false">IF(OR(INDEX(Undirviðmið!$G$6:$G$105,(COLUMN()-7-1)/2+1)&lt;&gt;"Starfsbundið",BE104="",BE$8="",BE$7=""),"",ROUND(BE104/BE$8*BE$7*KVARDI,2))</f>
        <v/>
      </c>
      <c r="BG104" s="39"/>
      <c r="BH104" s="40" t="str">
        <f aca="false">IF(OR(INDEX(Undirviðmið!$G$6:$G$105,(COLUMN()-7-1)/2+1)&lt;&gt;"Starfsbundið",BG104="",BG$8="",BG$7=""),"",ROUND(BG104/BG$8*BG$7*KVARDI,2))</f>
        <v/>
      </c>
      <c r="BI104" s="39"/>
      <c r="BJ104" s="40" t="str">
        <f aca="false">IF(OR(INDEX(Undirviðmið!$G$6:$G$105,(COLUMN()-7-1)/2+1)&lt;&gt;"Starfsbundið",BI104="",BI$8="",BI$7=""),"",ROUND(BI104/BI$8*BI$7*KVARDI,2))</f>
        <v/>
      </c>
      <c r="BK104" s="39"/>
      <c r="BL104" s="40" t="str">
        <f aca="false">IF(OR(INDEX(Undirviðmið!$G$6:$G$105,(COLUMN()-7-1)/2+1)&lt;&gt;"Starfsbundið",BK104="",BK$8="",BK$7=""),"",ROUND(BK104/BK$8*BK$7*KVARDI,2))</f>
        <v/>
      </c>
      <c r="BM104" s="39"/>
      <c r="BN104" s="40" t="str">
        <f aca="false">IF(OR(INDEX(Undirviðmið!$G$6:$G$105,(COLUMN()-7-1)/2+1)&lt;&gt;"Starfsbundið",BM104="",BM$8="",BM$7=""),"",ROUND(BM104/BM$8*BM$7*KVARDI,2))</f>
        <v/>
      </c>
      <c r="BO104" s="39"/>
      <c r="BP104" s="40" t="str">
        <f aca="false">IF(OR(INDEX(Undirviðmið!$G$6:$G$105,(COLUMN()-7-1)/2+1)&lt;&gt;"Starfsbundið",BO104="",BO$8="",BO$7=""),"",ROUND(BO104/BO$8*BO$7*KVARDI,2))</f>
        <v/>
      </c>
      <c r="BQ104" s="39"/>
      <c r="BR104" s="40" t="str">
        <f aca="false">IF(OR(INDEX(Undirviðmið!$G$6:$G$105,(COLUMN()-7-1)/2+1)&lt;&gt;"Starfsbundið",BQ104="",BQ$8="",BQ$7=""),"",ROUND(BQ104/BQ$8*BQ$7*KVARDI,2))</f>
        <v/>
      </c>
      <c r="BS104" s="39"/>
      <c r="BT104" s="40" t="str">
        <f aca="false">IF(OR(INDEX(Undirviðmið!$G$6:$G$105,(COLUMN()-7-1)/2+1)&lt;&gt;"Starfsbundið",BS104="",BS$8="",BS$7=""),"",ROUND(BS104/BS$8*BS$7*KVARDI,2))</f>
        <v/>
      </c>
      <c r="BU104" s="39"/>
      <c r="BV104" s="40" t="str">
        <f aca="false">IF(OR(INDEX(Undirviðmið!$G$6:$G$105,(COLUMN()-7-1)/2+1)&lt;&gt;"Starfsbundið",BU104="",BU$8="",BU$7=""),"",ROUND(BU104/BU$8*BU$7*KVARDI,2))</f>
        <v/>
      </c>
      <c r="BW104" s="39"/>
      <c r="BX104" s="40" t="str">
        <f aca="false">IF(OR(INDEX(Undirviðmið!$G$6:$G$105,(COLUMN()-7-1)/2+1)&lt;&gt;"Starfsbundið",BW104="",BW$8="",BW$7=""),"",ROUND(BW104/BW$8*BW$7*KVARDI,2))</f>
        <v/>
      </c>
      <c r="BY104" s="39"/>
      <c r="BZ104" s="40" t="str">
        <f aca="false">IF(OR(INDEX(Undirviðmið!$G$6:$G$105,(COLUMN()-7-1)/2+1)&lt;&gt;"Starfsbundið",BY104="",BY$8="",BY$7=""),"",ROUND(BY104/BY$8*BY$7*KVARDI,2))</f>
        <v/>
      </c>
      <c r="CA104" s="39"/>
      <c r="CB104" s="40" t="str">
        <f aca="false">IF(OR(INDEX(Undirviðmið!$G$6:$G$105,(COLUMN()-7-1)/2+1)&lt;&gt;"Starfsbundið",CA104="",CA$8="",CA$7=""),"",ROUND(CA104/CA$8*CA$7*KVARDI,2))</f>
        <v/>
      </c>
      <c r="CC104" s="39"/>
      <c r="CD104" s="40" t="str">
        <f aca="false">IF(OR(INDEX(Undirviðmið!$G$6:$G$105,(COLUMN()-7-1)/2+1)&lt;&gt;"Starfsbundið",CC104="",CC$8="",CC$7=""),"",ROUND(CC104/CC$8*CC$7*KVARDI,2))</f>
        <v/>
      </c>
      <c r="CE104" s="39"/>
      <c r="CF104" s="40" t="str">
        <f aca="false">IF(OR(INDEX(Undirviðmið!$G$6:$G$105,(COLUMN()-7-1)/2+1)&lt;&gt;"Starfsbundið",CE104="",CE$8="",CE$7=""),"",ROUND(CE104/CE$8*CE$7*KVARDI,2))</f>
        <v/>
      </c>
      <c r="CG104" s="39"/>
      <c r="CH104" s="40" t="str">
        <f aca="false">IF(OR(INDEX(Undirviðmið!$G$6:$G$105,(COLUMN()-7-1)/2+1)&lt;&gt;"Starfsbundið",CG104="",CG$8="",CG$7=""),"",ROUND(CG104/CG$8*CG$7*KVARDI,2))</f>
        <v/>
      </c>
      <c r="CI104" s="39"/>
      <c r="CJ104" s="40" t="str">
        <f aca="false">IF(OR(INDEX(Undirviðmið!$G$6:$G$105,(COLUMN()-7-1)/2+1)&lt;&gt;"Starfsbundið",CI104="",CI$8="",CI$7=""),"",ROUND(CI104/CI$8*CI$7*KVARDI,2))</f>
        <v/>
      </c>
      <c r="CK104" s="39"/>
      <c r="CL104" s="40" t="str">
        <f aca="false">IF(OR(INDEX(Undirviðmið!$G$6:$G$105,(COLUMN()-7-1)/2+1)&lt;&gt;"Starfsbundið",CK104="",CK$8="",CK$7=""),"",ROUND(CK104/CK$8*CK$7*KVARDI,2))</f>
        <v/>
      </c>
      <c r="CM104" s="39"/>
      <c r="CN104" s="40" t="str">
        <f aca="false">IF(OR(INDEX(Undirviðmið!$G$6:$G$105,(COLUMN()-7-1)/2+1)&lt;&gt;"Starfsbundið",CM104="",CM$8="",CM$7=""),"",ROUND(CM104/CM$8*CM$7*KVARDI,2))</f>
        <v/>
      </c>
      <c r="CO104" s="39"/>
      <c r="CP104" s="40" t="str">
        <f aca="false">IF(OR(INDEX(Undirviðmið!$G$6:$G$105,(COLUMN()-7-1)/2+1)&lt;&gt;"Starfsbundið",CO104="",CO$8="",CO$7=""),"",ROUND(CO104/CO$8*CO$7*KVARDI,2))</f>
        <v/>
      </c>
      <c r="CQ104" s="39"/>
      <c r="CR104" s="40" t="str">
        <f aca="false">IF(OR(INDEX(Undirviðmið!$G$6:$G$105,(COLUMN()-7-1)/2+1)&lt;&gt;"Starfsbundið",CQ104="",CQ$8="",CQ$7=""),"",ROUND(CQ104/CQ$8*CQ$7*KVARDI,2))</f>
        <v/>
      </c>
      <c r="CS104" s="39"/>
      <c r="CT104" s="40" t="str">
        <f aca="false">IF(OR(INDEX(Undirviðmið!$G$6:$G$105,(COLUMN()-7-1)/2+1)&lt;&gt;"Starfsbundið",CS104="",CS$8="",CS$7=""),"",ROUND(CS104/CS$8*CS$7*KVARDI,2))</f>
        <v/>
      </c>
      <c r="CU104" s="39"/>
      <c r="CV104" s="40" t="str">
        <f aca="false">IF(OR(INDEX(Undirviðmið!$G$6:$G$105,(COLUMN()-7-1)/2+1)&lt;&gt;"Starfsbundið",CU104="",CU$8="",CU$7=""),"",ROUND(CU104/CU$8*CU$7*KVARDI,2))</f>
        <v/>
      </c>
      <c r="CW104" s="39"/>
      <c r="CX104" s="40" t="str">
        <f aca="false">IF(OR(INDEX(Undirviðmið!$G$6:$G$105,(COLUMN()-7-1)/2+1)&lt;&gt;"Starfsbundið",CW104="",CW$8="",CW$7=""),"",ROUND(CW104/CW$8*CW$7*KVARDI,2))</f>
        <v/>
      </c>
      <c r="CY104" s="39"/>
      <c r="CZ104" s="40" t="str">
        <f aca="false">IF(OR(INDEX(Undirviðmið!$G$6:$G$105,(COLUMN()-7-1)/2+1)&lt;&gt;"Starfsbundið",CY104="",CY$8="",CY$7=""),"",ROUND(CY104/CY$8*CY$7*KVARDI,2))</f>
        <v/>
      </c>
      <c r="DA104" s="39"/>
      <c r="DB104" s="40" t="str">
        <f aca="false">IF(OR(INDEX(Undirviðmið!$G$6:$G$105,(COLUMN()-7-1)/2+1)&lt;&gt;"Starfsbundið",DA104="",DA$8="",DA$7=""),"",ROUND(DA104/DA$8*DA$7*KVARDI,2))</f>
        <v/>
      </c>
      <c r="DC104" s="39"/>
      <c r="DD104" s="40" t="str">
        <f aca="false">IF(OR(INDEX(Undirviðmið!$G$6:$G$105,(COLUMN()-7-1)/2+1)&lt;&gt;"Starfsbundið",DC104="",DC$8="",DC$7=""),"",ROUND(DC104/DC$8*DC$7*KVARDI,2))</f>
        <v/>
      </c>
      <c r="DE104" s="39"/>
      <c r="DF104" s="40" t="str">
        <f aca="false">IF(OR(INDEX(Undirviðmið!$G$6:$G$105,(COLUMN()-7-1)/2+1)&lt;&gt;"Starfsbundið",DE104="",DE$8="",DE$7=""),"",ROUND(DE104/DE$8*DE$7*KVARDI,2))</f>
        <v/>
      </c>
      <c r="DG104" s="39"/>
      <c r="DH104" s="40" t="str">
        <f aca="false">IF(OR(INDEX(Undirviðmið!$G$6:$G$105,(COLUMN()-7-1)/2+1)&lt;&gt;"Starfsbundið",DG104="",DG$8="",DG$7=""),"",ROUND(DG104/DG$8*DG$7*KVARDI,2))</f>
        <v/>
      </c>
      <c r="DI104" s="39"/>
      <c r="DJ104" s="40" t="str">
        <f aca="false">IF(OR(INDEX(Undirviðmið!$G$6:$G$105,(COLUMN()-7-1)/2+1)&lt;&gt;"Starfsbundið",DI104="",DI$8="",DI$7=""),"",ROUND(DI104/DI$8*DI$7*KVARDI,2))</f>
        <v/>
      </c>
      <c r="DK104" s="39"/>
      <c r="DL104" s="40" t="str">
        <f aca="false">IF(OR(INDEX(Undirviðmið!$G$6:$G$105,(COLUMN()-7-1)/2+1)&lt;&gt;"Starfsbundið",DK104="",DK$8="",DK$7=""),"",ROUND(DK104/DK$8*DK$7*KVARDI,2))</f>
        <v/>
      </c>
      <c r="DM104" s="39"/>
      <c r="DN104" s="40" t="str">
        <f aca="false">IF(OR(INDEX(Undirviðmið!$G$6:$G$105,(COLUMN()-7-1)/2+1)&lt;&gt;"Starfsbundið",DM104="",DM$8="",DM$7=""),"",ROUND(DM104/DM$8*DM$7*KVARDI,2))</f>
        <v/>
      </c>
      <c r="DO104" s="39"/>
      <c r="DP104" s="40" t="str">
        <f aca="false">IF(OR(INDEX(Undirviðmið!$G$6:$G$105,(COLUMN()-7-1)/2+1)&lt;&gt;"Starfsbundið",DO104="",DO$8="",DO$7=""),"",ROUND(DO104/DO$8*DO$7*KVARDI,2))</f>
        <v/>
      </c>
      <c r="DQ104" s="39"/>
      <c r="DR104" s="40" t="str">
        <f aca="false">IF(OR(INDEX(Undirviðmið!$G$6:$G$105,(COLUMN()-7-1)/2+1)&lt;&gt;"Starfsbundið",DQ104="",DQ$8="",DQ$7=""),"",ROUND(DQ104/DQ$8*DQ$7*KVARDI,2))</f>
        <v/>
      </c>
      <c r="DS104" s="39"/>
      <c r="DT104" s="40" t="str">
        <f aca="false">IF(OR(INDEX(Undirviðmið!$G$6:$G$105,(COLUMN()-7-1)/2+1)&lt;&gt;"Starfsbundið",DS104="",DS$8="",DS$7=""),"",ROUND(DS104/DS$8*DS$7*KVARDI,2))</f>
        <v/>
      </c>
      <c r="DU104" s="39"/>
      <c r="DV104" s="40" t="str">
        <f aca="false">IF(OR(INDEX(Undirviðmið!$G$6:$G$105,(COLUMN()-7-1)/2+1)&lt;&gt;"Starfsbundið",DU104="",DU$8="",DU$7=""),"",ROUND(DU104/DU$8*DU$7*KVARDI,2))</f>
        <v/>
      </c>
      <c r="DW104" s="39"/>
      <c r="DX104" s="40" t="str">
        <f aca="false">IF(OR(INDEX(Undirviðmið!$G$6:$G$105,(COLUMN()-7-1)/2+1)&lt;&gt;"Starfsbundið",DW104="",DW$8="",DW$7=""),"",ROUND(DW104/DW$8*DW$7*KVARDI,2))</f>
        <v/>
      </c>
      <c r="DY104" s="39"/>
      <c r="DZ104" s="40" t="str">
        <f aca="false">IF(OR(INDEX(Undirviðmið!$G$6:$G$105,(COLUMN()-7-1)/2+1)&lt;&gt;"Starfsbundið",DY104="",DY$8="",DY$7=""),"",ROUND(DY104/DY$8*DY$7*KVARDI,2))</f>
        <v/>
      </c>
      <c r="EA104" s="39"/>
      <c r="EB104" s="40" t="str">
        <f aca="false">IF(OR(INDEX(Undirviðmið!$G$6:$G$105,(COLUMN()-7-1)/2+1)&lt;&gt;"Starfsbundið",EA104="",EA$8="",EA$7=""),"",ROUND(EA104/EA$8*EA$7*KVARDI,2))</f>
        <v/>
      </c>
      <c r="EC104" s="39"/>
      <c r="ED104" s="40" t="str">
        <f aca="false">IF(OR(INDEX(Undirviðmið!$G$6:$G$105,(COLUMN()-7-1)/2+1)&lt;&gt;"Starfsbundið",EC104="",EC$8="",EC$7=""),"",ROUND(EC104/EC$8*EC$7*KVARDI,2))</f>
        <v/>
      </c>
      <c r="EE104" s="39"/>
      <c r="EF104" s="40" t="str">
        <f aca="false">IF(OR(INDEX(Undirviðmið!$G$6:$G$105,(COLUMN()-7-1)/2+1)&lt;&gt;"Starfsbundið",EE104="",EE$8="",EE$7=""),"",ROUND(EE104/EE$8*EE$7*KVARDI,2))</f>
        <v/>
      </c>
      <c r="EG104" s="39"/>
      <c r="EH104" s="40" t="str">
        <f aca="false">IF(OR(INDEX(Undirviðmið!$G$6:$G$105,(COLUMN()-7-1)/2+1)&lt;&gt;"Starfsbundið",EG104="",EG$8="",EG$7=""),"",ROUND(EG104/EG$8*EG$7*KVARDI,2))</f>
        <v/>
      </c>
      <c r="EI104" s="39"/>
      <c r="EJ104" s="40" t="str">
        <f aca="false">IF(OR(INDEX(Undirviðmið!$G$6:$G$105,(COLUMN()-7-1)/2+1)&lt;&gt;"Starfsbundið",EI104="",EI$8="",EI$7=""),"",ROUND(EI104/EI$8*EI$7*KVARDI,2))</f>
        <v/>
      </c>
      <c r="EK104" s="39"/>
      <c r="EL104" s="40" t="str">
        <f aca="false">IF(OR(INDEX(Undirviðmið!$G$6:$G$105,(COLUMN()-7-1)/2+1)&lt;&gt;"Starfsbundið",EK104="",EK$8="",EK$7=""),"",ROUND(EK104/EK$8*EK$7*KVARDI,2))</f>
        <v/>
      </c>
      <c r="EM104" s="39"/>
      <c r="EN104" s="40" t="str">
        <f aca="false">IF(OR(INDEX(Undirviðmið!$G$6:$G$105,(COLUMN()-7-1)/2+1)&lt;&gt;"Starfsbundið",EM104="",EM$8="",EM$7=""),"",ROUND(EM104/EM$8*EM$7*KVARDI,2))</f>
        <v/>
      </c>
      <c r="EO104" s="39"/>
      <c r="EP104" s="40" t="str">
        <f aca="false">IF(OR(INDEX(Undirviðmið!$G$6:$G$105,(COLUMN()-7-1)/2+1)&lt;&gt;"Starfsbundið",EO104="",EO$8="",EO$7=""),"",ROUND(EO104/EO$8*EO$7*KVARDI,2))</f>
        <v/>
      </c>
      <c r="EQ104" s="39"/>
      <c r="ER104" s="40" t="str">
        <f aca="false">IF(OR(INDEX(Undirviðmið!$G$6:$G$105,(COLUMN()-7-1)/2+1)&lt;&gt;"Starfsbundið",EQ104="",EQ$8="",EQ$7=""),"",ROUND(EQ104/EQ$8*EQ$7*KVARDI,2))</f>
        <v/>
      </c>
      <c r="ES104" s="39"/>
      <c r="ET104" s="40" t="str">
        <f aca="false">IF(OR(INDEX(Undirviðmið!$G$6:$G$105,(COLUMN()-7-1)/2+1)&lt;&gt;"Starfsbundið",ES104="",ES$8="",ES$7=""),"",ROUND(ES104/ES$8*ES$7*KVARDI,2))</f>
        <v/>
      </c>
      <c r="EU104" s="39"/>
      <c r="EV104" s="40" t="str">
        <f aca="false">IF(OR(INDEX(Undirviðmið!$G$6:$G$105,(COLUMN()-7-1)/2+1)&lt;&gt;"Starfsbundið",EU104="",EU$8="",EU$7=""),"",ROUND(EU104/EU$8*EU$7*KVARDI,2))</f>
        <v/>
      </c>
      <c r="EW104" s="39"/>
      <c r="EX104" s="40" t="str">
        <f aca="false">IF(OR(INDEX(Undirviðmið!$G$6:$G$105,(COLUMN()-7-1)/2+1)&lt;&gt;"Starfsbundið",EW104="",EW$8="",EW$7=""),"",ROUND(EW104/EW$8*EW$7*KVARDI,2))</f>
        <v/>
      </c>
      <c r="EY104" s="39"/>
      <c r="EZ104" s="40" t="str">
        <f aca="false">IF(OR(INDEX(Undirviðmið!$G$6:$G$105,(COLUMN()-7-1)/2+1)&lt;&gt;"Starfsbundið",EY104="",EY$8="",EY$7=""),"",ROUND(EY104/EY$8*EY$7*KVARDI,2))</f>
        <v/>
      </c>
      <c r="FA104" s="39"/>
      <c r="FB104" s="40" t="str">
        <f aca="false">IF(OR(INDEX(Undirviðmið!$G$6:$G$105,(COLUMN()-7-1)/2+1)&lt;&gt;"Starfsbundið",FA104="",FA$8="",FA$7=""),"",ROUND(FA104/FA$8*FA$7*KVARDI,2))</f>
        <v/>
      </c>
      <c r="FC104" s="39"/>
      <c r="FD104" s="40" t="str">
        <f aca="false">IF(OR(INDEX(Undirviðmið!$G$6:$G$105,(COLUMN()-7-1)/2+1)&lt;&gt;"Starfsbundið",FC104="",FC$8="",FC$7=""),"",ROUND(FC104/FC$8*FC$7*KVARDI,2))</f>
        <v/>
      </c>
      <c r="FE104" s="39"/>
      <c r="FF104" s="40" t="str">
        <f aca="false">IF(OR(INDEX(Undirviðmið!$G$6:$G$105,(COLUMN()-7-1)/2+1)&lt;&gt;"Starfsbundið",FE104="",FE$8="",FE$7=""),"",ROUND(FE104/FE$8*FE$7*KVARDI,2))</f>
        <v/>
      </c>
      <c r="FG104" s="39"/>
      <c r="FH104" s="40" t="str">
        <f aca="false">IF(OR(INDEX(Undirviðmið!$G$6:$G$105,(COLUMN()-7-1)/2+1)&lt;&gt;"Starfsbundið",FG104="",FG$8="",FG$7=""),"",ROUND(FG104/FG$8*FG$7*KVARDI,2))</f>
        <v/>
      </c>
      <c r="FI104" s="39"/>
      <c r="FJ104" s="40" t="str">
        <f aca="false">IF(OR(INDEX(Undirviðmið!$G$6:$G$105,(COLUMN()-7-1)/2+1)&lt;&gt;"Starfsbundið",FI104="",FI$8="",FI$7=""),"",ROUND(FI104/FI$8*FI$7*KVARDI,2))</f>
        <v/>
      </c>
      <c r="FK104" s="39"/>
      <c r="FL104" s="40" t="str">
        <f aca="false">IF(OR(INDEX(Undirviðmið!$G$6:$G$105,(COLUMN()-7-1)/2+1)&lt;&gt;"Starfsbundið",FK104="",FK$8="",FK$7=""),"",ROUND(FK104/FK$8*FK$7*KVARDI,2))</f>
        <v/>
      </c>
      <c r="FM104" s="39"/>
      <c r="FN104" s="40" t="str">
        <f aca="false">IF(OR(INDEX(Undirviðmið!$G$6:$G$105,(COLUMN()-7-1)/2+1)&lt;&gt;"Starfsbundið",FM104="",FM$8="",FM$7=""),"",ROUND(FM104/FM$8*FM$7*KVARDI,2))</f>
        <v/>
      </c>
      <c r="FO104" s="39"/>
      <c r="FP104" s="40" t="str">
        <f aca="false">IF(OR(INDEX(Undirviðmið!$G$6:$G$105,(COLUMN()-7-1)/2+1)&lt;&gt;"Starfsbundið",FO104="",FO$8="",FO$7=""),"",ROUND(FO104/FO$8*FO$7*KVARDI,2))</f>
        <v/>
      </c>
      <c r="FQ104" s="39"/>
      <c r="FR104" s="40" t="str">
        <f aca="false">IF(OR(INDEX(Undirviðmið!$G$6:$G$105,(COLUMN()-7-1)/2+1)&lt;&gt;"Starfsbundið",FQ104="",FQ$8="",FQ$7=""),"",ROUND(FQ104/FQ$8*FQ$7*KVARDI,2))</f>
        <v/>
      </c>
      <c r="FS104" s="39"/>
      <c r="FT104" s="40" t="str">
        <f aca="false">IF(OR(INDEX(Undirviðmið!$G$6:$G$105,(COLUMN()-7-1)/2+1)&lt;&gt;"Starfsbundið",FS104="",FS$8="",FS$7=""),"",ROUND(FS104/FS$8*FS$7*KVARDI,2))</f>
        <v/>
      </c>
      <c r="FU104" s="39"/>
      <c r="FV104" s="40" t="str">
        <f aca="false">IF(OR(INDEX(Undirviðmið!$G$6:$G$105,(COLUMN()-7-1)/2+1)&lt;&gt;"Starfsbundið",FU104="",FU$8="",FU$7=""),"",ROUND(FU104/FU$8*FU$7*KVARDI,2))</f>
        <v/>
      </c>
      <c r="FW104" s="39"/>
      <c r="FX104" s="40" t="str">
        <f aca="false">IF(OR(INDEX(Undirviðmið!$G$6:$G$105,(COLUMN()-7-1)/2+1)&lt;&gt;"Starfsbundið",FW104="",FW$8="",FW$7=""),"",ROUND(FW104/FW$8*FW$7*KVARDI,2))</f>
        <v/>
      </c>
      <c r="FY104" s="39"/>
      <c r="FZ104" s="40" t="str">
        <f aca="false">IF(OR(INDEX(Undirviðmið!$G$6:$G$105,(COLUMN()-7-1)/2+1)&lt;&gt;"Starfsbundið",FY104="",FY$8="",FY$7=""),"",ROUND(FY104/FY$8*FY$7*KVARDI,2))</f>
        <v/>
      </c>
      <c r="GA104" s="39"/>
      <c r="GB104" s="40" t="str">
        <f aca="false">IF(OR(INDEX(Undirviðmið!$G$6:$G$105,(COLUMN()-7-1)/2+1)&lt;&gt;"Starfsbundið",GA104="",GA$8="",GA$7=""),"",ROUND(GA104/GA$8*GA$7*KVARDI,2))</f>
        <v/>
      </c>
      <c r="GC104" s="39"/>
      <c r="GD104" s="40" t="str">
        <f aca="false">IF(OR(INDEX(Undirviðmið!$G$6:$G$105,(COLUMN()-7-1)/2+1)&lt;&gt;"Starfsbundið",GC104="",GC$8="",GC$7=""),"",ROUND(GC104/GC$8*GC$7*KVARDI,2))</f>
        <v/>
      </c>
      <c r="GE104" s="39"/>
      <c r="GF104" s="40" t="str">
        <f aca="false">IF(OR(INDEX(Undirviðmið!$G$6:$G$105,(COLUMN()-7-1)/2+1)&lt;&gt;"Starfsbundið",GE104="",GE$8="",GE$7=""),"",ROUND(GE104/GE$8*GE$7*KVARDI,2))</f>
        <v/>
      </c>
      <c r="GG104" s="39"/>
      <c r="GH104" s="40" t="str">
        <f aca="false">IF(OR(INDEX(Undirviðmið!$G$6:$G$105,(COLUMN()-7-1)/2+1)&lt;&gt;"Starfsbundið",GG104="",GG$8="",GG$7=""),"",ROUND(GG104/GG$8*GG$7*KVARDI,2))</f>
        <v/>
      </c>
      <c r="GI104" s="39"/>
      <c r="GJ104" s="40" t="str">
        <f aca="false">IF(OR(INDEX(Undirviðmið!$G$6:$G$105,(COLUMN()-7-1)/2+1)&lt;&gt;"Starfsbundið",GI104="",GI$8="",GI$7=""),"",ROUND(GI104/GI$8*GI$7*KVARDI,2))</f>
        <v/>
      </c>
      <c r="GK104" s="39"/>
      <c r="GL104" s="40" t="str">
        <f aca="false">IF(OR(INDEX(Undirviðmið!$G$6:$G$105,(COLUMN()-7-1)/2+1)&lt;&gt;"Starfsbundið",GK104="",GK$8="",GK$7=""),"",ROUND(GK104/GK$8*GK$7*KVARDI,2))</f>
        <v/>
      </c>
      <c r="GM104" s="39"/>
      <c r="GN104" s="40" t="str">
        <f aca="false">IF(OR(INDEX(Undirviðmið!$G$6:$G$105,(COLUMN()-7-1)/2+1)&lt;&gt;"Starfsbundið",GM104="",GM$8="",GM$7=""),"",ROUND(GM104/GM$8*GM$7*KVARDI,2))</f>
        <v/>
      </c>
      <c r="GO104" s="39"/>
      <c r="GP104" s="40" t="str">
        <f aca="false">IF(OR(INDEX(Undirviðmið!$G$6:$G$105,(COLUMN()-7-1)/2+1)&lt;&gt;"Starfsbundið",GO104="",GO$8="",GO$7=""),"",ROUND(GO104/GO$8*GO$7*KVARDI,2))</f>
        <v/>
      </c>
      <c r="GQ104" s="39"/>
      <c r="GR104" s="40" t="str">
        <f aca="false">IF(OR(INDEX(Undirviðmið!$G$6:$G$105,(COLUMN()-7-1)/2+1)&lt;&gt;"Starfsbundið",GQ104="",GQ$8="",GQ$7=""),"",ROUND(GQ104/GQ$8*GQ$7*KVARDI,2))</f>
        <v/>
      </c>
      <c r="GS104" s="39"/>
      <c r="GT104" s="40" t="str">
        <f aca="false">IF(OR(INDEX(Undirviðmið!$G$6:$G$105,(COLUMN()-7-1)/2+1)&lt;&gt;"Starfsbundið",GS104="",GS$8="",GS$7=""),"",ROUND(GS104/GS$8*GS$7*KVARDI,2))</f>
        <v/>
      </c>
      <c r="GU104" s="39"/>
      <c r="GV104" s="40" t="str">
        <f aca="false">IF(OR(INDEX(Undirviðmið!$G$6:$G$105,(COLUMN()-7-1)/2+1)&lt;&gt;"Starfsbundið",GU104="",GU$8="",GU$7=""),"",ROUND(GU104/GU$8*GU$7*KVARDI,2))</f>
        <v/>
      </c>
      <c r="GW104" s="39"/>
      <c r="GX104" s="40" t="str">
        <f aca="false">IF(OR(INDEX(Undirviðmið!$G$6:$G$105,(COLUMN()-7-1)/2+1)&lt;&gt;"Starfsbundið",GW104="",GW$8="",GW$7=""),"",ROUND(GW104/GW$8*GW$7*KVARDI,2))</f>
        <v/>
      </c>
      <c r="GZ104" s="20"/>
    </row>
    <row r="105" customFormat="false" ht="15" hidden="true" customHeight="true" outlineLevel="1" collapsed="false">
      <c r="B105" s="37" t="str">
        <f aca="false" t="array" ref="B105:B105">IFERROR(INDEX(Starfsmenn!$C$6:$C$10005,MATCH(0,COUNTIF($B$11:B104,Starfsmenn!$C$6:$C$10005)+(Starfsmenn!$C$6:$C$10005=""),0)),"")</f>
        <v/>
      </c>
      <c r="C105" s="38" t="n">
        <f aca="false">IFERROR(SUMIF($G$10:$GX$10,"Stig",$G105:$GX105),0)</f>
        <v>0</v>
      </c>
      <c r="G105" s="39"/>
      <c r="H105" s="40" t="str">
        <f aca="false">IF(OR(INDEX(Undirviðmið!$G$6:$G$105,(COLUMN()-7-1)/2+1)&lt;&gt;"Starfsbundið",G105="",G$8="",G$7=""),"",ROUND(G105/G$8*G$7*KVARDI,2))</f>
        <v/>
      </c>
      <c r="I105" s="39"/>
      <c r="J105" s="40" t="str">
        <f aca="false">IF(OR(INDEX(Undirviðmið!$G$6:$G$105,(COLUMN()-7-1)/2+1)&lt;&gt;"Starfsbundið",I105="",I$8="",I$7=""),"",ROUND(I105/I$8*I$7*KVARDI,2))</f>
        <v/>
      </c>
      <c r="K105" s="39"/>
      <c r="L105" s="40" t="str">
        <f aca="false">IF(OR(INDEX(Undirviðmið!$G$6:$G$105,(COLUMN()-7-1)/2+1)&lt;&gt;"Starfsbundið",K105="",K$8="",K$7=""),"",ROUND(K105/K$8*K$7*KVARDI,2))</f>
        <v/>
      </c>
      <c r="M105" s="39"/>
      <c r="N105" s="40" t="str">
        <f aca="false">IF(OR(INDEX(Undirviðmið!$G$6:$G$105,(COLUMN()-7-1)/2+1)&lt;&gt;"Starfsbundið",M105="",M$8="",M$7=""),"",ROUND(M105/M$8*M$7*KVARDI,2))</f>
        <v/>
      </c>
      <c r="O105" s="39"/>
      <c r="P105" s="40" t="str">
        <f aca="false">IF(OR(INDEX(Undirviðmið!$G$6:$G$105,(COLUMN()-7-1)/2+1)&lt;&gt;"Starfsbundið",O105="",O$8="",O$7=""),"",ROUND(O105/O$8*O$7*KVARDI,2))</f>
        <v/>
      </c>
      <c r="Q105" s="39"/>
      <c r="R105" s="40" t="str">
        <f aca="false">IF(OR(INDEX(Undirviðmið!$G$6:$G$105,(COLUMN()-7-1)/2+1)&lt;&gt;"Starfsbundið",Q105="",Q$8="",Q$7=""),"",ROUND(Q105/Q$8*Q$7*KVARDI,2))</f>
        <v/>
      </c>
      <c r="S105" s="39"/>
      <c r="T105" s="40" t="str">
        <f aca="false">IF(OR(INDEX(Undirviðmið!$G$6:$G$105,(COLUMN()-7-1)/2+1)&lt;&gt;"Starfsbundið",S105="",S$8="",S$7=""),"",ROUND(S105/S$8*S$7*KVARDI,2))</f>
        <v/>
      </c>
      <c r="U105" s="39"/>
      <c r="V105" s="40" t="str">
        <f aca="false">IF(OR(INDEX(Undirviðmið!$G$6:$G$105,(COLUMN()-7-1)/2+1)&lt;&gt;"Starfsbundið",U105="",U$8="",U$7=""),"",ROUND(U105/U$8*U$7*KVARDI,2))</f>
        <v/>
      </c>
      <c r="W105" s="39"/>
      <c r="X105" s="40" t="str">
        <f aca="false">IF(OR(INDEX(Undirviðmið!$G$6:$G$105,(COLUMN()-7-1)/2+1)&lt;&gt;"Starfsbundið",W105="",W$8="",W$7=""),"",ROUND(W105/W$8*W$7*KVARDI,2))</f>
        <v/>
      </c>
      <c r="Y105" s="39"/>
      <c r="Z105" s="40" t="str">
        <f aca="false">IF(OR(INDEX(Undirviðmið!$G$6:$G$105,(COLUMN()-7-1)/2+1)&lt;&gt;"Starfsbundið",Y105="",Y$8="",Y$7=""),"",ROUND(Y105/Y$8*Y$7*KVARDI,2))</f>
        <v/>
      </c>
      <c r="AA105" s="39"/>
      <c r="AB105" s="40" t="str">
        <f aca="false">IF(OR(INDEX(Undirviðmið!$G$6:$G$105,(COLUMN()-7-1)/2+1)&lt;&gt;"Starfsbundið",AA105="",AA$8="",AA$7=""),"",ROUND(AA105/AA$8*AA$7*KVARDI,2))</f>
        <v/>
      </c>
      <c r="AC105" s="39"/>
      <c r="AD105" s="40" t="str">
        <f aca="false">IF(OR(INDEX(Undirviðmið!$G$6:$G$105,(COLUMN()-7-1)/2+1)&lt;&gt;"Starfsbundið",AC105="",AC$8="",AC$7=""),"",ROUND(AC105/AC$8*AC$7*KVARDI,2))</f>
        <v/>
      </c>
      <c r="AE105" s="39"/>
      <c r="AF105" s="40" t="str">
        <f aca="false">IF(OR(INDEX(Undirviðmið!$G$6:$G$105,(COLUMN()-7-1)/2+1)&lt;&gt;"Starfsbundið",AE105="",AE$8="",AE$7=""),"",ROUND(AE105/AE$8*AE$7*KVARDI,2))</f>
        <v/>
      </c>
      <c r="AG105" s="39"/>
      <c r="AH105" s="40" t="str">
        <f aca="false">IF(OR(INDEX(Undirviðmið!$G$6:$G$105,(COLUMN()-7-1)/2+1)&lt;&gt;"Starfsbundið",AG105="",AG$8="",AG$7=""),"",ROUND(AG105/AG$8*AG$7*KVARDI,2))</f>
        <v/>
      </c>
      <c r="AI105" s="39"/>
      <c r="AJ105" s="40" t="str">
        <f aca="false">IF(OR(INDEX(Undirviðmið!$G$6:$G$105,(COLUMN()-7-1)/2+1)&lt;&gt;"Starfsbundið",AI105="",AI$8="",AI$7=""),"",ROUND(AI105/AI$8*AI$7*KVARDI,2))</f>
        <v/>
      </c>
      <c r="AK105" s="39"/>
      <c r="AL105" s="40" t="str">
        <f aca="false">IF(OR(INDEX(Undirviðmið!$G$6:$G$105,(COLUMN()-7-1)/2+1)&lt;&gt;"Starfsbundið",AK105="",AK$8="",AK$7=""),"",ROUND(AK105/AK$8*AK$7*KVARDI,2))</f>
        <v/>
      </c>
      <c r="AM105" s="39"/>
      <c r="AN105" s="40" t="str">
        <f aca="false">IF(OR(INDEX(Undirviðmið!$G$6:$G$105,(COLUMN()-7-1)/2+1)&lt;&gt;"Starfsbundið",AM105="",AM$8="",AM$7=""),"",ROUND(AM105/AM$8*AM$7*KVARDI,2))</f>
        <v/>
      </c>
      <c r="AO105" s="39"/>
      <c r="AP105" s="40" t="str">
        <f aca="false">IF(OR(INDEX(Undirviðmið!$G$6:$G$105,(COLUMN()-7-1)/2+1)&lt;&gt;"Starfsbundið",AO105="",AO$8="",AO$7=""),"",ROUND(AO105/AO$8*AO$7*KVARDI,2))</f>
        <v/>
      </c>
      <c r="AQ105" s="39"/>
      <c r="AR105" s="40" t="str">
        <f aca="false">IF(OR(INDEX(Undirviðmið!$G$6:$G$105,(COLUMN()-7-1)/2+1)&lt;&gt;"Starfsbundið",AQ105="",AQ$8="",AQ$7=""),"",ROUND(AQ105/AQ$8*AQ$7*KVARDI,2))</f>
        <v/>
      </c>
      <c r="AS105" s="39"/>
      <c r="AT105" s="40" t="str">
        <f aca="false">IF(OR(INDEX(Undirviðmið!$G$6:$G$105,(COLUMN()-7-1)/2+1)&lt;&gt;"Starfsbundið",AS105="",AS$8="",AS$7=""),"",ROUND(AS105/AS$8*AS$7*KVARDI,2))</f>
        <v/>
      </c>
      <c r="AU105" s="39"/>
      <c r="AV105" s="40" t="str">
        <f aca="false">IF(OR(INDEX(Undirviðmið!$G$6:$G$105,(COLUMN()-7-1)/2+1)&lt;&gt;"Starfsbundið",AU105="",AU$8="",AU$7=""),"",ROUND(AU105/AU$8*AU$7*KVARDI,2))</f>
        <v/>
      </c>
      <c r="AW105" s="39"/>
      <c r="AX105" s="40" t="str">
        <f aca="false">IF(OR(INDEX(Undirviðmið!$G$6:$G$105,(COLUMN()-7-1)/2+1)&lt;&gt;"Starfsbundið",AW105="",AW$8="",AW$7=""),"",ROUND(AW105/AW$8*AW$7*KVARDI,2))</f>
        <v/>
      </c>
      <c r="AY105" s="39"/>
      <c r="AZ105" s="40" t="str">
        <f aca="false">IF(OR(INDEX(Undirviðmið!$G$6:$G$105,(COLUMN()-7-1)/2+1)&lt;&gt;"Starfsbundið",AY105="",AY$8="",AY$7=""),"",ROUND(AY105/AY$8*AY$7*KVARDI,2))</f>
        <v/>
      </c>
      <c r="BA105" s="39"/>
      <c r="BB105" s="40" t="str">
        <f aca="false">IF(OR(INDEX(Undirviðmið!$G$6:$G$105,(COLUMN()-7-1)/2+1)&lt;&gt;"Starfsbundið",BA105="",BA$8="",BA$7=""),"",ROUND(BA105/BA$8*BA$7*KVARDI,2))</f>
        <v/>
      </c>
      <c r="BC105" s="39"/>
      <c r="BD105" s="40" t="str">
        <f aca="false">IF(OR(INDEX(Undirviðmið!$G$6:$G$105,(COLUMN()-7-1)/2+1)&lt;&gt;"Starfsbundið",BC105="",BC$8="",BC$7=""),"",ROUND(BC105/BC$8*BC$7*KVARDI,2))</f>
        <v/>
      </c>
      <c r="BE105" s="39"/>
      <c r="BF105" s="40" t="str">
        <f aca="false">IF(OR(INDEX(Undirviðmið!$G$6:$G$105,(COLUMN()-7-1)/2+1)&lt;&gt;"Starfsbundið",BE105="",BE$8="",BE$7=""),"",ROUND(BE105/BE$8*BE$7*KVARDI,2))</f>
        <v/>
      </c>
      <c r="BG105" s="39"/>
      <c r="BH105" s="40" t="str">
        <f aca="false">IF(OR(INDEX(Undirviðmið!$G$6:$G$105,(COLUMN()-7-1)/2+1)&lt;&gt;"Starfsbundið",BG105="",BG$8="",BG$7=""),"",ROUND(BG105/BG$8*BG$7*KVARDI,2))</f>
        <v/>
      </c>
      <c r="BI105" s="39"/>
      <c r="BJ105" s="40" t="str">
        <f aca="false">IF(OR(INDEX(Undirviðmið!$G$6:$G$105,(COLUMN()-7-1)/2+1)&lt;&gt;"Starfsbundið",BI105="",BI$8="",BI$7=""),"",ROUND(BI105/BI$8*BI$7*KVARDI,2))</f>
        <v/>
      </c>
      <c r="BK105" s="39"/>
      <c r="BL105" s="40" t="str">
        <f aca="false">IF(OR(INDEX(Undirviðmið!$G$6:$G$105,(COLUMN()-7-1)/2+1)&lt;&gt;"Starfsbundið",BK105="",BK$8="",BK$7=""),"",ROUND(BK105/BK$8*BK$7*KVARDI,2))</f>
        <v/>
      </c>
      <c r="BM105" s="39"/>
      <c r="BN105" s="40" t="str">
        <f aca="false">IF(OR(INDEX(Undirviðmið!$G$6:$G$105,(COLUMN()-7-1)/2+1)&lt;&gt;"Starfsbundið",BM105="",BM$8="",BM$7=""),"",ROUND(BM105/BM$8*BM$7*KVARDI,2))</f>
        <v/>
      </c>
      <c r="BO105" s="39"/>
      <c r="BP105" s="40" t="str">
        <f aca="false">IF(OR(INDEX(Undirviðmið!$G$6:$G$105,(COLUMN()-7-1)/2+1)&lt;&gt;"Starfsbundið",BO105="",BO$8="",BO$7=""),"",ROUND(BO105/BO$8*BO$7*KVARDI,2))</f>
        <v/>
      </c>
      <c r="BQ105" s="39"/>
      <c r="BR105" s="40" t="str">
        <f aca="false">IF(OR(INDEX(Undirviðmið!$G$6:$G$105,(COLUMN()-7-1)/2+1)&lt;&gt;"Starfsbundið",BQ105="",BQ$8="",BQ$7=""),"",ROUND(BQ105/BQ$8*BQ$7*KVARDI,2))</f>
        <v/>
      </c>
      <c r="BS105" s="39"/>
      <c r="BT105" s="40" t="str">
        <f aca="false">IF(OR(INDEX(Undirviðmið!$G$6:$G$105,(COLUMN()-7-1)/2+1)&lt;&gt;"Starfsbundið",BS105="",BS$8="",BS$7=""),"",ROUND(BS105/BS$8*BS$7*KVARDI,2))</f>
        <v/>
      </c>
      <c r="BU105" s="39"/>
      <c r="BV105" s="40" t="str">
        <f aca="false">IF(OR(INDEX(Undirviðmið!$G$6:$G$105,(COLUMN()-7-1)/2+1)&lt;&gt;"Starfsbundið",BU105="",BU$8="",BU$7=""),"",ROUND(BU105/BU$8*BU$7*KVARDI,2))</f>
        <v/>
      </c>
      <c r="BW105" s="39"/>
      <c r="BX105" s="40" t="str">
        <f aca="false">IF(OR(INDEX(Undirviðmið!$G$6:$G$105,(COLUMN()-7-1)/2+1)&lt;&gt;"Starfsbundið",BW105="",BW$8="",BW$7=""),"",ROUND(BW105/BW$8*BW$7*KVARDI,2))</f>
        <v/>
      </c>
      <c r="BY105" s="39"/>
      <c r="BZ105" s="40" t="str">
        <f aca="false">IF(OR(INDEX(Undirviðmið!$G$6:$G$105,(COLUMN()-7-1)/2+1)&lt;&gt;"Starfsbundið",BY105="",BY$8="",BY$7=""),"",ROUND(BY105/BY$8*BY$7*KVARDI,2))</f>
        <v/>
      </c>
      <c r="CA105" s="39"/>
      <c r="CB105" s="40" t="str">
        <f aca="false">IF(OR(INDEX(Undirviðmið!$G$6:$G$105,(COLUMN()-7-1)/2+1)&lt;&gt;"Starfsbundið",CA105="",CA$8="",CA$7=""),"",ROUND(CA105/CA$8*CA$7*KVARDI,2))</f>
        <v/>
      </c>
      <c r="CC105" s="39"/>
      <c r="CD105" s="40" t="str">
        <f aca="false">IF(OR(INDEX(Undirviðmið!$G$6:$G$105,(COLUMN()-7-1)/2+1)&lt;&gt;"Starfsbundið",CC105="",CC$8="",CC$7=""),"",ROUND(CC105/CC$8*CC$7*KVARDI,2))</f>
        <v/>
      </c>
      <c r="CE105" s="39"/>
      <c r="CF105" s="40" t="str">
        <f aca="false">IF(OR(INDEX(Undirviðmið!$G$6:$G$105,(COLUMN()-7-1)/2+1)&lt;&gt;"Starfsbundið",CE105="",CE$8="",CE$7=""),"",ROUND(CE105/CE$8*CE$7*KVARDI,2))</f>
        <v/>
      </c>
      <c r="CG105" s="39"/>
      <c r="CH105" s="40" t="str">
        <f aca="false">IF(OR(INDEX(Undirviðmið!$G$6:$G$105,(COLUMN()-7-1)/2+1)&lt;&gt;"Starfsbundið",CG105="",CG$8="",CG$7=""),"",ROUND(CG105/CG$8*CG$7*KVARDI,2))</f>
        <v/>
      </c>
      <c r="CI105" s="39"/>
      <c r="CJ105" s="40" t="str">
        <f aca="false">IF(OR(INDEX(Undirviðmið!$G$6:$G$105,(COLUMN()-7-1)/2+1)&lt;&gt;"Starfsbundið",CI105="",CI$8="",CI$7=""),"",ROUND(CI105/CI$8*CI$7*KVARDI,2))</f>
        <v/>
      </c>
      <c r="CK105" s="39"/>
      <c r="CL105" s="40" t="str">
        <f aca="false">IF(OR(INDEX(Undirviðmið!$G$6:$G$105,(COLUMN()-7-1)/2+1)&lt;&gt;"Starfsbundið",CK105="",CK$8="",CK$7=""),"",ROUND(CK105/CK$8*CK$7*KVARDI,2))</f>
        <v/>
      </c>
      <c r="CM105" s="39"/>
      <c r="CN105" s="40" t="str">
        <f aca="false">IF(OR(INDEX(Undirviðmið!$G$6:$G$105,(COLUMN()-7-1)/2+1)&lt;&gt;"Starfsbundið",CM105="",CM$8="",CM$7=""),"",ROUND(CM105/CM$8*CM$7*KVARDI,2))</f>
        <v/>
      </c>
      <c r="CO105" s="39"/>
      <c r="CP105" s="40" t="str">
        <f aca="false">IF(OR(INDEX(Undirviðmið!$G$6:$G$105,(COLUMN()-7-1)/2+1)&lt;&gt;"Starfsbundið",CO105="",CO$8="",CO$7=""),"",ROUND(CO105/CO$8*CO$7*KVARDI,2))</f>
        <v/>
      </c>
      <c r="CQ105" s="39"/>
      <c r="CR105" s="40" t="str">
        <f aca="false">IF(OR(INDEX(Undirviðmið!$G$6:$G$105,(COLUMN()-7-1)/2+1)&lt;&gt;"Starfsbundið",CQ105="",CQ$8="",CQ$7=""),"",ROUND(CQ105/CQ$8*CQ$7*KVARDI,2))</f>
        <v/>
      </c>
      <c r="CS105" s="39"/>
      <c r="CT105" s="40" t="str">
        <f aca="false">IF(OR(INDEX(Undirviðmið!$G$6:$G$105,(COLUMN()-7-1)/2+1)&lt;&gt;"Starfsbundið",CS105="",CS$8="",CS$7=""),"",ROUND(CS105/CS$8*CS$7*KVARDI,2))</f>
        <v/>
      </c>
      <c r="CU105" s="39"/>
      <c r="CV105" s="40" t="str">
        <f aca="false">IF(OR(INDEX(Undirviðmið!$G$6:$G$105,(COLUMN()-7-1)/2+1)&lt;&gt;"Starfsbundið",CU105="",CU$8="",CU$7=""),"",ROUND(CU105/CU$8*CU$7*KVARDI,2))</f>
        <v/>
      </c>
      <c r="CW105" s="39"/>
      <c r="CX105" s="40" t="str">
        <f aca="false">IF(OR(INDEX(Undirviðmið!$G$6:$G$105,(COLUMN()-7-1)/2+1)&lt;&gt;"Starfsbundið",CW105="",CW$8="",CW$7=""),"",ROUND(CW105/CW$8*CW$7*KVARDI,2))</f>
        <v/>
      </c>
      <c r="CY105" s="39"/>
      <c r="CZ105" s="40" t="str">
        <f aca="false">IF(OR(INDEX(Undirviðmið!$G$6:$G$105,(COLUMN()-7-1)/2+1)&lt;&gt;"Starfsbundið",CY105="",CY$8="",CY$7=""),"",ROUND(CY105/CY$8*CY$7*KVARDI,2))</f>
        <v/>
      </c>
      <c r="DA105" s="39"/>
      <c r="DB105" s="40" t="str">
        <f aca="false">IF(OR(INDEX(Undirviðmið!$G$6:$G$105,(COLUMN()-7-1)/2+1)&lt;&gt;"Starfsbundið",DA105="",DA$8="",DA$7=""),"",ROUND(DA105/DA$8*DA$7*KVARDI,2))</f>
        <v/>
      </c>
      <c r="DC105" s="39"/>
      <c r="DD105" s="40" t="str">
        <f aca="false">IF(OR(INDEX(Undirviðmið!$G$6:$G$105,(COLUMN()-7-1)/2+1)&lt;&gt;"Starfsbundið",DC105="",DC$8="",DC$7=""),"",ROUND(DC105/DC$8*DC$7*KVARDI,2))</f>
        <v/>
      </c>
      <c r="DE105" s="39"/>
      <c r="DF105" s="40" t="str">
        <f aca="false">IF(OR(INDEX(Undirviðmið!$G$6:$G$105,(COLUMN()-7-1)/2+1)&lt;&gt;"Starfsbundið",DE105="",DE$8="",DE$7=""),"",ROUND(DE105/DE$8*DE$7*KVARDI,2))</f>
        <v/>
      </c>
      <c r="DG105" s="39"/>
      <c r="DH105" s="40" t="str">
        <f aca="false">IF(OR(INDEX(Undirviðmið!$G$6:$G$105,(COLUMN()-7-1)/2+1)&lt;&gt;"Starfsbundið",DG105="",DG$8="",DG$7=""),"",ROUND(DG105/DG$8*DG$7*KVARDI,2))</f>
        <v/>
      </c>
      <c r="DI105" s="39"/>
      <c r="DJ105" s="40" t="str">
        <f aca="false">IF(OR(INDEX(Undirviðmið!$G$6:$G$105,(COLUMN()-7-1)/2+1)&lt;&gt;"Starfsbundið",DI105="",DI$8="",DI$7=""),"",ROUND(DI105/DI$8*DI$7*KVARDI,2))</f>
        <v/>
      </c>
      <c r="DK105" s="39"/>
      <c r="DL105" s="40" t="str">
        <f aca="false">IF(OR(INDEX(Undirviðmið!$G$6:$G$105,(COLUMN()-7-1)/2+1)&lt;&gt;"Starfsbundið",DK105="",DK$8="",DK$7=""),"",ROUND(DK105/DK$8*DK$7*KVARDI,2))</f>
        <v/>
      </c>
      <c r="DM105" s="39"/>
      <c r="DN105" s="40" t="str">
        <f aca="false">IF(OR(INDEX(Undirviðmið!$G$6:$G$105,(COLUMN()-7-1)/2+1)&lt;&gt;"Starfsbundið",DM105="",DM$8="",DM$7=""),"",ROUND(DM105/DM$8*DM$7*KVARDI,2))</f>
        <v/>
      </c>
      <c r="DO105" s="39"/>
      <c r="DP105" s="40" t="str">
        <f aca="false">IF(OR(INDEX(Undirviðmið!$G$6:$G$105,(COLUMN()-7-1)/2+1)&lt;&gt;"Starfsbundið",DO105="",DO$8="",DO$7=""),"",ROUND(DO105/DO$8*DO$7*KVARDI,2))</f>
        <v/>
      </c>
      <c r="DQ105" s="39"/>
      <c r="DR105" s="40" t="str">
        <f aca="false">IF(OR(INDEX(Undirviðmið!$G$6:$G$105,(COLUMN()-7-1)/2+1)&lt;&gt;"Starfsbundið",DQ105="",DQ$8="",DQ$7=""),"",ROUND(DQ105/DQ$8*DQ$7*KVARDI,2))</f>
        <v/>
      </c>
      <c r="DS105" s="39"/>
      <c r="DT105" s="40" t="str">
        <f aca="false">IF(OR(INDEX(Undirviðmið!$G$6:$G$105,(COLUMN()-7-1)/2+1)&lt;&gt;"Starfsbundið",DS105="",DS$8="",DS$7=""),"",ROUND(DS105/DS$8*DS$7*KVARDI,2))</f>
        <v/>
      </c>
      <c r="DU105" s="39"/>
      <c r="DV105" s="40" t="str">
        <f aca="false">IF(OR(INDEX(Undirviðmið!$G$6:$G$105,(COLUMN()-7-1)/2+1)&lt;&gt;"Starfsbundið",DU105="",DU$8="",DU$7=""),"",ROUND(DU105/DU$8*DU$7*KVARDI,2))</f>
        <v/>
      </c>
      <c r="DW105" s="39"/>
      <c r="DX105" s="40" t="str">
        <f aca="false">IF(OR(INDEX(Undirviðmið!$G$6:$G$105,(COLUMN()-7-1)/2+1)&lt;&gt;"Starfsbundið",DW105="",DW$8="",DW$7=""),"",ROUND(DW105/DW$8*DW$7*KVARDI,2))</f>
        <v/>
      </c>
      <c r="DY105" s="39"/>
      <c r="DZ105" s="40" t="str">
        <f aca="false">IF(OR(INDEX(Undirviðmið!$G$6:$G$105,(COLUMN()-7-1)/2+1)&lt;&gt;"Starfsbundið",DY105="",DY$8="",DY$7=""),"",ROUND(DY105/DY$8*DY$7*KVARDI,2))</f>
        <v/>
      </c>
      <c r="EA105" s="39"/>
      <c r="EB105" s="40" t="str">
        <f aca="false">IF(OR(INDEX(Undirviðmið!$G$6:$G$105,(COLUMN()-7-1)/2+1)&lt;&gt;"Starfsbundið",EA105="",EA$8="",EA$7=""),"",ROUND(EA105/EA$8*EA$7*KVARDI,2))</f>
        <v/>
      </c>
      <c r="EC105" s="39"/>
      <c r="ED105" s="40" t="str">
        <f aca="false">IF(OR(INDEX(Undirviðmið!$G$6:$G$105,(COLUMN()-7-1)/2+1)&lt;&gt;"Starfsbundið",EC105="",EC$8="",EC$7=""),"",ROUND(EC105/EC$8*EC$7*KVARDI,2))</f>
        <v/>
      </c>
      <c r="EE105" s="39"/>
      <c r="EF105" s="40" t="str">
        <f aca="false">IF(OR(INDEX(Undirviðmið!$G$6:$G$105,(COLUMN()-7-1)/2+1)&lt;&gt;"Starfsbundið",EE105="",EE$8="",EE$7=""),"",ROUND(EE105/EE$8*EE$7*KVARDI,2))</f>
        <v/>
      </c>
      <c r="EG105" s="39"/>
      <c r="EH105" s="40" t="str">
        <f aca="false">IF(OR(INDEX(Undirviðmið!$G$6:$G$105,(COLUMN()-7-1)/2+1)&lt;&gt;"Starfsbundið",EG105="",EG$8="",EG$7=""),"",ROUND(EG105/EG$8*EG$7*KVARDI,2))</f>
        <v/>
      </c>
      <c r="EI105" s="39"/>
      <c r="EJ105" s="40" t="str">
        <f aca="false">IF(OR(INDEX(Undirviðmið!$G$6:$G$105,(COLUMN()-7-1)/2+1)&lt;&gt;"Starfsbundið",EI105="",EI$8="",EI$7=""),"",ROUND(EI105/EI$8*EI$7*KVARDI,2))</f>
        <v/>
      </c>
      <c r="EK105" s="39"/>
      <c r="EL105" s="40" t="str">
        <f aca="false">IF(OR(INDEX(Undirviðmið!$G$6:$G$105,(COLUMN()-7-1)/2+1)&lt;&gt;"Starfsbundið",EK105="",EK$8="",EK$7=""),"",ROUND(EK105/EK$8*EK$7*KVARDI,2))</f>
        <v/>
      </c>
      <c r="EM105" s="39"/>
      <c r="EN105" s="40" t="str">
        <f aca="false">IF(OR(INDEX(Undirviðmið!$G$6:$G$105,(COLUMN()-7-1)/2+1)&lt;&gt;"Starfsbundið",EM105="",EM$8="",EM$7=""),"",ROUND(EM105/EM$8*EM$7*KVARDI,2))</f>
        <v/>
      </c>
      <c r="EO105" s="39"/>
      <c r="EP105" s="40" t="str">
        <f aca="false">IF(OR(INDEX(Undirviðmið!$G$6:$G$105,(COLUMN()-7-1)/2+1)&lt;&gt;"Starfsbundið",EO105="",EO$8="",EO$7=""),"",ROUND(EO105/EO$8*EO$7*KVARDI,2))</f>
        <v/>
      </c>
      <c r="EQ105" s="39"/>
      <c r="ER105" s="40" t="str">
        <f aca="false">IF(OR(INDEX(Undirviðmið!$G$6:$G$105,(COLUMN()-7-1)/2+1)&lt;&gt;"Starfsbundið",EQ105="",EQ$8="",EQ$7=""),"",ROUND(EQ105/EQ$8*EQ$7*KVARDI,2))</f>
        <v/>
      </c>
      <c r="ES105" s="39"/>
      <c r="ET105" s="40" t="str">
        <f aca="false">IF(OR(INDEX(Undirviðmið!$G$6:$G$105,(COLUMN()-7-1)/2+1)&lt;&gt;"Starfsbundið",ES105="",ES$8="",ES$7=""),"",ROUND(ES105/ES$8*ES$7*KVARDI,2))</f>
        <v/>
      </c>
      <c r="EU105" s="39"/>
      <c r="EV105" s="40" t="str">
        <f aca="false">IF(OR(INDEX(Undirviðmið!$G$6:$G$105,(COLUMN()-7-1)/2+1)&lt;&gt;"Starfsbundið",EU105="",EU$8="",EU$7=""),"",ROUND(EU105/EU$8*EU$7*KVARDI,2))</f>
        <v/>
      </c>
      <c r="EW105" s="39"/>
      <c r="EX105" s="40" t="str">
        <f aca="false">IF(OR(INDEX(Undirviðmið!$G$6:$G$105,(COLUMN()-7-1)/2+1)&lt;&gt;"Starfsbundið",EW105="",EW$8="",EW$7=""),"",ROUND(EW105/EW$8*EW$7*KVARDI,2))</f>
        <v/>
      </c>
      <c r="EY105" s="39"/>
      <c r="EZ105" s="40" t="str">
        <f aca="false">IF(OR(INDEX(Undirviðmið!$G$6:$G$105,(COLUMN()-7-1)/2+1)&lt;&gt;"Starfsbundið",EY105="",EY$8="",EY$7=""),"",ROUND(EY105/EY$8*EY$7*KVARDI,2))</f>
        <v/>
      </c>
      <c r="FA105" s="39"/>
      <c r="FB105" s="40" t="str">
        <f aca="false">IF(OR(INDEX(Undirviðmið!$G$6:$G$105,(COLUMN()-7-1)/2+1)&lt;&gt;"Starfsbundið",FA105="",FA$8="",FA$7=""),"",ROUND(FA105/FA$8*FA$7*KVARDI,2))</f>
        <v/>
      </c>
      <c r="FC105" s="39"/>
      <c r="FD105" s="40" t="str">
        <f aca="false">IF(OR(INDEX(Undirviðmið!$G$6:$G$105,(COLUMN()-7-1)/2+1)&lt;&gt;"Starfsbundið",FC105="",FC$8="",FC$7=""),"",ROUND(FC105/FC$8*FC$7*KVARDI,2))</f>
        <v/>
      </c>
      <c r="FE105" s="39"/>
      <c r="FF105" s="40" t="str">
        <f aca="false">IF(OR(INDEX(Undirviðmið!$G$6:$G$105,(COLUMN()-7-1)/2+1)&lt;&gt;"Starfsbundið",FE105="",FE$8="",FE$7=""),"",ROUND(FE105/FE$8*FE$7*KVARDI,2))</f>
        <v/>
      </c>
      <c r="FG105" s="39"/>
      <c r="FH105" s="40" t="str">
        <f aca="false">IF(OR(INDEX(Undirviðmið!$G$6:$G$105,(COLUMN()-7-1)/2+1)&lt;&gt;"Starfsbundið",FG105="",FG$8="",FG$7=""),"",ROUND(FG105/FG$8*FG$7*KVARDI,2))</f>
        <v/>
      </c>
      <c r="FI105" s="39"/>
      <c r="FJ105" s="40" t="str">
        <f aca="false">IF(OR(INDEX(Undirviðmið!$G$6:$G$105,(COLUMN()-7-1)/2+1)&lt;&gt;"Starfsbundið",FI105="",FI$8="",FI$7=""),"",ROUND(FI105/FI$8*FI$7*KVARDI,2))</f>
        <v/>
      </c>
      <c r="FK105" s="39"/>
      <c r="FL105" s="40" t="str">
        <f aca="false">IF(OR(INDEX(Undirviðmið!$G$6:$G$105,(COLUMN()-7-1)/2+1)&lt;&gt;"Starfsbundið",FK105="",FK$8="",FK$7=""),"",ROUND(FK105/FK$8*FK$7*KVARDI,2))</f>
        <v/>
      </c>
      <c r="FM105" s="39"/>
      <c r="FN105" s="40" t="str">
        <f aca="false">IF(OR(INDEX(Undirviðmið!$G$6:$G$105,(COLUMN()-7-1)/2+1)&lt;&gt;"Starfsbundið",FM105="",FM$8="",FM$7=""),"",ROUND(FM105/FM$8*FM$7*KVARDI,2))</f>
        <v/>
      </c>
      <c r="FO105" s="39"/>
      <c r="FP105" s="40" t="str">
        <f aca="false">IF(OR(INDEX(Undirviðmið!$G$6:$G$105,(COLUMN()-7-1)/2+1)&lt;&gt;"Starfsbundið",FO105="",FO$8="",FO$7=""),"",ROUND(FO105/FO$8*FO$7*KVARDI,2))</f>
        <v/>
      </c>
      <c r="FQ105" s="39"/>
      <c r="FR105" s="40" t="str">
        <f aca="false">IF(OR(INDEX(Undirviðmið!$G$6:$G$105,(COLUMN()-7-1)/2+1)&lt;&gt;"Starfsbundið",FQ105="",FQ$8="",FQ$7=""),"",ROUND(FQ105/FQ$8*FQ$7*KVARDI,2))</f>
        <v/>
      </c>
      <c r="FS105" s="39"/>
      <c r="FT105" s="40" t="str">
        <f aca="false">IF(OR(INDEX(Undirviðmið!$G$6:$G$105,(COLUMN()-7-1)/2+1)&lt;&gt;"Starfsbundið",FS105="",FS$8="",FS$7=""),"",ROUND(FS105/FS$8*FS$7*KVARDI,2))</f>
        <v/>
      </c>
      <c r="FU105" s="39"/>
      <c r="FV105" s="40" t="str">
        <f aca="false">IF(OR(INDEX(Undirviðmið!$G$6:$G$105,(COLUMN()-7-1)/2+1)&lt;&gt;"Starfsbundið",FU105="",FU$8="",FU$7=""),"",ROUND(FU105/FU$8*FU$7*KVARDI,2))</f>
        <v/>
      </c>
      <c r="FW105" s="39"/>
      <c r="FX105" s="40" t="str">
        <f aca="false">IF(OR(INDEX(Undirviðmið!$G$6:$G$105,(COLUMN()-7-1)/2+1)&lt;&gt;"Starfsbundið",FW105="",FW$8="",FW$7=""),"",ROUND(FW105/FW$8*FW$7*KVARDI,2))</f>
        <v/>
      </c>
      <c r="FY105" s="39"/>
      <c r="FZ105" s="40" t="str">
        <f aca="false">IF(OR(INDEX(Undirviðmið!$G$6:$G$105,(COLUMN()-7-1)/2+1)&lt;&gt;"Starfsbundið",FY105="",FY$8="",FY$7=""),"",ROUND(FY105/FY$8*FY$7*KVARDI,2))</f>
        <v/>
      </c>
      <c r="GA105" s="39"/>
      <c r="GB105" s="40" t="str">
        <f aca="false">IF(OR(INDEX(Undirviðmið!$G$6:$G$105,(COLUMN()-7-1)/2+1)&lt;&gt;"Starfsbundið",GA105="",GA$8="",GA$7=""),"",ROUND(GA105/GA$8*GA$7*KVARDI,2))</f>
        <v/>
      </c>
      <c r="GC105" s="39"/>
      <c r="GD105" s="40" t="str">
        <f aca="false">IF(OR(INDEX(Undirviðmið!$G$6:$G$105,(COLUMN()-7-1)/2+1)&lt;&gt;"Starfsbundið",GC105="",GC$8="",GC$7=""),"",ROUND(GC105/GC$8*GC$7*KVARDI,2))</f>
        <v/>
      </c>
      <c r="GE105" s="39"/>
      <c r="GF105" s="40" t="str">
        <f aca="false">IF(OR(INDEX(Undirviðmið!$G$6:$G$105,(COLUMN()-7-1)/2+1)&lt;&gt;"Starfsbundið",GE105="",GE$8="",GE$7=""),"",ROUND(GE105/GE$8*GE$7*KVARDI,2))</f>
        <v/>
      </c>
      <c r="GG105" s="39"/>
      <c r="GH105" s="40" t="str">
        <f aca="false">IF(OR(INDEX(Undirviðmið!$G$6:$G$105,(COLUMN()-7-1)/2+1)&lt;&gt;"Starfsbundið",GG105="",GG$8="",GG$7=""),"",ROUND(GG105/GG$8*GG$7*KVARDI,2))</f>
        <v/>
      </c>
      <c r="GI105" s="39"/>
      <c r="GJ105" s="40" t="str">
        <f aca="false">IF(OR(INDEX(Undirviðmið!$G$6:$G$105,(COLUMN()-7-1)/2+1)&lt;&gt;"Starfsbundið",GI105="",GI$8="",GI$7=""),"",ROUND(GI105/GI$8*GI$7*KVARDI,2))</f>
        <v/>
      </c>
      <c r="GK105" s="39"/>
      <c r="GL105" s="40" t="str">
        <f aca="false">IF(OR(INDEX(Undirviðmið!$G$6:$G$105,(COLUMN()-7-1)/2+1)&lt;&gt;"Starfsbundið",GK105="",GK$8="",GK$7=""),"",ROUND(GK105/GK$8*GK$7*KVARDI,2))</f>
        <v/>
      </c>
      <c r="GM105" s="39"/>
      <c r="GN105" s="40" t="str">
        <f aca="false">IF(OR(INDEX(Undirviðmið!$G$6:$G$105,(COLUMN()-7-1)/2+1)&lt;&gt;"Starfsbundið",GM105="",GM$8="",GM$7=""),"",ROUND(GM105/GM$8*GM$7*KVARDI,2))</f>
        <v/>
      </c>
      <c r="GO105" s="39"/>
      <c r="GP105" s="40" t="str">
        <f aca="false">IF(OR(INDEX(Undirviðmið!$G$6:$G$105,(COLUMN()-7-1)/2+1)&lt;&gt;"Starfsbundið",GO105="",GO$8="",GO$7=""),"",ROUND(GO105/GO$8*GO$7*KVARDI,2))</f>
        <v/>
      </c>
      <c r="GQ105" s="39"/>
      <c r="GR105" s="40" t="str">
        <f aca="false">IF(OR(INDEX(Undirviðmið!$G$6:$G$105,(COLUMN()-7-1)/2+1)&lt;&gt;"Starfsbundið",GQ105="",GQ$8="",GQ$7=""),"",ROUND(GQ105/GQ$8*GQ$7*KVARDI,2))</f>
        <v/>
      </c>
      <c r="GS105" s="39"/>
      <c r="GT105" s="40" t="str">
        <f aca="false">IF(OR(INDEX(Undirviðmið!$G$6:$G$105,(COLUMN()-7-1)/2+1)&lt;&gt;"Starfsbundið",GS105="",GS$8="",GS$7=""),"",ROUND(GS105/GS$8*GS$7*KVARDI,2))</f>
        <v/>
      </c>
      <c r="GU105" s="39"/>
      <c r="GV105" s="40" t="str">
        <f aca="false">IF(OR(INDEX(Undirviðmið!$G$6:$G$105,(COLUMN()-7-1)/2+1)&lt;&gt;"Starfsbundið",GU105="",GU$8="",GU$7=""),"",ROUND(GU105/GU$8*GU$7*KVARDI,2))</f>
        <v/>
      </c>
      <c r="GW105" s="39"/>
      <c r="GX105" s="40" t="str">
        <f aca="false">IF(OR(INDEX(Undirviðmið!$G$6:$G$105,(COLUMN()-7-1)/2+1)&lt;&gt;"Starfsbundið",GW105="",GW$8="",GW$7=""),"",ROUND(GW105/GW$8*GW$7*KVARDI,2))</f>
        <v/>
      </c>
      <c r="GZ105" s="20"/>
    </row>
    <row r="106" customFormat="false" ht="15" hidden="true" customHeight="true" outlineLevel="1" collapsed="false">
      <c r="B106" s="37" t="str">
        <f aca="false" t="array" ref="B106:B106">IFERROR(INDEX(Starfsmenn!$C$6:$C$10005,MATCH(0,COUNTIF($B$11:B105,Starfsmenn!$C$6:$C$10005)+(Starfsmenn!$C$6:$C$10005=""),0)),"")</f>
        <v/>
      </c>
      <c r="C106" s="38" t="n">
        <f aca="false">IFERROR(SUMIF($G$10:$GX$10,"Stig",$G106:$GX106),0)</f>
        <v>0</v>
      </c>
      <c r="G106" s="39"/>
      <c r="H106" s="40" t="str">
        <f aca="false">IF(OR(INDEX(Undirviðmið!$G$6:$G$105,(COLUMN()-7-1)/2+1)&lt;&gt;"Starfsbundið",G106="",G$8="",G$7=""),"",ROUND(G106/G$8*G$7*KVARDI,2))</f>
        <v/>
      </c>
      <c r="I106" s="39"/>
      <c r="J106" s="40" t="str">
        <f aca="false">IF(OR(INDEX(Undirviðmið!$G$6:$G$105,(COLUMN()-7-1)/2+1)&lt;&gt;"Starfsbundið",I106="",I$8="",I$7=""),"",ROUND(I106/I$8*I$7*KVARDI,2))</f>
        <v/>
      </c>
      <c r="K106" s="39"/>
      <c r="L106" s="40" t="str">
        <f aca="false">IF(OR(INDEX(Undirviðmið!$G$6:$G$105,(COLUMN()-7-1)/2+1)&lt;&gt;"Starfsbundið",K106="",K$8="",K$7=""),"",ROUND(K106/K$8*K$7*KVARDI,2))</f>
        <v/>
      </c>
      <c r="M106" s="39"/>
      <c r="N106" s="40" t="str">
        <f aca="false">IF(OR(INDEX(Undirviðmið!$G$6:$G$105,(COLUMN()-7-1)/2+1)&lt;&gt;"Starfsbundið",M106="",M$8="",M$7=""),"",ROUND(M106/M$8*M$7*KVARDI,2))</f>
        <v/>
      </c>
      <c r="O106" s="39"/>
      <c r="P106" s="40" t="str">
        <f aca="false">IF(OR(INDEX(Undirviðmið!$G$6:$G$105,(COLUMN()-7-1)/2+1)&lt;&gt;"Starfsbundið",O106="",O$8="",O$7=""),"",ROUND(O106/O$8*O$7*KVARDI,2))</f>
        <v/>
      </c>
      <c r="Q106" s="39"/>
      <c r="R106" s="40" t="str">
        <f aca="false">IF(OR(INDEX(Undirviðmið!$G$6:$G$105,(COLUMN()-7-1)/2+1)&lt;&gt;"Starfsbundið",Q106="",Q$8="",Q$7=""),"",ROUND(Q106/Q$8*Q$7*KVARDI,2))</f>
        <v/>
      </c>
      <c r="S106" s="39"/>
      <c r="T106" s="40" t="str">
        <f aca="false">IF(OR(INDEX(Undirviðmið!$G$6:$G$105,(COLUMN()-7-1)/2+1)&lt;&gt;"Starfsbundið",S106="",S$8="",S$7=""),"",ROUND(S106/S$8*S$7*KVARDI,2))</f>
        <v/>
      </c>
      <c r="U106" s="39"/>
      <c r="V106" s="40" t="str">
        <f aca="false">IF(OR(INDEX(Undirviðmið!$G$6:$G$105,(COLUMN()-7-1)/2+1)&lt;&gt;"Starfsbundið",U106="",U$8="",U$7=""),"",ROUND(U106/U$8*U$7*KVARDI,2))</f>
        <v/>
      </c>
      <c r="W106" s="39"/>
      <c r="X106" s="40" t="str">
        <f aca="false">IF(OR(INDEX(Undirviðmið!$G$6:$G$105,(COLUMN()-7-1)/2+1)&lt;&gt;"Starfsbundið",W106="",W$8="",W$7=""),"",ROUND(W106/W$8*W$7*KVARDI,2))</f>
        <v/>
      </c>
      <c r="Y106" s="39"/>
      <c r="Z106" s="40" t="str">
        <f aca="false">IF(OR(INDEX(Undirviðmið!$G$6:$G$105,(COLUMN()-7-1)/2+1)&lt;&gt;"Starfsbundið",Y106="",Y$8="",Y$7=""),"",ROUND(Y106/Y$8*Y$7*KVARDI,2))</f>
        <v/>
      </c>
      <c r="AA106" s="39"/>
      <c r="AB106" s="40" t="str">
        <f aca="false">IF(OR(INDEX(Undirviðmið!$G$6:$G$105,(COLUMN()-7-1)/2+1)&lt;&gt;"Starfsbundið",AA106="",AA$8="",AA$7=""),"",ROUND(AA106/AA$8*AA$7*KVARDI,2))</f>
        <v/>
      </c>
      <c r="AC106" s="39"/>
      <c r="AD106" s="40" t="str">
        <f aca="false">IF(OR(INDEX(Undirviðmið!$G$6:$G$105,(COLUMN()-7-1)/2+1)&lt;&gt;"Starfsbundið",AC106="",AC$8="",AC$7=""),"",ROUND(AC106/AC$8*AC$7*KVARDI,2))</f>
        <v/>
      </c>
      <c r="AE106" s="39"/>
      <c r="AF106" s="40" t="str">
        <f aca="false">IF(OR(INDEX(Undirviðmið!$G$6:$G$105,(COLUMN()-7-1)/2+1)&lt;&gt;"Starfsbundið",AE106="",AE$8="",AE$7=""),"",ROUND(AE106/AE$8*AE$7*KVARDI,2))</f>
        <v/>
      </c>
      <c r="AG106" s="39"/>
      <c r="AH106" s="40" t="str">
        <f aca="false">IF(OR(INDEX(Undirviðmið!$G$6:$G$105,(COLUMN()-7-1)/2+1)&lt;&gt;"Starfsbundið",AG106="",AG$8="",AG$7=""),"",ROUND(AG106/AG$8*AG$7*KVARDI,2))</f>
        <v/>
      </c>
      <c r="AI106" s="39"/>
      <c r="AJ106" s="40" t="str">
        <f aca="false">IF(OR(INDEX(Undirviðmið!$G$6:$G$105,(COLUMN()-7-1)/2+1)&lt;&gt;"Starfsbundið",AI106="",AI$8="",AI$7=""),"",ROUND(AI106/AI$8*AI$7*KVARDI,2))</f>
        <v/>
      </c>
      <c r="AK106" s="39"/>
      <c r="AL106" s="40" t="str">
        <f aca="false">IF(OR(INDEX(Undirviðmið!$G$6:$G$105,(COLUMN()-7-1)/2+1)&lt;&gt;"Starfsbundið",AK106="",AK$8="",AK$7=""),"",ROUND(AK106/AK$8*AK$7*KVARDI,2))</f>
        <v/>
      </c>
      <c r="AM106" s="39"/>
      <c r="AN106" s="40" t="str">
        <f aca="false">IF(OR(INDEX(Undirviðmið!$G$6:$G$105,(COLUMN()-7-1)/2+1)&lt;&gt;"Starfsbundið",AM106="",AM$8="",AM$7=""),"",ROUND(AM106/AM$8*AM$7*KVARDI,2))</f>
        <v/>
      </c>
      <c r="AO106" s="39"/>
      <c r="AP106" s="40" t="str">
        <f aca="false">IF(OR(INDEX(Undirviðmið!$G$6:$G$105,(COLUMN()-7-1)/2+1)&lt;&gt;"Starfsbundið",AO106="",AO$8="",AO$7=""),"",ROUND(AO106/AO$8*AO$7*KVARDI,2))</f>
        <v/>
      </c>
      <c r="AQ106" s="39"/>
      <c r="AR106" s="40" t="str">
        <f aca="false">IF(OR(INDEX(Undirviðmið!$G$6:$G$105,(COLUMN()-7-1)/2+1)&lt;&gt;"Starfsbundið",AQ106="",AQ$8="",AQ$7=""),"",ROUND(AQ106/AQ$8*AQ$7*KVARDI,2))</f>
        <v/>
      </c>
      <c r="AS106" s="39"/>
      <c r="AT106" s="40" t="str">
        <f aca="false">IF(OR(INDEX(Undirviðmið!$G$6:$G$105,(COLUMN()-7-1)/2+1)&lt;&gt;"Starfsbundið",AS106="",AS$8="",AS$7=""),"",ROUND(AS106/AS$8*AS$7*KVARDI,2))</f>
        <v/>
      </c>
      <c r="AU106" s="39"/>
      <c r="AV106" s="40" t="str">
        <f aca="false">IF(OR(INDEX(Undirviðmið!$G$6:$G$105,(COLUMN()-7-1)/2+1)&lt;&gt;"Starfsbundið",AU106="",AU$8="",AU$7=""),"",ROUND(AU106/AU$8*AU$7*KVARDI,2))</f>
        <v/>
      </c>
      <c r="AW106" s="39"/>
      <c r="AX106" s="40" t="str">
        <f aca="false">IF(OR(INDEX(Undirviðmið!$G$6:$G$105,(COLUMN()-7-1)/2+1)&lt;&gt;"Starfsbundið",AW106="",AW$8="",AW$7=""),"",ROUND(AW106/AW$8*AW$7*KVARDI,2))</f>
        <v/>
      </c>
      <c r="AY106" s="39"/>
      <c r="AZ106" s="40" t="str">
        <f aca="false">IF(OR(INDEX(Undirviðmið!$G$6:$G$105,(COLUMN()-7-1)/2+1)&lt;&gt;"Starfsbundið",AY106="",AY$8="",AY$7=""),"",ROUND(AY106/AY$8*AY$7*KVARDI,2))</f>
        <v/>
      </c>
      <c r="BA106" s="39"/>
      <c r="BB106" s="40" t="str">
        <f aca="false">IF(OR(INDEX(Undirviðmið!$G$6:$G$105,(COLUMN()-7-1)/2+1)&lt;&gt;"Starfsbundið",BA106="",BA$8="",BA$7=""),"",ROUND(BA106/BA$8*BA$7*KVARDI,2))</f>
        <v/>
      </c>
      <c r="BC106" s="39"/>
      <c r="BD106" s="40" t="str">
        <f aca="false">IF(OR(INDEX(Undirviðmið!$G$6:$G$105,(COLUMN()-7-1)/2+1)&lt;&gt;"Starfsbundið",BC106="",BC$8="",BC$7=""),"",ROUND(BC106/BC$8*BC$7*KVARDI,2))</f>
        <v/>
      </c>
      <c r="BE106" s="39"/>
      <c r="BF106" s="40" t="str">
        <f aca="false">IF(OR(INDEX(Undirviðmið!$G$6:$G$105,(COLUMN()-7-1)/2+1)&lt;&gt;"Starfsbundið",BE106="",BE$8="",BE$7=""),"",ROUND(BE106/BE$8*BE$7*KVARDI,2))</f>
        <v/>
      </c>
      <c r="BG106" s="39"/>
      <c r="BH106" s="40" t="str">
        <f aca="false">IF(OR(INDEX(Undirviðmið!$G$6:$G$105,(COLUMN()-7-1)/2+1)&lt;&gt;"Starfsbundið",BG106="",BG$8="",BG$7=""),"",ROUND(BG106/BG$8*BG$7*KVARDI,2))</f>
        <v/>
      </c>
      <c r="BI106" s="39"/>
      <c r="BJ106" s="40" t="str">
        <f aca="false">IF(OR(INDEX(Undirviðmið!$G$6:$G$105,(COLUMN()-7-1)/2+1)&lt;&gt;"Starfsbundið",BI106="",BI$8="",BI$7=""),"",ROUND(BI106/BI$8*BI$7*KVARDI,2))</f>
        <v/>
      </c>
      <c r="BK106" s="39"/>
      <c r="BL106" s="40" t="str">
        <f aca="false">IF(OR(INDEX(Undirviðmið!$G$6:$G$105,(COLUMN()-7-1)/2+1)&lt;&gt;"Starfsbundið",BK106="",BK$8="",BK$7=""),"",ROUND(BK106/BK$8*BK$7*KVARDI,2))</f>
        <v/>
      </c>
      <c r="BM106" s="39"/>
      <c r="BN106" s="40" t="str">
        <f aca="false">IF(OR(INDEX(Undirviðmið!$G$6:$G$105,(COLUMN()-7-1)/2+1)&lt;&gt;"Starfsbundið",BM106="",BM$8="",BM$7=""),"",ROUND(BM106/BM$8*BM$7*KVARDI,2))</f>
        <v/>
      </c>
      <c r="BO106" s="39"/>
      <c r="BP106" s="40" t="str">
        <f aca="false">IF(OR(INDEX(Undirviðmið!$G$6:$G$105,(COLUMN()-7-1)/2+1)&lt;&gt;"Starfsbundið",BO106="",BO$8="",BO$7=""),"",ROUND(BO106/BO$8*BO$7*KVARDI,2))</f>
        <v/>
      </c>
      <c r="BQ106" s="39"/>
      <c r="BR106" s="40" t="str">
        <f aca="false">IF(OR(INDEX(Undirviðmið!$G$6:$G$105,(COLUMN()-7-1)/2+1)&lt;&gt;"Starfsbundið",BQ106="",BQ$8="",BQ$7=""),"",ROUND(BQ106/BQ$8*BQ$7*KVARDI,2))</f>
        <v/>
      </c>
      <c r="BS106" s="39"/>
      <c r="BT106" s="40" t="str">
        <f aca="false">IF(OR(INDEX(Undirviðmið!$G$6:$G$105,(COLUMN()-7-1)/2+1)&lt;&gt;"Starfsbundið",BS106="",BS$8="",BS$7=""),"",ROUND(BS106/BS$8*BS$7*KVARDI,2))</f>
        <v/>
      </c>
      <c r="BU106" s="39"/>
      <c r="BV106" s="40" t="str">
        <f aca="false">IF(OR(INDEX(Undirviðmið!$G$6:$G$105,(COLUMN()-7-1)/2+1)&lt;&gt;"Starfsbundið",BU106="",BU$8="",BU$7=""),"",ROUND(BU106/BU$8*BU$7*KVARDI,2))</f>
        <v/>
      </c>
      <c r="BW106" s="39"/>
      <c r="BX106" s="40" t="str">
        <f aca="false">IF(OR(INDEX(Undirviðmið!$G$6:$G$105,(COLUMN()-7-1)/2+1)&lt;&gt;"Starfsbundið",BW106="",BW$8="",BW$7=""),"",ROUND(BW106/BW$8*BW$7*KVARDI,2))</f>
        <v/>
      </c>
      <c r="BY106" s="39"/>
      <c r="BZ106" s="40" t="str">
        <f aca="false">IF(OR(INDEX(Undirviðmið!$G$6:$G$105,(COLUMN()-7-1)/2+1)&lt;&gt;"Starfsbundið",BY106="",BY$8="",BY$7=""),"",ROUND(BY106/BY$8*BY$7*KVARDI,2))</f>
        <v/>
      </c>
      <c r="CA106" s="39"/>
      <c r="CB106" s="40" t="str">
        <f aca="false">IF(OR(INDEX(Undirviðmið!$G$6:$G$105,(COLUMN()-7-1)/2+1)&lt;&gt;"Starfsbundið",CA106="",CA$8="",CA$7=""),"",ROUND(CA106/CA$8*CA$7*KVARDI,2))</f>
        <v/>
      </c>
      <c r="CC106" s="39"/>
      <c r="CD106" s="40" t="str">
        <f aca="false">IF(OR(INDEX(Undirviðmið!$G$6:$G$105,(COLUMN()-7-1)/2+1)&lt;&gt;"Starfsbundið",CC106="",CC$8="",CC$7=""),"",ROUND(CC106/CC$8*CC$7*KVARDI,2))</f>
        <v/>
      </c>
      <c r="CE106" s="39"/>
      <c r="CF106" s="40" t="str">
        <f aca="false">IF(OR(INDEX(Undirviðmið!$G$6:$G$105,(COLUMN()-7-1)/2+1)&lt;&gt;"Starfsbundið",CE106="",CE$8="",CE$7=""),"",ROUND(CE106/CE$8*CE$7*KVARDI,2))</f>
        <v/>
      </c>
      <c r="CG106" s="39"/>
      <c r="CH106" s="40" t="str">
        <f aca="false">IF(OR(INDEX(Undirviðmið!$G$6:$G$105,(COLUMN()-7-1)/2+1)&lt;&gt;"Starfsbundið",CG106="",CG$8="",CG$7=""),"",ROUND(CG106/CG$8*CG$7*KVARDI,2))</f>
        <v/>
      </c>
      <c r="CI106" s="39"/>
      <c r="CJ106" s="40" t="str">
        <f aca="false">IF(OR(INDEX(Undirviðmið!$G$6:$G$105,(COLUMN()-7-1)/2+1)&lt;&gt;"Starfsbundið",CI106="",CI$8="",CI$7=""),"",ROUND(CI106/CI$8*CI$7*KVARDI,2))</f>
        <v/>
      </c>
      <c r="CK106" s="39"/>
      <c r="CL106" s="40" t="str">
        <f aca="false">IF(OR(INDEX(Undirviðmið!$G$6:$G$105,(COLUMN()-7-1)/2+1)&lt;&gt;"Starfsbundið",CK106="",CK$8="",CK$7=""),"",ROUND(CK106/CK$8*CK$7*KVARDI,2))</f>
        <v/>
      </c>
      <c r="CM106" s="39"/>
      <c r="CN106" s="40" t="str">
        <f aca="false">IF(OR(INDEX(Undirviðmið!$G$6:$G$105,(COLUMN()-7-1)/2+1)&lt;&gt;"Starfsbundið",CM106="",CM$8="",CM$7=""),"",ROUND(CM106/CM$8*CM$7*KVARDI,2))</f>
        <v/>
      </c>
      <c r="CO106" s="39"/>
      <c r="CP106" s="40" t="str">
        <f aca="false">IF(OR(INDEX(Undirviðmið!$G$6:$G$105,(COLUMN()-7-1)/2+1)&lt;&gt;"Starfsbundið",CO106="",CO$8="",CO$7=""),"",ROUND(CO106/CO$8*CO$7*KVARDI,2))</f>
        <v/>
      </c>
      <c r="CQ106" s="39"/>
      <c r="CR106" s="40" t="str">
        <f aca="false">IF(OR(INDEX(Undirviðmið!$G$6:$G$105,(COLUMN()-7-1)/2+1)&lt;&gt;"Starfsbundið",CQ106="",CQ$8="",CQ$7=""),"",ROUND(CQ106/CQ$8*CQ$7*KVARDI,2))</f>
        <v/>
      </c>
      <c r="CS106" s="39"/>
      <c r="CT106" s="40" t="str">
        <f aca="false">IF(OR(INDEX(Undirviðmið!$G$6:$G$105,(COLUMN()-7-1)/2+1)&lt;&gt;"Starfsbundið",CS106="",CS$8="",CS$7=""),"",ROUND(CS106/CS$8*CS$7*KVARDI,2))</f>
        <v/>
      </c>
      <c r="CU106" s="39"/>
      <c r="CV106" s="40" t="str">
        <f aca="false">IF(OR(INDEX(Undirviðmið!$G$6:$G$105,(COLUMN()-7-1)/2+1)&lt;&gt;"Starfsbundið",CU106="",CU$8="",CU$7=""),"",ROUND(CU106/CU$8*CU$7*KVARDI,2))</f>
        <v/>
      </c>
      <c r="CW106" s="39"/>
      <c r="CX106" s="40" t="str">
        <f aca="false">IF(OR(INDEX(Undirviðmið!$G$6:$G$105,(COLUMN()-7-1)/2+1)&lt;&gt;"Starfsbundið",CW106="",CW$8="",CW$7=""),"",ROUND(CW106/CW$8*CW$7*KVARDI,2))</f>
        <v/>
      </c>
      <c r="CY106" s="39"/>
      <c r="CZ106" s="40" t="str">
        <f aca="false">IF(OR(INDEX(Undirviðmið!$G$6:$G$105,(COLUMN()-7-1)/2+1)&lt;&gt;"Starfsbundið",CY106="",CY$8="",CY$7=""),"",ROUND(CY106/CY$8*CY$7*KVARDI,2))</f>
        <v/>
      </c>
      <c r="DA106" s="39"/>
      <c r="DB106" s="40" t="str">
        <f aca="false">IF(OR(INDEX(Undirviðmið!$G$6:$G$105,(COLUMN()-7-1)/2+1)&lt;&gt;"Starfsbundið",DA106="",DA$8="",DA$7=""),"",ROUND(DA106/DA$8*DA$7*KVARDI,2))</f>
        <v/>
      </c>
      <c r="DC106" s="39"/>
      <c r="DD106" s="40" t="str">
        <f aca="false">IF(OR(INDEX(Undirviðmið!$G$6:$G$105,(COLUMN()-7-1)/2+1)&lt;&gt;"Starfsbundið",DC106="",DC$8="",DC$7=""),"",ROUND(DC106/DC$8*DC$7*KVARDI,2))</f>
        <v/>
      </c>
      <c r="DE106" s="39"/>
      <c r="DF106" s="40" t="str">
        <f aca="false">IF(OR(INDEX(Undirviðmið!$G$6:$G$105,(COLUMN()-7-1)/2+1)&lt;&gt;"Starfsbundið",DE106="",DE$8="",DE$7=""),"",ROUND(DE106/DE$8*DE$7*KVARDI,2))</f>
        <v/>
      </c>
      <c r="DG106" s="39"/>
      <c r="DH106" s="40" t="str">
        <f aca="false">IF(OR(INDEX(Undirviðmið!$G$6:$G$105,(COLUMN()-7-1)/2+1)&lt;&gt;"Starfsbundið",DG106="",DG$8="",DG$7=""),"",ROUND(DG106/DG$8*DG$7*KVARDI,2))</f>
        <v/>
      </c>
      <c r="DI106" s="39"/>
      <c r="DJ106" s="40" t="str">
        <f aca="false">IF(OR(INDEX(Undirviðmið!$G$6:$G$105,(COLUMN()-7-1)/2+1)&lt;&gt;"Starfsbundið",DI106="",DI$8="",DI$7=""),"",ROUND(DI106/DI$8*DI$7*KVARDI,2))</f>
        <v/>
      </c>
      <c r="DK106" s="39"/>
      <c r="DL106" s="40" t="str">
        <f aca="false">IF(OR(INDEX(Undirviðmið!$G$6:$G$105,(COLUMN()-7-1)/2+1)&lt;&gt;"Starfsbundið",DK106="",DK$8="",DK$7=""),"",ROUND(DK106/DK$8*DK$7*KVARDI,2))</f>
        <v/>
      </c>
      <c r="DM106" s="39"/>
      <c r="DN106" s="40" t="str">
        <f aca="false">IF(OR(INDEX(Undirviðmið!$G$6:$G$105,(COLUMN()-7-1)/2+1)&lt;&gt;"Starfsbundið",DM106="",DM$8="",DM$7=""),"",ROUND(DM106/DM$8*DM$7*KVARDI,2))</f>
        <v/>
      </c>
      <c r="DO106" s="39"/>
      <c r="DP106" s="40" t="str">
        <f aca="false">IF(OR(INDEX(Undirviðmið!$G$6:$G$105,(COLUMN()-7-1)/2+1)&lt;&gt;"Starfsbundið",DO106="",DO$8="",DO$7=""),"",ROUND(DO106/DO$8*DO$7*KVARDI,2))</f>
        <v/>
      </c>
      <c r="DQ106" s="39"/>
      <c r="DR106" s="40" t="str">
        <f aca="false">IF(OR(INDEX(Undirviðmið!$G$6:$G$105,(COLUMN()-7-1)/2+1)&lt;&gt;"Starfsbundið",DQ106="",DQ$8="",DQ$7=""),"",ROUND(DQ106/DQ$8*DQ$7*KVARDI,2))</f>
        <v/>
      </c>
      <c r="DS106" s="39"/>
      <c r="DT106" s="40" t="str">
        <f aca="false">IF(OR(INDEX(Undirviðmið!$G$6:$G$105,(COLUMN()-7-1)/2+1)&lt;&gt;"Starfsbundið",DS106="",DS$8="",DS$7=""),"",ROUND(DS106/DS$8*DS$7*KVARDI,2))</f>
        <v/>
      </c>
      <c r="DU106" s="39"/>
      <c r="DV106" s="40" t="str">
        <f aca="false">IF(OR(INDEX(Undirviðmið!$G$6:$G$105,(COLUMN()-7-1)/2+1)&lt;&gt;"Starfsbundið",DU106="",DU$8="",DU$7=""),"",ROUND(DU106/DU$8*DU$7*KVARDI,2))</f>
        <v/>
      </c>
      <c r="DW106" s="39"/>
      <c r="DX106" s="40" t="str">
        <f aca="false">IF(OR(INDEX(Undirviðmið!$G$6:$G$105,(COLUMN()-7-1)/2+1)&lt;&gt;"Starfsbundið",DW106="",DW$8="",DW$7=""),"",ROUND(DW106/DW$8*DW$7*KVARDI,2))</f>
        <v/>
      </c>
      <c r="DY106" s="39"/>
      <c r="DZ106" s="40" t="str">
        <f aca="false">IF(OR(INDEX(Undirviðmið!$G$6:$G$105,(COLUMN()-7-1)/2+1)&lt;&gt;"Starfsbundið",DY106="",DY$8="",DY$7=""),"",ROUND(DY106/DY$8*DY$7*KVARDI,2))</f>
        <v/>
      </c>
      <c r="EA106" s="39"/>
      <c r="EB106" s="40" t="str">
        <f aca="false">IF(OR(INDEX(Undirviðmið!$G$6:$G$105,(COLUMN()-7-1)/2+1)&lt;&gt;"Starfsbundið",EA106="",EA$8="",EA$7=""),"",ROUND(EA106/EA$8*EA$7*KVARDI,2))</f>
        <v/>
      </c>
      <c r="EC106" s="39"/>
      <c r="ED106" s="40" t="str">
        <f aca="false">IF(OR(INDEX(Undirviðmið!$G$6:$G$105,(COLUMN()-7-1)/2+1)&lt;&gt;"Starfsbundið",EC106="",EC$8="",EC$7=""),"",ROUND(EC106/EC$8*EC$7*KVARDI,2))</f>
        <v/>
      </c>
      <c r="EE106" s="39"/>
      <c r="EF106" s="40" t="str">
        <f aca="false">IF(OR(INDEX(Undirviðmið!$G$6:$G$105,(COLUMN()-7-1)/2+1)&lt;&gt;"Starfsbundið",EE106="",EE$8="",EE$7=""),"",ROUND(EE106/EE$8*EE$7*KVARDI,2))</f>
        <v/>
      </c>
      <c r="EG106" s="39"/>
      <c r="EH106" s="40" t="str">
        <f aca="false">IF(OR(INDEX(Undirviðmið!$G$6:$G$105,(COLUMN()-7-1)/2+1)&lt;&gt;"Starfsbundið",EG106="",EG$8="",EG$7=""),"",ROUND(EG106/EG$8*EG$7*KVARDI,2))</f>
        <v/>
      </c>
      <c r="EI106" s="39"/>
      <c r="EJ106" s="40" t="str">
        <f aca="false">IF(OR(INDEX(Undirviðmið!$G$6:$G$105,(COLUMN()-7-1)/2+1)&lt;&gt;"Starfsbundið",EI106="",EI$8="",EI$7=""),"",ROUND(EI106/EI$8*EI$7*KVARDI,2))</f>
        <v/>
      </c>
      <c r="EK106" s="39"/>
      <c r="EL106" s="40" t="str">
        <f aca="false">IF(OR(INDEX(Undirviðmið!$G$6:$G$105,(COLUMN()-7-1)/2+1)&lt;&gt;"Starfsbundið",EK106="",EK$8="",EK$7=""),"",ROUND(EK106/EK$8*EK$7*KVARDI,2))</f>
        <v/>
      </c>
      <c r="EM106" s="39"/>
      <c r="EN106" s="40" t="str">
        <f aca="false">IF(OR(INDEX(Undirviðmið!$G$6:$G$105,(COLUMN()-7-1)/2+1)&lt;&gt;"Starfsbundið",EM106="",EM$8="",EM$7=""),"",ROUND(EM106/EM$8*EM$7*KVARDI,2))</f>
        <v/>
      </c>
      <c r="EO106" s="39"/>
      <c r="EP106" s="40" t="str">
        <f aca="false">IF(OR(INDEX(Undirviðmið!$G$6:$G$105,(COLUMN()-7-1)/2+1)&lt;&gt;"Starfsbundið",EO106="",EO$8="",EO$7=""),"",ROUND(EO106/EO$8*EO$7*KVARDI,2))</f>
        <v/>
      </c>
      <c r="EQ106" s="39"/>
      <c r="ER106" s="40" t="str">
        <f aca="false">IF(OR(INDEX(Undirviðmið!$G$6:$G$105,(COLUMN()-7-1)/2+1)&lt;&gt;"Starfsbundið",EQ106="",EQ$8="",EQ$7=""),"",ROUND(EQ106/EQ$8*EQ$7*KVARDI,2))</f>
        <v/>
      </c>
      <c r="ES106" s="39"/>
      <c r="ET106" s="40" t="str">
        <f aca="false">IF(OR(INDEX(Undirviðmið!$G$6:$G$105,(COLUMN()-7-1)/2+1)&lt;&gt;"Starfsbundið",ES106="",ES$8="",ES$7=""),"",ROUND(ES106/ES$8*ES$7*KVARDI,2))</f>
        <v/>
      </c>
      <c r="EU106" s="39"/>
      <c r="EV106" s="40" t="str">
        <f aca="false">IF(OR(INDEX(Undirviðmið!$G$6:$G$105,(COLUMN()-7-1)/2+1)&lt;&gt;"Starfsbundið",EU106="",EU$8="",EU$7=""),"",ROUND(EU106/EU$8*EU$7*KVARDI,2))</f>
        <v/>
      </c>
      <c r="EW106" s="39"/>
      <c r="EX106" s="40" t="str">
        <f aca="false">IF(OR(INDEX(Undirviðmið!$G$6:$G$105,(COLUMN()-7-1)/2+1)&lt;&gt;"Starfsbundið",EW106="",EW$8="",EW$7=""),"",ROUND(EW106/EW$8*EW$7*KVARDI,2))</f>
        <v/>
      </c>
      <c r="EY106" s="39"/>
      <c r="EZ106" s="40" t="str">
        <f aca="false">IF(OR(INDEX(Undirviðmið!$G$6:$G$105,(COLUMN()-7-1)/2+1)&lt;&gt;"Starfsbundið",EY106="",EY$8="",EY$7=""),"",ROUND(EY106/EY$8*EY$7*KVARDI,2))</f>
        <v/>
      </c>
      <c r="FA106" s="39"/>
      <c r="FB106" s="40" t="str">
        <f aca="false">IF(OR(INDEX(Undirviðmið!$G$6:$G$105,(COLUMN()-7-1)/2+1)&lt;&gt;"Starfsbundið",FA106="",FA$8="",FA$7=""),"",ROUND(FA106/FA$8*FA$7*KVARDI,2))</f>
        <v/>
      </c>
      <c r="FC106" s="39"/>
      <c r="FD106" s="40" t="str">
        <f aca="false">IF(OR(INDEX(Undirviðmið!$G$6:$G$105,(COLUMN()-7-1)/2+1)&lt;&gt;"Starfsbundið",FC106="",FC$8="",FC$7=""),"",ROUND(FC106/FC$8*FC$7*KVARDI,2))</f>
        <v/>
      </c>
      <c r="FE106" s="39"/>
      <c r="FF106" s="40" t="str">
        <f aca="false">IF(OR(INDEX(Undirviðmið!$G$6:$G$105,(COLUMN()-7-1)/2+1)&lt;&gt;"Starfsbundið",FE106="",FE$8="",FE$7=""),"",ROUND(FE106/FE$8*FE$7*KVARDI,2))</f>
        <v/>
      </c>
      <c r="FG106" s="39"/>
      <c r="FH106" s="40" t="str">
        <f aca="false">IF(OR(INDEX(Undirviðmið!$G$6:$G$105,(COLUMN()-7-1)/2+1)&lt;&gt;"Starfsbundið",FG106="",FG$8="",FG$7=""),"",ROUND(FG106/FG$8*FG$7*KVARDI,2))</f>
        <v/>
      </c>
      <c r="FI106" s="39"/>
      <c r="FJ106" s="40" t="str">
        <f aca="false">IF(OR(INDEX(Undirviðmið!$G$6:$G$105,(COLUMN()-7-1)/2+1)&lt;&gt;"Starfsbundið",FI106="",FI$8="",FI$7=""),"",ROUND(FI106/FI$8*FI$7*KVARDI,2))</f>
        <v/>
      </c>
      <c r="FK106" s="39"/>
      <c r="FL106" s="40" t="str">
        <f aca="false">IF(OR(INDEX(Undirviðmið!$G$6:$G$105,(COLUMN()-7-1)/2+1)&lt;&gt;"Starfsbundið",FK106="",FK$8="",FK$7=""),"",ROUND(FK106/FK$8*FK$7*KVARDI,2))</f>
        <v/>
      </c>
      <c r="FM106" s="39"/>
      <c r="FN106" s="40" t="str">
        <f aca="false">IF(OR(INDEX(Undirviðmið!$G$6:$G$105,(COLUMN()-7-1)/2+1)&lt;&gt;"Starfsbundið",FM106="",FM$8="",FM$7=""),"",ROUND(FM106/FM$8*FM$7*KVARDI,2))</f>
        <v/>
      </c>
      <c r="FO106" s="39"/>
      <c r="FP106" s="40" t="str">
        <f aca="false">IF(OR(INDEX(Undirviðmið!$G$6:$G$105,(COLUMN()-7-1)/2+1)&lt;&gt;"Starfsbundið",FO106="",FO$8="",FO$7=""),"",ROUND(FO106/FO$8*FO$7*KVARDI,2))</f>
        <v/>
      </c>
      <c r="FQ106" s="39"/>
      <c r="FR106" s="40" t="str">
        <f aca="false">IF(OR(INDEX(Undirviðmið!$G$6:$G$105,(COLUMN()-7-1)/2+1)&lt;&gt;"Starfsbundið",FQ106="",FQ$8="",FQ$7=""),"",ROUND(FQ106/FQ$8*FQ$7*KVARDI,2))</f>
        <v/>
      </c>
      <c r="FS106" s="39"/>
      <c r="FT106" s="40" t="str">
        <f aca="false">IF(OR(INDEX(Undirviðmið!$G$6:$G$105,(COLUMN()-7-1)/2+1)&lt;&gt;"Starfsbundið",FS106="",FS$8="",FS$7=""),"",ROUND(FS106/FS$8*FS$7*KVARDI,2))</f>
        <v/>
      </c>
      <c r="FU106" s="39"/>
      <c r="FV106" s="40" t="str">
        <f aca="false">IF(OR(INDEX(Undirviðmið!$G$6:$G$105,(COLUMN()-7-1)/2+1)&lt;&gt;"Starfsbundið",FU106="",FU$8="",FU$7=""),"",ROUND(FU106/FU$8*FU$7*KVARDI,2))</f>
        <v/>
      </c>
      <c r="FW106" s="39"/>
      <c r="FX106" s="40" t="str">
        <f aca="false">IF(OR(INDEX(Undirviðmið!$G$6:$G$105,(COLUMN()-7-1)/2+1)&lt;&gt;"Starfsbundið",FW106="",FW$8="",FW$7=""),"",ROUND(FW106/FW$8*FW$7*KVARDI,2))</f>
        <v/>
      </c>
      <c r="FY106" s="39"/>
      <c r="FZ106" s="40" t="str">
        <f aca="false">IF(OR(INDEX(Undirviðmið!$G$6:$G$105,(COLUMN()-7-1)/2+1)&lt;&gt;"Starfsbundið",FY106="",FY$8="",FY$7=""),"",ROUND(FY106/FY$8*FY$7*KVARDI,2))</f>
        <v/>
      </c>
      <c r="GA106" s="39"/>
      <c r="GB106" s="40" t="str">
        <f aca="false">IF(OR(INDEX(Undirviðmið!$G$6:$G$105,(COLUMN()-7-1)/2+1)&lt;&gt;"Starfsbundið",GA106="",GA$8="",GA$7=""),"",ROUND(GA106/GA$8*GA$7*KVARDI,2))</f>
        <v/>
      </c>
      <c r="GC106" s="39"/>
      <c r="GD106" s="40" t="str">
        <f aca="false">IF(OR(INDEX(Undirviðmið!$G$6:$G$105,(COLUMN()-7-1)/2+1)&lt;&gt;"Starfsbundið",GC106="",GC$8="",GC$7=""),"",ROUND(GC106/GC$8*GC$7*KVARDI,2))</f>
        <v/>
      </c>
      <c r="GE106" s="39"/>
      <c r="GF106" s="40" t="str">
        <f aca="false">IF(OR(INDEX(Undirviðmið!$G$6:$G$105,(COLUMN()-7-1)/2+1)&lt;&gt;"Starfsbundið",GE106="",GE$8="",GE$7=""),"",ROUND(GE106/GE$8*GE$7*KVARDI,2))</f>
        <v/>
      </c>
      <c r="GG106" s="39"/>
      <c r="GH106" s="40" t="str">
        <f aca="false">IF(OR(INDEX(Undirviðmið!$G$6:$G$105,(COLUMN()-7-1)/2+1)&lt;&gt;"Starfsbundið",GG106="",GG$8="",GG$7=""),"",ROUND(GG106/GG$8*GG$7*KVARDI,2))</f>
        <v/>
      </c>
      <c r="GI106" s="39"/>
      <c r="GJ106" s="40" t="str">
        <f aca="false">IF(OR(INDEX(Undirviðmið!$G$6:$G$105,(COLUMN()-7-1)/2+1)&lt;&gt;"Starfsbundið",GI106="",GI$8="",GI$7=""),"",ROUND(GI106/GI$8*GI$7*KVARDI,2))</f>
        <v/>
      </c>
      <c r="GK106" s="39"/>
      <c r="GL106" s="40" t="str">
        <f aca="false">IF(OR(INDEX(Undirviðmið!$G$6:$G$105,(COLUMN()-7-1)/2+1)&lt;&gt;"Starfsbundið",GK106="",GK$8="",GK$7=""),"",ROUND(GK106/GK$8*GK$7*KVARDI,2))</f>
        <v/>
      </c>
      <c r="GM106" s="39"/>
      <c r="GN106" s="40" t="str">
        <f aca="false">IF(OR(INDEX(Undirviðmið!$G$6:$G$105,(COLUMN()-7-1)/2+1)&lt;&gt;"Starfsbundið",GM106="",GM$8="",GM$7=""),"",ROUND(GM106/GM$8*GM$7*KVARDI,2))</f>
        <v/>
      </c>
      <c r="GO106" s="39"/>
      <c r="GP106" s="40" t="str">
        <f aca="false">IF(OR(INDEX(Undirviðmið!$G$6:$G$105,(COLUMN()-7-1)/2+1)&lt;&gt;"Starfsbundið",GO106="",GO$8="",GO$7=""),"",ROUND(GO106/GO$8*GO$7*KVARDI,2))</f>
        <v/>
      </c>
      <c r="GQ106" s="39"/>
      <c r="GR106" s="40" t="str">
        <f aca="false">IF(OR(INDEX(Undirviðmið!$G$6:$G$105,(COLUMN()-7-1)/2+1)&lt;&gt;"Starfsbundið",GQ106="",GQ$8="",GQ$7=""),"",ROUND(GQ106/GQ$8*GQ$7*KVARDI,2))</f>
        <v/>
      </c>
      <c r="GS106" s="39"/>
      <c r="GT106" s="40" t="str">
        <f aca="false">IF(OR(INDEX(Undirviðmið!$G$6:$G$105,(COLUMN()-7-1)/2+1)&lt;&gt;"Starfsbundið",GS106="",GS$8="",GS$7=""),"",ROUND(GS106/GS$8*GS$7*KVARDI,2))</f>
        <v/>
      </c>
      <c r="GU106" s="39"/>
      <c r="GV106" s="40" t="str">
        <f aca="false">IF(OR(INDEX(Undirviðmið!$G$6:$G$105,(COLUMN()-7-1)/2+1)&lt;&gt;"Starfsbundið",GU106="",GU$8="",GU$7=""),"",ROUND(GU106/GU$8*GU$7*KVARDI,2))</f>
        <v/>
      </c>
      <c r="GW106" s="39"/>
      <c r="GX106" s="40" t="str">
        <f aca="false">IF(OR(INDEX(Undirviðmið!$G$6:$G$105,(COLUMN()-7-1)/2+1)&lt;&gt;"Starfsbundið",GW106="",GW$8="",GW$7=""),"",ROUND(GW106/GW$8*GW$7*KVARDI,2))</f>
        <v/>
      </c>
      <c r="GZ106" s="20"/>
    </row>
    <row r="107" customFormat="false" ht="15" hidden="true" customHeight="true" outlineLevel="1" collapsed="false">
      <c r="B107" s="37" t="str">
        <f aca="false" t="array" ref="B107:B107">IFERROR(INDEX(Starfsmenn!$C$6:$C$10005,MATCH(0,COUNTIF($B$11:B106,Starfsmenn!$C$6:$C$10005)+(Starfsmenn!$C$6:$C$10005=""),0)),"")</f>
        <v/>
      </c>
      <c r="C107" s="38" t="n">
        <f aca="false">IFERROR(SUMIF($G$10:$GX$10,"Stig",$G107:$GX107),0)</f>
        <v>0</v>
      </c>
      <c r="G107" s="39"/>
      <c r="H107" s="40" t="str">
        <f aca="false">IF(OR(INDEX(Undirviðmið!$G$6:$G$105,(COLUMN()-7-1)/2+1)&lt;&gt;"Starfsbundið",G107="",G$8="",G$7=""),"",ROUND(G107/G$8*G$7*KVARDI,2))</f>
        <v/>
      </c>
      <c r="I107" s="39"/>
      <c r="J107" s="40" t="str">
        <f aca="false">IF(OR(INDEX(Undirviðmið!$G$6:$G$105,(COLUMN()-7-1)/2+1)&lt;&gt;"Starfsbundið",I107="",I$8="",I$7=""),"",ROUND(I107/I$8*I$7*KVARDI,2))</f>
        <v/>
      </c>
      <c r="K107" s="39"/>
      <c r="L107" s="40" t="str">
        <f aca="false">IF(OR(INDEX(Undirviðmið!$G$6:$G$105,(COLUMN()-7-1)/2+1)&lt;&gt;"Starfsbundið",K107="",K$8="",K$7=""),"",ROUND(K107/K$8*K$7*KVARDI,2))</f>
        <v/>
      </c>
      <c r="M107" s="39"/>
      <c r="N107" s="40" t="str">
        <f aca="false">IF(OR(INDEX(Undirviðmið!$G$6:$G$105,(COLUMN()-7-1)/2+1)&lt;&gt;"Starfsbundið",M107="",M$8="",M$7=""),"",ROUND(M107/M$8*M$7*KVARDI,2))</f>
        <v/>
      </c>
      <c r="O107" s="39"/>
      <c r="P107" s="40" t="str">
        <f aca="false">IF(OR(INDEX(Undirviðmið!$G$6:$G$105,(COLUMN()-7-1)/2+1)&lt;&gt;"Starfsbundið",O107="",O$8="",O$7=""),"",ROUND(O107/O$8*O$7*KVARDI,2))</f>
        <v/>
      </c>
      <c r="Q107" s="39"/>
      <c r="R107" s="40" t="str">
        <f aca="false">IF(OR(INDEX(Undirviðmið!$G$6:$G$105,(COLUMN()-7-1)/2+1)&lt;&gt;"Starfsbundið",Q107="",Q$8="",Q$7=""),"",ROUND(Q107/Q$8*Q$7*KVARDI,2))</f>
        <v/>
      </c>
      <c r="S107" s="39"/>
      <c r="T107" s="40" t="str">
        <f aca="false">IF(OR(INDEX(Undirviðmið!$G$6:$G$105,(COLUMN()-7-1)/2+1)&lt;&gt;"Starfsbundið",S107="",S$8="",S$7=""),"",ROUND(S107/S$8*S$7*KVARDI,2))</f>
        <v/>
      </c>
      <c r="U107" s="39"/>
      <c r="V107" s="40" t="str">
        <f aca="false">IF(OR(INDEX(Undirviðmið!$G$6:$G$105,(COLUMN()-7-1)/2+1)&lt;&gt;"Starfsbundið",U107="",U$8="",U$7=""),"",ROUND(U107/U$8*U$7*KVARDI,2))</f>
        <v/>
      </c>
      <c r="W107" s="39"/>
      <c r="X107" s="40" t="str">
        <f aca="false">IF(OR(INDEX(Undirviðmið!$G$6:$G$105,(COLUMN()-7-1)/2+1)&lt;&gt;"Starfsbundið",W107="",W$8="",W$7=""),"",ROUND(W107/W$8*W$7*KVARDI,2))</f>
        <v/>
      </c>
      <c r="Y107" s="39"/>
      <c r="Z107" s="40" t="str">
        <f aca="false">IF(OR(INDEX(Undirviðmið!$G$6:$G$105,(COLUMN()-7-1)/2+1)&lt;&gt;"Starfsbundið",Y107="",Y$8="",Y$7=""),"",ROUND(Y107/Y$8*Y$7*KVARDI,2))</f>
        <v/>
      </c>
      <c r="AA107" s="39"/>
      <c r="AB107" s="40" t="str">
        <f aca="false">IF(OR(INDEX(Undirviðmið!$G$6:$G$105,(COLUMN()-7-1)/2+1)&lt;&gt;"Starfsbundið",AA107="",AA$8="",AA$7=""),"",ROUND(AA107/AA$8*AA$7*KVARDI,2))</f>
        <v/>
      </c>
      <c r="AC107" s="39"/>
      <c r="AD107" s="40" t="str">
        <f aca="false">IF(OR(INDEX(Undirviðmið!$G$6:$G$105,(COLUMN()-7-1)/2+1)&lt;&gt;"Starfsbundið",AC107="",AC$8="",AC$7=""),"",ROUND(AC107/AC$8*AC$7*KVARDI,2))</f>
        <v/>
      </c>
      <c r="AE107" s="39"/>
      <c r="AF107" s="40" t="str">
        <f aca="false">IF(OR(INDEX(Undirviðmið!$G$6:$G$105,(COLUMN()-7-1)/2+1)&lt;&gt;"Starfsbundið",AE107="",AE$8="",AE$7=""),"",ROUND(AE107/AE$8*AE$7*KVARDI,2))</f>
        <v/>
      </c>
      <c r="AG107" s="39"/>
      <c r="AH107" s="40" t="str">
        <f aca="false">IF(OR(INDEX(Undirviðmið!$G$6:$G$105,(COLUMN()-7-1)/2+1)&lt;&gt;"Starfsbundið",AG107="",AG$8="",AG$7=""),"",ROUND(AG107/AG$8*AG$7*KVARDI,2))</f>
        <v/>
      </c>
      <c r="AI107" s="39"/>
      <c r="AJ107" s="40" t="str">
        <f aca="false">IF(OR(INDEX(Undirviðmið!$G$6:$G$105,(COLUMN()-7-1)/2+1)&lt;&gt;"Starfsbundið",AI107="",AI$8="",AI$7=""),"",ROUND(AI107/AI$8*AI$7*KVARDI,2))</f>
        <v/>
      </c>
      <c r="AK107" s="39"/>
      <c r="AL107" s="40" t="str">
        <f aca="false">IF(OR(INDEX(Undirviðmið!$G$6:$G$105,(COLUMN()-7-1)/2+1)&lt;&gt;"Starfsbundið",AK107="",AK$8="",AK$7=""),"",ROUND(AK107/AK$8*AK$7*KVARDI,2))</f>
        <v/>
      </c>
      <c r="AM107" s="39"/>
      <c r="AN107" s="40" t="str">
        <f aca="false">IF(OR(INDEX(Undirviðmið!$G$6:$G$105,(COLUMN()-7-1)/2+1)&lt;&gt;"Starfsbundið",AM107="",AM$8="",AM$7=""),"",ROUND(AM107/AM$8*AM$7*KVARDI,2))</f>
        <v/>
      </c>
      <c r="AO107" s="39"/>
      <c r="AP107" s="40" t="str">
        <f aca="false">IF(OR(INDEX(Undirviðmið!$G$6:$G$105,(COLUMN()-7-1)/2+1)&lt;&gt;"Starfsbundið",AO107="",AO$8="",AO$7=""),"",ROUND(AO107/AO$8*AO$7*KVARDI,2))</f>
        <v/>
      </c>
      <c r="AQ107" s="39"/>
      <c r="AR107" s="40" t="str">
        <f aca="false">IF(OR(INDEX(Undirviðmið!$G$6:$G$105,(COLUMN()-7-1)/2+1)&lt;&gt;"Starfsbundið",AQ107="",AQ$8="",AQ$7=""),"",ROUND(AQ107/AQ$8*AQ$7*KVARDI,2))</f>
        <v/>
      </c>
      <c r="AS107" s="39"/>
      <c r="AT107" s="40" t="str">
        <f aca="false">IF(OR(INDEX(Undirviðmið!$G$6:$G$105,(COLUMN()-7-1)/2+1)&lt;&gt;"Starfsbundið",AS107="",AS$8="",AS$7=""),"",ROUND(AS107/AS$8*AS$7*KVARDI,2))</f>
        <v/>
      </c>
      <c r="AU107" s="39"/>
      <c r="AV107" s="40" t="str">
        <f aca="false">IF(OR(INDEX(Undirviðmið!$G$6:$G$105,(COLUMN()-7-1)/2+1)&lt;&gt;"Starfsbundið",AU107="",AU$8="",AU$7=""),"",ROUND(AU107/AU$8*AU$7*KVARDI,2))</f>
        <v/>
      </c>
      <c r="AW107" s="39"/>
      <c r="AX107" s="40" t="str">
        <f aca="false">IF(OR(INDEX(Undirviðmið!$G$6:$G$105,(COLUMN()-7-1)/2+1)&lt;&gt;"Starfsbundið",AW107="",AW$8="",AW$7=""),"",ROUND(AW107/AW$8*AW$7*KVARDI,2))</f>
        <v/>
      </c>
      <c r="AY107" s="39"/>
      <c r="AZ107" s="40" t="str">
        <f aca="false">IF(OR(INDEX(Undirviðmið!$G$6:$G$105,(COLUMN()-7-1)/2+1)&lt;&gt;"Starfsbundið",AY107="",AY$8="",AY$7=""),"",ROUND(AY107/AY$8*AY$7*KVARDI,2))</f>
        <v/>
      </c>
      <c r="BA107" s="39"/>
      <c r="BB107" s="40" t="str">
        <f aca="false">IF(OR(INDEX(Undirviðmið!$G$6:$G$105,(COLUMN()-7-1)/2+1)&lt;&gt;"Starfsbundið",BA107="",BA$8="",BA$7=""),"",ROUND(BA107/BA$8*BA$7*KVARDI,2))</f>
        <v/>
      </c>
      <c r="BC107" s="39"/>
      <c r="BD107" s="40" t="str">
        <f aca="false">IF(OR(INDEX(Undirviðmið!$G$6:$G$105,(COLUMN()-7-1)/2+1)&lt;&gt;"Starfsbundið",BC107="",BC$8="",BC$7=""),"",ROUND(BC107/BC$8*BC$7*KVARDI,2))</f>
        <v/>
      </c>
      <c r="BE107" s="39"/>
      <c r="BF107" s="40" t="str">
        <f aca="false">IF(OR(INDEX(Undirviðmið!$G$6:$G$105,(COLUMN()-7-1)/2+1)&lt;&gt;"Starfsbundið",BE107="",BE$8="",BE$7=""),"",ROUND(BE107/BE$8*BE$7*KVARDI,2))</f>
        <v/>
      </c>
      <c r="BG107" s="39"/>
      <c r="BH107" s="40" t="str">
        <f aca="false">IF(OR(INDEX(Undirviðmið!$G$6:$G$105,(COLUMN()-7-1)/2+1)&lt;&gt;"Starfsbundið",BG107="",BG$8="",BG$7=""),"",ROUND(BG107/BG$8*BG$7*KVARDI,2))</f>
        <v/>
      </c>
      <c r="BI107" s="39"/>
      <c r="BJ107" s="40" t="str">
        <f aca="false">IF(OR(INDEX(Undirviðmið!$G$6:$G$105,(COLUMN()-7-1)/2+1)&lt;&gt;"Starfsbundið",BI107="",BI$8="",BI$7=""),"",ROUND(BI107/BI$8*BI$7*KVARDI,2))</f>
        <v/>
      </c>
      <c r="BK107" s="39"/>
      <c r="BL107" s="40" t="str">
        <f aca="false">IF(OR(INDEX(Undirviðmið!$G$6:$G$105,(COLUMN()-7-1)/2+1)&lt;&gt;"Starfsbundið",BK107="",BK$8="",BK$7=""),"",ROUND(BK107/BK$8*BK$7*KVARDI,2))</f>
        <v/>
      </c>
      <c r="BM107" s="39"/>
      <c r="BN107" s="40" t="str">
        <f aca="false">IF(OR(INDEX(Undirviðmið!$G$6:$G$105,(COLUMN()-7-1)/2+1)&lt;&gt;"Starfsbundið",BM107="",BM$8="",BM$7=""),"",ROUND(BM107/BM$8*BM$7*KVARDI,2))</f>
        <v/>
      </c>
      <c r="BO107" s="39"/>
      <c r="BP107" s="40" t="str">
        <f aca="false">IF(OR(INDEX(Undirviðmið!$G$6:$G$105,(COLUMN()-7-1)/2+1)&lt;&gt;"Starfsbundið",BO107="",BO$8="",BO$7=""),"",ROUND(BO107/BO$8*BO$7*KVARDI,2))</f>
        <v/>
      </c>
      <c r="BQ107" s="39"/>
      <c r="BR107" s="40" t="str">
        <f aca="false">IF(OR(INDEX(Undirviðmið!$G$6:$G$105,(COLUMN()-7-1)/2+1)&lt;&gt;"Starfsbundið",BQ107="",BQ$8="",BQ$7=""),"",ROUND(BQ107/BQ$8*BQ$7*KVARDI,2))</f>
        <v/>
      </c>
      <c r="BS107" s="39"/>
      <c r="BT107" s="40" t="str">
        <f aca="false">IF(OR(INDEX(Undirviðmið!$G$6:$G$105,(COLUMN()-7-1)/2+1)&lt;&gt;"Starfsbundið",BS107="",BS$8="",BS$7=""),"",ROUND(BS107/BS$8*BS$7*KVARDI,2))</f>
        <v/>
      </c>
      <c r="BU107" s="39"/>
      <c r="BV107" s="40" t="str">
        <f aca="false">IF(OR(INDEX(Undirviðmið!$G$6:$G$105,(COLUMN()-7-1)/2+1)&lt;&gt;"Starfsbundið",BU107="",BU$8="",BU$7=""),"",ROUND(BU107/BU$8*BU$7*KVARDI,2))</f>
        <v/>
      </c>
      <c r="BW107" s="39"/>
      <c r="BX107" s="40" t="str">
        <f aca="false">IF(OR(INDEX(Undirviðmið!$G$6:$G$105,(COLUMN()-7-1)/2+1)&lt;&gt;"Starfsbundið",BW107="",BW$8="",BW$7=""),"",ROUND(BW107/BW$8*BW$7*KVARDI,2))</f>
        <v/>
      </c>
      <c r="BY107" s="39"/>
      <c r="BZ107" s="40" t="str">
        <f aca="false">IF(OR(INDEX(Undirviðmið!$G$6:$G$105,(COLUMN()-7-1)/2+1)&lt;&gt;"Starfsbundið",BY107="",BY$8="",BY$7=""),"",ROUND(BY107/BY$8*BY$7*KVARDI,2))</f>
        <v/>
      </c>
      <c r="CA107" s="39"/>
      <c r="CB107" s="40" t="str">
        <f aca="false">IF(OR(INDEX(Undirviðmið!$G$6:$G$105,(COLUMN()-7-1)/2+1)&lt;&gt;"Starfsbundið",CA107="",CA$8="",CA$7=""),"",ROUND(CA107/CA$8*CA$7*KVARDI,2))</f>
        <v/>
      </c>
      <c r="CC107" s="39"/>
      <c r="CD107" s="40" t="str">
        <f aca="false">IF(OR(INDEX(Undirviðmið!$G$6:$G$105,(COLUMN()-7-1)/2+1)&lt;&gt;"Starfsbundið",CC107="",CC$8="",CC$7=""),"",ROUND(CC107/CC$8*CC$7*KVARDI,2))</f>
        <v/>
      </c>
      <c r="CE107" s="39"/>
      <c r="CF107" s="40" t="str">
        <f aca="false">IF(OR(INDEX(Undirviðmið!$G$6:$G$105,(COLUMN()-7-1)/2+1)&lt;&gt;"Starfsbundið",CE107="",CE$8="",CE$7=""),"",ROUND(CE107/CE$8*CE$7*KVARDI,2))</f>
        <v/>
      </c>
      <c r="CG107" s="39"/>
      <c r="CH107" s="40" t="str">
        <f aca="false">IF(OR(INDEX(Undirviðmið!$G$6:$G$105,(COLUMN()-7-1)/2+1)&lt;&gt;"Starfsbundið",CG107="",CG$8="",CG$7=""),"",ROUND(CG107/CG$8*CG$7*KVARDI,2))</f>
        <v/>
      </c>
      <c r="CI107" s="39"/>
      <c r="CJ107" s="40" t="str">
        <f aca="false">IF(OR(INDEX(Undirviðmið!$G$6:$G$105,(COLUMN()-7-1)/2+1)&lt;&gt;"Starfsbundið",CI107="",CI$8="",CI$7=""),"",ROUND(CI107/CI$8*CI$7*KVARDI,2))</f>
        <v/>
      </c>
      <c r="CK107" s="39"/>
      <c r="CL107" s="40" t="str">
        <f aca="false">IF(OR(INDEX(Undirviðmið!$G$6:$G$105,(COLUMN()-7-1)/2+1)&lt;&gt;"Starfsbundið",CK107="",CK$8="",CK$7=""),"",ROUND(CK107/CK$8*CK$7*KVARDI,2))</f>
        <v/>
      </c>
      <c r="CM107" s="39"/>
      <c r="CN107" s="40" t="str">
        <f aca="false">IF(OR(INDEX(Undirviðmið!$G$6:$G$105,(COLUMN()-7-1)/2+1)&lt;&gt;"Starfsbundið",CM107="",CM$8="",CM$7=""),"",ROUND(CM107/CM$8*CM$7*KVARDI,2))</f>
        <v/>
      </c>
      <c r="CO107" s="39"/>
      <c r="CP107" s="40" t="str">
        <f aca="false">IF(OR(INDEX(Undirviðmið!$G$6:$G$105,(COLUMN()-7-1)/2+1)&lt;&gt;"Starfsbundið",CO107="",CO$8="",CO$7=""),"",ROUND(CO107/CO$8*CO$7*KVARDI,2))</f>
        <v/>
      </c>
      <c r="CQ107" s="39"/>
      <c r="CR107" s="40" t="str">
        <f aca="false">IF(OR(INDEX(Undirviðmið!$G$6:$G$105,(COLUMN()-7-1)/2+1)&lt;&gt;"Starfsbundið",CQ107="",CQ$8="",CQ$7=""),"",ROUND(CQ107/CQ$8*CQ$7*KVARDI,2))</f>
        <v/>
      </c>
      <c r="CS107" s="39"/>
      <c r="CT107" s="40" t="str">
        <f aca="false">IF(OR(INDEX(Undirviðmið!$G$6:$G$105,(COLUMN()-7-1)/2+1)&lt;&gt;"Starfsbundið",CS107="",CS$8="",CS$7=""),"",ROUND(CS107/CS$8*CS$7*KVARDI,2))</f>
        <v/>
      </c>
      <c r="CU107" s="39"/>
      <c r="CV107" s="40" t="str">
        <f aca="false">IF(OR(INDEX(Undirviðmið!$G$6:$G$105,(COLUMN()-7-1)/2+1)&lt;&gt;"Starfsbundið",CU107="",CU$8="",CU$7=""),"",ROUND(CU107/CU$8*CU$7*KVARDI,2))</f>
        <v/>
      </c>
      <c r="CW107" s="39"/>
      <c r="CX107" s="40" t="str">
        <f aca="false">IF(OR(INDEX(Undirviðmið!$G$6:$G$105,(COLUMN()-7-1)/2+1)&lt;&gt;"Starfsbundið",CW107="",CW$8="",CW$7=""),"",ROUND(CW107/CW$8*CW$7*KVARDI,2))</f>
        <v/>
      </c>
      <c r="CY107" s="39"/>
      <c r="CZ107" s="40" t="str">
        <f aca="false">IF(OR(INDEX(Undirviðmið!$G$6:$G$105,(COLUMN()-7-1)/2+1)&lt;&gt;"Starfsbundið",CY107="",CY$8="",CY$7=""),"",ROUND(CY107/CY$8*CY$7*KVARDI,2))</f>
        <v/>
      </c>
      <c r="DA107" s="39"/>
      <c r="DB107" s="40" t="str">
        <f aca="false">IF(OR(INDEX(Undirviðmið!$G$6:$G$105,(COLUMN()-7-1)/2+1)&lt;&gt;"Starfsbundið",DA107="",DA$8="",DA$7=""),"",ROUND(DA107/DA$8*DA$7*KVARDI,2))</f>
        <v/>
      </c>
      <c r="DC107" s="39"/>
      <c r="DD107" s="40" t="str">
        <f aca="false">IF(OR(INDEX(Undirviðmið!$G$6:$G$105,(COLUMN()-7-1)/2+1)&lt;&gt;"Starfsbundið",DC107="",DC$8="",DC$7=""),"",ROUND(DC107/DC$8*DC$7*KVARDI,2))</f>
        <v/>
      </c>
      <c r="DE107" s="39"/>
      <c r="DF107" s="40" t="str">
        <f aca="false">IF(OR(INDEX(Undirviðmið!$G$6:$G$105,(COLUMN()-7-1)/2+1)&lt;&gt;"Starfsbundið",DE107="",DE$8="",DE$7=""),"",ROUND(DE107/DE$8*DE$7*KVARDI,2))</f>
        <v/>
      </c>
      <c r="DG107" s="39"/>
      <c r="DH107" s="40" t="str">
        <f aca="false">IF(OR(INDEX(Undirviðmið!$G$6:$G$105,(COLUMN()-7-1)/2+1)&lt;&gt;"Starfsbundið",DG107="",DG$8="",DG$7=""),"",ROUND(DG107/DG$8*DG$7*KVARDI,2))</f>
        <v/>
      </c>
      <c r="DI107" s="39"/>
      <c r="DJ107" s="40" t="str">
        <f aca="false">IF(OR(INDEX(Undirviðmið!$G$6:$G$105,(COLUMN()-7-1)/2+1)&lt;&gt;"Starfsbundið",DI107="",DI$8="",DI$7=""),"",ROUND(DI107/DI$8*DI$7*KVARDI,2))</f>
        <v/>
      </c>
      <c r="DK107" s="39"/>
      <c r="DL107" s="40" t="str">
        <f aca="false">IF(OR(INDEX(Undirviðmið!$G$6:$G$105,(COLUMN()-7-1)/2+1)&lt;&gt;"Starfsbundið",DK107="",DK$8="",DK$7=""),"",ROUND(DK107/DK$8*DK$7*KVARDI,2))</f>
        <v/>
      </c>
      <c r="DM107" s="39"/>
      <c r="DN107" s="40" t="str">
        <f aca="false">IF(OR(INDEX(Undirviðmið!$G$6:$G$105,(COLUMN()-7-1)/2+1)&lt;&gt;"Starfsbundið",DM107="",DM$8="",DM$7=""),"",ROUND(DM107/DM$8*DM$7*KVARDI,2))</f>
        <v/>
      </c>
      <c r="DO107" s="39"/>
      <c r="DP107" s="40" t="str">
        <f aca="false">IF(OR(INDEX(Undirviðmið!$G$6:$G$105,(COLUMN()-7-1)/2+1)&lt;&gt;"Starfsbundið",DO107="",DO$8="",DO$7=""),"",ROUND(DO107/DO$8*DO$7*KVARDI,2))</f>
        <v/>
      </c>
      <c r="DQ107" s="39"/>
      <c r="DR107" s="40" t="str">
        <f aca="false">IF(OR(INDEX(Undirviðmið!$G$6:$G$105,(COLUMN()-7-1)/2+1)&lt;&gt;"Starfsbundið",DQ107="",DQ$8="",DQ$7=""),"",ROUND(DQ107/DQ$8*DQ$7*KVARDI,2))</f>
        <v/>
      </c>
      <c r="DS107" s="39"/>
      <c r="DT107" s="40" t="str">
        <f aca="false">IF(OR(INDEX(Undirviðmið!$G$6:$G$105,(COLUMN()-7-1)/2+1)&lt;&gt;"Starfsbundið",DS107="",DS$8="",DS$7=""),"",ROUND(DS107/DS$8*DS$7*KVARDI,2))</f>
        <v/>
      </c>
      <c r="DU107" s="39"/>
      <c r="DV107" s="40" t="str">
        <f aca="false">IF(OR(INDEX(Undirviðmið!$G$6:$G$105,(COLUMN()-7-1)/2+1)&lt;&gt;"Starfsbundið",DU107="",DU$8="",DU$7=""),"",ROUND(DU107/DU$8*DU$7*KVARDI,2))</f>
        <v/>
      </c>
      <c r="DW107" s="39"/>
      <c r="DX107" s="40" t="str">
        <f aca="false">IF(OR(INDEX(Undirviðmið!$G$6:$G$105,(COLUMN()-7-1)/2+1)&lt;&gt;"Starfsbundið",DW107="",DW$8="",DW$7=""),"",ROUND(DW107/DW$8*DW$7*KVARDI,2))</f>
        <v/>
      </c>
      <c r="DY107" s="39"/>
      <c r="DZ107" s="40" t="str">
        <f aca="false">IF(OR(INDEX(Undirviðmið!$G$6:$G$105,(COLUMN()-7-1)/2+1)&lt;&gt;"Starfsbundið",DY107="",DY$8="",DY$7=""),"",ROUND(DY107/DY$8*DY$7*KVARDI,2))</f>
        <v/>
      </c>
      <c r="EA107" s="39"/>
      <c r="EB107" s="40" t="str">
        <f aca="false">IF(OR(INDEX(Undirviðmið!$G$6:$G$105,(COLUMN()-7-1)/2+1)&lt;&gt;"Starfsbundið",EA107="",EA$8="",EA$7=""),"",ROUND(EA107/EA$8*EA$7*KVARDI,2))</f>
        <v/>
      </c>
      <c r="EC107" s="39"/>
      <c r="ED107" s="40" t="str">
        <f aca="false">IF(OR(INDEX(Undirviðmið!$G$6:$G$105,(COLUMN()-7-1)/2+1)&lt;&gt;"Starfsbundið",EC107="",EC$8="",EC$7=""),"",ROUND(EC107/EC$8*EC$7*KVARDI,2))</f>
        <v/>
      </c>
      <c r="EE107" s="39"/>
      <c r="EF107" s="40" t="str">
        <f aca="false">IF(OR(INDEX(Undirviðmið!$G$6:$G$105,(COLUMN()-7-1)/2+1)&lt;&gt;"Starfsbundið",EE107="",EE$8="",EE$7=""),"",ROUND(EE107/EE$8*EE$7*KVARDI,2))</f>
        <v/>
      </c>
      <c r="EG107" s="39"/>
      <c r="EH107" s="40" t="str">
        <f aca="false">IF(OR(INDEX(Undirviðmið!$G$6:$G$105,(COLUMN()-7-1)/2+1)&lt;&gt;"Starfsbundið",EG107="",EG$8="",EG$7=""),"",ROUND(EG107/EG$8*EG$7*KVARDI,2))</f>
        <v/>
      </c>
      <c r="EI107" s="39"/>
      <c r="EJ107" s="40" t="str">
        <f aca="false">IF(OR(INDEX(Undirviðmið!$G$6:$G$105,(COLUMN()-7-1)/2+1)&lt;&gt;"Starfsbundið",EI107="",EI$8="",EI$7=""),"",ROUND(EI107/EI$8*EI$7*KVARDI,2))</f>
        <v/>
      </c>
      <c r="EK107" s="39"/>
      <c r="EL107" s="40" t="str">
        <f aca="false">IF(OR(INDEX(Undirviðmið!$G$6:$G$105,(COLUMN()-7-1)/2+1)&lt;&gt;"Starfsbundið",EK107="",EK$8="",EK$7=""),"",ROUND(EK107/EK$8*EK$7*KVARDI,2))</f>
        <v/>
      </c>
      <c r="EM107" s="39"/>
      <c r="EN107" s="40" t="str">
        <f aca="false">IF(OR(INDEX(Undirviðmið!$G$6:$G$105,(COLUMN()-7-1)/2+1)&lt;&gt;"Starfsbundið",EM107="",EM$8="",EM$7=""),"",ROUND(EM107/EM$8*EM$7*KVARDI,2))</f>
        <v/>
      </c>
      <c r="EO107" s="39"/>
      <c r="EP107" s="40" t="str">
        <f aca="false">IF(OR(INDEX(Undirviðmið!$G$6:$G$105,(COLUMN()-7-1)/2+1)&lt;&gt;"Starfsbundið",EO107="",EO$8="",EO$7=""),"",ROUND(EO107/EO$8*EO$7*KVARDI,2))</f>
        <v/>
      </c>
      <c r="EQ107" s="39"/>
      <c r="ER107" s="40" t="str">
        <f aca="false">IF(OR(INDEX(Undirviðmið!$G$6:$G$105,(COLUMN()-7-1)/2+1)&lt;&gt;"Starfsbundið",EQ107="",EQ$8="",EQ$7=""),"",ROUND(EQ107/EQ$8*EQ$7*KVARDI,2))</f>
        <v/>
      </c>
      <c r="ES107" s="39"/>
      <c r="ET107" s="40" t="str">
        <f aca="false">IF(OR(INDEX(Undirviðmið!$G$6:$G$105,(COLUMN()-7-1)/2+1)&lt;&gt;"Starfsbundið",ES107="",ES$8="",ES$7=""),"",ROUND(ES107/ES$8*ES$7*KVARDI,2))</f>
        <v/>
      </c>
      <c r="EU107" s="39"/>
      <c r="EV107" s="40" t="str">
        <f aca="false">IF(OR(INDEX(Undirviðmið!$G$6:$G$105,(COLUMN()-7-1)/2+1)&lt;&gt;"Starfsbundið",EU107="",EU$8="",EU$7=""),"",ROUND(EU107/EU$8*EU$7*KVARDI,2))</f>
        <v/>
      </c>
      <c r="EW107" s="39"/>
      <c r="EX107" s="40" t="str">
        <f aca="false">IF(OR(INDEX(Undirviðmið!$G$6:$G$105,(COLUMN()-7-1)/2+1)&lt;&gt;"Starfsbundið",EW107="",EW$8="",EW$7=""),"",ROUND(EW107/EW$8*EW$7*KVARDI,2))</f>
        <v/>
      </c>
      <c r="EY107" s="39"/>
      <c r="EZ107" s="40" t="str">
        <f aca="false">IF(OR(INDEX(Undirviðmið!$G$6:$G$105,(COLUMN()-7-1)/2+1)&lt;&gt;"Starfsbundið",EY107="",EY$8="",EY$7=""),"",ROUND(EY107/EY$8*EY$7*KVARDI,2))</f>
        <v/>
      </c>
      <c r="FA107" s="39"/>
      <c r="FB107" s="40" t="str">
        <f aca="false">IF(OR(INDEX(Undirviðmið!$G$6:$G$105,(COLUMN()-7-1)/2+1)&lt;&gt;"Starfsbundið",FA107="",FA$8="",FA$7=""),"",ROUND(FA107/FA$8*FA$7*KVARDI,2))</f>
        <v/>
      </c>
      <c r="FC107" s="39"/>
      <c r="FD107" s="40" t="str">
        <f aca="false">IF(OR(INDEX(Undirviðmið!$G$6:$G$105,(COLUMN()-7-1)/2+1)&lt;&gt;"Starfsbundið",FC107="",FC$8="",FC$7=""),"",ROUND(FC107/FC$8*FC$7*KVARDI,2))</f>
        <v/>
      </c>
      <c r="FE107" s="39"/>
      <c r="FF107" s="40" t="str">
        <f aca="false">IF(OR(INDEX(Undirviðmið!$G$6:$G$105,(COLUMN()-7-1)/2+1)&lt;&gt;"Starfsbundið",FE107="",FE$8="",FE$7=""),"",ROUND(FE107/FE$8*FE$7*KVARDI,2))</f>
        <v/>
      </c>
      <c r="FG107" s="39"/>
      <c r="FH107" s="40" t="str">
        <f aca="false">IF(OR(INDEX(Undirviðmið!$G$6:$G$105,(COLUMN()-7-1)/2+1)&lt;&gt;"Starfsbundið",FG107="",FG$8="",FG$7=""),"",ROUND(FG107/FG$8*FG$7*KVARDI,2))</f>
        <v/>
      </c>
      <c r="FI107" s="39"/>
      <c r="FJ107" s="40" t="str">
        <f aca="false">IF(OR(INDEX(Undirviðmið!$G$6:$G$105,(COLUMN()-7-1)/2+1)&lt;&gt;"Starfsbundið",FI107="",FI$8="",FI$7=""),"",ROUND(FI107/FI$8*FI$7*KVARDI,2))</f>
        <v/>
      </c>
      <c r="FK107" s="39"/>
      <c r="FL107" s="40" t="str">
        <f aca="false">IF(OR(INDEX(Undirviðmið!$G$6:$G$105,(COLUMN()-7-1)/2+1)&lt;&gt;"Starfsbundið",FK107="",FK$8="",FK$7=""),"",ROUND(FK107/FK$8*FK$7*KVARDI,2))</f>
        <v/>
      </c>
      <c r="FM107" s="39"/>
      <c r="FN107" s="40" t="str">
        <f aca="false">IF(OR(INDEX(Undirviðmið!$G$6:$G$105,(COLUMN()-7-1)/2+1)&lt;&gt;"Starfsbundið",FM107="",FM$8="",FM$7=""),"",ROUND(FM107/FM$8*FM$7*KVARDI,2))</f>
        <v/>
      </c>
      <c r="FO107" s="39"/>
      <c r="FP107" s="40" t="str">
        <f aca="false">IF(OR(INDEX(Undirviðmið!$G$6:$G$105,(COLUMN()-7-1)/2+1)&lt;&gt;"Starfsbundið",FO107="",FO$8="",FO$7=""),"",ROUND(FO107/FO$8*FO$7*KVARDI,2))</f>
        <v/>
      </c>
      <c r="FQ107" s="39"/>
      <c r="FR107" s="40" t="str">
        <f aca="false">IF(OR(INDEX(Undirviðmið!$G$6:$G$105,(COLUMN()-7-1)/2+1)&lt;&gt;"Starfsbundið",FQ107="",FQ$8="",FQ$7=""),"",ROUND(FQ107/FQ$8*FQ$7*KVARDI,2))</f>
        <v/>
      </c>
      <c r="FS107" s="39"/>
      <c r="FT107" s="40" t="str">
        <f aca="false">IF(OR(INDEX(Undirviðmið!$G$6:$G$105,(COLUMN()-7-1)/2+1)&lt;&gt;"Starfsbundið",FS107="",FS$8="",FS$7=""),"",ROUND(FS107/FS$8*FS$7*KVARDI,2))</f>
        <v/>
      </c>
      <c r="FU107" s="39"/>
      <c r="FV107" s="40" t="str">
        <f aca="false">IF(OR(INDEX(Undirviðmið!$G$6:$G$105,(COLUMN()-7-1)/2+1)&lt;&gt;"Starfsbundið",FU107="",FU$8="",FU$7=""),"",ROUND(FU107/FU$8*FU$7*KVARDI,2))</f>
        <v/>
      </c>
      <c r="FW107" s="39"/>
      <c r="FX107" s="40" t="str">
        <f aca="false">IF(OR(INDEX(Undirviðmið!$G$6:$G$105,(COLUMN()-7-1)/2+1)&lt;&gt;"Starfsbundið",FW107="",FW$8="",FW$7=""),"",ROUND(FW107/FW$8*FW$7*KVARDI,2))</f>
        <v/>
      </c>
      <c r="FY107" s="39"/>
      <c r="FZ107" s="40" t="str">
        <f aca="false">IF(OR(INDEX(Undirviðmið!$G$6:$G$105,(COLUMN()-7-1)/2+1)&lt;&gt;"Starfsbundið",FY107="",FY$8="",FY$7=""),"",ROUND(FY107/FY$8*FY$7*KVARDI,2))</f>
        <v/>
      </c>
      <c r="GA107" s="39"/>
      <c r="GB107" s="40" t="str">
        <f aca="false">IF(OR(INDEX(Undirviðmið!$G$6:$G$105,(COLUMN()-7-1)/2+1)&lt;&gt;"Starfsbundið",GA107="",GA$8="",GA$7=""),"",ROUND(GA107/GA$8*GA$7*KVARDI,2))</f>
        <v/>
      </c>
      <c r="GC107" s="39"/>
      <c r="GD107" s="40" t="str">
        <f aca="false">IF(OR(INDEX(Undirviðmið!$G$6:$G$105,(COLUMN()-7-1)/2+1)&lt;&gt;"Starfsbundið",GC107="",GC$8="",GC$7=""),"",ROUND(GC107/GC$8*GC$7*KVARDI,2))</f>
        <v/>
      </c>
      <c r="GE107" s="39"/>
      <c r="GF107" s="40" t="str">
        <f aca="false">IF(OR(INDEX(Undirviðmið!$G$6:$G$105,(COLUMN()-7-1)/2+1)&lt;&gt;"Starfsbundið",GE107="",GE$8="",GE$7=""),"",ROUND(GE107/GE$8*GE$7*KVARDI,2))</f>
        <v/>
      </c>
      <c r="GG107" s="39"/>
      <c r="GH107" s="40" t="str">
        <f aca="false">IF(OR(INDEX(Undirviðmið!$G$6:$G$105,(COLUMN()-7-1)/2+1)&lt;&gt;"Starfsbundið",GG107="",GG$8="",GG$7=""),"",ROUND(GG107/GG$8*GG$7*KVARDI,2))</f>
        <v/>
      </c>
      <c r="GI107" s="39"/>
      <c r="GJ107" s="40" t="str">
        <f aca="false">IF(OR(INDEX(Undirviðmið!$G$6:$G$105,(COLUMN()-7-1)/2+1)&lt;&gt;"Starfsbundið",GI107="",GI$8="",GI$7=""),"",ROUND(GI107/GI$8*GI$7*KVARDI,2))</f>
        <v/>
      </c>
      <c r="GK107" s="39"/>
      <c r="GL107" s="40" t="str">
        <f aca="false">IF(OR(INDEX(Undirviðmið!$G$6:$G$105,(COLUMN()-7-1)/2+1)&lt;&gt;"Starfsbundið",GK107="",GK$8="",GK$7=""),"",ROUND(GK107/GK$8*GK$7*KVARDI,2))</f>
        <v/>
      </c>
      <c r="GM107" s="39"/>
      <c r="GN107" s="40" t="str">
        <f aca="false">IF(OR(INDEX(Undirviðmið!$G$6:$G$105,(COLUMN()-7-1)/2+1)&lt;&gt;"Starfsbundið",GM107="",GM$8="",GM$7=""),"",ROUND(GM107/GM$8*GM$7*KVARDI,2))</f>
        <v/>
      </c>
      <c r="GO107" s="39"/>
      <c r="GP107" s="40" t="str">
        <f aca="false">IF(OR(INDEX(Undirviðmið!$G$6:$G$105,(COLUMN()-7-1)/2+1)&lt;&gt;"Starfsbundið",GO107="",GO$8="",GO$7=""),"",ROUND(GO107/GO$8*GO$7*KVARDI,2))</f>
        <v/>
      </c>
      <c r="GQ107" s="39"/>
      <c r="GR107" s="40" t="str">
        <f aca="false">IF(OR(INDEX(Undirviðmið!$G$6:$G$105,(COLUMN()-7-1)/2+1)&lt;&gt;"Starfsbundið",GQ107="",GQ$8="",GQ$7=""),"",ROUND(GQ107/GQ$8*GQ$7*KVARDI,2))</f>
        <v/>
      </c>
      <c r="GS107" s="39"/>
      <c r="GT107" s="40" t="str">
        <f aca="false">IF(OR(INDEX(Undirviðmið!$G$6:$G$105,(COLUMN()-7-1)/2+1)&lt;&gt;"Starfsbundið",GS107="",GS$8="",GS$7=""),"",ROUND(GS107/GS$8*GS$7*KVARDI,2))</f>
        <v/>
      </c>
      <c r="GU107" s="39"/>
      <c r="GV107" s="40" t="str">
        <f aca="false">IF(OR(INDEX(Undirviðmið!$G$6:$G$105,(COLUMN()-7-1)/2+1)&lt;&gt;"Starfsbundið",GU107="",GU$8="",GU$7=""),"",ROUND(GU107/GU$8*GU$7*KVARDI,2))</f>
        <v/>
      </c>
      <c r="GW107" s="39"/>
      <c r="GX107" s="40" t="str">
        <f aca="false">IF(OR(INDEX(Undirviðmið!$G$6:$G$105,(COLUMN()-7-1)/2+1)&lt;&gt;"Starfsbundið",GW107="",GW$8="",GW$7=""),"",ROUND(GW107/GW$8*GW$7*KVARDI,2))</f>
        <v/>
      </c>
      <c r="GZ107" s="20"/>
    </row>
    <row r="108" customFormat="false" ht="15" hidden="true" customHeight="true" outlineLevel="1" collapsed="false">
      <c r="B108" s="37" t="str">
        <f aca="false" t="array" ref="B108:B108">IFERROR(INDEX(Starfsmenn!$C$6:$C$10005,MATCH(0,COUNTIF($B$11:B107,Starfsmenn!$C$6:$C$10005)+(Starfsmenn!$C$6:$C$10005=""),0)),"")</f>
        <v/>
      </c>
      <c r="C108" s="38" t="n">
        <f aca="false">IFERROR(SUMIF($G$10:$GX$10,"Stig",$G108:$GX108),0)</f>
        <v>0</v>
      </c>
      <c r="G108" s="39"/>
      <c r="H108" s="40" t="str">
        <f aca="false">IF(OR(INDEX(Undirviðmið!$G$6:$G$105,(COLUMN()-7-1)/2+1)&lt;&gt;"Starfsbundið",G108="",G$8="",G$7=""),"",ROUND(G108/G$8*G$7*KVARDI,2))</f>
        <v/>
      </c>
      <c r="I108" s="39"/>
      <c r="J108" s="40" t="str">
        <f aca="false">IF(OR(INDEX(Undirviðmið!$G$6:$G$105,(COLUMN()-7-1)/2+1)&lt;&gt;"Starfsbundið",I108="",I$8="",I$7=""),"",ROUND(I108/I$8*I$7*KVARDI,2))</f>
        <v/>
      </c>
      <c r="K108" s="39"/>
      <c r="L108" s="40" t="str">
        <f aca="false">IF(OR(INDEX(Undirviðmið!$G$6:$G$105,(COLUMN()-7-1)/2+1)&lt;&gt;"Starfsbundið",K108="",K$8="",K$7=""),"",ROUND(K108/K$8*K$7*KVARDI,2))</f>
        <v/>
      </c>
      <c r="M108" s="39"/>
      <c r="N108" s="40" t="str">
        <f aca="false">IF(OR(INDEX(Undirviðmið!$G$6:$G$105,(COLUMN()-7-1)/2+1)&lt;&gt;"Starfsbundið",M108="",M$8="",M$7=""),"",ROUND(M108/M$8*M$7*KVARDI,2))</f>
        <v/>
      </c>
      <c r="O108" s="39"/>
      <c r="P108" s="40" t="str">
        <f aca="false">IF(OR(INDEX(Undirviðmið!$G$6:$G$105,(COLUMN()-7-1)/2+1)&lt;&gt;"Starfsbundið",O108="",O$8="",O$7=""),"",ROUND(O108/O$8*O$7*KVARDI,2))</f>
        <v/>
      </c>
      <c r="Q108" s="39"/>
      <c r="R108" s="40" t="str">
        <f aca="false">IF(OR(INDEX(Undirviðmið!$G$6:$G$105,(COLUMN()-7-1)/2+1)&lt;&gt;"Starfsbundið",Q108="",Q$8="",Q$7=""),"",ROUND(Q108/Q$8*Q$7*KVARDI,2))</f>
        <v/>
      </c>
      <c r="S108" s="39"/>
      <c r="T108" s="40" t="str">
        <f aca="false">IF(OR(INDEX(Undirviðmið!$G$6:$G$105,(COLUMN()-7-1)/2+1)&lt;&gt;"Starfsbundið",S108="",S$8="",S$7=""),"",ROUND(S108/S$8*S$7*KVARDI,2))</f>
        <v/>
      </c>
      <c r="U108" s="39"/>
      <c r="V108" s="40" t="str">
        <f aca="false">IF(OR(INDEX(Undirviðmið!$G$6:$G$105,(COLUMN()-7-1)/2+1)&lt;&gt;"Starfsbundið",U108="",U$8="",U$7=""),"",ROUND(U108/U$8*U$7*KVARDI,2))</f>
        <v/>
      </c>
      <c r="W108" s="39"/>
      <c r="X108" s="40" t="str">
        <f aca="false">IF(OR(INDEX(Undirviðmið!$G$6:$G$105,(COLUMN()-7-1)/2+1)&lt;&gt;"Starfsbundið",W108="",W$8="",W$7=""),"",ROUND(W108/W$8*W$7*KVARDI,2))</f>
        <v/>
      </c>
      <c r="Y108" s="39"/>
      <c r="Z108" s="40" t="str">
        <f aca="false">IF(OR(INDEX(Undirviðmið!$G$6:$G$105,(COLUMN()-7-1)/2+1)&lt;&gt;"Starfsbundið",Y108="",Y$8="",Y$7=""),"",ROUND(Y108/Y$8*Y$7*KVARDI,2))</f>
        <v/>
      </c>
      <c r="AA108" s="39"/>
      <c r="AB108" s="40" t="str">
        <f aca="false">IF(OR(INDEX(Undirviðmið!$G$6:$G$105,(COLUMN()-7-1)/2+1)&lt;&gt;"Starfsbundið",AA108="",AA$8="",AA$7=""),"",ROUND(AA108/AA$8*AA$7*KVARDI,2))</f>
        <v/>
      </c>
      <c r="AC108" s="39"/>
      <c r="AD108" s="40" t="str">
        <f aca="false">IF(OR(INDEX(Undirviðmið!$G$6:$G$105,(COLUMN()-7-1)/2+1)&lt;&gt;"Starfsbundið",AC108="",AC$8="",AC$7=""),"",ROUND(AC108/AC$8*AC$7*KVARDI,2))</f>
        <v/>
      </c>
      <c r="AE108" s="39"/>
      <c r="AF108" s="40" t="str">
        <f aca="false">IF(OR(INDEX(Undirviðmið!$G$6:$G$105,(COLUMN()-7-1)/2+1)&lt;&gt;"Starfsbundið",AE108="",AE$8="",AE$7=""),"",ROUND(AE108/AE$8*AE$7*KVARDI,2))</f>
        <v/>
      </c>
      <c r="AG108" s="39"/>
      <c r="AH108" s="40" t="str">
        <f aca="false">IF(OR(INDEX(Undirviðmið!$G$6:$G$105,(COLUMN()-7-1)/2+1)&lt;&gt;"Starfsbundið",AG108="",AG$8="",AG$7=""),"",ROUND(AG108/AG$8*AG$7*KVARDI,2))</f>
        <v/>
      </c>
      <c r="AI108" s="39"/>
      <c r="AJ108" s="40" t="str">
        <f aca="false">IF(OR(INDEX(Undirviðmið!$G$6:$G$105,(COLUMN()-7-1)/2+1)&lt;&gt;"Starfsbundið",AI108="",AI$8="",AI$7=""),"",ROUND(AI108/AI$8*AI$7*KVARDI,2))</f>
        <v/>
      </c>
      <c r="AK108" s="39"/>
      <c r="AL108" s="40" t="str">
        <f aca="false">IF(OR(INDEX(Undirviðmið!$G$6:$G$105,(COLUMN()-7-1)/2+1)&lt;&gt;"Starfsbundið",AK108="",AK$8="",AK$7=""),"",ROUND(AK108/AK$8*AK$7*KVARDI,2))</f>
        <v/>
      </c>
      <c r="AM108" s="39"/>
      <c r="AN108" s="40" t="str">
        <f aca="false">IF(OR(INDEX(Undirviðmið!$G$6:$G$105,(COLUMN()-7-1)/2+1)&lt;&gt;"Starfsbundið",AM108="",AM$8="",AM$7=""),"",ROUND(AM108/AM$8*AM$7*KVARDI,2))</f>
        <v/>
      </c>
      <c r="AO108" s="39"/>
      <c r="AP108" s="40" t="str">
        <f aca="false">IF(OR(INDEX(Undirviðmið!$G$6:$G$105,(COLUMN()-7-1)/2+1)&lt;&gt;"Starfsbundið",AO108="",AO$8="",AO$7=""),"",ROUND(AO108/AO$8*AO$7*KVARDI,2))</f>
        <v/>
      </c>
      <c r="AQ108" s="39"/>
      <c r="AR108" s="40" t="str">
        <f aca="false">IF(OR(INDEX(Undirviðmið!$G$6:$G$105,(COLUMN()-7-1)/2+1)&lt;&gt;"Starfsbundið",AQ108="",AQ$8="",AQ$7=""),"",ROUND(AQ108/AQ$8*AQ$7*KVARDI,2))</f>
        <v/>
      </c>
      <c r="AS108" s="39"/>
      <c r="AT108" s="40" t="str">
        <f aca="false">IF(OR(INDEX(Undirviðmið!$G$6:$G$105,(COLUMN()-7-1)/2+1)&lt;&gt;"Starfsbundið",AS108="",AS$8="",AS$7=""),"",ROUND(AS108/AS$8*AS$7*KVARDI,2))</f>
        <v/>
      </c>
      <c r="AU108" s="39"/>
      <c r="AV108" s="40" t="str">
        <f aca="false">IF(OR(INDEX(Undirviðmið!$G$6:$G$105,(COLUMN()-7-1)/2+1)&lt;&gt;"Starfsbundið",AU108="",AU$8="",AU$7=""),"",ROUND(AU108/AU$8*AU$7*KVARDI,2))</f>
        <v/>
      </c>
      <c r="AW108" s="39"/>
      <c r="AX108" s="40" t="str">
        <f aca="false">IF(OR(INDEX(Undirviðmið!$G$6:$G$105,(COLUMN()-7-1)/2+1)&lt;&gt;"Starfsbundið",AW108="",AW$8="",AW$7=""),"",ROUND(AW108/AW$8*AW$7*KVARDI,2))</f>
        <v/>
      </c>
      <c r="AY108" s="39"/>
      <c r="AZ108" s="40" t="str">
        <f aca="false">IF(OR(INDEX(Undirviðmið!$G$6:$G$105,(COLUMN()-7-1)/2+1)&lt;&gt;"Starfsbundið",AY108="",AY$8="",AY$7=""),"",ROUND(AY108/AY$8*AY$7*KVARDI,2))</f>
        <v/>
      </c>
      <c r="BA108" s="39"/>
      <c r="BB108" s="40" t="str">
        <f aca="false">IF(OR(INDEX(Undirviðmið!$G$6:$G$105,(COLUMN()-7-1)/2+1)&lt;&gt;"Starfsbundið",BA108="",BA$8="",BA$7=""),"",ROUND(BA108/BA$8*BA$7*KVARDI,2))</f>
        <v/>
      </c>
      <c r="BC108" s="39"/>
      <c r="BD108" s="40" t="str">
        <f aca="false">IF(OR(INDEX(Undirviðmið!$G$6:$G$105,(COLUMN()-7-1)/2+1)&lt;&gt;"Starfsbundið",BC108="",BC$8="",BC$7=""),"",ROUND(BC108/BC$8*BC$7*KVARDI,2))</f>
        <v/>
      </c>
      <c r="BE108" s="39"/>
      <c r="BF108" s="40" t="str">
        <f aca="false">IF(OR(INDEX(Undirviðmið!$G$6:$G$105,(COLUMN()-7-1)/2+1)&lt;&gt;"Starfsbundið",BE108="",BE$8="",BE$7=""),"",ROUND(BE108/BE$8*BE$7*KVARDI,2))</f>
        <v/>
      </c>
      <c r="BG108" s="39"/>
      <c r="BH108" s="40" t="str">
        <f aca="false">IF(OR(INDEX(Undirviðmið!$G$6:$G$105,(COLUMN()-7-1)/2+1)&lt;&gt;"Starfsbundið",BG108="",BG$8="",BG$7=""),"",ROUND(BG108/BG$8*BG$7*KVARDI,2))</f>
        <v/>
      </c>
      <c r="BI108" s="39"/>
      <c r="BJ108" s="40" t="str">
        <f aca="false">IF(OR(INDEX(Undirviðmið!$G$6:$G$105,(COLUMN()-7-1)/2+1)&lt;&gt;"Starfsbundið",BI108="",BI$8="",BI$7=""),"",ROUND(BI108/BI$8*BI$7*KVARDI,2))</f>
        <v/>
      </c>
      <c r="BK108" s="39"/>
      <c r="BL108" s="40" t="str">
        <f aca="false">IF(OR(INDEX(Undirviðmið!$G$6:$G$105,(COLUMN()-7-1)/2+1)&lt;&gt;"Starfsbundið",BK108="",BK$8="",BK$7=""),"",ROUND(BK108/BK$8*BK$7*KVARDI,2))</f>
        <v/>
      </c>
      <c r="BM108" s="39"/>
      <c r="BN108" s="40" t="str">
        <f aca="false">IF(OR(INDEX(Undirviðmið!$G$6:$G$105,(COLUMN()-7-1)/2+1)&lt;&gt;"Starfsbundið",BM108="",BM$8="",BM$7=""),"",ROUND(BM108/BM$8*BM$7*KVARDI,2))</f>
        <v/>
      </c>
      <c r="BO108" s="39"/>
      <c r="BP108" s="40" t="str">
        <f aca="false">IF(OR(INDEX(Undirviðmið!$G$6:$G$105,(COLUMN()-7-1)/2+1)&lt;&gt;"Starfsbundið",BO108="",BO$8="",BO$7=""),"",ROUND(BO108/BO$8*BO$7*KVARDI,2))</f>
        <v/>
      </c>
      <c r="BQ108" s="39"/>
      <c r="BR108" s="40" t="str">
        <f aca="false">IF(OR(INDEX(Undirviðmið!$G$6:$G$105,(COLUMN()-7-1)/2+1)&lt;&gt;"Starfsbundið",BQ108="",BQ$8="",BQ$7=""),"",ROUND(BQ108/BQ$8*BQ$7*KVARDI,2))</f>
        <v/>
      </c>
      <c r="BS108" s="39"/>
      <c r="BT108" s="40" t="str">
        <f aca="false">IF(OR(INDEX(Undirviðmið!$G$6:$G$105,(COLUMN()-7-1)/2+1)&lt;&gt;"Starfsbundið",BS108="",BS$8="",BS$7=""),"",ROUND(BS108/BS$8*BS$7*KVARDI,2))</f>
        <v/>
      </c>
      <c r="BU108" s="39"/>
      <c r="BV108" s="40" t="str">
        <f aca="false">IF(OR(INDEX(Undirviðmið!$G$6:$G$105,(COLUMN()-7-1)/2+1)&lt;&gt;"Starfsbundið",BU108="",BU$8="",BU$7=""),"",ROUND(BU108/BU$8*BU$7*KVARDI,2))</f>
        <v/>
      </c>
      <c r="BW108" s="39"/>
      <c r="BX108" s="40" t="str">
        <f aca="false">IF(OR(INDEX(Undirviðmið!$G$6:$G$105,(COLUMN()-7-1)/2+1)&lt;&gt;"Starfsbundið",BW108="",BW$8="",BW$7=""),"",ROUND(BW108/BW$8*BW$7*KVARDI,2))</f>
        <v/>
      </c>
      <c r="BY108" s="39"/>
      <c r="BZ108" s="40" t="str">
        <f aca="false">IF(OR(INDEX(Undirviðmið!$G$6:$G$105,(COLUMN()-7-1)/2+1)&lt;&gt;"Starfsbundið",BY108="",BY$8="",BY$7=""),"",ROUND(BY108/BY$8*BY$7*KVARDI,2))</f>
        <v/>
      </c>
      <c r="CA108" s="39"/>
      <c r="CB108" s="40" t="str">
        <f aca="false">IF(OR(INDEX(Undirviðmið!$G$6:$G$105,(COLUMN()-7-1)/2+1)&lt;&gt;"Starfsbundið",CA108="",CA$8="",CA$7=""),"",ROUND(CA108/CA$8*CA$7*KVARDI,2))</f>
        <v/>
      </c>
      <c r="CC108" s="39"/>
      <c r="CD108" s="40" t="str">
        <f aca="false">IF(OR(INDEX(Undirviðmið!$G$6:$G$105,(COLUMN()-7-1)/2+1)&lt;&gt;"Starfsbundið",CC108="",CC$8="",CC$7=""),"",ROUND(CC108/CC$8*CC$7*KVARDI,2))</f>
        <v/>
      </c>
      <c r="CE108" s="39"/>
      <c r="CF108" s="40" t="str">
        <f aca="false">IF(OR(INDEX(Undirviðmið!$G$6:$G$105,(COLUMN()-7-1)/2+1)&lt;&gt;"Starfsbundið",CE108="",CE$8="",CE$7=""),"",ROUND(CE108/CE$8*CE$7*KVARDI,2))</f>
        <v/>
      </c>
      <c r="CG108" s="39"/>
      <c r="CH108" s="40" t="str">
        <f aca="false">IF(OR(INDEX(Undirviðmið!$G$6:$G$105,(COLUMN()-7-1)/2+1)&lt;&gt;"Starfsbundið",CG108="",CG$8="",CG$7=""),"",ROUND(CG108/CG$8*CG$7*KVARDI,2))</f>
        <v/>
      </c>
      <c r="CI108" s="39"/>
      <c r="CJ108" s="40" t="str">
        <f aca="false">IF(OR(INDEX(Undirviðmið!$G$6:$G$105,(COLUMN()-7-1)/2+1)&lt;&gt;"Starfsbundið",CI108="",CI$8="",CI$7=""),"",ROUND(CI108/CI$8*CI$7*KVARDI,2))</f>
        <v/>
      </c>
      <c r="CK108" s="39"/>
      <c r="CL108" s="40" t="str">
        <f aca="false">IF(OR(INDEX(Undirviðmið!$G$6:$G$105,(COLUMN()-7-1)/2+1)&lt;&gt;"Starfsbundið",CK108="",CK$8="",CK$7=""),"",ROUND(CK108/CK$8*CK$7*KVARDI,2))</f>
        <v/>
      </c>
      <c r="CM108" s="39"/>
      <c r="CN108" s="40" t="str">
        <f aca="false">IF(OR(INDEX(Undirviðmið!$G$6:$G$105,(COLUMN()-7-1)/2+1)&lt;&gt;"Starfsbundið",CM108="",CM$8="",CM$7=""),"",ROUND(CM108/CM$8*CM$7*KVARDI,2))</f>
        <v/>
      </c>
      <c r="CO108" s="39"/>
      <c r="CP108" s="40" t="str">
        <f aca="false">IF(OR(INDEX(Undirviðmið!$G$6:$G$105,(COLUMN()-7-1)/2+1)&lt;&gt;"Starfsbundið",CO108="",CO$8="",CO$7=""),"",ROUND(CO108/CO$8*CO$7*KVARDI,2))</f>
        <v/>
      </c>
      <c r="CQ108" s="39"/>
      <c r="CR108" s="40" t="str">
        <f aca="false">IF(OR(INDEX(Undirviðmið!$G$6:$G$105,(COLUMN()-7-1)/2+1)&lt;&gt;"Starfsbundið",CQ108="",CQ$8="",CQ$7=""),"",ROUND(CQ108/CQ$8*CQ$7*KVARDI,2))</f>
        <v/>
      </c>
      <c r="CS108" s="39"/>
      <c r="CT108" s="40" t="str">
        <f aca="false">IF(OR(INDEX(Undirviðmið!$G$6:$G$105,(COLUMN()-7-1)/2+1)&lt;&gt;"Starfsbundið",CS108="",CS$8="",CS$7=""),"",ROUND(CS108/CS$8*CS$7*KVARDI,2))</f>
        <v/>
      </c>
      <c r="CU108" s="39"/>
      <c r="CV108" s="40" t="str">
        <f aca="false">IF(OR(INDEX(Undirviðmið!$G$6:$G$105,(COLUMN()-7-1)/2+1)&lt;&gt;"Starfsbundið",CU108="",CU$8="",CU$7=""),"",ROUND(CU108/CU$8*CU$7*KVARDI,2))</f>
        <v/>
      </c>
      <c r="CW108" s="39"/>
      <c r="CX108" s="40" t="str">
        <f aca="false">IF(OR(INDEX(Undirviðmið!$G$6:$G$105,(COLUMN()-7-1)/2+1)&lt;&gt;"Starfsbundið",CW108="",CW$8="",CW$7=""),"",ROUND(CW108/CW$8*CW$7*KVARDI,2))</f>
        <v/>
      </c>
      <c r="CY108" s="39"/>
      <c r="CZ108" s="40" t="str">
        <f aca="false">IF(OR(INDEX(Undirviðmið!$G$6:$G$105,(COLUMN()-7-1)/2+1)&lt;&gt;"Starfsbundið",CY108="",CY$8="",CY$7=""),"",ROUND(CY108/CY$8*CY$7*KVARDI,2))</f>
        <v/>
      </c>
      <c r="DA108" s="39"/>
      <c r="DB108" s="40" t="str">
        <f aca="false">IF(OR(INDEX(Undirviðmið!$G$6:$G$105,(COLUMN()-7-1)/2+1)&lt;&gt;"Starfsbundið",DA108="",DA$8="",DA$7=""),"",ROUND(DA108/DA$8*DA$7*KVARDI,2))</f>
        <v/>
      </c>
      <c r="DC108" s="39"/>
      <c r="DD108" s="40" t="str">
        <f aca="false">IF(OR(INDEX(Undirviðmið!$G$6:$G$105,(COLUMN()-7-1)/2+1)&lt;&gt;"Starfsbundið",DC108="",DC$8="",DC$7=""),"",ROUND(DC108/DC$8*DC$7*KVARDI,2))</f>
        <v/>
      </c>
      <c r="DE108" s="39"/>
      <c r="DF108" s="40" t="str">
        <f aca="false">IF(OR(INDEX(Undirviðmið!$G$6:$G$105,(COLUMN()-7-1)/2+1)&lt;&gt;"Starfsbundið",DE108="",DE$8="",DE$7=""),"",ROUND(DE108/DE$8*DE$7*KVARDI,2))</f>
        <v/>
      </c>
      <c r="DG108" s="39"/>
      <c r="DH108" s="40" t="str">
        <f aca="false">IF(OR(INDEX(Undirviðmið!$G$6:$G$105,(COLUMN()-7-1)/2+1)&lt;&gt;"Starfsbundið",DG108="",DG$8="",DG$7=""),"",ROUND(DG108/DG$8*DG$7*KVARDI,2))</f>
        <v/>
      </c>
      <c r="DI108" s="39"/>
      <c r="DJ108" s="40" t="str">
        <f aca="false">IF(OR(INDEX(Undirviðmið!$G$6:$G$105,(COLUMN()-7-1)/2+1)&lt;&gt;"Starfsbundið",DI108="",DI$8="",DI$7=""),"",ROUND(DI108/DI$8*DI$7*KVARDI,2))</f>
        <v/>
      </c>
      <c r="DK108" s="39"/>
      <c r="DL108" s="40" t="str">
        <f aca="false">IF(OR(INDEX(Undirviðmið!$G$6:$G$105,(COLUMN()-7-1)/2+1)&lt;&gt;"Starfsbundið",DK108="",DK$8="",DK$7=""),"",ROUND(DK108/DK$8*DK$7*KVARDI,2))</f>
        <v/>
      </c>
      <c r="DM108" s="39"/>
      <c r="DN108" s="40" t="str">
        <f aca="false">IF(OR(INDEX(Undirviðmið!$G$6:$G$105,(COLUMN()-7-1)/2+1)&lt;&gt;"Starfsbundið",DM108="",DM$8="",DM$7=""),"",ROUND(DM108/DM$8*DM$7*KVARDI,2))</f>
        <v/>
      </c>
      <c r="DO108" s="39"/>
      <c r="DP108" s="40" t="str">
        <f aca="false">IF(OR(INDEX(Undirviðmið!$G$6:$G$105,(COLUMN()-7-1)/2+1)&lt;&gt;"Starfsbundið",DO108="",DO$8="",DO$7=""),"",ROUND(DO108/DO$8*DO$7*KVARDI,2))</f>
        <v/>
      </c>
      <c r="DQ108" s="39"/>
      <c r="DR108" s="40" t="str">
        <f aca="false">IF(OR(INDEX(Undirviðmið!$G$6:$G$105,(COLUMN()-7-1)/2+1)&lt;&gt;"Starfsbundið",DQ108="",DQ$8="",DQ$7=""),"",ROUND(DQ108/DQ$8*DQ$7*KVARDI,2))</f>
        <v/>
      </c>
      <c r="DS108" s="39"/>
      <c r="DT108" s="40" t="str">
        <f aca="false">IF(OR(INDEX(Undirviðmið!$G$6:$G$105,(COLUMN()-7-1)/2+1)&lt;&gt;"Starfsbundið",DS108="",DS$8="",DS$7=""),"",ROUND(DS108/DS$8*DS$7*KVARDI,2))</f>
        <v/>
      </c>
      <c r="DU108" s="39"/>
      <c r="DV108" s="40" t="str">
        <f aca="false">IF(OR(INDEX(Undirviðmið!$G$6:$G$105,(COLUMN()-7-1)/2+1)&lt;&gt;"Starfsbundið",DU108="",DU$8="",DU$7=""),"",ROUND(DU108/DU$8*DU$7*KVARDI,2))</f>
        <v/>
      </c>
      <c r="DW108" s="39"/>
      <c r="DX108" s="40" t="str">
        <f aca="false">IF(OR(INDEX(Undirviðmið!$G$6:$G$105,(COLUMN()-7-1)/2+1)&lt;&gt;"Starfsbundið",DW108="",DW$8="",DW$7=""),"",ROUND(DW108/DW$8*DW$7*KVARDI,2))</f>
        <v/>
      </c>
      <c r="DY108" s="39"/>
      <c r="DZ108" s="40" t="str">
        <f aca="false">IF(OR(INDEX(Undirviðmið!$G$6:$G$105,(COLUMN()-7-1)/2+1)&lt;&gt;"Starfsbundið",DY108="",DY$8="",DY$7=""),"",ROUND(DY108/DY$8*DY$7*KVARDI,2))</f>
        <v/>
      </c>
      <c r="EA108" s="39"/>
      <c r="EB108" s="40" t="str">
        <f aca="false">IF(OR(INDEX(Undirviðmið!$G$6:$G$105,(COLUMN()-7-1)/2+1)&lt;&gt;"Starfsbundið",EA108="",EA$8="",EA$7=""),"",ROUND(EA108/EA$8*EA$7*KVARDI,2))</f>
        <v/>
      </c>
      <c r="EC108" s="39"/>
      <c r="ED108" s="40" t="str">
        <f aca="false">IF(OR(INDEX(Undirviðmið!$G$6:$G$105,(COLUMN()-7-1)/2+1)&lt;&gt;"Starfsbundið",EC108="",EC$8="",EC$7=""),"",ROUND(EC108/EC$8*EC$7*KVARDI,2))</f>
        <v/>
      </c>
      <c r="EE108" s="39"/>
      <c r="EF108" s="40" t="str">
        <f aca="false">IF(OR(INDEX(Undirviðmið!$G$6:$G$105,(COLUMN()-7-1)/2+1)&lt;&gt;"Starfsbundið",EE108="",EE$8="",EE$7=""),"",ROUND(EE108/EE$8*EE$7*KVARDI,2))</f>
        <v/>
      </c>
      <c r="EG108" s="39"/>
      <c r="EH108" s="40" t="str">
        <f aca="false">IF(OR(INDEX(Undirviðmið!$G$6:$G$105,(COLUMN()-7-1)/2+1)&lt;&gt;"Starfsbundið",EG108="",EG$8="",EG$7=""),"",ROUND(EG108/EG$8*EG$7*KVARDI,2))</f>
        <v/>
      </c>
      <c r="EI108" s="39"/>
      <c r="EJ108" s="40" t="str">
        <f aca="false">IF(OR(INDEX(Undirviðmið!$G$6:$G$105,(COLUMN()-7-1)/2+1)&lt;&gt;"Starfsbundið",EI108="",EI$8="",EI$7=""),"",ROUND(EI108/EI$8*EI$7*KVARDI,2))</f>
        <v/>
      </c>
      <c r="EK108" s="39"/>
      <c r="EL108" s="40" t="str">
        <f aca="false">IF(OR(INDEX(Undirviðmið!$G$6:$G$105,(COLUMN()-7-1)/2+1)&lt;&gt;"Starfsbundið",EK108="",EK$8="",EK$7=""),"",ROUND(EK108/EK$8*EK$7*KVARDI,2))</f>
        <v/>
      </c>
      <c r="EM108" s="39"/>
      <c r="EN108" s="40" t="str">
        <f aca="false">IF(OR(INDEX(Undirviðmið!$G$6:$G$105,(COLUMN()-7-1)/2+1)&lt;&gt;"Starfsbundið",EM108="",EM$8="",EM$7=""),"",ROUND(EM108/EM$8*EM$7*KVARDI,2))</f>
        <v/>
      </c>
      <c r="EO108" s="39"/>
      <c r="EP108" s="40" t="str">
        <f aca="false">IF(OR(INDEX(Undirviðmið!$G$6:$G$105,(COLUMN()-7-1)/2+1)&lt;&gt;"Starfsbundið",EO108="",EO$8="",EO$7=""),"",ROUND(EO108/EO$8*EO$7*KVARDI,2))</f>
        <v/>
      </c>
      <c r="EQ108" s="39"/>
      <c r="ER108" s="40" t="str">
        <f aca="false">IF(OR(INDEX(Undirviðmið!$G$6:$G$105,(COLUMN()-7-1)/2+1)&lt;&gt;"Starfsbundið",EQ108="",EQ$8="",EQ$7=""),"",ROUND(EQ108/EQ$8*EQ$7*KVARDI,2))</f>
        <v/>
      </c>
      <c r="ES108" s="39"/>
      <c r="ET108" s="40" t="str">
        <f aca="false">IF(OR(INDEX(Undirviðmið!$G$6:$G$105,(COLUMN()-7-1)/2+1)&lt;&gt;"Starfsbundið",ES108="",ES$8="",ES$7=""),"",ROUND(ES108/ES$8*ES$7*KVARDI,2))</f>
        <v/>
      </c>
      <c r="EU108" s="39"/>
      <c r="EV108" s="40" t="str">
        <f aca="false">IF(OR(INDEX(Undirviðmið!$G$6:$G$105,(COLUMN()-7-1)/2+1)&lt;&gt;"Starfsbundið",EU108="",EU$8="",EU$7=""),"",ROUND(EU108/EU$8*EU$7*KVARDI,2))</f>
        <v/>
      </c>
      <c r="EW108" s="39"/>
      <c r="EX108" s="40" t="str">
        <f aca="false">IF(OR(INDEX(Undirviðmið!$G$6:$G$105,(COLUMN()-7-1)/2+1)&lt;&gt;"Starfsbundið",EW108="",EW$8="",EW$7=""),"",ROUND(EW108/EW$8*EW$7*KVARDI,2))</f>
        <v/>
      </c>
      <c r="EY108" s="39"/>
      <c r="EZ108" s="40" t="str">
        <f aca="false">IF(OR(INDEX(Undirviðmið!$G$6:$G$105,(COLUMN()-7-1)/2+1)&lt;&gt;"Starfsbundið",EY108="",EY$8="",EY$7=""),"",ROUND(EY108/EY$8*EY$7*KVARDI,2))</f>
        <v/>
      </c>
      <c r="FA108" s="39"/>
      <c r="FB108" s="40" t="str">
        <f aca="false">IF(OR(INDEX(Undirviðmið!$G$6:$G$105,(COLUMN()-7-1)/2+1)&lt;&gt;"Starfsbundið",FA108="",FA$8="",FA$7=""),"",ROUND(FA108/FA$8*FA$7*KVARDI,2))</f>
        <v/>
      </c>
      <c r="FC108" s="39"/>
      <c r="FD108" s="40" t="str">
        <f aca="false">IF(OR(INDEX(Undirviðmið!$G$6:$G$105,(COLUMN()-7-1)/2+1)&lt;&gt;"Starfsbundið",FC108="",FC$8="",FC$7=""),"",ROUND(FC108/FC$8*FC$7*KVARDI,2))</f>
        <v/>
      </c>
      <c r="FE108" s="39"/>
      <c r="FF108" s="40" t="str">
        <f aca="false">IF(OR(INDEX(Undirviðmið!$G$6:$G$105,(COLUMN()-7-1)/2+1)&lt;&gt;"Starfsbundið",FE108="",FE$8="",FE$7=""),"",ROUND(FE108/FE$8*FE$7*KVARDI,2))</f>
        <v/>
      </c>
      <c r="FG108" s="39"/>
      <c r="FH108" s="40" t="str">
        <f aca="false">IF(OR(INDEX(Undirviðmið!$G$6:$G$105,(COLUMN()-7-1)/2+1)&lt;&gt;"Starfsbundið",FG108="",FG$8="",FG$7=""),"",ROUND(FG108/FG$8*FG$7*KVARDI,2))</f>
        <v/>
      </c>
      <c r="FI108" s="39"/>
      <c r="FJ108" s="40" t="str">
        <f aca="false">IF(OR(INDEX(Undirviðmið!$G$6:$G$105,(COLUMN()-7-1)/2+1)&lt;&gt;"Starfsbundið",FI108="",FI$8="",FI$7=""),"",ROUND(FI108/FI$8*FI$7*KVARDI,2))</f>
        <v/>
      </c>
      <c r="FK108" s="39"/>
      <c r="FL108" s="40" t="str">
        <f aca="false">IF(OR(INDEX(Undirviðmið!$G$6:$G$105,(COLUMN()-7-1)/2+1)&lt;&gt;"Starfsbundið",FK108="",FK$8="",FK$7=""),"",ROUND(FK108/FK$8*FK$7*KVARDI,2))</f>
        <v/>
      </c>
      <c r="FM108" s="39"/>
      <c r="FN108" s="40" t="str">
        <f aca="false">IF(OR(INDEX(Undirviðmið!$G$6:$G$105,(COLUMN()-7-1)/2+1)&lt;&gt;"Starfsbundið",FM108="",FM$8="",FM$7=""),"",ROUND(FM108/FM$8*FM$7*KVARDI,2))</f>
        <v/>
      </c>
      <c r="FO108" s="39"/>
      <c r="FP108" s="40" t="str">
        <f aca="false">IF(OR(INDEX(Undirviðmið!$G$6:$G$105,(COLUMN()-7-1)/2+1)&lt;&gt;"Starfsbundið",FO108="",FO$8="",FO$7=""),"",ROUND(FO108/FO$8*FO$7*KVARDI,2))</f>
        <v/>
      </c>
      <c r="FQ108" s="39"/>
      <c r="FR108" s="40" t="str">
        <f aca="false">IF(OR(INDEX(Undirviðmið!$G$6:$G$105,(COLUMN()-7-1)/2+1)&lt;&gt;"Starfsbundið",FQ108="",FQ$8="",FQ$7=""),"",ROUND(FQ108/FQ$8*FQ$7*KVARDI,2))</f>
        <v/>
      </c>
      <c r="FS108" s="39"/>
      <c r="FT108" s="40" t="str">
        <f aca="false">IF(OR(INDEX(Undirviðmið!$G$6:$G$105,(COLUMN()-7-1)/2+1)&lt;&gt;"Starfsbundið",FS108="",FS$8="",FS$7=""),"",ROUND(FS108/FS$8*FS$7*KVARDI,2))</f>
        <v/>
      </c>
      <c r="FU108" s="39"/>
      <c r="FV108" s="40" t="str">
        <f aca="false">IF(OR(INDEX(Undirviðmið!$G$6:$G$105,(COLUMN()-7-1)/2+1)&lt;&gt;"Starfsbundið",FU108="",FU$8="",FU$7=""),"",ROUND(FU108/FU$8*FU$7*KVARDI,2))</f>
        <v/>
      </c>
      <c r="FW108" s="39"/>
      <c r="FX108" s="40" t="str">
        <f aca="false">IF(OR(INDEX(Undirviðmið!$G$6:$G$105,(COLUMN()-7-1)/2+1)&lt;&gt;"Starfsbundið",FW108="",FW$8="",FW$7=""),"",ROUND(FW108/FW$8*FW$7*KVARDI,2))</f>
        <v/>
      </c>
      <c r="FY108" s="39"/>
      <c r="FZ108" s="40" t="str">
        <f aca="false">IF(OR(INDEX(Undirviðmið!$G$6:$G$105,(COLUMN()-7-1)/2+1)&lt;&gt;"Starfsbundið",FY108="",FY$8="",FY$7=""),"",ROUND(FY108/FY$8*FY$7*KVARDI,2))</f>
        <v/>
      </c>
      <c r="GA108" s="39"/>
      <c r="GB108" s="40" t="str">
        <f aca="false">IF(OR(INDEX(Undirviðmið!$G$6:$G$105,(COLUMN()-7-1)/2+1)&lt;&gt;"Starfsbundið",GA108="",GA$8="",GA$7=""),"",ROUND(GA108/GA$8*GA$7*KVARDI,2))</f>
        <v/>
      </c>
      <c r="GC108" s="39"/>
      <c r="GD108" s="40" t="str">
        <f aca="false">IF(OR(INDEX(Undirviðmið!$G$6:$G$105,(COLUMN()-7-1)/2+1)&lt;&gt;"Starfsbundið",GC108="",GC$8="",GC$7=""),"",ROUND(GC108/GC$8*GC$7*KVARDI,2))</f>
        <v/>
      </c>
      <c r="GE108" s="39"/>
      <c r="GF108" s="40" t="str">
        <f aca="false">IF(OR(INDEX(Undirviðmið!$G$6:$G$105,(COLUMN()-7-1)/2+1)&lt;&gt;"Starfsbundið",GE108="",GE$8="",GE$7=""),"",ROUND(GE108/GE$8*GE$7*KVARDI,2))</f>
        <v/>
      </c>
      <c r="GG108" s="39"/>
      <c r="GH108" s="40" t="str">
        <f aca="false">IF(OR(INDEX(Undirviðmið!$G$6:$G$105,(COLUMN()-7-1)/2+1)&lt;&gt;"Starfsbundið",GG108="",GG$8="",GG$7=""),"",ROUND(GG108/GG$8*GG$7*KVARDI,2))</f>
        <v/>
      </c>
      <c r="GI108" s="39"/>
      <c r="GJ108" s="40" t="str">
        <f aca="false">IF(OR(INDEX(Undirviðmið!$G$6:$G$105,(COLUMN()-7-1)/2+1)&lt;&gt;"Starfsbundið",GI108="",GI$8="",GI$7=""),"",ROUND(GI108/GI$8*GI$7*KVARDI,2))</f>
        <v/>
      </c>
      <c r="GK108" s="39"/>
      <c r="GL108" s="40" t="str">
        <f aca="false">IF(OR(INDEX(Undirviðmið!$G$6:$G$105,(COLUMN()-7-1)/2+1)&lt;&gt;"Starfsbundið",GK108="",GK$8="",GK$7=""),"",ROUND(GK108/GK$8*GK$7*KVARDI,2))</f>
        <v/>
      </c>
      <c r="GM108" s="39"/>
      <c r="GN108" s="40" t="str">
        <f aca="false">IF(OR(INDEX(Undirviðmið!$G$6:$G$105,(COLUMN()-7-1)/2+1)&lt;&gt;"Starfsbundið",GM108="",GM$8="",GM$7=""),"",ROUND(GM108/GM$8*GM$7*KVARDI,2))</f>
        <v/>
      </c>
      <c r="GO108" s="39"/>
      <c r="GP108" s="40" t="str">
        <f aca="false">IF(OR(INDEX(Undirviðmið!$G$6:$G$105,(COLUMN()-7-1)/2+1)&lt;&gt;"Starfsbundið",GO108="",GO$8="",GO$7=""),"",ROUND(GO108/GO$8*GO$7*KVARDI,2))</f>
        <v/>
      </c>
      <c r="GQ108" s="39"/>
      <c r="GR108" s="40" t="str">
        <f aca="false">IF(OR(INDEX(Undirviðmið!$G$6:$G$105,(COLUMN()-7-1)/2+1)&lt;&gt;"Starfsbundið",GQ108="",GQ$8="",GQ$7=""),"",ROUND(GQ108/GQ$8*GQ$7*KVARDI,2))</f>
        <v/>
      </c>
      <c r="GS108" s="39"/>
      <c r="GT108" s="40" t="str">
        <f aca="false">IF(OR(INDEX(Undirviðmið!$G$6:$G$105,(COLUMN()-7-1)/2+1)&lt;&gt;"Starfsbundið",GS108="",GS$8="",GS$7=""),"",ROUND(GS108/GS$8*GS$7*KVARDI,2))</f>
        <v/>
      </c>
      <c r="GU108" s="39"/>
      <c r="GV108" s="40" t="str">
        <f aca="false">IF(OR(INDEX(Undirviðmið!$G$6:$G$105,(COLUMN()-7-1)/2+1)&lt;&gt;"Starfsbundið",GU108="",GU$8="",GU$7=""),"",ROUND(GU108/GU$8*GU$7*KVARDI,2))</f>
        <v/>
      </c>
      <c r="GW108" s="39"/>
      <c r="GX108" s="40" t="str">
        <f aca="false">IF(OR(INDEX(Undirviðmið!$G$6:$G$105,(COLUMN()-7-1)/2+1)&lt;&gt;"Starfsbundið",GW108="",GW$8="",GW$7=""),"",ROUND(GW108/GW$8*GW$7*KVARDI,2))</f>
        <v/>
      </c>
      <c r="GZ108" s="20"/>
    </row>
    <row r="109" customFormat="false" ht="15" hidden="true" customHeight="true" outlineLevel="1" collapsed="false">
      <c r="B109" s="37" t="str">
        <f aca="false" t="array" ref="B109:B109">IFERROR(INDEX(Starfsmenn!$C$6:$C$10005,MATCH(0,COUNTIF($B$11:B108,Starfsmenn!$C$6:$C$10005)+(Starfsmenn!$C$6:$C$10005=""),0)),"")</f>
        <v/>
      </c>
      <c r="C109" s="38" t="n">
        <f aca="false">IFERROR(SUMIF($G$10:$GX$10,"Stig",$G109:$GX109),0)</f>
        <v>0</v>
      </c>
      <c r="G109" s="39"/>
      <c r="H109" s="40" t="str">
        <f aca="false">IF(OR(INDEX(Undirviðmið!$G$6:$G$105,(COLUMN()-7-1)/2+1)&lt;&gt;"Starfsbundið",G109="",G$8="",G$7=""),"",ROUND(G109/G$8*G$7*KVARDI,2))</f>
        <v/>
      </c>
      <c r="I109" s="39"/>
      <c r="J109" s="40" t="str">
        <f aca="false">IF(OR(INDEX(Undirviðmið!$G$6:$G$105,(COLUMN()-7-1)/2+1)&lt;&gt;"Starfsbundið",I109="",I$8="",I$7=""),"",ROUND(I109/I$8*I$7*KVARDI,2))</f>
        <v/>
      </c>
      <c r="K109" s="39"/>
      <c r="L109" s="40" t="str">
        <f aca="false">IF(OR(INDEX(Undirviðmið!$G$6:$G$105,(COLUMN()-7-1)/2+1)&lt;&gt;"Starfsbundið",K109="",K$8="",K$7=""),"",ROUND(K109/K$8*K$7*KVARDI,2))</f>
        <v/>
      </c>
      <c r="M109" s="39"/>
      <c r="N109" s="40" t="str">
        <f aca="false">IF(OR(INDEX(Undirviðmið!$G$6:$G$105,(COLUMN()-7-1)/2+1)&lt;&gt;"Starfsbundið",M109="",M$8="",M$7=""),"",ROUND(M109/M$8*M$7*KVARDI,2))</f>
        <v/>
      </c>
      <c r="O109" s="39"/>
      <c r="P109" s="40" t="str">
        <f aca="false">IF(OR(INDEX(Undirviðmið!$G$6:$G$105,(COLUMN()-7-1)/2+1)&lt;&gt;"Starfsbundið",O109="",O$8="",O$7=""),"",ROUND(O109/O$8*O$7*KVARDI,2))</f>
        <v/>
      </c>
      <c r="Q109" s="39"/>
      <c r="R109" s="40" t="str">
        <f aca="false">IF(OR(INDEX(Undirviðmið!$G$6:$G$105,(COLUMN()-7-1)/2+1)&lt;&gt;"Starfsbundið",Q109="",Q$8="",Q$7=""),"",ROUND(Q109/Q$8*Q$7*KVARDI,2))</f>
        <v/>
      </c>
      <c r="S109" s="39"/>
      <c r="T109" s="40" t="str">
        <f aca="false">IF(OR(INDEX(Undirviðmið!$G$6:$G$105,(COLUMN()-7-1)/2+1)&lt;&gt;"Starfsbundið",S109="",S$8="",S$7=""),"",ROUND(S109/S$8*S$7*KVARDI,2))</f>
        <v/>
      </c>
      <c r="U109" s="39"/>
      <c r="V109" s="40" t="str">
        <f aca="false">IF(OR(INDEX(Undirviðmið!$G$6:$G$105,(COLUMN()-7-1)/2+1)&lt;&gt;"Starfsbundið",U109="",U$8="",U$7=""),"",ROUND(U109/U$8*U$7*KVARDI,2))</f>
        <v/>
      </c>
      <c r="W109" s="39"/>
      <c r="X109" s="40" t="str">
        <f aca="false">IF(OR(INDEX(Undirviðmið!$G$6:$G$105,(COLUMN()-7-1)/2+1)&lt;&gt;"Starfsbundið",W109="",W$8="",W$7=""),"",ROUND(W109/W$8*W$7*KVARDI,2))</f>
        <v/>
      </c>
      <c r="Y109" s="39"/>
      <c r="Z109" s="40" t="str">
        <f aca="false">IF(OR(INDEX(Undirviðmið!$G$6:$G$105,(COLUMN()-7-1)/2+1)&lt;&gt;"Starfsbundið",Y109="",Y$8="",Y$7=""),"",ROUND(Y109/Y$8*Y$7*KVARDI,2))</f>
        <v/>
      </c>
      <c r="AA109" s="39"/>
      <c r="AB109" s="40" t="str">
        <f aca="false">IF(OR(INDEX(Undirviðmið!$G$6:$G$105,(COLUMN()-7-1)/2+1)&lt;&gt;"Starfsbundið",AA109="",AA$8="",AA$7=""),"",ROUND(AA109/AA$8*AA$7*KVARDI,2))</f>
        <v/>
      </c>
      <c r="AC109" s="39"/>
      <c r="AD109" s="40" t="str">
        <f aca="false">IF(OR(INDEX(Undirviðmið!$G$6:$G$105,(COLUMN()-7-1)/2+1)&lt;&gt;"Starfsbundið",AC109="",AC$8="",AC$7=""),"",ROUND(AC109/AC$8*AC$7*KVARDI,2))</f>
        <v/>
      </c>
      <c r="AE109" s="39"/>
      <c r="AF109" s="40" t="str">
        <f aca="false">IF(OR(INDEX(Undirviðmið!$G$6:$G$105,(COLUMN()-7-1)/2+1)&lt;&gt;"Starfsbundið",AE109="",AE$8="",AE$7=""),"",ROUND(AE109/AE$8*AE$7*KVARDI,2))</f>
        <v/>
      </c>
      <c r="AG109" s="39"/>
      <c r="AH109" s="40" t="str">
        <f aca="false">IF(OR(INDEX(Undirviðmið!$G$6:$G$105,(COLUMN()-7-1)/2+1)&lt;&gt;"Starfsbundið",AG109="",AG$8="",AG$7=""),"",ROUND(AG109/AG$8*AG$7*KVARDI,2))</f>
        <v/>
      </c>
      <c r="AI109" s="39"/>
      <c r="AJ109" s="40" t="str">
        <f aca="false">IF(OR(INDEX(Undirviðmið!$G$6:$G$105,(COLUMN()-7-1)/2+1)&lt;&gt;"Starfsbundið",AI109="",AI$8="",AI$7=""),"",ROUND(AI109/AI$8*AI$7*KVARDI,2))</f>
        <v/>
      </c>
      <c r="AK109" s="39"/>
      <c r="AL109" s="40" t="str">
        <f aca="false">IF(OR(INDEX(Undirviðmið!$G$6:$G$105,(COLUMN()-7-1)/2+1)&lt;&gt;"Starfsbundið",AK109="",AK$8="",AK$7=""),"",ROUND(AK109/AK$8*AK$7*KVARDI,2))</f>
        <v/>
      </c>
      <c r="AM109" s="39"/>
      <c r="AN109" s="40" t="str">
        <f aca="false">IF(OR(INDEX(Undirviðmið!$G$6:$G$105,(COLUMN()-7-1)/2+1)&lt;&gt;"Starfsbundið",AM109="",AM$8="",AM$7=""),"",ROUND(AM109/AM$8*AM$7*KVARDI,2))</f>
        <v/>
      </c>
      <c r="AO109" s="39"/>
      <c r="AP109" s="40" t="str">
        <f aca="false">IF(OR(INDEX(Undirviðmið!$G$6:$G$105,(COLUMN()-7-1)/2+1)&lt;&gt;"Starfsbundið",AO109="",AO$8="",AO$7=""),"",ROUND(AO109/AO$8*AO$7*KVARDI,2))</f>
        <v/>
      </c>
      <c r="AQ109" s="39"/>
      <c r="AR109" s="40" t="str">
        <f aca="false">IF(OR(INDEX(Undirviðmið!$G$6:$G$105,(COLUMN()-7-1)/2+1)&lt;&gt;"Starfsbundið",AQ109="",AQ$8="",AQ$7=""),"",ROUND(AQ109/AQ$8*AQ$7*KVARDI,2))</f>
        <v/>
      </c>
      <c r="AS109" s="39"/>
      <c r="AT109" s="40" t="str">
        <f aca="false">IF(OR(INDEX(Undirviðmið!$G$6:$G$105,(COLUMN()-7-1)/2+1)&lt;&gt;"Starfsbundið",AS109="",AS$8="",AS$7=""),"",ROUND(AS109/AS$8*AS$7*KVARDI,2))</f>
        <v/>
      </c>
      <c r="AU109" s="39"/>
      <c r="AV109" s="40" t="str">
        <f aca="false">IF(OR(INDEX(Undirviðmið!$G$6:$G$105,(COLUMN()-7-1)/2+1)&lt;&gt;"Starfsbundið",AU109="",AU$8="",AU$7=""),"",ROUND(AU109/AU$8*AU$7*KVARDI,2))</f>
        <v/>
      </c>
      <c r="AW109" s="39"/>
      <c r="AX109" s="40" t="str">
        <f aca="false">IF(OR(INDEX(Undirviðmið!$G$6:$G$105,(COLUMN()-7-1)/2+1)&lt;&gt;"Starfsbundið",AW109="",AW$8="",AW$7=""),"",ROUND(AW109/AW$8*AW$7*KVARDI,2))</f>
        <v/>
      </c>
      <c r="AY109" s="39"/>
      <c r="AZ109" s="40" t="str">
        <f aca="false">IF(OR(INDEX(Undirviðmið!$G$6:$G$105,(COLUMN()-7-1)/2+1)&lt;&gt;"Starfsbundið",AY109="",AY$8="",AY$7=""),"",ROUND(AY109/AY$8*AY$7*KVARDI,2))</f>
        <v/>
      </c>
      <c r="BA109" s="39"/>
      <c r="BB109" s="40" t="str">
        <f aca="false">IF(OR(INDEX(Undirviðmið!$G$6:$G$105,(COLUMN()-7-1)/2+1)&lt;&gt;"Starfsbundið",BA109="",BA$8="",BA$7=""),"",ROUND(BA109/BA$8*BA$7*KVARDI,2))</f>
        <v/>
      </c>
      <c r="BC109" s="39"/>
      <c r="BD109" s="40" t="str">
        <f aca="false">IF(OR(INDEX(Undirviðmið!$G$6:$G$105,(COLUMN()-7-1)/2+1)&lt;&gt;"Starfsbundið",BC109="",BC$8="",BC$7=""),"",ROUND(BC109/BC$8*BC$7*KVARDI,2))</f>
        <v/>
      </c>
      <c r="BE109" s="39"/>
      <c r="BF109" s="40" t="str">
        <f aca="false">IF(OR(INDEX(Undirviðmið!$G$6:$G$105,(COLUMN()-7-1)/2+1)&lt;&gt;"Starfsbundið",BE109="",BE$8="",BE$7=""),"",ROUND(BE109/BE$8*BE$7*KVARDI,2))</f>
        <v/>
      </c>
      <c r="BG109" s="39"/>
      <c r="BH109" s="40" t="str">
        <f aca="false">IF(OR(INDEX(Undirviðmið!$G$6:$G$105,(COLUMN()-7-1)/2+1)&lt;&gt;"Starfsbundið",BG109="",BG$8="",BG$7=""),"",ROUND(BG109/BG$8*BG$7*KVARDI,2))</f>
        <v/>
      </c>
      <c r="BI109" s="39"/>
      <c r="BJ109" s="40" t="str">
        <f aca="false">IF(OR(INDEX(Undirviðmið!$G$6:$G$105,(COLUMN()-7-1)/2+1)&lt;&gt;"Starfsbundið",BI109="",BI$8="",BI$7=""),"",ROUND(BI109/BI$8*BI$7*KVARDI,2))</f>
        <v/>
      </c>
      <c r="BK109" s="39"/>
      <c r="BL109" s="40" t="str">
        <f aca="false">IF(OR(INDEX(Undirviðmið!$G$6:$G$105,(COLUMN()-7-1)/2+1)&lt;&gt;"Starfsbundið",BK109="",BK$8="",BK$7=""),"",ROUND(BK109/BK$8*BK$7*KVARDI,2))</f>
        <v/>
      </c>
      <c r="BM109" s="39"/>
      <c r="BN109" s="40" t="str">
        <f aca="false">IF(OR(INDEX(Undirviðmið!$G$6:$G$105,(COLUMN()-7-1)/2+1)&lt;&gt;"Starfsbundið",BM109="",BM$8="",BM$7=""),"",ROUND(BM109/BM$8*BM$7*KVARDI,2))</f>
        <v/>
      </c>
      <c r="BO109" s="39"/>
      <c r="BP109" s="40" t="str">
        <f aca="false">IF(OR(INDEX(Undirviðmið!$G$6:$G$105,(COLUMN()-7-1)/2+1)&lt;&gt;"Starfsbundið",BO109="",BO$8="",BO$7=""),"",ROUND(BO109/BO$8*BO$7*KVARDI,2))</f>
        <v/>
      </c>
      <c r="BQ109" s="39"/>
      <c r="BR109" s="40" t="str">
        <f aca="false">IF(OR(INDEX(Undirviðmið!$G$6:$G$105,(COLUMN()-7-1)/2+1)&lt;&gt;"Starfsbundið",BQ109="",BQ$8="",BQ$7=""),"",ROUND(BQ109/BQ$8*BQ$7*KVARDI,2))</f>
        <v/>
      </c>
      <c r="BS109" s="39"/>
      <c r="BT109" s="40" t="str">
        <f aca="false">IF(OR(INDEX(Undirviðmið!$G$6:$G$105,(COLUMN()-7-1)/2+1)&lt;&gt;"Starfsbundið",BS109="",BS$8="",BS$7=""),"",ROUND(BS109/BS$8*BS$7*KVARDI,2))</f>
        <v/>
      </c>
      <c r="BU109" s="39"/>
      <c r="BV109" s="40" t="str">
        <f aca="false">IF(OR(INDEX(Undirviðmið!$G$6:$G$105,(COLUMN()-7-1)/2+1)&lt;&gt;"Starfsbundið",BU109="",BU$8="",BU$7=""),"",ROUND(BU109/BU$8*BU$7*KVARDI,2))</f>
        <v/>
      </c>
      <c r="BW109" s="39"/>
      <c r="BX109" s="40" t="str">
        <f aca="false">IF(OR(INDEX(Undirviðmið!$G$6:$G$105,(COLUMN()-7-1)/2+1)&lt;&gt;"Starfsbundið",BW109="",BW$8="",BW$7=""),"",ROUND(BW109/BW$8*BW$7*KVARDI,2))</f>
        <v/>
      </c>
      <c r="BY109" s="39"/>
      <c r="BZ109" s="40" t="str">
        <f aca="false">IF(OR(INDEX(Undirviðmið!$G$6:$G$105,(COLUMN()-7-1)/2+1)&lt;&gt;"Starfsbundið",BY109="",BY$8="",BY$7=""),"",ROUND(BY109/BY$8*BY$7*KVARDI,2))</f>
        <v/>
      </c>
      <c r="CA109" s="39"/>
      <c r="CB109" s="40" t="str">
        <f aca="false">IF(OR(INDEX(Undirviðmið!$G$6:$G$105,(COLUMN()-7-1)/2+1)&lt;&gt;"Starfsbundið",CA109="",CA$8="",CA$7=""),"",ROUND(CA109/CA$8*CA$7*KVARDI,2))</f>
        <v/>
      </c>
      <c r="CC109" s="39"/>
      <c r="CD109" s="40" t="str">
        <f aca="false">IF(OR(INDEX(Undirviðmið!$G$6:$G$105,(COLUMN()-7-1)/2+1)&lt;&gt;"Starfsbundið",CC109="",CC$8="",CC$7=""),"",ROUND(CC109/CC$8*CC$7*KVARDI,2))</f>
        <v/>
      </c>
      <c r="CE109" s="39"/>
      <c r="CF109" s="40" t="str">
        <f aca="false">IF(OR(INDEX(Undirviðmið!$G$6:$G$105,(COLUMN()-7-1)/2+1)&lt;&gt;"Starfsbundið",CE109="",CE$8="",CE$7=""),"",ROUND(CE109/CE$8*CE$7*KVARDI,2))</f>
        <v/>
      </c>
      <c r="CG109" s="39"/>
      <c r="CH109" s="40" t="str">
        <f aca="false">IF(OR(INDEX(Undirviðmið!$G$6:$G$105,(COLUMN()-7-1)/2+1)&lt;&gt;"Starfsbundið",CG109="",CG$8="",CG$7=""),"",ROUND(CG109/CG$8*CG$7*KVARDI,2))</f>
        <v/>
      </c>
      <c r="CI109" s="39"/>
      <c r="CJ109" s="40" t="str">
        <f aca="false">IF(OR(INDEX(Undirviðmið!$G$6:$G$105,(COLUMN()-7-1)/2+1)&lt;&gt;"Starfsbundið",CI109="",CI$8="",CI$7=""),"",ROUND(CI109/CI$8*CI$7*KVARDI,2))</f>
        <v/>
      </c>
      <c r="CK109" s="39"/>
      <c r="CL109" s="40" t="str">
        <f aca="false">IF(OR(INDEX(Undirviðmið!$G$6:$G$105,(COLUMN()-7-1)/2+1)&lt;&gt;"Starfsbundið",CK109="",CK$8="",CK$7=""),"",ROUND(CK109/CK$8*CK$7*KVARDI,2))</f>
        <v/>
      </c>
      <c r="CM109" s="39"/>
      <c r="CN109" s="40" t="str">
        <f aca="false">IF(OR(INDEX(Undirviðmið!$G$6:$G$105,(COLUMN()-7-1)/2+1)&lt;&gt;"Starfsbundið",CM109="",CM$8="",CM$7=""),"",ROUND(CM109/CM$8*CM$7*KVARDI,2))</f>
        <v/>
      </c>
      <c r="CO109" s="39"/>
      <c r="CP109" s="40" t="str">
        <f aca="false">IF(OR(INDEX(Undirviðmið!$G$6:$G$105,(COLUMN()-7-1)/2+1)&lt;&gt;"Starfsbundið",CO109="",CO$8="",CO$7=""),"",ROUND(CO109/CO$8*CO$7*KVARDI,2))</f>
        <v/>
      </c>
      <c r="CQ109" s="39"/>
      <c r="CR109" s="40" t="str">
        <f aca="false">IF(OR(INDEX(Undirviðmið!$G$6:$G$105,(COLUMN()-7-1)/2+1)&lt;&gt;"Starfsbundið",CQ109="",CQ$8="",CQ$7=""),"",ROUND(CQ109/CQ$8*CQ$7*KVARDI,2))</f>
        <v/>
      </c>
      <c r="CS109" s="39"/>
      <c r="CT109" s="40" t="str">
        <f aca="false">IF(OR(INDEX(Undirviðmið!$G$6:$G$105,(COLUMN()-7-1)/2+1)&lt;&gt;"Starfsbundið",CS109="",CS$8="",CS$7=""),"",ROUND(CS109/CS$8*CS$7*KVARDI,2))</f>
        <v/>
      </c>
      <c r="CU109" s="39"/>
      <c r="CV109" s="40" t="str">
        <f aca="false">IF(OR(INDEX(Undirviðmið!$G$6:$G$105,(COLUMN()-7-1)/2+1)&lt;&gt;"Starfsbundið",CU109="",CU$8="",CU$7=""),"",ROUND(CU109/CU$8*CU$7*KVARDI,2))</f>
        <v/>
      </c>
      <c r="CW109" s="39"/>
      <c r="CX109" s="40" t="str">
        <f aca="false">IF(OR(INDEX(Undirviðmið!$G$6:$G$105,(COLUMN()-7-1)/2+1)&lt;&gt;"Starfsbundið",CW109="",CW$8="",CW$7=""),"",ROUND(CW109/CW$8*CW$7*KVARDI,2))</f>
        <v/>
      </c>
      <c r="CY109" s="39"/>
      <c r="CZ109" s="40" t="str">
        <f aca="false">IF(OR(INDEX(Undirviðmið!$G$6:$G$105,(COLUMN()-7-1)/2+1)&lt;&gt;"Starfsbundið",CY109="",CY$8="",CY$7=""),"",ROUND(CY109/CY$8*CY$7*KVARDI,2))</f>
        <v/>
      </c>
      <c r="DA109" s="39"/>
      <c r="DB109" s="40" t="str">
        <f aca="false">IF(OR(INDEX(Undirviðmið!$G$6:$G$105,(COLUMN()-7-1)/2+1)&lt;&gt;"Starfsbundið",DA109="",DA$8="",DA$7=""),"",ROUND(DA109/DA$8*DA$7*KVARDI,2))</f>
        <v/>
      </c>
      <c r="DC109" s="39"/>
      <c r="DD109" s="40" t="str">
        <f aca="false">IF(OR(INDEX(Undirviðmið!$G$6:$G$105,(COLUMN()-7-1)/2+1)&lt;&gt;"Starfsbundið",DC109="",DC$8="",DC$7=""),"",ROUND(DC109/DC$8*DC$7*KVARDI,2))</f>
        <v/>
      </c>
      <c r="DE109" s="39"/>
      <c r="DF109" s="40" t="str">
        <f aca="false">IF(OR(INDEX(Undirviðmið!$G$6:$G$105,(COLUMN()-7-1)/2+1)&lt;&gt;"Starfsbundið",DE109="",DE$8="",DE$7=""),"",ROUND(DE109/DE$8*DE$7*KVARDI,2))</f>
        <v/>
      </c>
      <c r="DG109" s="39"/>
      <c r="DH109" s="40" t="str">
        <f aca="false">IF(OR(INDEX(Undirviðmið!$G$6:$G$105,(COLUMN()-7-1)/2+1)&lt;&gt;"Starfsbundið",DG109="",DG$8="",DG$7=""),"",ROUND(DG109/DG$8*DG$7*KVARDI,2))</f>
        <v/>
      </c>
      <c r="DI109" s="39"/>
      <c r="DJ109" s="40" t="str">
        <f aca="false">IF(OR(INDEX(Undirviðmið!$G$6:$G$105,(COLUMN()-7-1)/2+1)&lt;&gt;"Starfsbundið",DI109="",DI$8="",DI$7=""),"",ROUND(DI109/DI$8*DI$7*KVARDI,2))</f>
        <v/>
      </c>
      <c r="DK109" s="39"/>
      <c r="DL109" s="40" t="str">
        <f aca="false">IF(OR(INDEX(Undirviðmið!$G$6:$G$105,(COLUMN()-7-1)/2+1)&lt;&gt;"Starfsbundið",DK109="",DK$8="",DK$7=""),"",ROUND(DK109/DK$8*DK$7*KVARDI,2))</f>
        <v/>
      </c>
      <c r="DM109" s="39"/>
      <c r="DN109" s="40" t="str">
        <f aca="false">IF(OR(INDEX(Undirviðmið!$G$6:$G$105,(COLUMN()-7-1)/2+1)&lt;&gt;"Starfsbundið",DM109="",DM$8="",DM$7=""),"",ROUND(DM109/DM$8*DM$7*KVARDI,2))</f>
        <v/>
      </c>
      <c r="DO109" s="39"/>
      <c r="DP109" s="40" t="str">
        <f aca="false">IF(OR(INDEX(Undirviðmið!$G$6:$G$105,(COLUMN()-7-1)/2+1)&lt;&gt;"Starfsbundið",DO109="",DO$8="",DO$7=""),"",ROUND(DO109/DO$8*DO$7*KVARDI,2))</f>
        <v/>
      </c>
      <c r="DQ109" s="39"/>
      <c r="DR109" s="40" t="str">
        <f aca="false">IF(OR(INDEX(Undirviðmið!$G$6:$G$105,(COLUMN()-7-1)/2+1)&lt;&gt;"Starfsbundið",DQ109="",DQ$8="",DQ$7=""),"",ROUND(DQ109/DQ$8*DQ$7*KVARDI,2))</f>
        <v/>
      </c>
      <c r="DS109" s="39"/>
      <c r="DT109" s="40" t="str">
        <f aca="false">IF(OR(INDEX(Undirviðmið!$G$6:$G$105,(COLUMN()-7-1)/2+1)&lt;&gt;"Starfsbundið",DS109="",DS$8="",DS$7=""),"",ROUND(DS109/DS$8*DS$7*KVARDI,2))</f>
        <v/>
      </c>
      <c r="DU109" s="39"/>
      <c r="DV109" s="40" t="str">
        <f aca="false">IF(OR(INDEX(Undirviðmið!$G$6:$G$105,(COLUMN()-7-1)/2+1)&lt;&gt;"Starfsbundið",DU109="",DU$8="",DU$7=""),"",ROUND(DU109/DU$8*DU$7*KVARDI,2))</f>
        <v/>
      </c>
      <c r="DW109" s="39"/>
      <c r="DX109" s="40" t="str">
        <f aca="false">IF(OR(INDEX(Undirviðmið!$G$6:$G$105,(COLUMN()-7-1)/2+1)&lt;&gt;"Starfsbundið",DW109="",DW$8="",DW$7=""),"",ROUND(DW109/DW$8*DW$7*KVARDI,2))</f>
        <v/>
      </c>
      <c r="DY109" s="39"/>
      <c r="DZ109" s="40" t="str">
        <f aca="false">IF(OR(INDEX(Undirviðmið!$G$6:$G$105,(COLUMN()-7-1)/2+1)&lt;&gt;"Starfsbundið",DY109="",DY$8="",DY$7=""),"",ROUND(DY109/DY$8*DY$7*KVARDI,2))</f>
        <v/>
      </c>
      <c r="EA109" s="39"/>
      <c r="EB109" s="40" t="str">
        <f aca="false">IF(OR(INDEX(Undirviðmið!$G$6:$G$105,(COLUMN()-7-1)/2+1)&lt;&gt;"Starfsbundið",EA109="",EA$8="",EA$7=""),"",ROUND(EA109/EA$8*EA$7*KVARDI,2))</f>
        <v/>
      </c>
      <c r="EC109" s="39"/>
      <c r="ED109" s="40" t="str">
        <f aca="false">IF(OR(INDEX(Undirviðmið!$G$6:$G$105,(COLUMN()-7-1)/2+1)&lt;&gt;"Starfsbundið",EC109="",EC$8="",EC$7=""),"",ROUND(EC109/EC$8*EC$7*KVARDI,2))</f>
        <v/>
      </c>
      <c r="EE109" s="39"/>
      <c r="EF109" s="40" t="str">
        <f aca="false">IF(OR(INDEX(Undirviðmið!$G$6:$G$105,(COLUMN()-7-1)/2+1)&lt;&gt;"Starfsbundið",EE109="",EE$8="",EE$7=""),"",ROUND(EE109/EE$8*EE$7*KVARDI,2))</f>
        <v/>
      </c>
      <c r="EG109" s="39"/>
      <c r="EH109" s="40" t="str">
        <f aca="false">IF(OR(INDEX(Undirviðmið!$G$6:$G$105,(COLUMN()-7-1)/2+1)&lt;&gt;"Starfsbundið",EG109="",EG$8="",EG$7=""),"",ROUND(EG109/EG$8*EG$7*KVARDI,2))</f>
        <v/>
      </c>
      <c r="EI109" s="39"/>
      <c r="EJ109" s="40" t="str">
        <f aca="false">IF(OR(INDEX(Undirviðmið!$G$6:$G$105,(COLUMN()-7-1)/2+1)&lt;&gt;"Starfsbundið",EI109="",EI$8="",EI$7=""),"",ROUND(EI109/EI$8*EI$7*KVARDI,2))</f>
        <v/>
      </c>
      <c r="EK109" s="39"/>
      <c r="EL109" s="40" t="str">
        <f aca="false">IF(OR(INDEX(Undirviðmið!$G$6:$G$105,(COLUMN()-7-1)/2+1)&lt;&gt;"Starfsbundið",EK109="",EK$8="",EK$7=""),"",ROUND(EK109/EK$8*EK$7*KVARDI,2))</f>
        <v/>
      </c>
      <c r="EM109" s="39"/>
      <c r="EN109" s="40" t="str">
        <f aca="false">IF(OR(INDEX(Undirviðmið!$G$6:$G$105,(COLUMN()-7-1)/2+1)&lt;&gt;"Starfsbundið",EM109="",EM$8="",EM$7=""),"",ROUND(EM109/EM$8*EM$7*KVARDI,2))</f>
        <v/>
      </c>
      <c r="EO109" s="39"/>
      <c r="EP109" s="40" t="str">
        <f aca="false">IF(OR(INDEX(Undirviðmið!$G$6:$G$105,(COLUMN()-7-1)/2+1)&lt;&gt;"Starfsbundið",EO109="",EO$8="",EO$7=""),"",ROUND(EO109/EO$8*EO$7*KVARDI,2))</f>
        <v/>
      </c>
      <c r="EQ109" s="39"/>
      <c r="ER109" s="40" t="str">
        <f aca="false">IF(OR(INDEX(Undirviðmið!$G$6:$G$105,(COLUMN()-7-1)/2+1)&lt;&gt;"Starfsbundið",EQ109="",EQ$8="",EQ$7=""),"",ROUND(EQ109/EQ$8*EQ$7*KVARDI,2))</f>
        <v/>
      </c>
      <c r="ES109" s="39"/>
      <c r="ET109" s="40" t="str">
        <f aca="false">IF(OR(INDEX(Undirviðmið!$G$6:$G$105,(COLUMN()-7-1)/2+1)&lt;&gt;"Starfsbundið",ES109="",ES$8="",ES$7=""),"",ROUND(ES109/ES$8*ES$7*KVARDI,2))</f>
        <v/>
      </c>
      <c r="EU109" s="39"/>
      <c r="EV109" s="40" t="str">
        <f aca="false">IF(OR(INDEX(Undirviðmið!$G$6:$G$105,(COLUMN()-7-1)/2+1)&lt;&gt;"Starfsbundið",EU109="",EU$8="",EU$7=""),"",ROUND(EU109/EU$8*EU$7*KVARDI,2))</f>
        <v/>
      </c>
      <c r="EW109" s="39"/>
      <c r="EX109" s="40" t="str">
        <f aca="false">IF(OR(INDEX(Undirviðmið!$G$6:$G$105,(COLUMN()-7-1)/2+1)&lt;&gt;"Starfsbundið",EW109="",EW$8="",EW$7=""),"",ROUND(EW109/EW$8*EW$7*KVARDI,2))</f>
        <v/>
      </c>
      <c r="EY109" s="39"/>
      <c r="EZ109" s="40" t="str">
        <f aca="false">IF(OR(INDEX(Undirviðmið!$G$6:$G$105,(COLUMN()-7-1)/2+1)&lt;&gt;"Starfsbundið",EY109="",EY$8="",EY$7=""),"",ROUND(EY109/EY$8*EY$7*KVARDI,2))</f>
        <v/>
      </c>
      <c r="FA109" s="39"/>
      <c r="FB109" s="40" t="str">
        <f aca="false">IF(OR(INDEX(Undirviðmið!$G$6:$G$105,(COLUMN()-7-1)/2+1)&lt;&gt;"Starfsbundið",FA109="",FA$8="",FA$7=""),"",ROUND(FA109/FA$8*FA$7*KVARDI,2))</f>
        <v/>
      </c>
      <c r="FC109" s="39"/>
      <c r="FD109" s="40" t="str">
        <f aca="false">IF(OR(INDEX(Undirviðmið!$G$6:$G$105,(COLUMN()-7-1)/2+1)&lt;&gt;"Starfsbundið",FC109="",FC$8="",FC$7=""),"",ROUND(FC109/FC$8*FC$7*KVARDI,2))</f>
        <v/>
      </c>
      <c r="FE109" s="39"/>
      <c r="FF109" s="40" t="str">
        <f aca="false">IF(OR(INDEX(Undirviðmið!$G$6:$G$105,(COLUMN()-7-1)/2+1)&lt;&gt;"Starfsbundið",FE109="",FE$8="",FE$7=""),"",ROUND(FE109/FE$8*FE$7*KVARDI,2))</f>
        <v/>
      </c>
      <c r="FG109" s="39"/>
      <c r="FH109" s="40" t="str">
        <f aca="false">IF(OR(INDEX(Undirviðmið!$G$6:$G$105,(COLUMN()-7-1)/2+1)&lt;&gt;"Starfsbundið",FG109="",FG$8="",FG$7=""),"",ROUND(FG109/FG$8*FG$7*KVARDI,2))</f>
        <v/>
      </c>
      <c r="FI109" s="39"/>
      <c r="FJ109" s="40" t="str">
        <f aca="false">IF(OR(INDEX(Undirviðmið!$G$6:$G$105,(COLUMN()-7-1)/2+1)&lt;&gt;"Starfsbundið",FI109="",FI$8="",FI$7=""),"",ROUND(FI109/FI$8*FI$7*KVARDI,2))</f>
        <v/>
      </c>
      <c r="FK109" s="39"/>
      <c r="FL109" s="40" t="str">
        <f aca="false">IF(OR(INDEX(Undirviðmið!$G$6:$G$105,(COLUMN()-7-1)/2+1)&lt;&gt;"Starfsbundið",FK109="",FK$8="",FK$7=""),"",ROUND(FK109/FK$8*FK$7*KVARDI,2))</f>
        <v/>
      </c>
      <c r="FM109" s="39"/>
      <c r="FN109" s="40" t="str">
        <f aca="false">IF(OR(INDEX(Undirviðmið!$G$6:$G$105,(COLUMN()-7-1)/2+1)&lt;&gt;"Starfsbundið",FM109="",FM$8="",FM$7=""),"",ROUND(FM109/FM$8*FM$7*KVARDI,2))</f>
        <v/>
      </c>
      <c r="FO109" s="39"/>
      <c r="FP109" s="40" t="str">
        <f aca="false">IF(OR(INDEX(Undirviðmið!$G$6:$G$105,(COLUMN()-7-1)/2+1)&lt;&gt;"Starfsbundið",FO109="",FO$8="",FO$7=""),"",ROUND(FO109/FO$8*FO$7*KVARDI,2))</f>
        <v/>
      </c>
      <c r="FQ109" s="39"/>
      <c r="FR109" s="40" t="str">
        <f aca="false">IF(OR(INDEX(Undirviðmið!$G$6:$G$105,(COLUMN()-7-1)/2+1)&lt;&gt;"Starfsbundið",FQ109="",FQ$8="",FQ$7=""),"",ROUND(FQ109/FQ$8*FQ$7*KVARDI,2))</f>
        <v/>
      </c>
      <c r="FS109" s="39"/>
      <c r="FT109" s="40" t="str">
        <f aca="false">IF(OR(INDEX(Undirviðmið!$G$6:$G$105,(COLUMN()-7-1)/2+1)&lt;&gt;"Starfsbundið",FS109="",FS$8="",FS$7=""),"",ROUND(FS109/FS$8*FS$7*KVARDI,2))</f>
        <v/>
      </c>
      <c r="FU109" s="39"/>
      <c r="FV109" s="40" t="str">
        <f aca="false">IF(OR(INDEX(Undirviðmið!$G$6:$G$105,(COLUMN()-7-1)/2+1)&lt;&gt;"Starfsbundið",FU109="",FU$8="",FU$7=""),"",ROUND(FU109/FU$8*FU$7*KVARDI,2))</f>
        <v/>
      </c>
      <c r="FW109" s="39"/>
      <c r="FX109" s="40" t="str">
        <f aca="false">IF(OR(INDEX(Undirviðmið!$G$6:$G$105,(COLUMN()-7-1)/2+1)&lt;&gt;"Starfsbundið",FW109="",FW$8="",FW$7=""),"",ROUND(FW109/FW$8*FW$7*KVARDI,2))</f>
        <v/>
      </c>
      <c r="FY109" s="39"/>
      <c r="FZ109" s="40" t="str">
        <f aca="false">IF(OR(INDEX(Undirviðmið!$G$6:$G$105,(COLUMN()-7-1)/2+1)&lt;&gt;"Starfsbundið",FY109="",FY$8="",FY$7=""),"",ROUND(FY109/FY$8*FY$7*KVARDI,2))</f>
        <v/>
      </c>
      <c r="GA109" s="39"/>
      <c r="GB109" s="40" t="str">
        <f aca="false">IF(OR(INDEX(Undirviðmið!$G$6:$G$105,(COLUMN()-7-1)/2+1)&lt;&gt;"Starfsbundið",GA109="",GA$8="",GA$7=""),"",ROUND(GA109/GA$8*GA$7*KVARDI,2))</f>
        <v/>
      </c>
      <c r="GC109" s="39"/>
      <c r="GD109" s="40" t="str">
        <f aca="false">IF(OR(INDEX(Undirviðmið!$G$6:$G$105,(COLUMN()-7-1)/2+1)&lt;&gt;"Starfsbundið",GC109="",GC$8="",GC$7=""),"",ROUND(GC109/GC$8*GC$7*KVARDI,2))</f>
        <v/>
      </c>
      <c r="GE109" s="39"/>
      <c r="GF109" s="40" t="str">
        <f aca="false">IF(OR(INDEX(Undirviðmið!$G$6:$G$105,(COLUMN()-7-1)/2+1)&lt;&gt;"Starfsbundið",GE109="",GE$8="",GE$7=""),"",ROUND(GE109/GE$8*GE$7*KVARDI,2))</f>
        <v/>
      </c>
      <c r="GG109" s="39"/>
      <c r="GH109" s="40" t="str">
        <f aca="false">IF(OR(INDEX(Undirviðmið!$G$6:$G$105,(COLUMN()-7-1)/2+1)&lt;&gt;"Starfsbundið",GG109="",GG$8="",GG$7=""),"",ROUND(GG109/GG$8*GG$7*KVARDI,2))</f>
        <v/>
      </c>
      <c r="GI109" s="39"/>
      <c r="GJ109" s="40" t="str">
        <f aca="false">IF(OR(INDEX(Undirviðmið!$G$6:$G$105,(COLUMN()-7-1)/2+1)&lt;&gt;"Starfsbundið",GI109="",GI$8="",GI$7=""),"",ROUND(GI109/GI$8*GI$7*KVARDI,2))</f>
        <v/>
      </c>
      <c r="GK109" s="39"/>
      <c r="GL109" s="40" t="str">
        <f aca="false">IF(OR(INDEX(Undirviðmið!$G$6:$G$105,(COLUMN()-7-1)/2+1)&lt;&gt;"Starfsbundið",GK109="",GK$8="",GK$7=""),"",ROUND(GK109/GK$8*GK$7*KVARDI,2))</f>
        <v/>
      </c>
      <c r="GM109" s="39"/>
      <c r="GN109" s="40" t="str">
        <f aca="false">IF(OR(INDEX(Undirviðmið!$G$6:$G$105,(COLUMN()-7-1)/2+1)&lt;&gt;"Starfsbundið",GM109="",GM$8="",GM$7=""),"",ROUND(GM109/GM$8*GM$7*KVARDI,2))</f>
        <v/>
      </c>
      <c r="GO109" s="39"/>
      <c r="GP109" s="40" t="str">
        <f aca="false">IF(OR(INDEX(Undirviðmið!$G$6:$G$105,(COLUMN()-7-1)/2+1)&lt;&gt;"Starfsbundið",GO109="",GO$8="",GO$7=""),"",ROUND(GO109/GO$8*GO$7*KVARDI,2))</f>
        <v/>
      </c>
      <c r="GQ109" s="39"/>
      <c r="GR109" s="40" t="str">
        <f aca="false">IF(OR(INDEX(Undirviðmið!$G$6:$G$105,(COLUMN()-7-1)/2+1)&lt;&gt;"Starfsbundið",GQ109="",GQ$8="",GQ$7=""),"",ROUND(GQ109/GQ$8*GQ$7*KVARDI,2))</f>
        <v/>
      </c>
      <c r="GS109" s="39"/>
      <c r="GT109" s="40" t="str">
        <f aca="false">IF(OR(INDEX(Undirviðmið!$G$6:$G$105,(COLUMN()-7-1)/2+1)&lt;&gt;"Starfsbundið",GS109="",GS$8="",GS$7=""),"",ROUND(GS109/GS$8*GS$7*KVARDI,2))</f>
        <v/>
      </c>
      <c r="GU109" s="39"/>
      <c r="GV109" s="40" t="str">
        <f aca="false">IF(OR(INDEX(Undirviðmið!$G$6:$G$105,(COLUMN()-7-1)/2+1)&lt;&gt;"Starfsbundið",GU109="",GU$8="",GU$7=""),"",ROUND(GU109/GU$8*GU$7*KVARDI,2))</f>
        <v/>
      </c>
      <c r="GW109" s="39"/>
      <c r="GX109" s="40" t="str">
        <f aca="false">IF(OR(INDEX(Undirviðmið!$G$6:$G$105,(COLUMN()-7-1)/2+1)&lt;&gt;"Starfsbundið",GW109="",GW$8="",GW$7=""),"",ROUND(GW109/GW$8*GW$7*KVARDI,2))</f>
        <v/>
      </c>
      <c r="GZ109" s="20"/>
    </row>
    <row r="110" customFormat="false" ht="15" hidden="true" customHeight="true" outlineLevel="1" collapsed="false">
      <c r="B110" s="37" t="str">
        <f aca="false" t="array" ref="B110:B110">IFERROR(INDEX(Starfsmenn!$C$6:$C$10005,MATCH(0,COUNTIF($B$11:B109,Starfsmenn!$C$6:$C$10005)+(Starfsmenn!$C$6:$C$10005=""),0)),"")</f>
        <v/>
      </c>
      <c r="C110" s="38" t="n">
        <f aca="false">IFERROR(SUMIF($G$10:$GX$10,"Stig",$G110:$GX110),0)</f>
        <v>0</v>
      </c>
      <c r="G110" s="39"/>
      <c r="H110" s="40" t="str">
        <f aca="false">IF(OR(INDEX(Undirviðmið!$G$6:$G$105,(COLUMN()-7-1)/2+1)&lt;&gt;"Starfsbundið",G110="",G$8="",G$7=""),"",ROUND(G110/G$8*G$7*KVARDI,2))</f>
        <v/>
      </c>
      <c r="I110" s="39"/>
      <c r="J110" s="40" t="str">
        <f aca="false">IF(OR(INDEX(Undirviðmið!$G$6:$G$105,(COLUMN()-7-1)/2+1)&lt;&gt;"Starfsbundið",I110="",I$8="",I$7=""),"",ROUND(I110/I$8*I$7*KVARDI,2))</f>
        <v/>
      </c>
      <c r="K110" s="39"/>
      <c r="L110" s="40" t="str">
        <f aca="false">IF(OR(INDEX(Undirviðmið!$G$6:$G$105,(COLUMN()-7-1)/2+1)&lt;&gt;"Starfsbundið",K110="",K$8="",K$7=""),"",ROUND(K110/K$8*K$7*KVARDI,2))</f>
        <v/>
      </c>
      <c r="M110" s="39"/>
      <c r="N110" s="40" t="str">
        <f aca="false">IF(OR(INDEX(Undirviðmið!$G$6:$G$105,(COLUMN()-7-1)/2+1)&lt;&gt;"Starfsbundið",M110="",M$8="",M$7=""),"",ROUND(M110/M$8*M$7*KVARDI,2))</f>
        <v/>
      </c>
      <c r="O110" s="39"/>
      <c r="P110" s="40" t="str">
        <f aca="false">IF(OR(INDEX(Undirviðmið!$G$6:$G$105,(COLUMN()-7-1)/2+1)&lt;&gt;"Starfsbundið",O110="",O$8="",O$7=""),"",ROUND(O110/O$8*O$7*KVARDI,2))</f>
        <v/>
      </c>
      <c r="Q110" s="39"/>
      <c r="R110" s="40" t="str">
        <f aca="false">IF(OR(INDEX(Undirviðmið!$G$6:$G$105,(COLUMN()-7-1)/2+1)&lt;&gt;"Starfsbundið",Q110="",Q$8="",Q$7=""),"",ROUND(Q110/Q$8*Q$7*KVARDI,2))</f>
        <v/>
      </c>
      <c r="S110" s="39"/>
      <c r="T110" s="40" t="str">
        <f aca="false">IF(OR(INDEX(Undirviðmið!$G$6:$G$105,(COLUMN()-7-1)/2+1)&lt;&gt;"Starfsbundið",S110="",S$8="",S$7=""),"",ROUND(S110/S$8*S$7*KVARDI,2))</f>
        <v/>
      </c>
      <c r="U110" s="39"/>
      <c r="V110" s="40" t="str">
        <f aca="false">IF(OR(INDEX(Undirviðmið!$G$6:$G$105,(COLUMN()-7-1)/2+1)&lt;&gt;"Starfsbundið",U110="",U$8="",U$7=""),"",ROUND(U110/U$8*U$7*KVARDI,2))</f>
        <v/>
      </c>
      <c r="W110" s="39"/>
      <c r="X110" s="40" t="str">
        <f aca="false">IF(OR(INDEX(Undirviðmið!$G$6:$G$105,(COLUMN()-7-1)/2+1)&lt;&gt;"Starfsbundið",W110="",W$8="",W$7=""),"",ROUND(W110/W$8*W$7*KVARDI,2))</f>
        <v/>
      </c>
      <c r="Y110" s="39"/>
      <c r="Z110" s="40" t="str">
        <f aca="false">IF(OR(INDEX(Undirviðmið!$G$6:$G$105,(COLUMN()-7-1)/2+1)&lt;&gt;"Starfsbundið",Y110="",Y$8="",Y$7=""),"",ROUND(Y110/Y$8*Y$7*KVARDI,2))</f>
        <v/>
      </c>
      <c r="AA110" s="39"/>
      <c r="AB110" s="40" t="str">
        <f aca="false">IF(OR(INDEX(Undirviðmið!$G$6:$G$105,(COLUMN()-7-1)/2+1)&lt;&gt;"Starfsbundið",AA110="",AA$8="",AA$7=""),"",ROUND(AA110/AA$8*AA$7*KVARDI,2))</f>
        <v/>
      </c>
      <c r="AC110" s="39"/>
      <c r="AD110" s="40" t="str">
        <f aca="false">IF(OR(INDEX(Undirviðmið!$G$6:$G$105,(COLUMN()-7-1)/2+1)&lt;&gt;"Starfsbundið",AC110="",AC$8="",AC$7=""),"",ROUND(AC110/AC$8*AC$7*KVARDI,2))</f>
        <v/>
      </c>
      <c r="AE110" s="39"/>
      <c r="AF110" s="40" t="str">
        <f aca="false">IF(OR(INDEX(Undirviðmið!$G$6:$G$105,(COLUMN()-7-1)/2+1)&lt;&gt;"Starfsbundið",AE110="",AE$8="",AE$7=""),"",ROUND(AE110/AE$8*AE$7*KVARDI,2))</f>
        <v/>
      </c>
      <c r="AG110" s="39"/>
      <c r="AH110" s="40" t="str">
        <f aca="false">IF(OR(INDEX(Undirviðmið!$G$6:$G$105,(COLUMN()-7-1)/2+1)&lt;&gt;"Starfsbundið",AG110="",AG$8="",AG$7=""),"",ROUND(AG110/AG$8*AG$7*KVARDI,2))</f>
        <v/>
      </c>
      <c r="AI110" s="39"/>
      <c r="AJ110" s="40" t="str">
        <f aca="false">IF(OR(INDEX(Undirviðmið!$G$6:$G$105,(COLUMN()-7-1)/2+1)&lt;&gt;"Starfsbundið",AI110="",AI$8="",AI$7=""),"",ROUND(AI110/AI$8*AI$7*KVARDI,2))</f>
        <v/>
      </c>
      <c r="AK110" s="39"/>
      <c r="AL110" s="40" t="str">
        <f aca="false">IF(OR(INDEX(Undirviðmið!$G$6:$G$105,(COLUMN()-7-1)/2+1)&lt;&gt;"Starfsbundið",AK110="",AK$8="",AK$7=""),"",ROUND(AK110/AK$8*AK$7*KVARDI,2))</f>
        <v/>
      </c>
      <c r="AM110" s="39"/>
      <c r="AN110" s="40" t="str">
        <f aca="false">IF(OR(INDEX(Undirviðmið!$G$6:$G$105,(COLUMN()-7-1)/2+1)&lt;&gt;"Starfsbundið",AM110="",AM$8="",AM$7=""),"",ROUND(AM110/AM$8*AM$7*KVARDI,2))</f>
        <v/>
      </c>
      <c r="AO110" s="39"/>
      <c r="AP110" s="40" t="str">
        <f aca="false">IF(OR(INDEX(Undirviðmið!$G$6:$G$105,(COLUMN()-7-1)/2+1)&lt;&gt;"Starfsbundið",AO110="",AO$8="",AO$7=""),"",ROUND(AO110/AO$8*AO$7*KVARDI,2))</f>
        <v/>
      </c>
      <c r="AQ110" s="39"/>
      <c r="AR110" s="40" t="str">
        <f aca="false">IF(OR(INDEX(Undirviðmið!$G$6:$G$105,(COLUMN()-7-1)/2+1)&lt;&gt;"Starfsbundið",AQ110="",AQ$8="",AQ$7=""),"",ROUND(AQ110/AQ$8*AQ$7*KVARDI,2))</f>
        <v/>
      </c>
      <c r="AS110" s="39"/>
      <c r="AT110" s="40" t="str">
        <f aca="false">IF(OR(INDEX(Undirviðmið!$G$6:$G$105,(COLUMN()-7-1)/2+1)&lt;&gt;"Starfsbundið",AS110="",AS$8="",AS$7=""),"",ROUND(AS110/AS$8*AS$7*KVARDI,2))</f>
        <v/>
      </c>
      <c r="AU110" s="39"/>
      <c r="AV110" s="40" t="str">
        <f aca="false">IF(OR(INDEX(Undirviðmið!$G$6:$G$105,(COLUMN()-7-1)/2+1)&lt;&gt;"Starfsbundið",AU110="",AU$8="",AU$7=""),"",ROUND(AU110/AU$8*AU$7*KVARDI,2))</f>
        <v/>
      </c>
      <c r="AW110" s="39"/>
      <c r="AX110" s="40" t="str">
        <f aca="false">IF(OR(INDEX(Undirviðmið!$G$6:$G$105,(COLUMN()-7-1)/2+1)&lt;&gt;"Starfsbundið",AW110="",AW$8="",AW$7=""),"",ROUND(AW110/AW$8*AW$7*KVARDI,2))</f>
        <v/>
      </c>
      <c r="AY110" s="39"/>
      <c r="AZ110" s="40" t="str">
        <f aca="false">IF(OR(INDEX(Undirviðmið!$G$6:$G$105,(COLUMN()-7-1)/2+1)&lt;&gt;"Starfsbundið",AY110="",AY$8="",AY$7=""),"",ROUND(AY110/AY$8*AY$7*KVARDI,2))</f>
        <v/>
      </c>
      <c r="BA110" s="39"/>
      <c r="BB110" s="40" t="str">
        <f aca="false">IF(OR(INDEX(Undirviðmið!$G$6:$G$105,(COLUMN()-7-1)/2+1)&lt;&gt;"Starfsbundið",BA110="",BA$8="",BA$7=""),"",ROUND(BA110/BA$8*BA$7*KVARDI,2))</f>
        <v/>
      </c>
      <c r="BC110" s="39"/>
      <c r="BD110" s="40" t="str">
        <f aca="false">IF(OR(INDEX(Undirviðmið!$G$6:$G$105,(COLUMN()-7-1)/2+1)&lt;&gt;"Starfsbundið",BC110="",BC$8="",BC$7=""),"",ROUND(BC110/BC$8*BC$7*KVARDI,2))</f>
        <v/>
      </c>
      <c r="BE110" s="39"/>
      <c r="BF110" s="40" t="str">
        <f aca="false">IF(OR(INDEX(Undirviðmið!$G$6:$G$105,(COLUMN()-7-1)/2+1)&lt;&gt;"Starfsbundið",BE110="",BE$8="",BE$7=""),"",ROUND(BE110/BE$8*BE$7*KVARDI,2))</f>
        <v/>
      </c>
      <c r="BG110" s="39"/>
      <c r="BH110" s="40" t="str">
        <f aca="false">IF(OR(INDEX(Undirviðmið!$G$6:$G$105,(COLUMN()-7-1)/2+1)&lt;&gt;"Starfsbundið",BG110="",BG$8="",BG$7=""),"",ROUND(BG110/BG$8*BG$7*KVARDI,2))</f>
        <v/>
      </c>
      <c r="BI110" s="39"/>
      <c r="BJ110" s="40" t="str">
        <f aca="false">IF(OR(INDEX(Undirviðmið!$G$6:$G$105,(COLUMN()-7-1)/2+1)&lt;&gt;"Starfsbundið",BI110="",BI$8="",BI$7=""),"",ROUND(BI110/BI$8*BI$7*KVARDI,2))</f>
        <v/>
      </c>
      <c r="BK110" s="39"/>
      <c r="BL110" s="40" t="str">
        <f aca="false">IF(OR(INDEX(Undirviðmið!$G$6:$G$105,(COLUMN()-7-1)/2+1)&lt;&gt;"Starfsbundið",BK110="",BK$8="",BK$7=""),"",ROUND(BK110/BK$8*BK$7*KVARDI,2))</f>
        <v/>
      </c>
      <c r="BM110" s="39"/>
      <c r="BN110" s="40" t="str">
        <f aca="false">IF(OR(INDEX(Undirviðmið!$G$6:$G$105,(COLUMN()-7-1)/2+1)&lt;&gt;"Starfsbundið",BM110="",BM$8="",BM$7=""),"",ROUND(BM110/BM$8*BM$7*KVARDI,2))</f>
        <v/>
      </c>
      <c r="BO110" s="39"/>
      <c r="BP110" s="40" t="str">
        <f aca="false">IF(OR(INDEX(Undirviðmið!$G$6:$G$105,(COLUMN()-7-1)/2+1)&lt;&gt;"Starfsbundið",BO110="",BO$8="",BO$7=""),"",ROUND(BO110/BO$8*BO$7*KVARDI,2))</f>
        <v/>
      </c>
      <c r="BQ110" s="39"/>
      <c r="BR110" s="40" t="str">
        <f aca="false">IF(OR(INDEX(Undirviðmið!$G$6:$G$105,(COLUMN()-7-1)/2+1)&lt;&gt;"Starfsbundið",BQ110="",BQ$8="",BQ$7=""),"",ROUND(BQ110/BQ$8*BQ$7*KVARDI,2))</f>
        <v/>
      </c>
      <c r="BS110" s="39"/>
      <c r="BT110" s="40" t="str">
        <f aca="false">IF(OR(INDEX(Undirviðmið!$G$6:$G$105,(COLUMN()-7-1)/2+1)&lt;&gt;"Starfsbundið",BS110="",BS$8="",BS$7=""),"",ROUND(BS110/BS$8*BS$7*KVARDI,2))</f>
        <v/>
      </c>
      <c r="BU110" s="39"/>
      <c r="BV110" s="40" t="str">
        <f aca="false">IF(OR(INDEX(Undirviðmið!$G$6:$G$105,(COLUMN()-7-1)/2+1)&lt;&gt;"Starfsbundið",BU110="",BU$8="",BU$7=""),"",ROUND(BU110/BU$8*BU$7*KVARDI,2))</f>
        <v/>
      </c>
      <c r="BW110" s="39"/>
      <c r="BX110" s="40" t="str">
        <f aca="false">IF(OR(INDEX(Undirviðmið!$G$6:$G$105,(COLUMN()-7-1)/2+1)&lt;&gt;"Starfsbundið",BW110="",BW$8="",BW$7=""),"",ROUND(BW110/BW$8*BW$7*KVARDI,2))</f>
        <v/>
      </c>
      <c r="BY110" s="39"/>
      <c r="BZ110" s="40" t="str">
        <f aca="false">IF(OR(INDEX(Undirviðmið!$G$6:$G$105,(COLUMN()-7-1)/2+1)&lt;&gt;"Starfsbundið",BY110="",BY$8="",BY$7=""),"",ROUND(BY110/BY$8*BY$7*KVARDI,2))</f>
        <v/>
      </c>
      <c r="CA110" s="39"/>
      <c r="CB110" s="40" t="str">
        <f aca="false">IF(OR(INDEX(Undirviðmið!$G$6:$G$105,(COLUMN()-7-1)/2+1)&lt;&gt;"Starfsbundið",CA110="",CA$8="",CA$7=""),"",ROUND(CA110/CA$8*CA$7*KVARDI,2))</f>
        <v/>
      </c>
      <c r="CC110" s="39"/>
      <c r="CD110" s="40" t="str">
        <f aca="false">IF(OR(INDEX(Undirviðmið!$G$6:$G$105,(COLUMN()-7-1)/2+1)&lt;&gt;"Starfsbundið",CC110="",CC$8="",CC$7=""),"",ROUND(CC110/CC$8*CC$7*KVARDI,2))</f>
        <v/>
      </c>
      <c r="CE110" s="39"/>
      <c r="CF110" s="40" t="str">
        <f aca="false">IF(OR(INDEX(Undirviðmið!$G$6:$G$105,(COLUMN()-7-1)/2+1)&lt;&gt;"Starfsbundið",CE110="",CE$8="",CE$7=""),"",ROUND(CE110/CE$8*CE$7*KVARDI,2))</f>
        <v/>
      </c>
      <c r="CG110" s="39"/>
      <c r="CH110" s="40" t="str">
        <f aca="false">IF(OR(INDEX(Undirviðmið!$G$6:$G$105,(COLUMN()-7-1)/2+1)&lt;&gt;"Starfsbundið",CG110="",CG$8="",CG$7=""),"",ROUND(CG110/CG$8*CG$7*KVARDI,2))</f>
        <v/>
      </c>
      <c r="CI110" s="39"/>
      <c r="CJ110" s="40" t="str">
        <f aca="false">IF(OR(INDEX(Undirviðmið!$G$6:$G$105,(COLUMN()-7-1)/2+1)&lt;&gt;"Starfsbundið",CI110="",CI$8="",CI$7=""),"",ROUND(CI110/CI$8*CI$7*KVARDI,2))</f>
        <v/>
      </c>
      <c r="CK110" s="39"/>
      <c r="CL110" s="40" t="str">
        <f aca="false">IF(OR(INDEX(Undirviðmið!$G$6:$G$105,(COLUMN()-7-1)/2+1)&lt;&gt;"Starfsbundið",CK110="",CK$8="",CK$7=""),"",ROUND(CK110/CK$8*CK$7*KVARDI,2))</f>
        <v/>
      </c>
      <c r="CM110" s="39"/>
      <c r="CN110" s="40" t="str">
        <f aca="false">IF(OR(INDEX(Undirviðmið!$G$6:$G$105,(COLUMN()-7-1)/2+1)&lt;&gt;"Starfsbundið",CM110="",CM$8="",CM$7=""),"",ROUND(CM110/CM$8*CM$7*KVARDI,2))</f>
        <v/>
      </c>
      <c r="CO110" s="39"/>
      <c r="CP110" s="40" t="str">
        <f aca="false">IF(OR(INDEX(Undirviðmið!$G$6:$G$105,(COLUMN()-7-1)/2+1)&lt;&gt;"Starfsbundið",CO110="",CO$8="",CO$7=""),"",ROUND(CO110/CO$8*CO$7*KVARDI,2))</f>
        <v/>
      </c>
      <c r="CQ110" s="39"/>
      <c r="CR110" s="40" t="str">
        <f aca="false">IF(OR(INDEX(Undirviðmið!$G$6:$G$105,(COLUMN()-7-1)/2+1)&lt;&gt;"Starfsbundið",CQ110="",CQ$8="",CQ$7=""),"",ROUND(CQ110/CQ$8*CQ$7*KVARDI,2))</f>
        <v/>
      </c>
      <c r="CS110" s="39"/>
      <c r="CT110" s="40" t="str">
        <f aca="false">IF(OR(INDEX(Undirviðmið!$G$6:$G$105,(COLUMN()-7-1)/2+1)&lt;&gt;"Starfsbundið",CS110="",CS$8="",CS$7=""),"",ROUND(CS110/CS$8*CS$7*KVARDI,2))</f>
        <v/>
      </c>
      <c r="CU110" s="39"/>
      <c r="CV110" s="40" t="str">
        <f aca="false">IF(OR(INDEX(Undirviðmið!$G$6:$G$105,(COLUMN()-7-1)/2+1)&lt;&gt;"Starfsbundið",CU110="",CU$8="",CU$7=""),"",ROUND(CU110/CU$8*CU$7*KVARDI,2))</f>
        <v/>
      </c>
      <c r="CW110" s="39"/>
      <c r="CX110" s="40" t="str">
        <f aca="false">IF(OR(INDEX(Undirviðmið!$G$6:$G$105,(COLUMN()-7-1)/2+1)&lt;&gt;"Starfsbundið",CW110="",CW$8="",CW$7=""),"",ROUND(CW110/CW$8*CW$7*KVARDI,2))</f>
        <v/>
      </c>
      <c r="CY110" s="39"/>
      <c r="CZ110" s="40" t="str">
        <f aca="false">IF(OR(INDEX(Undirviðmið!$G$6:$G$105,(COLUMN()-7-1)/2+1)&lt;&gt;"Starfsbundið",CY110="",CY$8="",CY$7=""),"",ROUND(CY110/CY$8*CY$7*KVARDI,2))</f>
        <v/>
      </c>
      <c r="DA110" s="39"/>
      <c r="DB110" s="40" t="str">
        <f aca="false">IF(OR(INDEX(Undirviðmið!$G$6:$G$105,(COLUMN()-7-1)/2+1)&lt;&gt;"Starfsbundið",DA110="",DA$8="",DA$7=""),"",ROUND(DA110/DA$8*DA$7*KVARDI,2))</f>
        <v/>
      </c>
      <c r="DC110" s="39"/>
      <c r="DD110" s="40" t="str">
        <f aca="false">IF(OR(INDEX(Undirviðmið!$G$6:$G$105,(COLUMN()-7-1)/2+1)&lt;&gt;"Starfsbundið",DC110="",DC$8="",DC$7=""),"",ROUND(DC110/DC$8*DC$7*KVARDI,2))</f>
        <v/>
      </c>
      <c r="DE110" s="39"/>
      <c r="DF110" s="40" t="str">
        <f aca="false">IF(OR(INDEX(Undirviðmið!$G$6:$G$105,(COLUMN()-7-1)/2+1)&lt;&gt;"Starfsbundið",DE110="",DE$8="",DE$7=""),"",ROUND(DE110/DE$8*DE$7*KVARDI,2))</f>
        <v/>
      </c>
      <c r="DG110" s="39"/>
      <c r="DH110" s="40" t="str">
        <f aca="false">IF(OR(INDEX(Undirviðmið!$G$6:$G$105,(COLUMN()-7-1)/2+1)&lt;&gt;"Starfsbundið",DG110="",DG$8="",DG$7=""),"",ROUND(DG110/DG$8*DG$7*KVARDI,2))</f>
        <v/>
      </c>
      <c r="DI110" s="39"/>
      <c r="DJ110" s="40" t="str">
        <f aca="false">IF(OR(INDEX(Undirviðmið!$G$6:$G$105,(COLUMN()-7-1)/2+1)&lt;&gt;"Starfsbundið",DI110="",DI$8="",DI$7=""),"",ROUND(DI110/DI$8*DI$7*KVARDI,2))</f>
        <v/>
      </c>
      <c r="DK110" s="39"/>
      <c r="DL110" s="40" t="str">
        <f aca="false">IF(OR(INDEX(Undirviðmið!$G$6:$G$105,(COLUMN()-7-1)/2+1)&lt;&gt;"Starfsbundið",DK110="",DK$8="",DK$7=""),"",ROUND(DK110/DK$8*DK$7*KVARDI,2))</f>
        <v/>
      </c>
      <c r="DM110" s="39"/>
      <c r="DN110" s="40" t="str">
        <f aca="false">IF(OR(INDEX(Undirviðmið!$G$6:$G$105,(COLUMN()-7-1)/2+1)&lt;&gt;"Starfsbundið",DM110="",DM$8="",DM$7=""),"",ROUND(DM110/DM$8*DM$7*KVARDI,2))</f>
        <v/>
      </c>
      <c r="DO110" s="39"/>
      <c r="DP110" s="40" t="str">
        <f aca="false">IF(OR(INDEX(Undirviðmið!$G$6:$G$105,(COLUMN()-7-1)/2+1)&lt;&gt;"Starfsbundið",DO110="",DO$8="",DO$7=""),"",ROUND(DO110/DO$8*DO$7*KVARDI,2))</f>
        <v/>
      </c>
      <c r="DQ110" s="39"/>
      <c r="DR110" s="40" t="str">
        <f aca="false">IF(OR(INDEX(Undirviðmið!$G$6:$G$105,(COLUMN()-7-1)/2+1)&lt;&gt;"Starfsbundið",DQ110="",DQ$8="",DQ$7=""),"",ROUND(DQ110/DQ$8*DQ$7*KVARDI,2))</f>
        <v/>
      </c>
      <c r="DS110" s="39"/>
      <c r="DT110" s="40" t="str">
        <f aca="false">IF(OR(INDEX(Undirviðmið!$G$6:$G$105,(COLUMN()-7-1)/2+1)&lt;&gt;"Starfsbundið",DS110="",DS$8="",DS$7=""),"",ROUND(DS110/DS$8*DS$7*KVARDI,2))</f>
        <v/>
      </c>
      <c r="DU110" s="39"/>
      <c r="DV110" s="40" t="str">
        <f aca="false">IF(OR(INDEX(Undirviðmið!$G$6:$G$105,(COLUMN()-7-1)/2+1)&lt;&gt;"Starfsbundið",DU110="",DU$8="",DU$7=""),"",ROUND(DU110/DU$8*DU$7*KVARDI,2))</f>
        <v/>
      </c>
      <c r="DW110" s="39"/>
      <c r="DX110" s="40" t="str">
        <f aca="false">IF(OR(INDEX(Undirviðmið!$G$6:$G$105,(COLUMN()-7-1)/2+1)&lt;&gt;"Starfsbundið",DW110="",DW$8="",DW$7=""),"",ROUND(DW110/DW$8*DW$7*KVARDI,2))</f>
        <v/>
      </c>
      <c r="DY110" s="39"/>
      <c r="DZ110" s="40" t="str">
        <f aca="false">IF(OR(INDEX(Undirviðmið!$G$6:$G$105,(COLUMN()-7-1)/2+1)&lt;&gt;"Starfsbundið",DY110="",DY$8="",DY$7=""),"",ROUND(DY110/DY$8*DY$7*KVARDI,2))</f>
        <v/>
      </c>
      <c r="EA110" s="39"/>
      <c r="EB110" s="40" t="str">
        <f aca="false">IF(OR(INDEX(Undirviðmið!$G$6:$G$105,(COLUMN()-7-1)/2+1)&lt;&gt;"Starfsbundið",EA110="",EA$8="",EA$7=""),"",ROUND(EA110/EA$8*EA$7*KVARDI,2))</f>
        <v/>
      </c>
      <c r="EC110" s="39"/>
      <c r="ED110" s="40" t="str">
        <f aca="false">IF(OR(INDEX(Undirviðmið!$G$6:$G$105,(COLUMN()-7-1)/2+1)&lt;&gt;"Starfsbundið",EC110="",EC$8="",EC$7=""),"",ROUND(EC110/EC$8*EC$7*KVARDI,2))</f>
        <v/>
      </c>
      <c r="EE110" s="39"/>
      <c r="EF110" s="40" t="str">
        <f aca="false">IF(OR(INDEX(Undirviðmið!$G$6:$G$105,(COLUMN()-7-1)/2+1)&lt;&gt;"Starfsbundið",EE110="",EE$8="",EE$7=""),"",ROUND(EE110/EE$8*EE$7*KVARDI,2))</f>
        <v/>
      </c>
      <c r="EG110" s="39"/>
      <c r="EH110" s="40" t="str">
        <f aca="false">IF(OR(INDEX(Undirviðmið!$G$6:$G$105,(COLUMN()-7-1)/2+1)&lt;&gt;"Starfsbundið",EG110="",EG$8="",EG$7=""),"",ROUND(EG110/EG$8*EG$7*KVARDI,2))</f>
        <v/>
      </c>
      <c r="EI110" s="39"/>
      <c r="EJ110" s="40" t="str">
        <f aca="false">IF(OR(INDEX(Undirviðmið!$G$6:$G$105,(COLUMN()-7-1)/2+1)&lt;&gt;"Starfsbundið",EI110="",EI$8="",EI$7=""),"",ROUND(EI110/EI$8*EI$7*KVARDI,2))</f>
        <v/>
      </c>
      <c r="EK110" s="39"/>
      <c r="EL110" s="40" t="str">
        <f aca="false">IF(OR(INDEX(Undirviðmið!$G$6:$G$105,(COLUMN()-7-1)/2+1)&lt;&gt;"Starfsbundið",EK110="",EK$8="",EK$7=""),"",ROUND(EK110/EK$8*EK$7*KVARDI,2))</f>
        <v/>
      </c>
      <c r="EM110" s="39"/>
      <c r="EN110" s="40" t="str">
        <f aca="false">IF(OR(INDEX(Undirviðmið!$G$6:$G$105,(COLUMN()-7-1)/2+1)&lt;&gt;"Starfsbundið",EM110="",EM$8="",EM$7=""),"",ROUND(EM110/EM$8*EM$7*KVARDI,2))</f>
        <v/>
      </c>
      <c r="EO110" s="39"/>
      <c r="EP110" s="40" t="str">
        <f aca="false">IF(OR(INDEX(Undirviðmið!$G$6:$G$105,(COLUMN()-7-1)/2+1)&lt;&gt;"Starfsbundið",EO110="",EO$8="",EO$7=""),"",ROUND(EO110/EO$8*EO$7*KVARDI,2))</f>
        <v/>
      </c>
      <c r="EQ110" s="39"/>
      <c r="ER110" s="40" t="str">
        <f aca="false">IF(OR(INDEX(Undirviðmið!$G$6:$G$105,(COLUMN()-7-1)/2+1)&lt;&gt;"Starfsbundið",EQ110="",EQ$8="",EQ$7=""),"",ROUND(EQ110/EQ$8*EQ$7*KVARDI,2))</f>
        <v/>
      </c>
      <c r="ES110" s="39"/>
      <c r="ET110" s="40" t="str">
        <f aca="false">IF(OR(INDEX(Undirviðmið!$G$6:$G$105,(COLUMN()-7-1)/2+1)&lt;&gt;"Starfsbundið",ES110="",ES$8="",ES$7=""),"",ROUND(ES110/ES$8*ES$7*KVARDI,2))</f>
        <v/>
      </c>
      <c r="EU110" s="39"/>
      <c r="EV110" s="40" t="str">
        <f aca="false">IF(OR(INDEX(Undirviðmið!$G$6:$G$105,(COLUMN()-7-1)/2+1)&lt;&gt;"Starfsbundið",EU110="",EU$8="",EU$7=""),"",ROUND(EU110/EU$8*EU$7*KVARDI,2))</f>
        <v/>
      </c>
      <c r="EW110" s="39"/>
      <c r="EX110" s="40" t="str">
        <f aca="false">IF(OR(INDEX(Undirviðmið!$G$6:$G$105,(COLUMN()-7-1)/2+1)&lt;&gt;"Starfsbundið",EW110="",EW$8="",EW$7=""),"",ROUND(EW110/EW$8*EW$7*KVARDI,2))</f>
        <v/>
      </c>
      <c r="EY110" s="39"/>
      <c r="EZ110" s="40" t="str">
        <f aca="false">IF(OR(INDEX(Undirviðmið!$G$6:$G$105,(COLUMN()-7-1)/2+1)&lt;&gt;"Starfsbundið",EY110="",EY$8="",EY$7=""),"",ROUND(EY110/EY$8*EY$7*KVARDI,2))</f>
        <v/>
      </c>
      <c r="FA110" s="39"/>
      <c r="FB110" s="40" t="str">
        <f aca="false">IF(OR(INDEX(Undirviðmið!$G$6:$G$105,(COLUMN()-7-1)/2+1)&lt;&gt;"Starfsbundið",FA110="",FA$8="",FA$7=""),"",ROUND(FA110/FA$8*FA$7*KVARDI,2))</f>
        <v/>
      </c>
      <c r="FC110" s="39"/>
      <c r="FD110" s="40" t="str">
        <f aca="false">IF(OR(INDEX(Undirviðmið!$G$6:$G$105,(COLUMN()-7-1)/2+1)&lt;&gt;"Starfsbundið",FC110="",FC$8="",FC$7=""),"",ROUND(FC110/FC$8*FC$7*KVARDI,2))</f>
        <v/>
      </c>
      <c r="FE110" s="39"/>
      <c r="FF110" s="40" t="str">
        <f aca="false">IF(OR(INDEX(Undirviðmið!$G$6:$G$105,(COLUMN()-7-1)/2+1)&lt;&gt;"Starfsbundið",FE110="",FE$8="",FE$7=""),"",ROUND(FE110/FE$8*FE$7*KVARDI,2))</f>
        <v/>
      </c>
      <c r="FG110" s="39"/>
      <c r="FH110" s="40" t="str">
        <f aca="false">IF(OR(INDEX(Undirviðmið!$G$6:$G$105,(COLUMN()-7-1)/2+1)&lt;&gt;"Starfsbundið",FG110="",FG$8="",FG$7=""),"",ROUND(FG110/FG$8*FG$7*KVARDI,2))</f>
        <v/>
      </c>
      <c r="FI110" s="39"/>
      <c r="FJ110" s="40" t="str">
        <f aca="false">IF(OR(INDEX(Undirviðmið!$G$6:$G$105,(COLUMN()-7-1)/2+1)&lt;&gt;"Starfsbundið",FI110="",FI$8="",FI$7=""),"",ROUND(FI110/FI$8*FI$7*KVARDI,2))</f>
        <v/>
      </c>
      <c r="FK110" s="39"/>
      <c r="FL110" s="40" t="str">
        <f aca="false">IF(OR(INDEX(Undirviðmið!$G$6:$G$105,(COLUMN()-7-1)/2+1)&lt;&gt;"Starfsbundið",FK110="",FK$8="",FK$7=""),"",ROUND(FK110/FK$8*FK$7*KVARDI,2))</f>
        <v/>
      </c>
      <c r="FM110" s="39"/>
      <c r="FN110" s="40" t="str">
        <f aca="false">IF(OR(INDEX(Undirviðmið!$G$6:$G$105,(COLUMN()-7-1)/2+1)&lt;&gt;"Starfsbundið",FM110="",FM$8="",FM$7=""),"",ROUND(FM110/FM$8*FM$7*KVARDI,2))</f>
        <v/>
      </c>
      <c r="FO110" s="39"/>
      <c r="FP110" s="40" t="str">
        <f aca="false">IF(OR(INDEX(Undirviðmið!$G$6:$G$105,(COLUMN()-7-1)/2+1)&lt;&gt;"Starfsbundið",FO110="",FO$8="",FO$7=""),"",ROUND(FO110/FO$8*FO$7*KVARDI,2))</f>
        <v/>
      </c>
      <c r="FQ110" s="39"/>
      <c r="FR110" s="40" t="str">
        <f aca="false">IF(OR(INDEX(Undirviðmið!$G$6:$G$105,(COLUMN()-7-1)/2+1)&lt;&gt;"Starfsbundið",FQ110="",FQ$8="",FQ$7=""),"",ROUND(FQ110/FQ$8*FQ$7*KVARDI,2))</f>
        <v/>
      </c>
      <c r="FS110" s="39"/>
      <c r="FT110" s="40" t="str">
        <f aca="false">IF(OR(INDEX(Undirviðmið!$G$6:$G$105,(COLUMN()-7-1)/2+1)&lt;&gt;"Starfsbundið",FS110="",FS$8="",FS$7=""),"",ROUND(FS110/FS$8*FS$7*KVARDI,2))</f>
        <v/>
      </c>
      <c r="FU110" s="39"/>
      <c r="FV110" s="40" t="str">
        <f aca="false">IF(OR(INDEX(Undirviðmið!$G$6:$G$105,(COLUMN()-7-1)/2+1)&lt;&gt;"Starfsbundið",FU110="",FU$8="",FU$7=""),"",ROUND(FU110/FU$8*FU$7*KVARDI,2))</f>
        <v/>
      </c>
      <c r="FW110" s="39"/>
      <c r="FX110" s="40" t="str">
        <f aca="false">IF(OR(INDEX(Undirviðmið!$G$6:$G$105,(COLUMN()-7-1)/2+1)&lt;&gt;"Starfsbundið",FW110="",FW$8="",FW$7=""),"",ROUND(FW110/FW$8*FW$7*KVARDI,2))</f>
        <v/>
      </c>
      <c r="FY110" s="39"/>
      <c r="FZ110" s="40" t="str">
        <f aca="false">IF(OR(INDEX(Undirviðmið!$G$6:$G$105,(COLUMN()-7-1)/2+1)&lt;&gt;"Starfsbundið",FY110="",FY$8="",FY$7=""),"",ROUND(FY110/FY$8*FY$7*KVARDI,2))</f>
        <v/>
      </c>
      <c r="GA110" s="39"/>
      <c r="GB110" s="40" t="str">
        <f aca="false">IF(OR(INDEX(Undirviðmið!$G$6:$G$105,(COLUMN()-7-1)/2+1)&lt;&gt;"Starfsbundið",GA110="",GA$8="",GA$7=""),"",ROUND(GA110/GA$8*GA$7*KVARDI,2))</f>
        <v/>
      </c>
      <c r="GC110" s="39"/>
      <c r="GD110" s="40" t="str">
        <f aca="false">IF(OR(INDEX(Undirviðmið!$G$6:$G$105,(COLUMN()-7-1)/2+1)&lt;&gt;"Starfsbundið",GC110="",GC$8="",GC$7=""),"",ROUND(GC110/GC$8*GC$7*KVARDI,2))</f>
        <v/>
      </c>
      <c r="GE110" s="39"/>
      <c r="GF110" s="40" t="str">
        <f aca="false">IF(OR(INDEX(Undirviðmið!$G$6:$G$105,(COLUMN()-7-1)/2+1)&lt;&gt;"Starfsbundið",GE110="",GE$8="",GE$7=""),"",ROUND(GE110/GE$8*GE$7*KVARDI,2))</f>
        <v/>
      </c>
      <c r="GG110" s="39"/>
      <c r="GH110" s="40" t="str">
        <f aca="false">IF(OR(INDEX(Undirviðmið!$G$6:$G$105,(COLUMN()-7-1)/2+1)&lt;&gt;"Starfsbundið",GG110="",GG$8="",GG$7=""),"",ROUND(GG110/GG$8*GG$7*KVARDI,2))</f>
        <v/>
      </c>
      <c r="GI110" s="39"/>
      <c r="GJ110" s="40" t="str">
        <f aca="false">IF(OR(INDEX(Undirviðmið!$G$6:$G$105,(COLUMN()-7-1)/2+1)&lt;&gt;"Starfsbundið",GI110="",GI$8="",GI$7=""),"",ROUND(GI110/GI$8*GI$7*KVARDI,2))</f>
        <v/>
      </c>
      <c r="GK110" s="39"/>
      <c r="GL110" s="40" t="str">
        <f aca="false">IF(OR(INDEX(Undirviðmið!$G$6:$G$105,(COLUMN()-7-1)/2+1)&lt;&gt;"Starfsbundið",GK110="",GK$8="",GK$7=""),"",ROUND(GK110/GK$8*GK$7*KVARDI,2))</f>
        <v/>
      </c>
      <c r="GM110" s="39"/>
      <c r="GN110" s="40" t="str">
        <f aca="false">IF(OR(INDEX(Undirviðmið!$G$6:$G$105,(COLUMN()-7-1)/2+1)&lt;&gt;"Starfsbundið",GM110="",GM$8="",GM$7=""),"",ROUND(GM110/GM$8*GM$7*KVARDI,2))</f>
        <v/>
      </c>
      <c r="GO110" s="39"/>
      <c r="GP110" s="40" t="str">
        <f aca="false">IF(OR(INDEX(Undirviðmið!$G$6:$G$105,(COLUMN()-7-1)/2+1)&lt;&gt;"Starfsbundið",GO110="",GO$8="",GO$7=""),"",ROUND(GO110/GO$8*GO$7*KVARDI,2))</f>
        <v/>
      </c>
      <c r="GQ110" s="39"/>
      <c r="GR110" s="40" t="str">
        <f aca="false">IF(OR(INDEX(Undirviðmið!$G$6:$G$105,(COLUMN()-7-1)/2+1)&lt;&gt;"Starfsbundið",GQ110="",GQ$8="",GQ$7=""),"",ROUND(GQ110/GQ$8*GQ$7*KVARDI,2))</f>
        <v/>
      </c>
      <c r="GS110" s="39"/>
      <c r="GT110" s="40" t="str">
        <f aca="false">IF(OR(INDEX(Undirviðmið!$G$6:$G$105,(COLUMN()-7-1)/2+1)&lt;&gt;"Starfsbundið",GS110="",GS$8="",GS$7=""),"",ROUND(GS110/GS$8*GS$7*KVARDI,2))</f>
        <v/>
      </c>
      <c r="GU110" s="39"/>
      <c r="GV110" s="40" t="str">
        <f aca="false">IF(OR(INDEX(Undirviðmið!$G$6:$G$105,(COLUMN()-7-1)/2+1)&lt;&gt;"Starfsbundið",GU110="",GU$8="",GU$7=""),"",ROUND(GU110/GU$8*GU$7*KVARDI,2))</f>
        <v/>
      </c>
      <c r="GW110" s="39"/>
      <c r="GX110" s="40" t="str">
        <f aca="false">IF(OR(INDEX(Undirviðmið!$G$6:$G$105,(COLUMN()-7-1)/2+1)&lt;&gt;"Starfsbundið",GW110="",GW$8="",GW$7=""),"",ROUND(GW110/GW$8*GW$7*KVARDI,2))</f>
        <v/>
      </c>
      <c r="GZ110" s="20"/>
    </row>
  </sheetData>
  <mergeCells count="508">
    <mergeCell ref="B2:F2"/>
    <mergeCell ref="B3:N3"/>
    <mergeCell ref="G4:AB4"/>
    <mergeCell ref="B5:C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M5:AN5"/>
    <mergeCell ref="AO5:AP5"/>
    <mergeCell ref="AQ5:AR5"/>
    <mergeCell ref="AS5:AT5"/>
    <mergeCell ref="AU5:AV5"/>
    <mergeCell ref="AW5:AX5"/>
    <mergeCell ref="AY5:AZ5"/>
    <mergeCell ref="BA5:BB5"/>
    <mergeCell ref="BC5:BD5"/>
    <mergeCell ref="BE5:BF5"/>
    <mergeCell ref="BG5:BH5"/>
    <mergeCell ref="BI5:BJ5"/>
    <mergeCell ref="BK5:BL5"/>
    <mergeCell ref="BM5:BN5"/>
    <mergeCell ref="BO5:BP5"/>
    <mergeCell ref="BQ5:BR5"/>
    <mergeCell ref="BS5:BT5"/>
    <mergeCell ref="BU5:BV5"/>
    <mergeCell ref="BW5:BX5"/>
    <mergeCell ref="BY5:BZ5"/>
    <mergeCell ref="CA5:CB5"/>
    <mergeCell ref="CC5:CD5"/>
    <mergeCell ref="CE5:CF5"/>
    <mergeCell ref="CG5:CH5"/>
    <mergeCell ref="CI5:CJ5"/>
    <mergeCell ref="CK5:CL5"/>
    <mergeCell ref="CM5:CN5"/>
    <mergeCell ref="CO5:CP5"/>
    <mergeCell ref="CQ5:CR5"/>
    <mergeCell ref="CS5:CT5"/>
    <mergeCell ref="CU5:CV5"/>
    <mergeCell ref="CW5:CX5"/>
    <mergeCell ref="CY5:CZ5"/>
    <mergeCell ref="DA5:DB5"/>
    <mergeCell ref="DC5:DD5"/>
    <mergeCell ref="DE5:DF5"/>
    <mergeCell ref="DG5:DH5"/>
    <mergeCell ref="DI5:DJ5"/>
    <mergeCell ref="DK5:DL5"/>
    <mergeCell ref="DM5:DN5"/>
    <mergeCell ref="DO5:DP5"/>
    <mergeCell ref="DQ5:DR5"/>
    <mergeCell ref="DS5:DT5"/>
    <mergeCell ref="DU5:DV5"/>
    <mergeCell ref="DW5:DX5"/>
    <mergeCell ref="DY5:DZ5"/>
    <mergeCell ref="EA5:EB5"/>
    <mergeCell ref="EC5:ED5"/>
    <mergeCell ref="EE5:EF5"/>
    <mergeCell ref="EG5:EH5"/>
    <mergeCell ref="EI5:EJ5"/>
    <mergeCell ref="EK5:EL5"/>
    <mergeCell ref="EM5:EN5"/>
    <mergeCell ref="EO5:EP5"/>
    <mergeCell ref="EQ5:ER5"/>
    <mergeCell ref="ES5:ET5"/>
    <mergeCell ref="EU5:EV5"/>
    <mergeCell ref="EW5:EX5"/>
    <mergeCell ref="EY5:EZ5"/>
    <mergeCell ref="FA5:FB5"/>
    <mergeCell ref="FC5:FD5"/>
    <mergeCell ref="FE5:FF5"/>
    <mergeCell ref="FG5:FH5"/>
    <mergeCell ref="FI5:FJ5"/>
    <mergeCell ref="FK5:FL5"/>
    <mergeCell ref="FM5:FN5"/>
    <mergeCell ref="FO5:FP5"/>
    <mergeCell ref="FQ5:FR5"/>
    <mergeCell ref="FS5:FT5"/>
    <mergeCell ref="FU5:FV5"/>
    <mergeCell ref="FW5:FX5"/>
    <mergeCell ref="FY5:FZ5"/>
    <mergeCell ref="GA5:GB5"/>
    <mergeCell ref="GC5:GD5"/>
    <mergeCell ref="GE5:GF5"/>
    <mergeCell ref="GG5:GH5"/>
    <mergeCell ref="GI5:GJ5"/>
    <mergeCell ref="GK5:GL5"/>
    <mergeCell ref="GM5:GN5"/>
    <mergeCell ref="GO5:GP5"/>
    <mergeCell ref="GQ5:GR5"/>
    <mergeCell ref="GS5:GT5"/>
    <mergeCell ref="GU5:GV5"/>
    <mergeCell ref="GW5:GX5"/>
    <mergeCell ref="B6:C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I6:CJ6"/>
    <mergeCell ref="CK6:CL6"/>
    <mergeCell ref="CM6:CN6"/>
    <mergeCell ref="CO6:CP6"/>
    <mergeCell ref="CQ6:CR6"/>
    <mergeCell ref="CS6:CT6"/>
    <mergeCell ref="CU6:CV6"/>
    <mergeCell ref="CW6:CX6"/>
    <mergeCell ref="CY6:CZ6"/>
    <mergeCell ref="DA6:DB6"/>
    <mergeCell ref="DC6:DD6"/>
    <mergeCell ref="DE6:DF6"/>
    <mergeCell ref="DG6:DH6"/>
    <mergeCell ref="DI6:DJ6"/>
    <mergeCell ref="DK6:DL6"/>
    <mergeCell ref="DM6:DN6"/>
    <mergeCell ref="DO6:DP6"/>
    <mergeCell ref="DQ6:DR6"/>
    <mergeCell ref="DS6:DT6"/>
    <mergeCell ref="DU6:DV6"/>
    <mergeCell ref="DW6:DX6"/>
    <mergeCell ref="DY6:DZ6"/>
    <mergeCell ref="EA6:EB6"/>
    <mergeCell ref="EC6:ED6"/>
    <mergeCell ref="EE6:EF6"/>
    <mergeCell ref="EG6:EH6"/>
    <mergeCell ref="EI6:EJ6"/>
    <mergeCell ref="EK6:EL6"/>
    <mergeCell ref="EM6:EN6"/>
    <mergeCell ref="EO6:EP6"/>
    <mergeCell ref="EQ6:ER6"/>
    <mergeCell ref="ES6:ET6"/>
    <mergeCell ref="EU6:EV6"/>
    <mergeCell ref="EW6:EX6"/>
    <mergeCell ref="EY6:EZ6"/>
    <mergeCell ref="FA6:FB6"/>
    <mergeCell ref="FC6:FD6"/>
    <mergeCell ref="FE6:FF6"/>
    <mergeCell ref="FG6:FH6"/>
    <mergeCell ref="FI6:FJ6"/>
    <mergeCell ref="FK6:FL6"/>
    <mergeCell ref="FM6:FN6"/>
    <mergeCell ref="FO6:FP6"/>
    <mergeCell ref="FQ6:FR6"/>
    <mergeCell ref="FS6:FT6"/>
    <mergeCell ref="FU6:FV6"/>
    <mergeCell ref="FW6:FX6"/>
    <mergeCell ref="FY6:FZ6"/>
    <mergeCell ref="GA6:GB6"/>
    <mergeCell ref="GC6:GD6"/>
    <mergeCell ref="GE6:GF6"/>
    <mergeCell ref="GG6:GH6"/>
    <mergeCell ref="GI6:GJ6"/>
    <mergeCell ref="GK6:GL6"/>
    <mergeCell ref="GM6:GN6"/>
    <mergeCell ref="GO6:GP6"/>
    <mergeCell ref="GQ6:GR6"/>
    <mergeCell ref="GS6:GT6"/>
    <mergeCell ref="GU6:GV6"/>
    <mergeCell ref="GW6:GX6"/>
    <mergeCell ref="B7:C7"/>
    <mergeCell ref="G7:H7"/>
    <mergeCell ref="I7:J7"/>
    <mergeCell ref="K7:L7"/>
    <mergeCell ref="M7:N7"/>
    <mergeCell ref="O7:P7"/>
    <mergeCell ref="Q7:R7"/>
    <mergeCell ref="S7:T7"/>
    <mergeCell ref="U7:V7"/>
    <mergeCell ref="W7:X7"/>
    <mergeCell ref="Y7:Z7"/>
    <mergeCell ref="AA7:AB7"/>
    <mergeCell ref="AC7:AD7"/>
    <mergeCell ref="AE7:AF7"/>
    <mergeCell ref="AG7:AH7"/>
    <mergeCell ref="AI7:AJ7"/>
    <mergeCell ref="AK7:AL7"/>
    <mergeCell ref="AM7:AN7"/>
    <mergeCell ref="AO7:AP7"/>
    <mergeCell ref="AQ7:AR7"/>
    <mergeCell ref="AS7:AT7"/>
    <mergeCell ref="AU7:AV7"/>
    <mergeCell ref="AW7:AX7"/>
    <mergeCell ref="AY7:AZ7"/>
    <mergeCell ref="BA7:BB7"/>
    <mergeCell ref="BC7:BD7"/>
    <mergeCell ref="BE7:BF7"/>
    <mergeCell ref="BG7:BH7"/>
    <mergeCell ref="BI7:BJ7"/>
    <mergeCell ref="BK7:BL7"/>
    <mergeCell ref="BM7:BN7"/>
    <mergeCell ref="BO7:BP7"/>
    <mergeCell ref="BQ7:BR7"/>
    <mergeCell ref="BS7:BT7"/>
    <mergeCell ref="BU7:BV7"/>
    <mergeCell ref="BW7:BX7"/>
    <mergeCell ref="BY7:BZ7"/>
    <mergeCell ref="CA7:CB7"/>
    <mergeCell ref="CC7:CD7"/>
    <mergeCell ref="CE7:CF7"/>
    <mergeCell ref="CG7:CH7"/>
    <mergeCell ref="CI7:CJ7"/>
    <mergeCell ref="CK7:CL7"/>
    <mergeCell ref="CM7:CN7"/>
    <mergeCell ref="CO7:CP7"/>
    <mergeCell ref="CQ7:CR7"/>
    <mergeCell ref="CS7:CT7"/>
    <mergeCell ref="CU7:CV7"/>
    <mergeCell ref="CW7:CX7"/>
    <mergeCell ref="CY7:CZ7"/>
    <mergeCell ref="DA7:DB7"/>
    <mergeCell ref="DC7:DD7"/>
    <mergeCell ref="DE7:DF7"/>
    <mergeCell ref="DG7:DH7"/>
    <mergeCell ref="DI7:DJ7"/>
    <mergeCell ref="DK7:DL7"/>
    <mergeCell ref="DM7:DN7"/>
    <mergeCell ref="DO7:DP7"/>
    <mergeCell ref="DQ7:DR7"/>
    <mergeCell ref="DS7:DT7"/>
    <mergeCell ref="DU7:DV7"/>
    <mergeCell ref="DW7:DX7"/>
    <mergeCell ref="DY7:DZ7"/>
    <mergeCell ref="EA7:EB7"/>
    <mergeCell ref="EC7:ED7"/>
    <mergeCell ref="EE7:EF7"/>
    <mergeCell ref="EG7:EH7"/>
    <mergeCell ref="EI7:EJ7"/>
    <mergeCell ref="EK7:EL7"/>
    <mergeCell ref="EM7:EN7"/>
    <mergeCell ref="EO7:EP7"/>
    <mergeCell ref="EQ7:ER7"/>
    <mergeCell ref="ES7:ET7"/>
    <mergeCell ref="EU7:EV7"/>
    <mergeCell ref="EW7:EX7"/>
    <mergeCell ref="EY7:EZ7"/>
    <mergeCell ref="FA7:FB7"/>
    <mergeCell ref="FC7:FD7"/>
    <mergeCell ref="FE7:FF7"/>
    <mergeCell ref="FG7:FH7"/>
    <mergeCell ref="FI7:FJ7"/>
    <mergeCell ref="FK7:FL7"/>
    <mergeCell ref="FM7:FN7"/>
    <mergeCell ref="FO7:FP7"/>
    <mergeCell ref="FQ7:FR7"/>
    <mergeCell ref="FS7:FT7"/>
    <mergeCell ref="FU7:FV7"/>
    <mergeCell ref="FW7:FX7"/>
    <mergeCell ref="FY7:FZ7"/>
    <mergeCell ref="GA7:GB7"/>
    <mergeCell ref="GC7:GD7"/>
    <mergeCell ref="GE7:GF7"/>
    <mergeCell ref="GG7:GH7"/>
    <mergeCell ref="GI7:GJ7"/>
    <mergeCell ref="GK7:GL7"/>
    <mergeCell ref="GM7:GN7"/>
    <mergeCell ref="GO7:GP7"/>
    <mergeCell ref="GQ7:GR7"/>
    <mergeCell ref="GS7:GT7"/>
    <mergeCell ref="GU7:GV7"/>
    <mergeCell ref="GW7:GX7"/>
    <mergeCell ref="B8:C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BW8:BX8"/>
    <mergeCell ref="BY8:BZ8"/>
    <mergeCell ref="CA8:CB8"/>
    <mergeCell ref="CC8:CD8"/>
    <mergeCell ref="CE8:CF8"/>
    <mergeCell ref="CG8:CH8"/>
    <mergeCell ref="CI8:CJ8"/>
    <mergeCell ref="CK8:CL8"/>
    <mergeCell ref="CM8:CN8"/>
    <mergeCell ref="CO8:CP8"/>
    <mergeCell ref="CQ8:CR8"/>
    <mergeCell ref="CS8:CT8"/>
    <mergeCell ref="CU8:CV8"/>
    <mergeCell ref="CW8:CX8"/>
    <mergeCell ref="CY8:CZ8"/>
    <mergeCell ref="DA8:DB8"/>
    <mergeCell ref="DC8:DD8"/>
    <mergeCell ref="DE8:DF8"/>
    <mergeCell ref="DG8:DH8"/>
    <mergeCell ref="DI8:DJ8"/>
    <mergeCell ref="DK8:DL8"/>
    <mergeCell ref="DM8:DN8"/>
    <mergeCell ref="DO8:DP8"/>
    <mergeCell ref="DQ8:DR8"/>
    <mergeCell ref="DS8:DT8"/>
    <mergeCell ref="DU8:DV8"/>
    <mergeCell ref="DW8:DX8"/>
    <mergeCell ref="DY8:DZ8"/>
    <mergeCell ref="EA8:EB8"/>
    <mergeCell ref="EC8:ED8"/>
    <mergeCell ref="EE8:EF8"/>
    <mergeCell ref="EG8:EH8"/>
    <mergeCell ref="EI8:EJ8"/>
    <mergeCell ref="EK8:EL8"/>
    <mergeCell ref="EM8:EN8"/>
    <mergeCell ref="EO8:EP8"/>
    <mergeCell ref="EQ8:ER8"/>
    <mergeCell ref="ES8:ET8"/>
    <mergeCell ref="EU8:EV8"/>
    <mergeCell ref="EW8:EX8"/>
    <mergeCell ref="EY8:EZ8"/>
    <mergeCell ref="FA8:FB8"/>
    <mergeCell ref="FC8:FD8"/>
    <mergeCell ref="FE8:FF8"/>
    <mergeCell ref="FG8:FH8"/>
    <mergeCell ref="FI8:FJ8"/>
    <mergeCell ref="FK8:FL8"/>
    <mergeCell ref="FM8:FN8"/>
    <mergeCell ref="FO8:FP8"/>
    <mergeCell ref="FQ8:FR8"/>
    <mergeCell ref="FS8:FT8"/>
    <mergeCell ref="FU8:FV8"/>
    <mergeCell ref="FW8:FX8"/>
    <mergeCell ref="FY8:FZ8"/>
    <mergeCell ref="GA8:GB8"/>
    <mergeCell ref="GC8:GD8"/>
    <mergeCell ref="GE8:GF8"/>
    <mergeCell ref="GG8:GH8"/>
    <mergeCell ref="GI8:GJ8"/>
    <mergeCell ref="GK8:GL8"/>
    <mergeCell ref="GM8:GN8"/>
    <mergeCell ref="GO8:GP8"/>
    <mergeCell ref="GQ8:GR8"/>
    <mergeCell ref="GS8:GT8"/>
    <mergeCell ref="GU8:GV8"/>
    <mergeCell ref="GW8:GX8"/>
    <mergeCell ref="B9:C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AU9:AV9"/>
    <mergeCell ref="AW9:AX9"/>
    <mergeCell ref="AY9:AZ9"/>
    <mergeCell ref="BA9:BB9"/>
    <mergeCell ref="BC9:BD9"/>
    <mergeCell ref="BE9:BF9"/>
    <mergeCell ref="BG9:BH9"/>
    <mergeCell ref="BI9:BJ9"/>
    <mergeCell ref="BK9:BL9"/>
    <mergeCell ref="BM9:BN9"/>
    <mergeCell ref="BO9:BP9"/>
    <mergeCell ref="BQ9:BR9"/>
    <mergeCell ref="BS9:BT9"/>
    <mergeCell ref="BU9:BV9"/>
    <mergeCell ref="BW9:BX9"/>
    <mergeCell ref="BY9:BZ9"/>
    <mergeCell ref="CA9:CB9"/>
    <mergeCell ref="CC9:CD9"/>
    <mergeCell ref="CE9:CF9"/>
    <mergeCell ref="CG9:CH9"/>
    <mergeCell ref="CI9:CJ9"/>
    <mergeCell ref="CK9:CL9"/>
    <mergeCell ref="CM9:CN9"/>
    <mergeCell ref="CO9:CP9"/>
    <mergeCell ref="CQ9:CR9"/>
    <mergeCell ref="CS9:CT9"/>
    <mergeCell ref="CU9:CV9"/>
    <mergeCell ref="CW9:CX9"/>
    <mergeCell ref="CY9:CZ9"/>
    <mergeCell ref="DA9:DB9"/>
    <mergeCell ref="DC9:DD9"/>
    <mergeCell ref="DE9:DF9"/>
    <mergeCell ref="DG9:DH9"/>
    <mergeCell ref="DI9:DJ9"/>
    <mergeCell ref="DK9:DL9"/>
    <mergeCell ref="DM9:DN9"/>
    <mergeCell ref="DO9:DP9"/>
    <mergeCell ref="DQ9:DR9"/>
    <mergeCell ref="DS9:DT9"/>
    <mergeCell ref="DU9:DV9"/>
    <mergeCell ref="DW9:DX9"/>
    <mergeCell ref="DY9:DZ9"/>
    <mergeCell ref="EA9:EB9"/>
    <mergeCell ref="EC9:ED9"/>
    <mergeCell ref="EE9:EF9"/>
    <mergeCell ref="EG9:EH9"/>
    <mergeCell ref="EI9:EJ9"/>
    <mergeCell ref="EK9:EL9"/>
    <mergeCell ref="EM9:EN9"/>
    <mergeCell ref="EO9:EP9"/>
    <mergeCell ref="EQ9:ER9"/>
    <mergeCell ref="ES9:ET9"/>
    <mergeCell ref="EU9:EV9"/>
    <mergeCell ref="EW9:EX9"/>
    <mergeCell ref="EY9:EZ9"/>
    <mergeCell ref="FA9:FB9"/>
    <mergeCell ref="FC9:FD9"/>
    <mergeCell ref="FE9:FF9"/>
    <mergeCell ref="FG9:FH9"/>
    <mergeCell ref="FI9:FJ9"/>
    <mergeCell ref="FK9:FL9"/>
    <mergeCell ref="FM9:FN9"/>
    <mergeCell ref="FO9:FP9"/>
    <mergeCell ref="FQ9:FR9"/>
    <mergeCell ref="FS9:FT9"/>
    <mergeCell ref="FU9:FV9"/>
    <mergeCell ref="FW9:FX9"/>
    <mergeCell ref="FY9:FZ9"/>
    <mergeCell ref="GA9:GB9"/>
    <mergeCell ref="GC9:GD9"/>
    <mergeCell ref="GE9:GF9"/>
    <mergeCell ref="GG9:GH9"/>
    <mergeCell ref="GI9:GJ9"/>
    <mergeCell ref="GK9:GL9"/>
    <mergeCell ref="GM9:GN9"/>
    <mergeCell ref="GO9:GP9"/>
    <mergeCell ref="GQ9:GR9"/>
    <mergeCell ref="GS9:GT9"/>
    <mergeCell ref="GU9:GV9"/>
    <mergeCell ref="GW9:GX9"/>
  </mergeCells>
  <conditionalFormatting sqref="G5:GX110">
    <cfRule type="expression" priority="2" aboveAverage="0" equalAverage="0" bottom="0" percent="0" rank="0" text="" dxfId="2">
      <formula>G$10=""</formula>
    </cfRule>
  </conditionalFormatting>
  <conditionalFormatting sqref="G11:G110 I11:I110 K11:K110 M11:M110 O11:O110 Q11:Q110 S11:S110 U11:U110 W11:W110 Y11:Y110 AA11:AA110 AC11:AC110 AE11:AE110 AG11:AG110 AI11:AI110 AK11:AK110 AM11:AM110 AO11:AO110 AQ11:AQ110 AS11:AS110 AU11:AU110 AW11:AW110 AY11:AY110 BA11:BA110 BC11:BC110 BE11:BE110 BG11:BG110 BI11:BI110 BK11:BK110 BM11:BM110 BO11:BO110 BQ11:BQ110 BS11:BS110 BU11:BU110 BW11:BW110 BY11:BY110 CA11:CA110 CC11:CC110 CE11:CE110 CG11:CG110 CI11:CI110 CK11:CK110 CM11:CM110 CO11:CO110 CQ11:CQ110 CS11:CS110 CU11:CU110 CW11:CW110 CY11:CY110 DA11:DA110 DC11:DC110 DE11:DE110 DG11:DG110 DI11:DI110 DK11:DK110 DM11:DM110 DO11:DO110 DQ11:DQ110 DS11:DS110 DU11:DU110 DW11:DW110 DY11:DY110 EA11:EA110 EC11:EC110 EE11:EE110 EG11:EG110 EI11:EI110 EK11:EK110 EM11:EM110 EO11:EO110 EQ11:EQ110 ES11:ES110 EU11:EU110 EW11:EW110 EY11:EY110 FA11:FA110 FC11:FC110 FE11:FE110 FG11:FG110 FI11:FI110 FK11:FK110 FM11:FM110 FO11:FO110 FQ11:FQ110 FS11:FS110 FU11:FU110 FW11:FW110 FY11:FY110 GA11:GA110 GC11:GC110 GE11:GE110 GG11:GG110 GI11:GI110 GK11:GK110 GM11:GM110 GO11:GO110 GQ11:GQ110 GS11:GS110 GU11:GU110 GW11:GW110">
    <cfRule type="expression" priority="3" aboveAverage="0" equalAverage="0" bottom="0" percent="0" rank="0" text="" dxfId="1">
      <formula>AND(G11&lt;&gt;"",G$8&lt;&gt;"",G11&gt;G$8)</formula>
    </cfRule>
  </conditionalFormatting>
  <dataValidations count="1">
    <dataValidation allowBlank="true" error="Þrep verður að vera heil tala milli 1 og fjölda þrepa fyrir viðkomandi undirviðmið (hámark 10)." errorStyle="stop" errorTitle="Ógilt þrep" operator="between" showDropDown="false" showErrorMessage="true" showInputMessage="false" sqref="G11:G110 I11:I110 K11:K110 M11:M110 O11:O110 Q11:Q110 S11:S110 U11:U110 W11:W110 Y11:Y110 AA11:AA110 AC11:AC110 AE11:AE110 AG11:AG110 AI11:AI110 AK11:AK110 AM11:AM110 AO11:AO110 AQ11:AQ110 AS11:AS110 AU11:AU110 AW11:AW110 AY11:AY110 BA11:BA110 BC11:BC110 BE11:BE110 BG11:BG110 BI11:BI110 BK11:BK110 BM11:BM110 BO11:BO110 BQ11:BQ110 BS11:BS110 BU11:BU110 BW11:BW110 BY11:BY110 CA11:CA110 CC11:CC110 CE11:CE110 CG11:CG110 CI11:CI110 CK11:CK110 CM11:CM110 CO11:CO110 CQ11:CQ110 CS11:CS110 CU11:CU110 CW11:CW110 CY11:CY110 DA11:DA110 DC11:DC110 DE11:DE110 DG11:DG110 DI11:DI110 DK11:DK110 DM11:DM110 DO11:DO110 DQ11:DQ110 DS11:DS110 DU11:DU110 DW11:DW110 DY11:DY110 EA11:EA110 EC11:EC110 EE11:EE110 EG11:EG110 EI11:EI110 EK11:EK110 EM11:EM110 EO11:EO110 EQ11:EQ110 ES11:ES110 EU11:EU110 EW11:EW110 EY11:EY110 FA11:FA110 FC11:FC110 FE11:FE110 FG11:FG110 FI11:FI110 FK11:FK110 FM11:FM110 FO11:FO110 FQ11:FQ110 FS11:FS110 FU11:FU110 FW11:FW110 FY11:FY110 GA11:GA110 GC11:GC110 GE11:GE110 GG11:GG110 GI11:GI110 GK11:GK110 GM11:GM110 GO11:GO110 GQ11:GQ110 GS11:GS110 GU11:GU110 GW11:GW110" type="whole">
      <formula1>1</formula1>
      <formula2>8</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6C25"/>
    <pageSetUpPr fitToPage="false"/>
  </sheetPr>
  <dimension ref="A2:GV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1"/>
  <cols>
    <col collapsed="false" customWidth="true" hidden="false" outlineLevel="0" max="1" min="1" style="1" width="4"/>
    <col collapsed="false" customWidth="true" hidden="false" outlineLevel="0" max="2" min="2" style="1" width="22"/>
    <col collapsed="false" customWidth="true" hidden="false" outlineLevel="0" max="3" min="3" style="1" width="20"/>
    <col collapsed="false" customWidth="true" hidden="false" outlineLevel="0" max="4" min="4" style="1" width="14"/>
    <col collapsed="false" customWidth="true" hidden="false" outlineLevel="0" max="5" min="5" style="1" width="10"/>
    <col collapsed="false" customWidth="true" hidden="false" outlineLevel="0" max="6" min="6" style="1" width="14"/>
    <col collapsed="false" customWidth="true" hidden="false" outlineLevel="0" max="7" min="7" style="1" width="10"/>
    <col collapsed="false" customWidth="true" hidden="false" outlineLevel="0" max="8" min="8" style="1" width="14"/>
    <col collapsed="false" customWidth="true" hidden="false" outlineLevel="0" max="9" min="9" style="1" width="10"/>
    <col collapsed="false" customWidth="true" hidden="false" outlineLevel="0" max="10" min="10" style="1" width="14"/>
    <col collapsed="false" customWidth="true" hidden="false" outlineLevel="0" max="11" min="11" style="1" width="10"/>
    <col collapsed="false" customWidth="true" hidden="false" outlineLevel="0" max="12" min="12" style="1" width="14"/>
    <col collapsed="false" customWidth="true" hidden="false" outlineLevel="0" max="13" min="13" style="1" width="10"/>
    <col collapsed="false" customWidth="true" hidden="false" outlineLevel="0" max="14" min="14" style="1" width="14"/>
    <col collapsed="false" customWidth="true" hidden="false" outlineLevel="0" max="15" min="15" style="1" width="10"/>
    <col collapsed="false" customWidth="true" hidden="false" outlineLevel="0" max="16" min="16" style="1" width="14"/>
    <col collapsed="false" customWidth="true" hidden="false" outlineLevel="0" max="17" min="17" style="1" width="10"/>
    <col collapsed="false" customWidth="true" hidden="false" outlineLevel="0" max="18" min="18" style="1" width="14"/>
    <col collapsed="false" customWidth="true" hidden="false" outlineLevel="0" max="19" min="19" style="1" width="10"/>
    <col collapsed="false" customWidth="true" hidden="false" outlineLevel="0" max="20" min="20" style="1" width="14"/>
    <col collapsed="false" customWidth="true" hidden="false" outlineLevel="0" max="21" min="21" style="1" width="10"/>
    <col collapsed="false" customWidth="true" hidden="false" outlineLevel="0" max="22" min="22" style="1" width="14"/>
    <col collapsed="false" customWidth="true" hidden="false" outlineLevel="0" max="23" min="23" style="1" width="10"/>
    <col collapsed="false" customWidth="true" hidden="false" outlineLevel="0" max="24" min="24" style="1" width="14"/>
    <col collapsed="false" customWidth="true" hidden="false" outlineLevel="0" max="25" min="25" style="1" width="10"/>
    <col collapsed="false" customWidth="true" hidden="false" outlineLevel="0" max="26" min="26" style="1" width="14"/>
    <col collapsed="false" customWidth="true" hidden="false" outlineLevel="0" max="27" min="27" style="1" width="10"/>
    <col collapsed="false" customWidth="true" hidden="false" outlineLevel="0" max="28" min="28" style="1" width="14"/>
    <col collapsed="false" customWidth="true" hidden="false" outlineLevel="0" max="29" min="29" style="1" width="10"/>
    <col collapsed="false" customWidth="true" hidden="false" outlineLevel="0" max="30" min="30" style="1" width="14"/>
    <col collapsed="false" customWidth="true" hidden="false" outlineLevel="0" max="31" min="31" style="1" width="10"/>
    <col collapsed="false" customWidth="true" hidden="false" outlineLevel="0" max="32" min="32" style="1" width="14"/>
    <col collapsed="false" customWidth="true" hidden="false" outlineLevel="0" max="33" min="33" style="1" width="10"/>
    <col collapsed="false" customWidth="true" hidden="true" outlineLevel="1" max="34" min="34" style="1" width="14"/>
    <col collapsed="false" customWidth="true" hidden="true" outlineLevel="1" max="35" min="35" style="1" width="10"/>
    <col collapsed="false" customWidth="true" hidden="true" outlineLevel="1" max="36" min="36" style="1" width="14"/>
    <col collapsed="false" customWidth="true" hidden="true" outlineLevel="1" max="37" min="37" style="1" width="10"/>
    <col collapsed="false" customWidth="true" hidden="true" outlineLevel="1" max="38" min="38" style="1" width="14"/>
    <col collapsed="false" customWidth="true" hidden="true" outlineLevel="1" max="39" min="39" style="1" width="10"/>
    <col collapsed="false" customWidth="true" hidden="true" outlineLevel="1" max="40" min="40" style="1" width="14"/>
    <col collapsed="false" customWidth="true" hidden="true" outlineLevel="1" max="41" min="41" style="1" width="10"/>
    <col collapsed="false" customWidth="true" hidden="true" outlineLevel="1" max="42" min="42" style="1" width="14"/>
    <col collapsed="false" customWidth="true" hidden="true" outlineLevel="1" max="43" min="43" style="1" width="10"/>
    <col collapsed="false" customWidth="true" hidden="true" outlineLevel="1" max="44" min="44" style="1" width="14"/>
    <col collapsed="false" customWidth="true" hidden="true" outlineLevel="1" max="45" min="45" style="1" width="10"/>
    <col collapsed="false" customWidth="true" hidden="true" outlineLevel="1" max="46" min="46" style="1" width="14"/>
    <col collapsed="false" customWidth="true" hidden="true" outlineLevel="1" max="47" min="47" style="1" width="10"/>
    <col collapsed="false" customWidth="true" hidden="true" outlineLevel="1" max="48" min="48" style="1" width="14"/>
    <col collapsed="false" customWidth="true" hidden="true" outlineLevel="1" max="49" min="49" style="1" width="10"/>
    <col collapsed="false" customWidth="true" hidden="true" outlineLevel="1" max="50" min="50" style="1" width="14"/>
    <col collapsed="false" customWidth="true" hidden="true" outlineLevel="1" max="51" min="51" style="1" width="10"/>
    <col collapsed="false" customWidth="true" hidden="true" outlineLevel="1" max="52" min="52" style="1" width="14"/>
    <col collapsed="false" customWidth="true" hidden="true" outlineLevel="1" max="53" min="53" style="1" width="10"/>
    <col collapsed="false" customWidth="true" hidden="true" outlineLevel="1" max="54" min="54" style="1" width="14"/>
    <col collapsed="false" customWidth="true" hidden="true" outlineLevel="1" max="55" min="55" style="1" width="10"/>
    <col collapsed="false" customWidth="true" hidden="true" outlineLevel="1" max="56" min="56" style="1" width="14"/>
    <col collapsed="false" customWidth="true" hidden="true" outlineLevel="1" max="57" min="57" style="1" width="10"/>
    <col collapsed="false" customWidth="true" hidden="true" outlineLevel="1" max="58" min="58" style="1" width="14"/>
    <col collapsed="false" customWidth="true" hidden="true" outlineLevel="1" max="59" min="59" style="1" width="10"/>
    <col collapsed="false" customWidth="true" hidden="true" outlineLevel="1" max="60" min="60" style="1" width="14"/>
    <col collapsed="false" customWidth="true" hidden="true" outlineLevel="1" max="61" min="61" style="1" width="10"/>
    <col collapsed="false" customWidth="true" hidden="true" outlineLevel="1" max="62" min="62" style="1" width="14"/>
    <col collapsed="false" customWidth="true" hidden="true" outlineLevel="1" max="63" min="63" style="1" width="10"/>
    <col collapsed="false" customWidth="true" hidden="true" outlineLevel="1" max="64" min="64" style="1" width="14"/>
    <col collapsed="false" customWidth="true" hidden="true" outlineLevel="1" max="65" min="65" style="1" width="10"/>
    <col collapsed="false" customWidth="true" hidden="true" outlineLevel="1" max="66" min="66" style="1" width="14"/>
    <col collapsed="false" customWidth="true" hidden="true" outlineLevel="1" max="67" min="67" style="1" width="10"/>
    <col collapsed="false" customWidth="true" hidden="true" outlineLevel="1" max="68" min="68" style="1" width="14"/>
    <col collapsed="false" customWidth="true" hidden="true" outlineLevel="1" max="69" min="69" style="1" width="10"/>
    <col collapsed="false" customWidth="true" hidden="true" outlineLevel="1" max="70" min="70" style="1" width="14"/>
    <col collapsed="false" customWidth="true" hidden="true" outlineLevel="1" max="71" min="71" style="1" width="10"/>
    <col collapsed="false" customWidth="true" hidden="true" outlineLevel="1" max="72" min="72" style="1" width="14"/>
    <col collapsed="false" customWidth="true" hidden="true" outlineLevel="1" max="73" min="73" style="1" width="10"/>
    <col collapsed="false" customWidth="true" hidden="true" outlineLevel="1" max="74" min="74" style="1" width="14"/>
    <col collapsed="false" customWidth="true" hidden="true" outlineLevel="1" max="75" min="75" style="1" width="10"/>
    <col collapsed="false" customWidth="true" hidden="true" outlineLevel="1" max="76" min="76" style="1" width="14"/>
    <col collapsed="false" customWidth="true" hidden="true" outlineLevel="1" max="77" min="77" style="1" width="10"/>
    <col collapsed="false" customWidth="true" hidden="true" outlineLevel="1" max="78" min="78" style="1" width="14"/>
    <col collapsed="false" customWidth="true" hidden="true" outlineLevel="1" max="79" min="79" style="1" width="10"/>
    <col collapsed="false" customWidth="true" hidden="true" outlineLevel="1" max="80" min="80" style="1" width="14"/>
    <col collapsed="false" customWidth="true" hidden="true" outlineLevel="1" max="81" min="81" style="1" width="10"/>
    <col collapsed="false" customWidth="true" hidden="true" outlineLevel="1" max="82" min="82" style="1" width="14"/>
    <col collapsed="false" customWidth="true" hidden="true" outlineLevel="1" max="83" min="83" style="1" width="10"/>
    <col collapsed="false" customWidth="true" hidden="true" outlineLevel="1" max="84" min="84" style="1" width="14"/>
    <col collapsed="false" customWidth="true" hidden="true" outlineLevel="1" max="85" min="85" style="1" width="10"/>
    <col collapsed="false" customWidth="true" hidden="true" outlineLevel="1" max="86" min="86" style="1" width="14"/>
    <col collapsed="false" customWidth="true" hidden="true" outlineLevel="1" max="87" min="87" style="1" width="10"/>
    <col collapsed="false" customWidth="true" hidden="true" outlineLevel="1" max="88" min="88" style="1" width="14"/>
    <col collapsed="false" customWidth="true" hidden="true" outlineLevel="1" max="89" min="89" style="1" width="10"/>
    <col collapsed="false" customWidth="true" hidden="true" outlineLevel="1" max="90" min="90" style="1" width="14"/>
    <col collapsed="false" customWidth="true" hidden="true" outlineLevel="1" max="91" min="91" style="1" width="10"/>
    <col collapsed="false" customWidth="true" hidden="true" outlineLevel="1" max="92" min="92" style="1" width="14"/>
    <col collapsed="false" customWidth="true" hidden="true" outlineLevel="1" max="93" min="93" style="1" width="10"/>
    <col collapsed="false" customWidth="true" hidden="true" outlineLevel="1" max="94" min="94" style="1" width="14"/>
    <col collapsed="false" customWidth="true" hidden="true" outlineLevel="1" max="95" min="95" style="1" width="10"/>
    <col collapsed="false" customWidth="true" hidden="true" outlineLevel="1" max="96" min="96" style="1" width="14"/>
    <col collapsed="false" customWidth="true" hidden="true" outlineLevel="1" max="97" min="97" style="1" width="10"/>
    <col collapsed="false" customWidth="true" hidden="true" outlineLevel="1" max="98" min="98" style="1" width="14"/>
    <col collapsed="false" customWidth="true" hidden="true" outlineLevel="1" max="99" min="99" style="1" width="10"/>
    <col collapsed="false" customWidth="true" hidden="true" outlineLevel="1" max="100" min="100" style="1" width="14"/>
    <col collapsed="false" customWidth="true" hidden="true" outlineLevel="1" max="101" min="101" style="1" width="10"/>
    <col collapsed="false" customWidth="true" hidden="true" outlineLevel="1" max="102" min="102" style="1" width="14"/>
    <col collapsed="false" customWidth="true" hidden="true" outlineLevel="1" max="103" min="103" style="1" width="10"/>
    <col collapsed="false" customWidth="true" hidden="true" outlineLevel="1" max="104" min="104" style="1" width="14"/>
    <col collapsed="false" customWidth="true" hidden="true" outlineLevel="1" max="105" min="105" style="1" width="10"/>
    <col collapsed="false" customWidth="true" hidden="true" outlineLevel="1" max="106" min="106" style="1" width="14"/>
    <col collapsed="false" customWidth="true" hidden="true" outlineLevel="1" max="107" min="107" style="1" width="10"/>
    <col collapsed="false" customWidth="true" hidden="true" outlineLevel="1" max="108" min="108" style="1" width="14"/>
    <col collapsed="false" customWidth="true" hidden="true" outlineLevel="1" max="109" min="109" style="1" width="10"/>
    <col collapsed="false" customWidth="true" hidden="true" outlineLevel="1" max="110" min="110" style="1" width="14"/>
    <col collapsed="false" customWidth="true" hidden="true" outlineLevel="1" max="111" min="111" style="1" width="10"/>
    <col collapsed="false" customWidth="true" hidden="true" outlineLevel="1" max="112" min="112" style="1" width="14"/>
    <col collapsed="false" customWidth="true" hidden="true" outlineLevel="1" max="113" min="113" style="1" width="10"/>
    <col collapsed="false" customWidth="true" hidden="true" outlineLevel="1" max="114" min="114" style="1" width="14"/>
    <col collapsed="false" customWidth="true" hidden="true" outlineLevel="1" max="115" min="115" style="1" width="10"/>
    <col collapsed="false" customWidth="true" hidden="true" outlineLevel="1" max="116" min="116" style="1" width="14"/>
    <col collapsed="false" customWidth="true" hidden="true" outlineLevel="1" max="117" min="117" style="1" width="10"/>
    <col collapsed="false" customWidth="true" hidden="true" outlineLevel="1" max="118" min="118" style="1" width="14"/>
    <col collapsed="false" customWidth="true" hidden="true" outlineLevel="1" max="119" min="119" style="1" width="10"/>
    <col collapsed="false" customWidth="true" hidden="true" outlineLevel="1" max="120" min="120" style="1" width="14"/>
    <col collapsed="false" customWidth="true" hidden="true" outlineLevel="1" max="121" min="121" style="1" width="10"/>
    <col collapsed="false" customWidth="true" hidden="true" outlineLevel="1" max="122" min="122" style="1" width="14"/>
    <col collapsed="false" customWidth="true" hidden="true" outlineLevel="1" max="123" min="123" style="1" width="10"/>
    <col collapsed="false" customWidth="true" hidden="true" outlineLevel="1" max="124" min="124" style="1" width="14"/>
    <col collapsed="false" customWidth="true" hidden="true" outlineLevel="1" max="125" min="125" style="1" width="10"/>
    <col collapsed="false" customWidth="true" hidden="true" outlineLevel="1" max="126" min="126" style="1" width="14"/>
    <col collapsed="false" customWidth="true" hidden="true" outlineLevel="1" max="127" min="127" style="1" width="10"/>
    <col collapsed="false" customWidth="true" hidden="true" outlineLevel="1" max="128" min="128" style="1" width="14"/>
    <col collapsed="false" customWidth="true" hidden="true" outlineLevel="1" max="129" min="129" style="1" width="10"/>
    <col collapsed="false" customWidth="true" hidden="true" outlineLevel="1" max="130" min="130" style="1" width="14"/>
    <col collapsed="false" customWidth="true" hidden="true" outlineLevel="1" max="131" min="131" style="1" width="10"/>
    <col collapsed="false" customWidth="true" hidden="true" outlineLevel="1" max="132" min="132" style="1" width="14"/>
    <col collapsed="false" customWidth="true" hidden="true" outlineLevel="1" max="133" min="133" style="1" width="10"/>
    <col collapsed="false" customWidth="true" hidden="true" outlineLevel="1" max="134" min="134" style="1" width="14"/>
    <col collapsed="false" customWidth="true" hidden="true" outlineLevel="1" max="135" min="135" style="1" width="10"/>
    <col collapsed="false" customWidth="true" hidden="true" outlineLevel="1" max="136" min="136" style="1" width="14"/>
    <col collapsed="false" customWidth="true" hidden="true" outlineLevel="1" max="137" min="137" style="1" width="10"/>
    <col collapsed="false" customWidth="true" hidden="true" outlineLevel="1" max="138" min="138" style="1" width="14"/>
    <col collapsed="false" customWidth="true" hidden="true" outlineLevel="1" max="139" min="139" style="1" width="10"/>
    <col collapsed="false" customWidth="true" hidden="true" outlineLevel="1" max="140" min="140" style="1" width="14"/>
    <col collapsed="false" customWidth="true" hidden="true" outlineLevel="1" max="141" min="141" style="1" width="10"/>
    <col collapsed="false" customWidth="true" hidden="true" outlineLevel="1" max="142" min="142" style="1" width="14"/>
    <col collapsed="false" customWidth="true" hidden="true" outlineLevel="1" max="143" min="143" style="1" width="10"/>
    <col collapsed="false" customWidth="true" hidden="true" outlineLevel="1" max="144" min="144" style="1" width="14"/>
    <col collapsed="false" customWidth="true" hidden="true" outlineLevel="1" max="145" min="145" style="1" width="10"/>
    <col collapsed="false" customWidth="true" hidden="true" outlineLevel="1" max="146" min="146" style="1" width="14"/>
    <col collapsed="false" customWidth="true" hidden="true" outlineLevel="1" max="147" min="147" style="1" width="10"/>
    <col collapsed="false" customWidth="true" hidden="true" outlineLevel="1" max="148" min="148" style="1" width="14"/>
    <col collapsed="false" customWidth="true" hidden="true" outlineLevel="1" max="149" min="149" style="1" width="10"/>
    <col collapsed="false" customWidth="true" hidden="true" outlineLevel="1" max="150" min="150" style="1" width="14"/>
    <col collapsed="false" customWidth="true" hidden="true" outlineLevel="1" max="151" min="151" style="1" width="10"/>
    <col collapsed="false" customWidth="true" hidden="true" outlineLevel="1" max="152" min="152" style="1" width="14"/>
    <col collapsed="false" customWidth="true" hidden="true" outlineLevel="1" max="153" min="153" style="1" width="10"/>
    <col collapsed="false" customWidth="true" hidden="true" outlineLevel="1" max="154" min="154" style="1" width="14"/>
    <col collapsed="false" customWidth="true" hidden="true" outlineLevel="1" max="155" min="155" style="1" width="10"/>
    <col collapsed="false" customWidth="true" hidden="true" outlineLevel="1" max="156" min="156" style="1" width="14"/>
    <col collapsed="false" customWidth="true" hidden="true" outlineLevel="1" max="157" min="157" style="1" width="10"/>
    <col collapsed="false" customWidth="true" hidden="true" outlineLevel="1" max="158" min="158" style="1" width="14"/>
    <col collapsed="false" customWidth="true" hidden="true" outlineLevel="1" max="159" min="159" style="1" width="10"/>
    <col collapsed="false" customWidth="true" hidden="true" outlineLevel="1" max="160" min="160" style="1" width="14"/>
    <col collapsed="false" customWidth="true" hidden="true" outlineLevel="1" max="161" min="161" style="1" width="10"/>
    <col collapsed="false" customWidth="true" hidden="true" outlineLevel="1" max="162" min="162" style="1" width="14"/>
    <col collapsed="false" customWidth="true" hidden="true" outlineLevel="1" max="163" min="163" style="1" width="10"/>
    <col collapsed="false" customWidth="true" hidden="true" outlineLevel="1" max="164" min="164" style="1" width="14"/>
    <col collapsed="false" customWidth="true" hidden="true" outlineLevel="1" max="165" min="165" style="1" width="10"/>
    <col collapsed="false" customWidth="true" hidden="true" outlineLevel="1" max="166" min="166" style="1" width="14"/>
    <col collapsed="false" customWidth="true" hidden="true" outlineLevel="1" max="167" min="167" style="1" width="10"/>
    <col collapsed="false" customWidth="true" hidden="true" outlineLevel="1" max="168" min="168" style="1" width="14"/>
    <col collapsed="false" customWidth="true" hidden="true" outlineLevel="1" max="169" min="169" style="1" width="10"/>
    <col collapsed="false" customWidth="true" hidden="true" outlineLevel="1" max="170" min="170" style="1" width="14"/>
    <col collapsed="false" customWidth="true" hidden="true" outlineLevel="1" max="171" min="171" style="1" width="10"/>
    <col collapsed="false" customWidth="true" hidden="true" outlineLevel="1" max="172" min="172" style="1" width="14"/>
    <col collapsed="false" customWidth="true" hidden="true" outlineLevel="1" max="173" min="173" style="1" width="10"/>
    <col collapsed="false" customWidth="true" hidden="true" outlineLevel="1" max="174" min="174" style="1" width="14"/>
    <col collapsed="false" customWidth="true" hidden="true" outlineLevel="1" max="175" min="175" style="1" width="10"/>
    <col collapsed="false" customWidth="true" hidden="true" outlineLevel="1" max="176" min="176" style="1" width="14"/>
    <col collapsed="false" customWidth="true" hidden="true" outlineLevel="1" max="177" min="177" style="1" width="10"/>
    <col collapsed="false" customWidth="true" hidden="true" outlineLevel="1" max="178" min="178" style="1" width="14"/>
    <col collapsed="false" customWidth="true" hidden="true" outlineLevel="1" max="179" min="179" style="1" width="10"/>
    <col collapsed="false" customWidth="true" hidden="true" outlineLevel="1" max="180" min="180" style="1" width="14"/>
    <col collapsed="false" customWidth="true" hidden="true" outlineLevel="1" max="181" min="181" style="1" width="10"/>
    <col collapsed="false" customWidth="true" hidden="true" outlineLevel="1" max="182" min="182" style="1" width="14"/>
    <col collapsed="false" customWidth="true" hidden="true" outlineLevel="1" max="183" min="183" style="1" width="10"/>
    <col collapsed="false" customWidth="true" hidden="true" outlineLevel="1" max="184" min="184" style="1" width="14"/>
    <col collapsed="false" customWidth="true" hidden="true" outlineLevel="1" max="185" min="185" style="1" width="10"/>
    <col collapsed="false" customWidth="true" hidden="true" outlineLevel="1" max="186" min="186" style="1" width="14"/>
    <col collapsed="false" customWidth="true" hidden="true" outlineLevel="1" max="187" min="187" style="1" width="10"/>
    <col collapsed="false" customWidth="true" hidden="true" outlineLevel="1" max="188" min="188" style="1" width="14"/>
    <col collapsed="false" customWidth="true" hidden="true" outlineLevel="1" max="189" min="189" style="1" width="10"/>
    <col collapsed="false" customWidth="true" hidden="true" outlineLevel="1" max="190" min="190" style="1" width="14"/>
    <col collapsed="false" customWidth="true" hidden="true" outlineLevel="1" max="191" min="191" style="1" width="10"/>
    <col collapsed="false" customWidth="true" hidden="true" outlineLevel="1" max="192" min="192" style="1" width="14"/>
    <col collapsed="false" customWidth="true" hidden="true" outlineLevel="1" max="193" min="193" style="1" width="10"/>
    <col collapsed="false" customWidth="true" hidden="true" outlineLevel="1" max="194" min="194" style="1" width="14"/>
    <col collapsed="false" customWidth="true" hidden="true" outlineLevel="1" max="195" min="195" style="1" width="10"/>
    <col collapsed="false" customWidth="true" hidden="true" outlineLevel="1" max="196" min="196" style="1" width="14"/>
    <col collapsed="false" customWidth="true" hidden="true" outlineLevel="1" max="197" min="197" style="1" width="10"/>
    <col collapsed="false" customWidth="true" hidden="true" outlineLevel="1" max="198" min="198" style="1" width="14"/>
    <col collapsed="false" customWidth="true" hidden="true" outlineLevel="1" max="199" min="199" style="1" width="10"/>
    <col collapsed="false" customWidth="true" hidden="true" outlineLevel="1" max="200" min="200" style="1" width="14"/>
    <col collapsed="false" customWidth="true" hidden="true" outlineLevel="1" max="201" min="201" style="1" width="10"/>
    <col collapsed="false" customWidth="true" hidden="true" outlineLevel="1" max="202" min="202" style="1" width="14"/>
    <col collapsed="false" customWidth="true" hidden="true" outlineLevel="1" max="203" min="203" style="1" width="10"/>
    <col collapsed="false" customWidth="true" hidden="false" outlineLevel="0" max="204" min="204" style="1" width="14"/>
  </cols>
  <sheetData>
    <row r="2" customFormat="false" ht="19.5" hidden="false" customHeight="true" outlineLevel="0" collapsed="false">
      <c r="B2" s="10" t="s">
        <v>11</v>
      </c>
      <c r="C2" s="10"/>
      <c r="D2" s="10"/>
      <c r="E2" s="10"/>
      <c r="F2" s="10"/>
    </row>
    <row r="3" customFormat="false" ht="15" hidden="false" customHeight="true" outlineLevel="0" collapsed="false">
      <c r="B3" s="11" t="s">
        <v>134</v>
      </c>
      <c r="C3" s="11"/>
      <c r="D3" s="11"/>
      <c r="E3" s="11"/>
      <c r="F3" s="11"/>
      <c r="G3" s="11"/>
      <c r="H3" s="11"/>
      <c r="I3" s="11"/>
      <c r="J3" s="11"/>
      <c r="K3" s="11"/>
      <c r="L3" s="11"/>
      <c r="M3" s="11"/>
    </row>
    <row r="4" customFormat="false" ht="15" hidden="true" customHeight="true" outlineLevel="0" collapsed="false">
      <c r="D4" s="41" t="n">
        <f aca="false" t="array" ref="D4:D4">IFERROR(SMALL(IF(Undirviðmið!$G$6:$G$205="Einstaklingsbundið",ROW(Undirviðmið!$G$6:$G$205)-5),(COLUMN()-2)/2),0)</f>
        <v>0</v>
      </c>
      <c r="F4" s="41" t="n">
        <f aca="false" t="array" ref="F4:F4">IFERROR(SMALL(IF(Undirviðmið!$G$6:$G$205="Einstaklingsbundið",ROW(Undirviðmið!$G$6:$G$205)-5),(COLUMN()-2)/2),0)</f>
        <v>0</v>
      </c>
      <c r="H4" s="41" t="n">
        <f aca="false" t="array" ref="H4:H4">IFERROR(SMALL(IF(Undirviðmið!$G$6:$G$205="Einstaklingsbundið",ROW(Undirviðmið!$G$6:$G$205)-5),(COLUMN()-2)/2),0)</f>
        <v>0</v>
      </c>
      <c r="J4" s="41" t="n">
        <f aca="false" t="array" ref="J4:J4">IFERROR(SMALL(IF(Undirviðmið!$G$6:$G$205="Einstaklingsbundið",ROW(Undirviðmið!$G$6:$G$205)-5),(COLUMN()-2)/2),0)</f>
        <v>0</v>
      </c>
      <c r="L4" s="41" t="n">
        <f aca="false" t="array" ref="L4:L4">IFERROR(SMALL(IF(Undirviðmið!$G$6:$G$205="Einstaklingsbundið",ROW(Undirviðmið!$G$6:$G$205)-5),(COLUMN()-2)/2),0)</f>
        <v>0</v>
      </c>
      <c r="N4" s="41" t="n">
        <f aca="false" t="array" ref="N4:N4">IFERROR(SMALL(IF(Undirviðmið!$G$6:$G$205="Einstaklingsbundið",ROW(Undirviðmið!$G$6:$G$205)-5),(COLUMN()-2)/2),0)</f>
        <v>0</v>
      </c>
      <c r="P4" s="41" t="n">
        <f aca="false" t="array" ref="P4:P4">IFERROR(SMALL(IF(Undirviðmið!$G$6:$G$205="Einstaklingsbundið",ROW(Undirviðmið!$G$6:$G$205)-5),(COLUMN()-2)/2),0)</f>
        <v>0</v>
      </c>
      <c r="R4" s="41" t="n">
        <f aca="false" t="array" ref="R4:R4">IFERROR(SMALL(IF(Undirviðmið!$G$6:$G$205="Einstaklingsbundið",ROW(Undirviðmið!$G$6:$G$205)-5),(COLUMN()-2)/2),0)</f>
        <v>0</v>
      </c>
      <c r="T4" s="41" t="n">
        <f aca="false" t="array" ref="T4:T4">IFERROR(SMALL(IF(Undirviðmið!$G$6:$G$205="Einstaklingsbundið",ROW(Undirviðmið!$G$6:$G$205)-5),(COLUMN()-2)/2),0)</f>
        <v>0</v>
      </c>
      <c r="V4" s="41" t="n">
        <f aca="false" t="array" ref="V4:V4">IFERROR(SMALL(IF(Undirviðmið!$G$6:$G$205="Einstaklingsbundið",ROW(Undirviðmið!$G$6:$G$205)-5),(COLUMN()-2)/2),0)</f>
        <v>0</v>
      </c>
      <c r="X4" s="41" t="n">
        <f aca="false" t="array" ref="X4:X4">IFERROR(SMALL(IF(Undirviðmið!$G$6:$G$205="Einstaklingsbundið",ROW(Undirviðmið!$G$6:$G$205)-5),(COLUMN()-2)/2),0)</f>
        <v>0</v>
      </c>
      <c r="Z4" s="41" t="n">
        <f aca="false" t="array" ref="Z4:Z4">IFERROR(SMALL(IF(Undirviðmið!$G$6:$G$205="Einstaklingsbundið",ROW(Undirviðmið!$G$6:$G$205)-5),(COLUMN()-2)/2),0)</f>
        <v>0</v>
      </c>
      <c r="AB4" s="41" t="n">
        <f aca="false" t="array" ref="AB4:AB4">IFERROR(SMALL(IF(Undirviðmið!$G$6:$G$205="Einstaklingsbundið",ROW(Undirviðmið!$G$6:$G$205)-5),(COLUMN()-2)/2),0)</f>
        <v>0</v>
      </c>
      <c r="AD4" s="41" t="n">
        <f aca="false" t="array" ref="AD4:AD4">IFERROR(SMALL(IF(Undirviðmið!$G$6:$G$205="Einstaklingsbundið",ROW(Undirviðmið!$G$6:$G$205)-5),(COLUMN()-2)/2),0)</f>
        <v>0</v>
      </c>
      <c r="AF4" s="41" t="n">
        <f aca="false" t="array" ref="AF4:AF4">IFERROR(SMALL(IF(Undirviðmið!$G$6:$G$205="Einstaklingsbundið",ROW(Undirviðmið!$G$6:$G$205)-5),(COLUMN()-2)/2),0)</f>
        <v>0</v>
      </c>
      <c r="AH4" s="41" t="n">
        <f aca="false" t="array" ref="AH4:AH4">IFERROR(SMALL(IF(Undirviðmið!$G$6:$G$205="Einstaklingsbundið",ROW(Undirviðmið!$G$6:$G$205)-5),(COLUMN()-2)/2),0)</f>
        <v>0</v>
      </c>
      <c r="AJ4" s="41" t="n">
        <f aca="false" t="array" ref="AJ4:AJ4">IFERROR(SMALL(IF(Undirviðmið!$G$6:$G$205="Einstaklingsbundið",ROW(Undirviðmið!$G$6:$G$205)-5),(COLUMN()-2)/2),0)</f>
        <v>0</v>
      </c>
      <c r="AL4" s="41" t="n">
        <f aca="false" t="array" ref="AL4:AL4">IFERROR(SMALL(IF(Undirviðmið!$G$6:$G$205="Einstaklingsbundið",ROW(Undirviðmið!$G$6:$G$205)-5),(COLUMN()-2)/2),0)</f>
        <v>0</v>
      </c>
      <c r="AN4" s="41" t="n">
        <f aca="false" t="array" ref="AN4:AN4">IFERROR(SMALL(IF(Undirviðmið!$G$6:$G$205="Einstaklingsbundið",ROW(Undirviðmið!$G$6:$G$205)-5),(COLUMN()-2)/2),0)</f>
        <v>0</v>
      </c>
      <c r="AP4" s="41" t="n">
        <f aca="false" t="array" ref="AP4:AP4">IFERROR(SMALL(IF(Undirviðmið!$G$6:$G$205="Einstaklingsbundið",ROW(Undirviðmið!$G$6:$G$205)-5),(COLUMN()-2)/2),0)</f>
        <v>0</v>
      </c>
      <c r="AR4" s="41" t="n">
        <f aca="false" t="array" ref="AR4:AR4">IFERROR(SMALL(IF(Undirviðmið!$G$6:$G$205="Einstaklingsbundið",ROW(Undirviðmið!$G$6:$G$205)-5),(COLUMN()-2)/2),0)</f>
        <v>0</v>
      </c>
      <c r="AT4" s="41" t="n">
        <f aca="false" t="array" ref="AT4:AT4">IFERROR(SMALL(IF(Undirviðmið!$G$6:$G$205="Einstaklingsbundið",ROW(Undirviðmið!$G$6:$G$205)-5),(COLUMN()-2)/2),0)</f>
        <v>0</v>
      </c>
      <c r="AV4" s="41" t="n">
        <f aca="false" t="array" ref="AV4:AV4">IFERROR(SMALL(IF(Undirviðmið!$G$6:$G$205="Einstaklingsbundið",ROW(Undirviðmið!$G$6:$G$205)-5),(COLUMN()-2)/2),0)</f>
        <v>0</v>
      </c>
      <c r="AX4" s="41" t="n">
        <f aca="false" t="array" ref="AX4:AX4">IFERROR(SMALL(IF(Undirviðmið!$G$6:$G$205="Einstaklingsbundið",ROW(Undirviðmið!$G$6:$G$205)-5),(COLUMN()-2)/2),0)</f>
        <v>0</v>
      </c>
      <c r="AZ4" s="41" t="n">
        <f aca="false" t="array" ref="AZ4:AZ4">IFERROR(SMALL(IF(Undirviðmið!$G$6:$G$205="Einstaklingsbundið",ROW(Undirviðmið!$G$6:$G$205)-5),(COLUMN()-2)/2),0)</f>
        <v>0</v>
      </c>
      <c r="BB4" s="41" t="n">
        <f aca="false" t="array" ref="BB4:BB4">IFERROR(SMALL(IF(Undirviðmið!$G$6:$G$205="Einstaklingsbundið",ROW(Undirviðmið!$G$6:$G$205)-5),(COLUMN()-2)/2),0)</f>
        <v>0</v>
      </c>
      <c r="BD4" s="41" t="n">
        <f aca="false" t="array" ref="BD4:BD4">IFERROR(SMALL(IF(Undirviðmið!$G$6:$G$205="Einstaklingsbundið",ROW(Undirviðmið!$G$6:$G$205)-5),(COLUMN()-2)/2),0)</f>
        <v>0</v>
      </c>
      <c r="BF4" s="41" t="n">
        <f aca="false" t="array" ref="BF4:BF4">IFERROR(SMALL(IF(Undirviðmið!$G$6:$G$205="Einstaklingsbundið",ROW(Undirviðmið!$G$6:$G$205)-5),(COLUMN()-2)/2),0)</f>
        <v>0</v>
      </c>
      <c r="BH4" s="41" t="n">
        <f aca="false" t="array" ref="BH4:BH4">IFERROR(SMALL(IF(Undirviðmið!$G$6:$G$205="Einstaklingsbundið",ROW(Undirviðmið!$G$6:$G$205)-5),(COLUMN()-2)/2),0)</f>
        <v>0</v>
      </c>
      <c r="BJ4" s="41" t="n">
        <f aca="false" t="array" ref="BJ4:BJ4">IFERROR(SMALL(IF(Undirviðmið!$G$6:$G$205="Einstaklingsbundið",ROW(Undirviðmið!$G$6:$G$205)-5),(COLUMN()-2)/2),0)</f>
        <v>0</v>
      </c>
      <c r="BL4" s="41" t="n">
        <f aca="false" t="array" ref="BL4:BL4">IFERROR(SMALL(IF(Undirviðmið!$G$6:$G$205="Einstaklingsbundið",ROW(Undirviðmið!$G$6:$G$205)-5),(COLUMN()-2)/2),0)</f>
        <v>0</v>
      </c>
      <c r="BN4" s="41" t="n">
        <f aca="false" t="array" ref="BN4:BN4">IFERROR(SMALL(IF(Undirviðmið!$G$6:$G$205="Einstaklingsbundið",ROW(Undirviðmið!$G$6:$G$205)-5),(COLUMN()-2)/2),0)</f>
        <v>0</v>
      </c>
      <c r="BP4" s="41" t="n">
        <f aca="false" t="array" ref="BP4:BP4">IFERROR(SMALL(IF(Undirviðmið!$G$6:$G$205="Einstaklingsbundið",ROW(Undirviðmið!$G$6:$G$205)-5),(COLUMN()-2)/2),0)</f>
        <v>0</v>
      </c>
      <c r="BR4" s="41" t="n">
        <f aca="false" t="array" ref="BR4:BR4">IFERROR(SMALL(IF(Undirviðmið!$G$6:$G$205="Einstaklingsbundið",ROW(Undirviðmið!$G$6:$G$205)-5),(COLUMN()-2)/2),0)</f>
        <v>0</v>
      </c>
      <c r="BT4" s="41" t="n">
        <f aca="false" t="array" ref="BT4:BT4">IFERROR(SMALL(IF(Undirviðmið!$G$6:$G$205="Einstaklingsbundið",ROW(Undirviðmið!$G$6:$G$205)-5),(COLUMN()-2)/2),0)</f>
        <v>0</v>
      </c>
      <c r="BV4" s="41" t="n">
        <f aca="false" t="array" ref="BV4:BV4">IFERROR(SMALL(IF(Undirviðmið!$G$6:$G$205="Einstaklingsbundið",ROW(Undirviðmið!$G$6:$G$205)-5),(COLUMN()-2)/2),0)</f>
        <v>0</v>
      </c>
      <c r="BX4" s="41" t="n">
        <f aca="false" t="array" ref="BX4:BX4">IFERROR(SMALL(IF(Undirviðmið!$G$6:$G$205="Einstaklingsbundið",ROW(Undirviðmið!$G$6:$G$205)-5),(COLUMN()-2)/2),0)</f>
        <v>0</v>
      </c>
      <c r="BZ4" s="41" t="n">
        <f aca="false" t="array" ref="BZ4:BZ4">IFERROR(SMALL(IF(Undirviðmið!$G$6:$G$205="Einstaklingsbundið",ROW(Undirviðmið!$G$6:$G$205)-5),(COLUMN()-2)/2),0)</f>
        <v>0</v>
      </c>
      <c r="CB4" s="41" t="n">
        <f aca="false" t="array" ref="CB4:CB4">IFERROR(SMALL(IF(Undirviðmið!$G$6:$G$205="Einstaklingsbundið",ROW(Undirviðmið!$G$6:$G$205)-5),(COLUMN()-2)/2),0)</f>
        <v>0</v>
      </c>
      <c r="CD4" s="41" t="n">
        <f aca="false" t="array" ref="CD4:CD4">IFERROR(SMALL(IF(Undirviðmið!$G$6:$G$205="Einstaklingsbundið",ROW(Undirviðmið!$G$6:$G$205)-5),(COLUMN()-2)/2),0)</f>
        <v>0</v>
      </c>
      <c r="CF4" s="41" t="n">
        <f aca="false" t="array" ref="CF4:CF4">IFERROR(SMALL(IF(Undirviðmið!$G$6:$G$205="Einstaklingsbundið",ROW(Undirviðmið!$G$6:$G$205)-5),(COLUMN()-2)/2),0)</f>
        <v>0</v>
      </c>
      <c r="CH4" s="41" t="n">
        <f aca="false" t="array" ref="CH4:CH4">IFERROR(SMALL(IF(Undirviðmið!$G$6:$G$205="Einstaklingsbundið",ROW(Undirviðmið!$G$6:$G$205)-5),(COLUMN()-2)/2),0)</f>
        <v>0</v>
      </c>
      <c r="CJ4" s="41" t="n">
        <f aca="false" t="array" ref="CJ4:CJ4">IFERROR(SMALL(IF(Undirviðmið!$G$6:$G$205="Einstaklingsbundið",ROW(Undirviðmið!$G$6:$G$205)-5),(COLUMN()-2)/2),0)</f>
        <v>0</v>
      </c>
      <c r="CL4" s="41" t="n">
        <f aca="false" t="array" ref="CL4:CL4">IFERROR(SMALL(IF(Undirviðmið!$G$6:$G$205="Einstaklingsbundið",ROW(Undirviðmið!$G$6:$G$205)-5),(COLUMN()-2)/2),0)</f>
        <v>0</v>
      </c>
      <c r="CN4" s="41" t="n">
        <f aca="false" t="array" ref="CN4:CN4">IFERROR(SMALL(IF(Undirviðmið!$G$6:$G$205="Einstaklingsbundið",ROW(Undirviðmið!$G$6:$G$205)-5),(COLUMN()-2)/2),0)</f>
        <v>0</v>
      </c>
      <c r="CP4" s="41" t="n">
        <f aca="false" t="array" ref="CP4:CP4">IFERROR(SMALL(IF(Undirviðmið!$G$6:$G$205="Einstaklingsbundið",ROW(Undirviðmið!$G$6:$G$205)-5),(COLUMN()-2)/2),0)</f>
        <v>0</v>
      </c>
      <c r="CR4" s="41" t="n">
        <f aca="false" t="array" ref="CR4:CR4">IFERROR(SMALL(IF(Undirviðmið!$G$6:$G$205="Einstaklingsbundið",ROW(Undirviðmið!$G$6:$G$205)-5),(COLUMN()-2)/2),0)</f>
        <v>0</v>
      </c>
      <c r="CT4" s="41" t="n">
        <f aca="false" t="array" ref="CT4:CT4">IFERROR(SMALL(IF(Undirviðmið!$G$6:$G$205="Einstaklingsbundið",ROW(Undirviðmið!$G$6:$G$205)-5),(COLUMN()-2)/2),0)</f>
        <v>0</v>
      </c>
      <c r="CV4" s="41" t="n">
        <f aca="false" t="array" ref="CV4:CV4">IFERROR(SMALL(IF(Undirviðmið!$G$6:$G$205="Einstaklingsbundið",ROW(Undirviðmið!$G$6:$G$205)-5),(COLUMN()-2)/2),0)</f>
        <v>0</v>
      </c>
      <c r="CX4" s="41" t="n">
        <f aca="false" t="array" ref="CX4:CX4">IFERROR(SMALL(IF(Undirviðmið!$G$6:$G$205="Einstaklingsbundið",ROW(Undirviðmið!$G$6:$G$205)-5),(COLUMN()-2)/2),0)</f>
        <v>0</v>
      </c>
      <c r="CZ4" s="41" t="n">
        <f aca="false" t="array" ref="CZ4:CZ4">IFERROR(SMALL(IF(Undirviðmið!$G$6:$G$205="Einstaklingsbundið",ROW(Undirviðmið!$G$6:$G$205)-5),(COLUMN()-2)/2),0)</f>
        <v>0</v>
      </c>
      <c r="DB4" s="41" t="n">
        <f aca="false" t="array" ref="DB4:DB4">IFERROR(SMALL(IF(Undirviðmið!$G$6:$G$205="Einstaklingsbundið",ROW(Undirviðmið!$G$6:$G$205)-5),(COLUMN()-2)/2),0)</f>
        <v>0</v>
      </c>
      <c r="DD4" s="41" t="n">
        <f aca="false" t="array" ref="DD4:DD4">IFERROR(SMALL(IF(Undirviðmið!$G$6:$G$205="Einstaklingsbundið",ROW(Undirviðmið!$G$6:$G$205)-5),(COLUMN()-2)/2),0)</f>
        <v>0</v>
      </c>
      <c r="DF4" s="41" t="n">
        <f aca="false" t="array" ref="DF4:DF4">IFERROR(SMALL(IF(Undirviðmið!$G$6:$G$205="Einstaklingsbundið",ROW(Undirviðmið!$G$6:$G$205)-5),(COLUMN()-2)/2),0)</f>
        <v>0</v>
      </c>
      <c r="DH4" s="41" t="n">
        <f aca="false" t="array" ref="DH4:DH4">IFERROR(SMALL(IF(Undirviðmið!$G$6:$G$205="Einstaklingsbundið",ROW(Undirviðmið!$G$6:$G$205)-5),(COLUMN()-2)/2),0)</f>
        <v>0</v>
      </c>
      <c r="DJ4" s="41" t="n">
        <f aca="false" t="array" ref="DJ4:DJ4">IFERROR(SMALL(IF(Undirviðmið!$G$6:$G$205="Einstaklingsbundið",ROW(Undirviðmið!$G$6:$G$205)-5),(COLUMN()-2)/2),0)</f>
        <v>0</v>
      </c>
      <c r="DL4" s="41" t="n">
        <f aca="false" t="array" ref="DL4:DL4">IFERROR(SMALL(IF(Undirviðmið!$G$6:$G$205="Einstaklingsbundið",ROW(Undirviðmið!$G$6:$G$205)-5),(COLUMN()-2)/2),0)</f>
        <v>0</v>
      </c>
      <c r="DN4" s="41" t="n">
        <f aca="false" t="array" ref="DN4:DN4">IFERROR(SMALL(IF(Undirviðmið!$G$6:$G$205="Einstaklingsbundið",ROW(Undirviðmið!$G$6:$G$205)-5),(COLUMN()-2)/2),0)</f>
        <v>0</v>
      </c>
      <c r="DP4" s="41" t="n">
        <f aca="false" t="array" ref="DP4:DP4">IFERROR(SMALL(IF(Undirviðmið!$G$6:$G$205="Einstaklingsbundið",ROW(Undirviðmið!$G$6:$G$205)-5),(COLUMN()-2)/2),0)</f>
        <v>0</v>
      </c>
      <c r="DR4" s="41" t="n">
        <f aca="false" t="array" ref="DR4:DR4">IFERROR(SMALL(IF(Undirviðmið!$G$6:$G$205="Einstaklingsbundið",ROW(Undirviðmið!$G$6:$G$205)-5),(COLUMN()-2)/2),0)</f>
        <v>0</v>
      </c>
      <c r="DT4" s="41" t="n">
        <f aca="false" t="array" ref="DT4:DT4">IFERROR(SMALL(IF(Undirviðmið!$G$6:$G$205="Einstaklingsbundið",ROW(Undirviðmið!$G$6:$G$205)-5),(COLUMN()-2)/2),0)</f>
        <v>0</v>
      </c>
      <c r="DV4" s="41" t="n">
        <f aca="false" t="array" ref="DV4:DV4">IFERROR(SMALL(IF(Undirviðmið!$G$6:$G$205="Einstaklingsbundið",ROW(Undirviðmið!$G$6:$G$205)-5),(COLUMN()-2)/2),0)</f>
        <v>0</v>
      </c>
      <c r="DX4" s="41" t="n">
        <f aca="false" t="array" ref="DX4:DX4">IFERROR(SMALL(IF(Undirviðmið!$G$6:$G$205="Einstaklingsbundið",ROW(Undirviðmið!$G$6:$G$205)-5),(COLUMN()-2)/2),0)</f>
        <v>0</v>
      </c>
      <c r="DZ4" s="41" t="n">
        <f aca="false" t="array" ref="DZ4:DZ4">IFERROR(SMALL(IF(Undirviðmið!$G$6:$G$205="Einstaklingsbundið",ROW(Undirviðmið!$G$6:$G$205)-5),(COLUMN()-2)/2),0)</f>
        <v>0</v>
      </c>
      <c r="EB4" s="41" t="n">
        <f aca="false" t="array" ref="EB4:EB4">IFERROR(SMALL(IF(Undirviðmið!$G$6:$G$205="Einstaklingsbundið",ROW(Undirviðmið!$G$6:$G$205)-5),(COLUMN()-2)/2),0)</f>
        <v>0</v>
      </c>
      <c r="ED4" s="41" t="n">
        <f aca="false" t="array" ref="ED4:ED4">IFERROR(SMALL(IF(Undirviðmið!$G$6:$G$205="Einstaklingsbundið",ROW(Undirviðmið!$G$6:$G$205)-5),(COLUMN()-2)/2),0)</f>
        <v>0</v>
      </c>
      <c r="EF4" s="41" t="n">
        <f aca="false" t="array" ref="EF4:EF4">IFERROR(SMALL(IF(Undirviðmið!$G$6:$G$205="Einstaklingsbundið",ROW(Undirviðmið!$G$6:$G$205)-5),(COLUMN()-2)/2),0)</f>
        <v>0</v>
      </c>
      <c r="EH4" s="41" t="n">
        <f aca="false" t="array" ref="EH4:EH4">IFERROR(SMALL(IF(Undirviðmið!$G$6:$G$205="Einstaklingsbundið",ROW(Undirviðmið!$G$6:$G$205)-5),(COLUMN()-2)/2),0)</f>
        <v>0</v>
      </c>
      <c r="EJ4" s="41" t="n">
        <f aca="false" t="array" ref="EJ4:EJ4">IFERROR(SMALL(IF(Undirviðmið!$G$6:$G$205="Einstaklingsbundið",ROW(Undirviðmið!$G$6:$G$205)-5),(COLUMN()-2)/2),0)</f>
        <v>0</v>
      </c>
      <c r="EL4" s="41" t="n">
        <f aca="false" t="array" ref="EL4:EL4">IFERROR(SMALL(IF(Undirviðmið!$G$6:$G$205="Einstaklingsbundið",ROW(Undirviðmið!$G$6:$G$205)-5),(COLUMN()-2)/2),0)</f>
        <v>0</v>
      </c>
      <c r="EN4" s="41" t="n">
        <f aca="false" t="array" ref="EN4:EN4">IFERROR(SMALL(IF(Undirviðmið!$G$6:$G$205="Einstaklingsbundið",ROW(Undirviðmið!$G$6:$G$205)-5),(COLUMN()-2)/2),0)</f>
        <v>0</v>
      </c>
      <c r="EP4" s="41" t="n">
        <f aca="false" t="array" ref="EP4:EP4">IFERROR(SMALL(IF(Undirviðmið!$G$6:$G$205="Einstaklingsbundið",ROW(Undirviðmið!$G$6:$G$205)-5),(COLUMN()-2)/2),0)</f>
        <v>0</v>
      </c>
      <c r="ER4" s="41" t="n">
        <f aca="false" t="array" ref="ER4:ER4">IFERROR(SMALL(IF(Undirviðmið!$G$6:$G$205="Einstaklingsbundið",ROW(Undirviðmið!$G$6:$G$205)-5),(COLUMN()-2)/2),0)</f>
        <v>0</v>
      </c>
      <c r="ET4" s="41" t="n">
        <f aca="false" t="array" ref="ET4:ET4">IFERROR(SMALL(IF(Undirviðmið!$G$6:$G$205="Einstaklingsbundið",ROW(Undirviðmið!$G$6:$G$205)-5),(COLUMN()-2)/2),0)</f>
        <v>0</v>
      </c>
      <c r="EV4" s="41" t="n">
        <f aca="false" t="array" ref="EV4:EV4">IFERROR(SMALL(IF(Undirviðmið!$G$6:$G$205="Einstaklingsbundið",ROW(Undirviðmið!$G$6:$G$205)-5),(COLUMN()-2)/2),0)</f>
        <v>0</v>
      </c>
      <c r="EX4" s="41" t="n">
        <f aca="false" t="array" ref="EX4:EX4">IFERROR(SMALL(IF(Undirviðmið!$G$6:$G$205="Einstaklingsbundið",ROW(Undirviðmið!$G$6:$G$205)-5),(COLUMN()-2)/2),0)</f>
        <v>0</v>
      </c>
      <c r="EZ4" s="41" t="n">
        <f aca="false" t="array" ref="EZ4:EZ4">IFERROR(SMALL(IF(Undirviðmið!$G$6:$G$205="Einstaklingsbundið",ROW(Undirviðmið!$G$6:$G$205)-5),(COLUMN()-2)/2),0)</f>
        <v>0</v>
      </c>
      <c r="FB4" s="41" t="n">
        <f aca="false" t="array" ref="FB4:FB4">IFERROR(SMALL(IF(Undirviðmið!$G$6:$G$205="Einstaklingsbundið",ROW(Undirviðmið!$G$6:$G$205)-5),(COLUMN()-2)/2),0)</f>
        <v>0</v>
      </c>
      <c r="FD4" s="41" t="n">
        <f aca="false" t="array" ref="FD4:FD4">IFERROR(SMALL(IF(Undirviðmið!$G$6:$G$205="Einstaklingsbundið",ROW(Undirviðmið!$G$6:$G$205)-5),(COLUMN()-2)/2),0)</f>
        <v>0</v>
      </c>
      <c r="FF4" s="41" t="n">
        <f aca="false" t="array" ref="FF4:FF4">IFERROR(SMALL(IF(Undirviðmið!$G$6:$G$205="Einstaklingsbundið",ROW(Undirviðmið!$G$6:$G$205)-5),(COLUMN()-2)/2),0)</f>
        <v>0</v>
      </c>
      <c r="FH4" s="41" t="n">
        <f aca="false" t="array" ref="FH4:FH4">IFERROR(SMALL(IF(Undirviðmið!$G$6:$G$205="Einstaklingsbundið",ROW(Undirviðmið!$G$6:$G$205)-5),(COLUMN()-2)/2),0)</f>
        <v>0</v>
      </c>
      <c r="FJ4" s="41" t="n">
        <f aca="false" t="array" ref="FJ4:FJ4">IFERROR(SMALL(IF(Undirviðmið!$G$6:$G$205="Einstaklingsbundið",ROW(Undirviðmið!$G$6:$G$205)-5),(COLUMN()-2)/2),0)</f>
        <v>0</v>
      </c>
      <c r="FL4" s="41" t="n">
        <f aca="false" t="array" ref="FL4:FL4">IFERROR(SMALL(IF(Undirviðmið!$G$6:$G$205="Einstaklingsbundið",ROW(Undirviðmið!$G$6:$G$205)-5),(COLUMN()-2)/2),0)</f>
        <v>0</v>
      </c>
      <c r="FN4" s="41" t="n">
        <f aca="false" t="array" ref="FN4:FN4">IFERROR(SMALL(IF(Undirviðmið!$G$6:$G$205="Einstaklingsbundið",ROW(Undirviðmið!$G$6:$G$205)-5),(COLUMN()-2)/2),0)</f>
        <v>0</v>
      </c>
      <c r="FP4" s="41" t="n">
        <f aca="false" t="array" ref="FP4:FP4">IFERROR(SMALL(IF(Undirviðmið!$G$6:$G$205="Einstaklingsbundið",ROW(Undirviðmið!$G$6:$G$205)-5),(COLUMN()-2)/2),0)</f>
        <v>0</v>
      </c>
      <c r="FR4" s="41" t="n">
        <f aca="false" t="array" ref="FR4:FR4">IFERROR(SMALL(IF(Undirviðmið!$G$6:$G$205="Einstaklingsbundið",ROW(Undirviðmið!$G$6:$G$205)-5),(COLUMN()-2)/2),0)</f>
        <v>0</v>
      </c>
      <c r="FT4" s="41" t="n">
        <f aca="false" t="array" ref="FT4:FT4">IFERROR(SMALL(IF(Undirviðmið!$G$6:$G$205="Einstaklingsbundið",ROW(Undirviðmið!$G$6:$G$205)-5),(COLUMN()-2)/2),0)</f>
        <v>0</v>
      </c>
      <c r="FV4" s="41" t="n">
        <f aca="false" t="array" ref="FV4:FV4">IFERROR(SMALL(IF(Undirviðmið!$G$6:$G$205="Einstaklingsbundið",ROW(Undirviðmið!$G$6:$G$205)-5),(COLUMN()-2)/2),0)</f>
        <v>0</v>
      </c>
      <c r="FX4" s="41" t="n">
        <f aca="false" t="array" ref="FX4:FX4">IFERROR(SMALL(IF(Undirviðmið!$G$6:$G$205="Einstaklingsbundið",ROW(Undirviðmið!$G$6:$G$205)-5),(COLUMN()-2)/2),0)</f>
        <v>0</v>
      </c>
      <c r="FZ4" s="41" t="n">
        <f aca="false" t="array" ref="FZ4:FZ4">IFERROR(SMALL(IF(Undirviðmið!$G$6:$G$205="Einstaklingsbundið",ROW(Undirviðmið!$G$6:$G$205)-5),(COLUMN()-2)/2),0)</f>
        <v>0</v>
      </c>
      <c r="GB4" s="41" t="n">
        <f aca="false" t="array" ref="GB4:GB4">IFERROR(SMALL(IF(Undirviðmið!$G$6:$G$205="Einstaklingsbundið",ROW(Undirviðmið!$G$6:$G$205)-5),(COLUMN()-2)/2),0)</f>
        <v>0</v>
      </c>
      <c r="GD4" s="41" t="n">
        <f aca="false" t="array" ref="GD4:GD4">IFERROR(SMALL(IF(Undirviðmið!$G$6:$G$205="Einstaklingsbundið",ROW(Undirviðmið!$G$6:$G$205)-5),(COLUMN()-2)/2),0)</f>
        <v>0</v>
      </c>
      <c r="GF4" s="41" t="n">
        <f aca="false" t="array" ref="GF4:GF4">IFERROR(SMALL(IF(Undirviðmið!$G$6:$G$205="Einstaklingsbundið",ROW(Undirviðmið!$G$6:$G$205)-5),(COLUMN()-2)/2),0)</f>
        <v>0</v>
      </c>
      <c r="GH4" s="41" t="n">
        <f aca="false" t="array" ref="GH4:GH4">IFERROR(SMALL(IF(Undirviðmið!$G$6:$G$205="Einstaklingsbundið",ROW(Undirviðmið!$G$6:$G$205)-5),(COLUMN()-2)/2),0)</f>
        <v>0</v>
      </c>
      <c r="GJ4" s="41" t="n">
        <f aca="false" t="array" ref="GJ4:GJ4">IFERROR(SMALL(IF(Undirviðmið!$G$6:$G$205="Einstaklingsbundið",ROW(Undirviðmið!$G$6:$G$205)-5),(COLUMN()-2)/2),0)</f>
        <v>0</v>
      </c>
      <c r="GL4" s="41" t="n">
        <f aca="false" t="array" ref="GL4:GL4">IFERROR(SMALL(IF(Undirviðmið!$G$6:$G$205="Einstaklingsbundið",ROW(Undirviðmið!$G$6:$G$205)-5),(COLUMN()-2)/2),0)</f>
        <v>0</v>
      </c>
      <c r="GN4" s="41" t="n">
        <f aca="false" t="array" ref="GN4:GN4">IFERROR(SMALL(IF(Undirviðmið!$G$6:$G$205="Einstaklingsbundið",ROW(Undirviðmið!$G$6:$G$205)-5),(COLUMN()-2)/2),0)</f>
        <v>0</v>
      </c>
      <c r="GP4" s="41" t="n">
        <f aca="false" t="array" ref="GP4:GP4">IFERROR(SMALL(IF(Undirviðmið!$G$6:$G$205="Einstaklingsbundið",ROW(Undirviðmið!$G$6:$G$205)-5),(COLUMN()-2)/2),0)</f>
        <v>0</v>
      </c>
      <c r="GR4" s="41" t="n">
        <f aca="false" t="array" ref="GR4:GR4">IFERROR(SMALL(IF(Undirviðmið!$G$6:$G$205="Einstaklingsbundið",ROW(Undirviðmið!$G$6:$G$205)-5),(COLUMN()-2)/2),0)</f>
        <v>0</v>
      </c>
      <c r="GT4" s="41" t="n">
        <f aca="false" t="array" ref="GT4:GT4">IFERROR(SMALL(IF(Undirviðmið!$G$6:$G$205="Einstaklingsbundið",ROW(Undirviðmið!$G$6:$G$205)-5),(COLUMN()-2)/2),0)</f>
        <v>0</v>
      </c>
    </row>
    <row r="5" customFormat="false" ht="39.75" hidden="false" customHeight="true" outlineLevel="0" collapsed="false">
      <c r="A5" s="12" t="s">
        <v>96</v>
      </c>
      <c r="B5" s="12" t="s">
        <v>51</v>
      </c>
      <c r="C5" s="12" t="s">
        <v>112</v>
      </c>
      <c r="D5" s="42" t="str">
        <f aca="false">IF(D$4=0,"",INDEX(Undirviðmið!$C$6:$C$205,D$4))</f>
        <v/>
      </c>
      <c r="E5" s="42"/>
      <c r="F5" s="42" t="str">
        <f aca="false">IF(F$4=0,"",INDEX(Undirviðmið!$C$6:$C$205,F$4))</f>
        <v/>
      </c>
      <c r="G5" s="42"/>
      <c r="H5" s="42" t="str">
        <f aca="false">IF(H$4=0,"",INDEX(Undirviðmið!$C$6:$C$205,H$4))</f>
        <v/>
      </c>
      <c r="I5" s="42"/>
      <c r="J5" s="42" t="str">
        <f aca="false">IF(J$4=0,"",INDEX(Undirviðmið!$C$6:$C$205,J$4))</f>
        <v/>
      </c>
      <c r="K5" s="42"/>
      <c r="L5" s="42" t="str">
        <f aca="false">IF(L$4=0,"",INDEX(Undirviðmið!$C$6:$C$205,L$4))</f>
        <v/>
      </c>
      <c r="M5" s="42"/>
      <c r="N5" s="42" t="str">
        <f aca="false">IF(N$4=0,"",INDEX(Undirviðmið!$C$6:$C$205,N$4))</f>
        <v/>
      </c>
      <c r="O5" s="42"/>
      <c r="P5" s="42" t="str">
        <f aca="false">IF(P$4=0,"",INDEX(Undirviðmið!$C$6:$C$205,P$4))</f>
        <v/>
      </c>
      <c r="Q5" s="42"/>
      <c r="R5" s="42" t="str">
        <f aca="false">IF(R$4=0,"",INDEX(Undirviðmið!$C$6:$C$205,R$4))</f>
        <v/>
      </c>
      <c r="S5" s="42"/>
      <c r="T5" s="42" t="str">
        <f aca="false">IF(T$4=0,"",INDEX(Undirviðmið!$C$6:$C$205,T$4))</f>
        <v/>
      </c>
      <c r="U5" s="42"/>
      <c r="V5" s="42" t="str">
        <f aca="false">IF(V$4=0,"",INDEX(Undirviðmið!$C$6:$C$205,V$4))</f>
        <v/>
      </c>
      <c r="W5" s="42"/>
      <c r="X5" s="42" t="str">
        <f aca="false">IF(X$4=0,"",INDEX(Undirviðmið!$C$6:$C$205,X$4))</f>
        <v/>
      </c>
      <c r="Y5" s="42"/>
      <c r="Z5" s="42" t="str">
        <f aca="false">IF(Z$4=0,"",INDEX(Undirviðmið!$C$6:$C$205,Z$4))</f>
        <v/>
      </c>
      <c r="AA5" s="42"/>
      <c r="AB5" s="42" t="str">
        <f aca="false">IF(AB$4=0,"",INDEX(Undirviðmið!$C$6:$C$205,AB$4))</f>
        <v/>
      </c>
      <c r="AC5" s="42"/>
      <c r="AD5" s="42" t="str">
        <f aca="false">IF(AD$4=0,"",INDEX(Undirviðmið!$C$6:$C$205,AD$4))</f>
        <v/>
      </c>
      <c r="AE5" s="42"/>
      <c r="AF5" s="42" t="str">
        <f aca="false">IF(AF$4=0,"",INDEX(Undirviðmið!$C$6:$C$205,AF$4))</f>
        <v/>
      </c>
      <c r="AG5" s="42"/>
      <c r="AH5" s="42" t="str">
        <f aca="false">IF(AH$4=0,"",INDEX(Undirviðmið!$C$6:$C$205,AH$4))</f>
        <v/>
      </c>
      <c r="AI5" s="42"/>
      <c r="AJ5" s="42" t="str">
        <f aca="false">IF(AJ$4=0,"",INDEX(Undirviðmið!$C$6:$C$205,AJ$4))</f>
        <v/>
      </c>
      <c r="AK5" s="42"/>
      <c r="AL5" s="42" t="str">
        <f aca="false">IF(AL$4=0,"",INDEX(Undirviðmið!$C$6:$C$205,AL$4))</f>
        <v/>
      </c>
      <c r="AM5" s="42"/>
      <c r="AN5" s="42" t="str">
        <f aca="false">IF(AN$4=0,"",INDEX(Undirviðmið!$C$6:$C$205,AN$4))</f>
        <v/>
      </c>
      <c r="AO5" s="42"/>
      <c r="AP5" s="42" t="str">
        <f aca="false">IF(AP$4=0,"",INDEX(Undirviðmið!$C$6:$C$205,AP$4))</f>
        <v/>
      </c>
      <c r="AQ5" s="42"/>
      <c r="AR5" s="42" t="str">
        <f aca="false">IF(AR$4=0,"",INDEX(Undirviðmið!$C$6:$C$205,AR$4))</f>
        <v/>
      </c>
      <c r="AS5" s="42"/>
      <c r="AT5" s="42" t="str">
        <f aca="false">IF(AT$4=0,"",INDEX(Undirviðmið!$C$6:$C$205,AT$4))</f>
        <v/>
      </c>
      <c r="AU5" s="42"/>
      <c r="AV5" s="42" t="str">
        <f aca="false">IF(AV$4=0,"",INDEX(Undirviðmið!$C$6:$C$205,AV$4))</f>
        <v/>
      </c>
      <c r="AW5" s="42"/>
      <c r="AX5" s="42" t="str">
        <f aca="false">IF(AX$4=0,"",INDEX(Undirviðmið!$C$6:$C$205,AX$4))</f>
        <v/>
      </c>
      <c r="AY5" s="42"/>
      <c r="AZ5" s="42" t="str">
        <f aca="false">IF(AZ$4=0,"",INDEX(Undirviðmið!$C$6:$C$205,AZ$4))</f>
        <v/>
      </c>
      <c r="BA5" s="42"/>
      <c r="BB5" s="42" t="str">
        <f aca="false">IF(BB$4=0,"",INDEX(Undirviðmið!$C$6:$C$205,BB$4))</f>
        <v/>
      </c>
      <c r="BC5" s="42"/>
      <c r="BD5" s="42" t="str">
        <f aca="false">IF(BD$4=0,"",INDEX(Undirviðmið!$C$6:$C$205,BD$4))</f>
        <v/>
      </c>
      <c r="BE5" s="42"/>
      <c r="BF5" s="42" t="str">
        <f aca="false">IF(BF$4=0,"",INDEX(Undirviðmið!$C$6:$C$205,BF$4))</f>
        <v/>
      </c>
      <c r="BG5" s="42"/>
      <c r="BH5" s="42" t="str">
        <f aca="false">IF(BH$4=0,"",INDEX(Undirviðmið!$C$6:$C$205,BH$4))</f>
        <v/>
      </c>
      <c r="BI5" s="42"/>
      <c r="BJ5" s="42" t="str">
        <f aca="false">IF(BJ$4=0,"",INDEX(Undirviðmið!$C$6:$C$205,BJ$4))</f>
        <v/>
      </c>
      <c r="BK5" s="42"/>
      <c r="BL5" s="42" t="str">
        <f aca="false">IF(BL$4=0,"",INDEX(Undirviðmið!$C$6:$C$205,BL$4))</f>
        <v/>
      </c>
      <c r="BM5" s="42"/>
      <c r="BN5" s="42" t="str">
        <f aca="false">IF(BN$4=0,"",INDEX(Undirviðmið!$C$6:$C$205,BN$4))</f>
        <v/>
      </c>
      <c r="BO5" s="42"/>
      <c r="BP5" s="42" t="str">
        <f aca="false">IF(BP$4=0,"",INDEX(Undirviðmið!$C$6:$C$205,BP$4))</f>
        <v/>
      </c>
      <c r="BQ5" s="42"/>
      <c r="BR5" s="42" t="str">
        <f aca="false">IF(BR$4=0,"",INDEX(Undirviðmið!$C$6:$C$205,BR$4))</f>
        <v/>
      </c>
      <c r="BS5" s="42"/>
      <c r="BT5" s="42" t="str">
        <f aca="false">IF(BT$4=0,"",INDEX(Undirviðmið!$C$6:$C$205,BT$4))</f>
        <v/>
      </c>
      <c r="BU5" s="42"/>
      <c r="BV5" s="42" t="str">
        <f aca="false">IF(BV$4=0,"",INDEX(Undirviðmið!$C$6:$C$205,BV$4))</f>
        <v/>
      </c>
      <c r="BW5" s="42"/>
      <c r="BX5" s="42" t="str">
        <f aca="false">IF(BX$4=0,"",INDEX(Undirviðmið!$C$6:$C$205,BX$4))</f>
        <v/>
      </c>
      <c r="BY5" s="42"/>
      <c r="BZ5" s="42" t="str">
        <f aca="false">IF(BZ$4=0,"",INDEX(Undirviðmið!$C$6:$C$205,BZ$4))</f>
        <v/>
      </c>
      <c r="CA5" s="42"/>
      <c r="CB5" s="42" t="str">
        <f aca="false">IF(CB$4=0,"",INDEX(Undirviðmið!$C$6:$C$205,CB$4))</f>
        <v/>
      </c>
      <c r="CC5" s="42"/>
      <c r="CD5" s="42" t="str">
        <f aca="false">IF(CD$4=0,"",INDEX(Undirviðmið!$C$6:$C$205,CD$4))</f>
        <v/>
      </c>
      <c r="CE5" s="42"/>
      <c r="CF5" s="42" t="str">
        <f aca="false">IF(CF$4=0,"",INDEX(Undirviðmið!$C$6:$C$205,CF$4))</f>
        <v/>
      </c>
      <c r="CG5" s="42"/>
      <c r="CH5" s="42" t="str">
        <f aca="false">IF(CH$4=0,"",INDEX(Undirviðmið!$C$6:$C$205,CH$4))</f>
        <v/>
      </c>
      <c r="CI5" s="42"/>
      <c r="CJ5" s="42" t="str">
        <f aca="false">IF(CJ$4=0,"",INDEX(Undirviðmið!$C$6:$C$205,CJ$4))</f>
        <v/>
      </c>
      <c r="CK5" s="42"/>
      <c r="CL5" s="42" t="str">
        <f aca="false">IF(CL$4=0,"",INDEX(Undirviðmið!$C$6:$C$205,CL$4))</f>
        <v/>
      </c>
      <c r="CM5" s="42"/>
      <c r="CN5" s="42" t="str">
        <f aca="false">IF(CN$4=0,"",INDEX(Undirviðmið!$C$6:$C$205,CN$4))</f>
        <v/>
      </c>
      <c r="CO5" s="42"/>
      <c r="CP5" s="42" t="str">
        <f aca="false">IF(CP$4=0,"",INDEX(Undirviðmið!$C$6:$C$205,CP$4))</f>
        <v/>
      </c>
      <c r="CQ5" s="42"/>
      <c r="CR5" s="42" t="str">
        <f aca="false">IF(CR$4=0,"",INDEX(Undirviðmið!$C$6:$C$205,CR$4))</f>
        <v/>
      </c>
      <c r="CS5" s="42"/>
      <c r="CT5" s="42" t="str">
        <f aca="false">IF(CT$4=0,"",INDEX(Undirviðmið!$C$6:$C$205,CT$4))</f>
        <v/>
      </c>
      <c r="CU5" s="42"/>
      <c r="CV5" s="42" t="str">
        <f aca="false">IF(CV$4=0,"",INDEX(Undirviðmið!$C$6:$C$205,CV$4))</f>
        <v/>
      </c>
      <c r="CW5" s="42"/>
      <c r="CX5" s="42" t="str">
        <f aca="false">IF(CX$4=0,"",INDEX(Undirviðmið!$C$6:$C$205,CX$4))</f>
        <v/>
      </c>
      <c r="CY5" s="42"/>
      <c r="CZ5" s="42" t="str">
        <f aca="false">IF(CZ$4=0,"",INDEX(Undirviðmið!$C$6:$C$205,CZ$4))</f>
        <v/>
      </c>
      <c r="DA5" s="42"/>
      <c r="DB5" s="42" t="str">
        <f aca="false">IF(DB$4=0,"",INDEX(Undirviðmið!$C$6:$C$205,DB$4))</f>
        <v/>
      </c>
      <c r="DC5" s="42"/>
      <c r="DD5" s="42" t="str">
        <f aca="false">IF(DD$4=0,"",INDEX(Undirviðmið!$C$6:$C$205,DD$4))</f>
        <v/>
      </c>
      <c r="DE5" s="42"/>
      <c r="DF5" s="42" t="str">
        <f aca="false">IF(DF$4=0,"",INDEX(Undirviðmið!$C$6:$C$205,DF$4))</f>
        <v/>
      </c>
      <c r="DG5" s="42"/>
      <c r="DH5" s="42" t="str">
        <f aca="false">IF(DH$4=0,"",INDEX(Undirviðmið!$C$6:$C$205,DH$4))</f>
        <v/>
      </c>
      <c r="DI5" s="42"/>
      <c r="DJ5" s="42" t="str">
        <f aca="false">IF(DJ$4=0,"",INDEX(Undirviðmið!$C$6:$C$205,DJ$4))</f>
        <v/>
      </c>
      <c r="DK5" s="42"/>
      <c r="DL5" s="42" t="str">
        <f aca="false">IF(DL$4=0,"",INDEX(Undirviðmið!$C$6:$C$205,DL$4))</f>
        <v/>
      </c>
      <c r="DM5" s="42"/>
      <c r="DN5" s="42" t="str">
        <f aca="false">IF(DN$4=0,"",INDEX(Undirviðmið!$C$6:$C$205,DN$4))</f>
        <v/>
      </c>
      <c r="DO5" s="42"/>
      <c r="DP5" s="42" t="str">
        <f aca="false">IF(DP$4=0,"",INDEX(Undirviðmið!$C$6:$C$205,DP$4))</f>
        <v/>
      </c>
      <c r="DQ5" s="42"/>
      <c r="DR5" s="42" t="str">
        <f aca="false">IF(DR$4=0,"",INDEX(Undirviðmið!$C$6:$C$205,DR$4))</f>
        <v/>
      </c>
      <c r="DS5" s="42"/>
      <c r="DT5" s="42" t="str">
        <f aca="false">IF(DT$4=0,"",INDEX(Undirviðmið!$C$6:$C$205,DT$4))</f>
        <v/>
      </c>
      <c r="DU5" s="42"/>
      <c r="DV5" s="42" t="str">
        <f aca="false">IF(DV$4=0,"",INDEX(Undirviðmið!$C$6:$C$205,DV$4))</f>
        <v/>
      </c>
      <c r="DW5" s="42"/>
      <c r="DX5" s="42" t="str">
        <f aca="false">IF(DX$4=0,"",INDEX(Undirviðmið!$C$6:$C$205,DX$4))</f>
        <v/>
      </c>
      <c r="DY5" s="42"/>
      <c r="DZ5" s="42" t="str">
        <f aca="false">IF(DZ$4=0,"",INDEX(Undirviðmið!$C$6:$C$205,DZ$4))</f>
        <v/>
      </c>
      <c r="EA5" s="42"/>
      <c r="EB5" s="42" t="str">
        <f aca="false">IF(EB$4=0,"",INDEX(Undirviðmið!$C$6:$C$205,EB$4))</f>
        <v/>
      </c>
      <c r="EC5" s="42"/>
      <c r="ED5" s="42" t="str">
        <f aca="false">IF(ED$4=0,"",INDEX(Undirviðmið!$C$6:$C$205,ED$4))</f>
        <v/>
      </c>
      <c r="EE5" s="42"/>
      <c r="EF5" s="42" t="str">
        <f aca="false">IF(EF$4=0,"",INDEX(Undirviðmið!$C$6:$C$205,EF$4))</f>
        <v/>
      </c>
      <c r="EG5" s="42"/>
      <c r="EH5" s="42" t="str">
        <f aca="false">IF(EH$4=0,"",INDEX(Undirviðmið!$C$6:$C$205,EH$4))</f>
        <v/>
      </c>
      <c r="EI5" s="42"/>
      <c r="EJ5" s="42" t="str">
        <f aca="false">IF(EJ$4=0,"",INDEX(Undirviðmið!$C$6:$C$205,EJ$4))</f>
        <v/>
      </c>
      <c r="EK5" s="42"/>
      <c r="EL5" s="42" t="str">
        <f aca="false">IF(EL$4=0,"",INDEX(Undirviðmið!$C$6:$C$205,EL$4))</f>
        <v/>
      </c>
      <c r="EM5" s="42"/>
      <c r="EN5" s="42" t="str">
        <f aca="false">IF(EN$4=0,"",INDEX(Undirviðmið!$C$6:$C$205,EN$4))</f>
        <v/>
      </c>
      <c r="EO5" s="42"/>
      <c r="EP5" s="42" t="str">
        <f aca="false">IF(EP$4=0,"",INDEX(Undirviðmið!$C$6:$C$205,EP$4))</f>
        <v/>
      </c>
      <c r="EQ5" s="42"/>
      <c r="ER5" s="42" t="str">
        <f aca="false">IF(ER$4=0,"",INDEX(Undirviðmið!$C$6:$C$205,ER$4))</f>
        <v/>
      </c>
      <c r="ES5" s="42"/>
      <c r="ET5" s="42" t="str">
        <f aca="false">IF(ET$4=0,"",INDEX(Undirviðmið!$C$6:$C$205,ET$4))</f>
        <v/>
      </c>
      <c r="EU5" s="42"/>
      <c r="EV5" s="42" t="str">
        <f aca="false">IF(EV$4=0,"",INDEX(Undirviðmið!$C$6:$C$205,EV$4))</f>
        <v/>
      </c>
      <c r="EW5" s="42"/>
      <c r="EX5" s="42" t="str">
        <f aca="false">IF(EX$4=0,"",INDEX(Undirviðmið!$C$6:$C$205,EX$4))</f>
        <v/>
      </c>
      <c r="EY5" s="42"/>
      <c r="EZ5" s="42" t="str">
        <f aca="false">IF(EZ$4=0,"",INDEX(Undirviðmið!$C$6:$C$205,EZ$4))</f>
        <v/>
      </c>
      <c r="FA5" s="42"/>
      <c r="FB5" s="42" t="str">
        <f aca="false">IF(FB$4=0,"",INDEX(Undirviðmið!$C$6:$C$205,FB$4))</f>
        <v/>
      </c>
      <c r="FC5" s="42"/>
      <c r="FD5" s="42" t="str">
        <f aca="false">IF(FD$4=0,"",INDEX(Undirviðmið!$C$6:$C$205,FD$4))</f>
        <v/>
      </c>
      <c r="FE5" s="42"/>
      <c r="FF5" s="42" t="str">
        <f aca="false">IF(FF$4=0,"",INDEX(Undirviðmið!$C$6:$C$205,FF$4))</f>
        <v/>
      </c>
      <c r="FG5" s="42"/>
      <c r="FH5" s="42" t="str">
        <f aca="false">IF(FH$4=0,"",INDEX(Undirviðmið!$C$6:$C$205,FH$4))</f>
        <v/>
      </c>
      <c r="FI5" s="42"/>
      <c r="FJ5" s="42" t="str">
        <f aca="false">IF(FJ$4=0,"",INDEX(Undirviðmið!$C$6:$C$205,FJ$4))</f>
        <v/>
      </c>
      <c r="FK5" s="42"/>
      <c r="FL5" s="42" t="str">
        <f aca="false">IF(FL$4=0,"",INDEX(Undirviðmið!$C$6:$C$205,FL$4))</f>
        <v/>
      </c>
      <c r="FM5" s="42"/>
      <c r="FN5" s="42" t="str">
        <f aca="false">IF(FN$4=0,"",INDEX(Undirviðmið!$C$6:$C$205,FN$4))</f>
        <v/>
      </c>
      <c r="FO5" s="42"/>
      <c r="FP5" s="42" t="str">
        <f aca="false">IF(FP$4=0,"",INDEX(Undirviðmið!$C$6:$C$205,FP$4))</f>
        <v/>
      </c>
      <c r="FQ5" s="42"/>
      <c r="FR5" s="42" t="str">
        <f aca="false">IF(FR$4=0,"",INDEX(Undirviðmið!$C$6:$C$205,FR$4))</f>
        <v/>
      </c>
      <c r="FS5" s="42"/>
      <c r="FT5" s="42" t="str">
        <f aca="false">IF(FT$4=0,"",INDEX(Undirviðmið!$C$6:$C$205,FT$4))</f>
        <v/>
      </c>
      <c r="FU5" s="42"/>
      <c r="FV5" s="42" t="str">
        <f aca="false">IF(FV$4=0,"",INDEX(Undirviðmið!$C$6:$C$205,FV$4))</f>
        <v/>
      </c>
      <c r="FW5" s="42"/>
      <c r="FX5" s="42" t="str">
        <f aca="false">IF(FX$4=0,"",INDEX(Undirviðmið!$C$6:$C$205,FX$4))</f>
        <v/>
      </c>
      <c r="FY5" s="42"/>
      <c r="FZ5" s="42" t="str">
        <f aca="false">IF(FZ$4=0,"",INDEX(Undirviðmið!$C$6:$C$205,FZ$4))</f>
        <v/>
      </c>
      <c r="GA5" s="42"/>
      <c r="GB5" s="42" t="str">
        <f aca="false">IF(GB$4=0,"",INDEX(Undirviðmið!$C$6:$C$205,GB$4))</f>
        <v/>
      </c>
      <c r="GC5" s="42"/>
      <c r="GD5" s="42" t="str">
        <f aca="false">IF(GD$4=0,"",INDEX(Undirviðmið!$C$6:$C$205,GD$4))</f>
        <v/>
      </c>
      <c r="GE5" s="42"/>
      <c r="GF5" s="42" t="str">
        <f aca="false">IF(GF$4=0,"",INDEX(Undirviðmið!$C$6:$C$205,GF$4))</f>
        <v/>
      </c>
      <c r="GG5" s="42"/>
      <c r="GH5" s="42" t="str">
        <f aca="false">IF(GH$4=0,"",INDEX(Undirviðmið!$C$6:$C$205,GH$4))</f>
        <v/>
      </c>
      <c r="GI5" s="42"/>
      <c r="GJ5" s="42" t="str">
        <f aca="false">IF(GJ$4=0,"",INDEX(Undirviðmið!$C$6:$C$205,GJ$4))</f>
        <v/>
      </c>
      <c r="GK5" s="42"/>
      <c r="GL5" s="42" t="str">
        <f aca="false">IF(GL$4=0,"",INDEX(Undirviðmið!$C$6:$C$205,GL$4))</f>
        <v/>
      </c>
      <c r="GM5" s="42"/>
      <c r="GN5" s="42" t="str">
        <f aca="false">IF(GN$4=0,"",INDEX(Undirviðmið!$C$6:$C$205,GN$4))</f>
        <v/>
      </c>
      <c r="GO5" s="42"/>
      <c r="GP5" s="42" t="str">
        <f aca="false">IF(GP$4=0,"",INDEX(Undirviðmið!$C$6:$C$205,GP$4))</f>
        <v/>
      </c>
      <c r="GQ5" s="42"/>
      <c r="GR5" s="42" t="str">
        <f aca="false">IF(GR$4=0,"",INDEX(Undirviðmið!$C$6:$C$205,GR$4))</f>
        <v/>
      </c>
      <c r="GS5" s="42"/>
      <c r="GT5" s="42" t="str">
        <f aca="false">IF(GT$4=0,"",INDEX(Undirviðmið!$C$6:$C$205,GT$4))</f>
        <v/>
      </c>
      <c r="GU5" s="42"/>
      <c r="GV5" s="12" t="s">
        <v>135</v>
      </c>
    </row>
    <row r="6" customFormat="false" ht="19.5" hidden="false" customHeight="true" outlineLevel="0" collapsed="false">
      <c r="A6" s="43"/>
      <c r="B6" s="43"/>
      <c r="C6" s="43"/>
      <c r="D6" s="36" t="str">
        <f aca="false">IF(D$4=0,"","Þrep")</f>
        <v/>
      </c>
      <c r="E6" s="36" t="str">
        <f aca="false">IF(D$4=0,"","Stig")</f>
        <v/>
      </c>
      <c r="F6" s="36" t="str">
        <f aca="false">IF(F$4=0,"","Þrep")</f>
        <v/>
      </c>
      <c r="G6" s="36" t="str">
        <f aca="false">IF(F$4=0,"","Stig")</f>
        <v/>
      </c>
      <c r="H6" s="36" t="str">
        <f aca="false">IF(H$4=0,"","Þrep")</f>
        <v/>
      </c>
      <c r="I6" s="36" t="str">
        <f aca="false">IF(H$4=0,"","Stig")</f>
        <v/>
      </c>
      <c r="J6" s="36" t="str">
        <f aca="false">IF(J$4=0,"","Þrep")</f>
        <v/>
      </c>
      <c r="K6" s="36" t="str">
        <f aca="false">IF(J$4=0,"","Stig")</f>
        <v/>
      </c>
      <c r="L6" s="36" t="str">
        <f aca="false">IF(L$4=0,"","Þrep")</f>
        <v/>
      </c>
      <c r="M6" s="36" t="str">
        <f aca="false">IF(L$4=0,"","Stig")</f>
        <v/>
      </c>
      <c r="N6" s="36" t="str">
        <f aca="false">IF(N$4=0,"","Þrep")</f>
        <v/>
      </c>
      <c r="O6" s="36" t="str">
        <f aca="false">IF(N$4=0,"","Stig")</f>
        <v/>
      </c>
      <c r="P6" s="36" t="str">
        <f aca="false">IF(P$4=0,"","Þrep")</f>
        <v/>
      </c>
      <c r="Q6" s="36" t="str">
        <f aca="false">IF(P$4=0,"","Stig")</f>
        <v/>
      </c>
      <c r="R6" s="36" t="str">
        <f aca="false">IF(R$4=0,"","Þrep")</f>
        <v/>
      </c>
      <c r="S6" s="36" t="str">
        <f aca="false">IF(R$4=0,"","Stig")</f>
        <v/>
      </c>
      <c r="T6" s="36" t="str">
        <f aca="false">IF(T$4=0,"","Þrep")</f>
        <v/>
      </c>
      <c r="U6" s="36" t="str">
        <f aca="false">IF(T$4=0,"","Stig")</f>
        <v/>
      </c>
      <c r="V6" s="36" t="str">
        <f aca="false">IF(V$4=0,"","Þrep")</f>
        <v/>
      </c>
      <c r="W6" s="36" t="str">
        <f aca="false">IF(V$4=0,"","Stig")</f>
        <v/>
      </c>
      <c r="X6" s="36" t="str">
        <f aca="false">IF(X$4=0,"","Þrep")</f>
        <v/>
      </c>
      <c r="Y6" s="36" t="str">
        <f aca="false">IF(X$4=0,"","Stig")</f>
        <v/>
      </c>
      <c r="Z6" s="36" t="str">
        <f aca="false">IF(Z$4=0,"","Þrep")</f>
        <v/>
      </c>
      <c r="AA6" s="36" t="str">
        <f aca="false">IF(Z$4=0,"","Stig")</f>
        <v/>
      </c>
      <c r="AB6" s="36" t="str">
        <f aca="false">IF(AB$4=0,"","Þrep")</f>
        <v/>
      </c>
      <c r="AC6" s="36" t="str">
        <f aca="false">IF(AB$4=0,"","Stig")</f>
        <v/>
      </c>
      <c r="AD6" s="36" t="str">
        <f aca="false">IF(AD$4=0,"","Þrep")</f>
        <v/>
      </c>
      <c r="AE6" s="36" t="str">
        <f aca="false">IF(AD$4=0,"","Stig")</f>
        <v/>
      </c>
      <c r="AF6" s="36" t="str">
        <f aca="false">IF(AF$4=0,"","Þrep")</f>
        <v/>
      </c>
      <c r="AG6" s="36" t="str">
        <f aca="false">IF(AF$4=0,"","Stig")</f>
        <v/>
      </c>
      <c r="AH6" s="36" t="str">
        <f aca="false">IF(AH$4=0,"","Þrep")</f>
        <v/>
      </c>
      <c r="AI6" s="36" t="str">
        <f aca="false">IF(AH$4=0,"","Stig")</f>
        <v/>
      </c>
      <c r="AJ6" s="36" t="str">
        <f aca="false">IF(AJ$4=0,"","Þrep")</f>
        <v/>
      </c>
      <c r="AK6" s="36" t="str">
        <f aca="false">IF(AJ$4=0,"","Stig")</f>
        <v/>
      </c>
      <c r="AL6" s="36" t="str">
        <f aca="false">IF(AL$4=0,"","Þrep")</f>
        <v/>
      </c>
      <c r="AM6" s="36" t="str">
        <f aca="false">IF(AL$4=0,"","Stig")</f>
        <v/>
      </c>
      <c r="AN6" s="36" t="str">
        <f aca="false">IF(AN$4=0,"","Þrep")</f>
        <v/>
      </c>
      <c r="AO6" s="36" t="str">
        <f aca="false">IF(AN$4=0,"","Stig")</f>
        <v/>
      </c>
      <c r="AP6" s="36" t="str">
        <f aca="false">IF(AP$4=0,"","Þrep")</f>
        <v/>
      </c>
      <c r="AQ6" s="36" t="str">
        <f aca="false">IF(AP$4=0,"","Stig")</f>
        <v/>
      </c>
      <c r="AR6" s="36" t="str">
        <f aca="false">IF(AR$4=0,"","Þrep")</f>
        <v/>
      </c>
      <c r="AS6" s="36" t="str">
        <f aca="false">IF(AR$4=0,"","Stig")</f>
        <v/>
      </c>
      <c r="AT6" s="36" t="str">
        <f aca="false">IF(AT$4=0,"","Þrep")</f>
        <v/>
      </c>
      <c r="AU6" s="36" t="str">
        <f aca="false">IF(AT$4=0,"","Stig")</f>
        <v/>
      </c>
      <c r="AV6" s="36" t="str">
        <f aca="false">IF(AV$4=0,"","Þrep")</f>
        <v/>
      </c>
      <c r="AW6" s="36" t="str">
        <f aca="false">IF(AV$4=0,"","Stig")</f>
        <v/>
      </c>
      <c r="AX6" s="36" t="str">
        <f aca="false">IF(AX$4=0,"","Þrep")</f>
        <v/>
      </c>
      <c r="AY6" s="36" t="str">
        <f aca="false">IF(AX$4=0,"","Stig")</f>
        <v/>
      </c>
      <c r="AZ6" s="36" t="str">
        <f aca="false">IF(AZ$4=0,"","Þrep")</f>
        <v/>
      </c>
      <c r="BA6" s="36" t="str">
        <f aca="false">IF(AZ$4=0,"","Stig")</f>
        <v/>
      </c>
      <c r="BB6" s="36" t="str">
        <f aca="false">IF(BB$4=0,"","Þrep")</f>
        <v/>
      </c>
      <c r="BC6" s="36" t="str">
        <f aca="false">IF(BB$4=0,"","Stig")</f>
        <v/>
      </c>
      <c r="BD6" s="36" t="str">
        <f aca="false">IF(BD$4=0,"","Þrep")</f>
        <v/>
      </c>
      <c r="BE6" s="36" t="str">
        <f aca="false">IF(BD$4=0,"","Stig")</f>
        <v/>
      </c>
      <c r="BF6" s="36" t="str">
        <f aca="false">IF(BF$4=0,"","Þrep")</f>
        <v/>
      </c>
      <c r="BG6" s="36" t="str">
        <f aca="false">IF(BF$4=0,"","Stig")</f>
        <v/>
      </c>
      <c r="BH6" s="36" t="str">
        <f aca="false">IF(BH$4=0,"","Þrep")</f>
        <v/>
      </c>
      <c r="BI6" s="36" t="str">
        <f aca="false">IF(BH$4=0,"","Stig")</f>
        <v/>
      </c>
      <c r="BJ6" s="36" t="str">
        <f aca="false">IF(BJ$4=0,"","Þrep")</f>
        <v/>
      </c>
      <c r="BK6" s="36" t="str">
        <f aca="false">IF(BJ$4=0,"","Stig")</f>
        <v/>
      </c>
      <c r="BL6" s="36" t="str">
        <f aca="false">IF(BL$4=0,"","Þrep")</f>
        <v/>
      </c>
      <c r="BM6" s="36" t="str">
        <f aca="false">IF(BL$4=0,"","Stig")</f>
        <v/>
      </c>
      <c r="BN6" s="36" t="str">
        <f aca="false">IF(BN$4=0,"","Þrep")</f>
        <v/>
      </c>
      <c r="BO6" s="36" t="str">
        <f aca="false">IF(BN$4=0,"","Stig")</f>
        <v/>
      </c>
      <c r="BP6" s="36" t="str">
        <f aca="false">IF(BP$4=0,"","Þrep")</f>
        <v/>
      </c>
      <c r="BQ6" s="36" t="str">
        <f aca="false">IF(BP$4=0,"","Stig")</f>
        <v/>
      </c>
      <c r="BR6" s="36" t="str">
        <f aca="false">IF(BR$4=0,"","Þrep")</f>
        <v/>
      </c>
      <c r="BS6" s="36" t="str">
        <f aca="false">IF(BR$4=0,"","Stig")</f>
        <v/>
      </c>
      <c r="BT6" s="36" t="str">
        <f aca="false">IF(BT$4=0,"","Þrep")</f>
        <v/>
      </c>
      <c r="BU6" s="36" t="str">
        <f aca="false">IF(BT$4=0,"","Stig")</f>
        <v/>
      </c>
      <c r="BV6" s="36" t="str">
        <f aca="false">IF(BV$4=0,"","Þrep")</f>
        <v/>
      </c>
      <c r="BW6" s="36" t="str">
        <f aca="false">IF(BV$4=0,"","Stig")</f>
        <v/>
      </c>
      <c r="BX6" s="36" t="str">
        <f aca="false">IF(BX$4=0,"","Þrep")</f>
        <v/>
      </c>
      <c r="BY6" s="36" t="str">
        <f aca="false">IF(BX$4=0,"","Stig")</f>
        <v/>
      </c>
      <c r="BZ6" s="36" t="str">
        <f aca="false">IF(BZ$4=0,"","Þrep")</f>
        <v/>
      </c>
      <c r="CA6" s="36" t="str">
        <f aca="false">IF(BZ$4=0,"","Stig")</f>
        <v/>
      </c>
      <c r="CB6" s="36" t="str">
        <f aca="false">IF(CB$4=0,"","Þrep")</f>
        <v/>
      </c>
      <c r="CC6" s="36" t="str">
        <f aca="false">IF(CB$4=0,"","Stig")</f>
        <v/>
      </c>
      <c r="CD6" s="36" t="str">
        <f aca="false">IF(CD$4=0,"","Þrep")</f>
        <v/>
      </c>
      <c r="CE6" s="36" t="str">
        <f aca="false">IF(CD$4=0,"","Stig")</f>
        <v/>
      </c>
      <c r="CF6" s="36" t="str">
        <f aca="false">IF(CF$4=0,"","Þrep")</f>
        <v/>
      </c>
      <c r="CG6" s="36" t="str">
        <f aca="false">IF(CF$4=0,"","Stig")</f>
        <v/>
      </c>
      <c r="CH6" s="36" t="str">
        <f aca="false">IF(CH$4=0,"","Þrep")</f>
        <v/>
      </c>
      <c r="CI6" s="36" t="str">
        <f aca="false">IF(CH$4=0,"","Stig")</f>
        <v/>
      </c>
      <c r="CJ6" s="36" t="str">
        <f aca="false">IF(CJ$4=0,"","Þrep")</f>
        <v/>
      </c>
      <c r="CK6" s="36" t="str">
        <f aca="false">IF(CJ$4=0,"","Stig")</f>
        <v/>
      </c>
      <c r="CL6" s="36" t="str">
        <f aca="false">IF(CL$4=0,"","Þrep")</f>
        <v/>
      </c>
      <c r="CM6" s="36" t="str">
        <f aca="false">IF(CL$4=0,"","Stig")</f>
        <v/>
      </c>
      <c r="CN6" s="36" t="str">
        <f aca="false">IF(CN$4=0,"","Þrep")</f>
        <v/>
      </c>
      <c r="CO6" s="36" t="str">
        <f aca="false">IF(CN$4=0,"","Stig")</f>
        <v/>
      </c>
      <c r="CP6" s="36" t="str">
        <f aca="false">IF(CP$4=0,"","Þrep")</f>
        <v/>
      </c>
      <c r="CQ6" s="36" t="str">
        <f aca="false">IF(CP$4=0,"","Stig")</f>
        <v/>
      </c>
      <c r="CR6" s="36" t="str">
        <f aca="false">IF(CR$4=0,"","Þrep")</f>
        <v/>
      </c>
      <c r="CS6" s="36" t="str">
        <f aca="false">IF(CR$4=0,"","Stig")</f>
        <v/>
      </c>
      <c r="CT6" s="36" t="str">
        <f aca="false">IF(CT$4=0,"","Þrep")</f>
        <v/>
      </c>
      <c r="CU6" s="36" t="str">
        <f aca="false">IF(CT$4=0,"","Stig")</f>
        <v/>
      </c>
      <c r="CV6" s="36" t="str">
        <f aca="false">IF(CV$4=0,"","Þrep")</f>
        <v/>
      </c>
      <c r="CW6" s="36" t="str">
        <f aca="false">IF(CV$4=0,"","Stig")</f>
        <v/>
      </c>
      <c r="CX6" s="36" t="str">
        <f aca="false">IF(CX$4=0,"","Þrep")</f>
        <v/>
      </c>
      <c r="CY6" s="36" t="str">
        <f aca="false">IF(CX$4=0,"","Stig")</f>
        <v/>
      </c>
      <c r="CZ6" s="36" t="str">
        <f aca="false">IF(CZ$4=0,"","Þrep")</f>
        <v/>
      </c>
      <c r="DA6" s="36" t="str">
        <f aca="false">IF(CZ$4=0,"","Stig")</f>
        <v/>
      </c>
      <c r="DB6" s="36" t="str">
        <f aca="false">IF(DB$4=0,"","Þrep")</f>
        <v/>
      </c>
      <c r="DC6" s="36" t="str">
        <f aca="false">IF(DB$4=0,"","Stig")</f>
        <v/>
      </c>
      <c r="DD6" s="36" t="str">
        <f aca="false">IF(DD$4=0,"","Þrep")</f>
        <v/>
      </c>
      <c r="DE6" s="36" t="str">
        <f aca="false">IF(DD$4=0,"","Stig")</f>
        <v/>
      </c>
      <c r="DF6" s="36" t="str">
        <f aca="false">IF(DF$4=0,"","Þrep")</f>
        <v/>
      </c>
      <c r="DG6" s="36" t="str">
        <f aca="false">IF(DF$4=0,"","Stig")</f>
        <v/>
      </c>
      <c r="DH6" s="36" t="str">
        <f aca="false">IF(DH$4=0,"","Þrep")</f>
        <v/>
      </c>
      <c r="DI6" s="36" t="str">
        <f aca="false">IF(DH$4=0,"","Stig")</f>
        <v/>
      </c>
      <c r="DJ6" s="36" t="str">
        <f aca="false">IF(DJ$4=0,"","Þrep")</f>
        <v/>
      </c>
      <c r="DK6" s="36" t="str">
        <f aca="false">IF(DJ$4=0,"","Stig")</f>
        <v/>
      </c>
      <c r="DL6" s="36" t="str">
        <f aca="false">IF(DL$4=0,"","Þrep")</f>
        <v/>
      </c>
      <c r="DM6" s="36" t="str">
        <f aca="false">IF(DL$4=0,"","Stig")</f>
        <v/>
      </c>
      <c r="DN6" s="36" t="str">
        <f aca="false">IF(DN$4=0,"","Þrep")</f>
        <v/>
      </c>
      <c r="DO6" s="36" t="str">
        <f aca="false">IF(DN$4=0,"","Stig")</f>
        <v/>
      </c>
      <c r="DP6" s="36" t="str">
        <f aca="false">IF(DP$4=0,"","Þrep")</f>
        <v/>
      </c>
      <c r="DQ6" s="36" t="str">
        <f aca="false">IF(DP$4=0,"","Stig")</f>
        <v/>
      </c>
      <c r="DR6" s="36" t="str">
        <f aca="false">IF(DR$4=0,"","Þrep")</f>
        <v/>
      </c>
      <c r="DS6" s="36" t="str">
        <f aca="false">IF(DR$4=0,"","Stig")</f>
        <v/>
      </c>
      <c r="DT6" s="36" t="str">
        <f aca="false">IF(DT$4=0,"","Þrep")</f>
        <v/>
      </c>
      <c r="DU6" s="36" t="str">
        <f aca="false">IF(DT$4=0,"","Stig")</f>
        <v/>
      </c>
      <c r="DV6" s="36" t="str">
        <f aca="false">IF(DV$4=0,"","Þrep")</f>
        <v/>
      </c>
      <c r="DW6" s="36" t="str">
        <f aca="false">IF(DV$4=0,"","Stig")</f>
        <v/>
      </c>
      <c r="DX6" s="36" t="str">
        <f aca="false">IF(DX$4=0,"","Þrep")</f>
        <v/>
      </c>
      <c r="DY6" s="36" t="str">
        <f aca="false">IF(DX$4=0,"","Stig")</f>
        <v/>
      </c>
      <c r="DZ6" s="36" t="str">
        <f aca="false">IF(DZ$4=0,"","Þrep")</f>
        <v/>
      </c>
      <c r="EA6" s="36" t="str">
        <f aca="false">IF(DZ$4=0,"","Stig")</f>
        <v/>
      </c>
      <c r="EB6" s="36" t="str">
        <f aca="false">IF(EB$4=0,"","Þrep")</f>
        <v/>
      </c>
      <c r="EC6" s="36" t="str">
        <f aca="false">IF(EB$4=0,"","Stig")</f>
        <v/>
      </c>
      <c r="ED6" s="36" t="str">
        <f aca="false">IF(ED$4=0,"","Þrep")</f>
        <v/>
      </c>
      <c r="EE6" s="36" t="str">
        <f aca="false">IF(ED$4=0,"","Stig")</f>
        <v/>
      </c>
      <c r="EF6" s="36" t="str">
        <f aca="false">IF(EF$4=0,"","Þrep")</f>
        <v/>
      </c>
      <c r="EG6" s="36" t="str">
        <f aca="false">IF(EF$4=0,"","Stig")</f>
        <v/>
      </c>
      <c r="EH6" s="36" t="str">
        <f aca="false">IF(EH$4=0,"","Þrep")</f>
        <v/>
      </c>
      <c r="EI6" s="36" t="str">
        <f aca="false">IF(EH$4=0,"","Stig")</f>
        <v/>
      </c>
      <c r="EJ6" s="36" t="str">
        <f aca="false">IF(EJ$4=0,"","Þrep")</f>
        <v/>
      </c>
      <c r="EK6" s="36" t="str">
        <f aca="false">IF(EJ$4=0,"","Stig")</f>
        <v/>
      </c>
      <c r="EL6" s="36" t="str">
        <f aca="false">IF(EL$4=0,"","Þrep")</f>
        <v/>
      </c>
      <c r="EM6" s="36" t="str">
        <f aca="false">IF(EL$4=0,"","Stig")</f>
        <v/>
      </c>
      <c r="EN6" s="36" t="str">
        <f aca="false">IF(EN$4=0,"","Þrep")</f>
        <v/>
      </c>
      <c r="EO6" s="36" t="str">
        <f aca="false">IF(EN$4=0,"","Stig")</f>
        <v/>
      </c>
      <c r="EP6" s="36" t="str">
        <f aca="false">IF(EP$4=0,"","Þrep")</f>
        <v/>
      </c>
      <c r="EQ6" s="36" t="str">
        <f aca="false">IF(EP$4=0,"","Stig")</f>
        <v/>
      </c>
      <c r="ER6" s="36" t="str">
        <f aca="false">IF(ER$4=0,"","Þrep")</f>
        <v/>
      </c>
      <c r="ES6" s="36" t="str">
        <f aca="false">IF(ER$4=0,"","Stig")</f>
        <v/>
      </c>
      <c r="ET6" s="36" t="str">
        <f aca="false">IF(ET$4=0,"","Þrep")</f>
        <v/>
      </c>
      <c r="EU6" s="36" t="str">
        <f aca="false">IF(ET$4=0,"","Stig")</f>
        <v/>
      </c>
      <c r="EV6" s="36" t="str">
        <f aca="false">IF(EV$4=0,"","Þrep")</f>
        <v/>
      </c>
      <c r="EW6" s="36" t="str">
        <f aca="false">IF(EV$4=0,"","Stig")</f>
        <v/>
      </c>
      <c r="EX6" s="36" t="str">
        <f aca="false">IF(EX$4=0,"","Þrep")</f>
        <v/>
      </c>
      <c r="EY6" s="36" t="str">
        <f aca="false">IF(EX$4=0,"","Stig")</f>
        <v/>
      </c>
      <c r="EZ6" s="36" t="str">
        <f aca="false">IF(EZ$4=0,"","Þrep")</f>
        <v/>
      </c>
      <c r="FA6" s="36" t="str">
        <f aca="false">IF(EZ$4=0,"","Stig")</f>
        <v/>
      </c>
      <c r="FB6" s="36" t="str">
        <f aca="false">IF(FB$4=0,"","Þrep")</f>
        <v/>
      </c>
      <c r="FC6" s="36" t="str">
        <f aca="false">IF(FB$4=0,"","Stig")</f>
        <v/>
      </c>
      <c r="FD6" s="36" t="str">
        <f aca="false">IF(FD$4=0,"","Þrep")</f>
        <v/>
      </c>
      <c r="FE6" s="36" t="str">
        <f aca="false">IF(FD$4=0,"","Stig")</f>
        <v/>
      </c>
      <c r="FF6" s="36" t="str">
        <f aca="false">IF(FF$4=0,"","Þrep")</f>
        <v/>
      </c>
      <c r="FG6" s="36" t="str">
        <f aca="false">IF(FF$4=0,"","Stig")</f>
        <v/>
      </c>
      <c r="FH6" s="36" t="str">
        <f aca="false">IF(FH$4=0,"","Þrep")</f>
        <v/>
      </c>
      <c r="FI6" s="36" t="str">
        <f aca="false">IF(FH$4=0,"","Stig")</f>
        <v/>
      </c>
      <c r="FJ6" s="36" t="str">
        <f aca="false">IF(FJ$4=0,"","Þrep")</f>
        <v/>
      </c>
      <c r="FK6" s="36" t="str">
        <f aca="false">IF(FJ$4=0,"","Stig")</f>
        <v/>
      </c>
      <c r="FL6" s="36" t="str">
        <f aca="false">IF(FL$4=0,"","Þrep")</f>
        <v/>
      </c>
      <c r="FM6" s="36" t="str">
        <f aca="false">IF(FL$4=0,"","Stig")</f>
        <v/>
      </c>
      <c r="FN6" s="36" t="str">
        <f aca="false">IF(FN$4=0,"","Þrep")</f>
        <v/>
      </c>
      <c r="FO6" s="36" t="str">
        <f aca="false">IF(FN$4=0,"","Stig")</f>
        <v/>
      </c>
      <c r="FP6" s="36" t="str">
        <f aca="false">IF(FP$4=0,"","Þrep")</f>
        <v/>
      </c>
      <c r="FQ6" s="36" t="str">
        <f aca="false">IF(FP$4=0,"","Stig")</f>
        <v/>
      </c>
      <c r="FR6" s="36" t="str">
        <f aca="false">IF(FR$4=0,"","Þrep")</f>
        <v/>
      </c>
      <c r="FS6" s="36" t="str">
        <f aca="false">IF(FR$4=0,"","Stig")</f>
        <v/>
      </c>
      <c r="FT6" s="36" t="str">
        <f aca="false">IF(FT$4=0,"","Þrep")</f>
        <v/>
      </c>
      <c r="FU6" s="36" t="str">
        <f aca="false">IF(FT$4=0,"","Stig")</f>
        <v/>
      </c>
      <c r="FV6" s="36" t="str">
        <f aca="false">IF(FV$4=0,"","Þrep")</f>
        <v/>
      </c>
      <c r="FW6" s="36" t="str">
        <f aca="false">IF(FV$4=0,"","Stig")</f>
        <v/>
      </c>
      <c r="FX6" s="36" t="str">
        <f aca="false">IF(FX$4=0,"","Þrep")</f>
        <v/>
      </c>
      <c r="FY6" s="36" t="str">
        <f aca="false">IF(FX$4=0,"","Stig")</f>
        <v/>
      </c>
      <c r="FZ6" s="36" t="str">
        <f aca="false">IF(FZ$4=0,"","Þrep")</f>
        <v/>
      </c>
      <c r="GA6" s="36" t="str">
        <f aca="false">IF(FZ$4=0,"","Stig")</f>
        <v/>
      </c>
      <c r="GB6" s="36" t="str">
        <f aca="false">IF(GB$4=0,"","Þrep")</f>
        <v/>
      </c>
      <c r="GC6" s="36" t="str">
        <f aca="false">IF(GB$4=0,"","Stig")</f>
        <v/>
      </c>
      <c r="GD6" s="36" t="str">
        <f aca="false">IF(GD$4=0,"","Þrep")</f>
        <v/>
      </c>
      <c r="GE6" s="36" t="str">
        <f aca="false">IF(GD$4=0,"","Stig")</f>
        <v/>
      </c>
      <c r="GF6" s="36" t="str">
        <f aca="false">IF(GF$4=0,"","Þrep")</f>
        <v/>
      </c>
      <c r="GG6" s="36" t="str">
        <f aca="false">IF(GF$4=0,"","Stig")</f>
        <v/>
      </c>
      <c r="GH6" s="36" t="str">
        <f aca="false">IF(GH$4=0,"","Þrep")</f>
        <v/>
      </c>
      <c r="GI6" s="36" t="str">
        <f aca="false">IF(GH$4=0,"","Stig")</f>
        <v/>
      </c>
      <c r="GJ6" s="36" t="str">
        <f aca="false">IF(GJ$4=0,"","Þrep")</f>
        <v/>
      </c>
      <c r="GK6" s="36" t="str">
        <f aca="false">IF(GJ$4=0,"","Stig")</f>
        <v/>
      </c>
      <c r="GL6" s="36" t="str">
        <f aca="false">IF(GL$4=0,"","Þrep")</f>
        <v/>
      </c>
      <c r="GM6" s="36" t="str">
        <f aca="false">IF(GL$4=0,"","Stig")</f>
        <v/>
      </c>
      <c r="GN6" s="36" t="str">
        <f aca="false">IF(GN$4=0,"","Þrep")</f>
        <v/>
      </c>
      <c r="GO6" s="36" t="str">
        <f aca="false">IF(GN$4=0,"","Stig")</f>
        <v/>
      </c>
      <c r="GP6" s="36" t="str">
        <f aca="false">IF(GP$4=0,"","Þrep")</f>
        <v/>
      </c>
      <c r="GQ6" s="36" t="str">
        <f aca="false">IF(GP$4=0,"","Stig")</f>
        <v/>
      </c>
      <c r="GR6" s="36" t="str">
        <f aca="false">IF(GR$4=0,"","Þrep")</f>
        <v/>
      </c>
      <c r="GS6" s="36" t="str">
        <f aca="false">IF(GR$4=0,"","Stig")</f>
        <v/>
      </c>
      <c r="GT6" s="36" t="str">
        <f aca="false">IF(GT$4=0,"","Þrep")</f>
        <v/>
      </c>
      <c r="GU6" s="36" t="str">
        <f aca="false">IF(GT$4=0,"","Stig")</f>
        <v/>
      </c>
      <c r="GV6" s="12"/>
    </row>
    <row r="7" customFormat="false" ht="15" hidden="false" customHeight="true" outlineLevel="0" collapsed="false">
      <c r="A7" s="22" t="n">
        <f aca="false">ROW()-6</f>
        <v>1</v>
      </c>
      <c r="B7" s="24" t="str">
        <f aca="false">IF(INDEX(Starfsmenn!$B$6:$B$10005,ROW()-6)="","",INDEX(Starfsmenn!$B$6:$B$10005,ROW()-6))</f>
        <v/>
      </c>
      <c r="C7" s="24" t="str">
        <f aca="false">IF(INDEX(Starfsmenn!$C$6:$C$10005,ROW()-6)="","",INDEX(Starfsmenn!$C$6:$C$10005,ROW()-6))</f>
        <v/>
      </c>
      <c r="D7" s="23"/>
      <c r="E7" s="40" t="str">
        <f aca="false">IF(OR(D$4=0,D7=""),"",IFERROR(ROUND(D7/INDEX(Undirviðmið!$F$6:$F$205,D$4)*INDEX(Undirviðmið!$E$6:$E$205,D$4)*KVARDI,2),""))</f>
        <v/>
      </c>
      <c r="F7" s="23"/>
      <c r="G7" s="40" t="str">
        <f aca="false">IF(OR(F$4=0,F7=""),"",IFERROR(ROUND(F7/INDEX(Undirviðmið!$F$6:$F$205,F$4)*INDEX(Undirviðmið!$E$6:$E$205,F$4)*KVARDI,2),""))</f>
        <v/>
      </c>
      <c r="H7" s="23"/>
      <c r="I7" s="40" t="str">
        <f aca="false">IF(OR(H$4=0,H7=""),"",IFERROR(ROUND(H7/INDEX(Undirviðmið!$F$6:$F$205,H$4)*INDEX(Undirviðmið!$E$6:$E$205,H$4)*KVARDI,2),""))</f>
        <v/>
      </c>
      <c r="J7" s="23"/>
      <c r="K7" s="40" t="str">
        <f aca="false">IF(OR(J$4=0,J7=""),"",IFERROR(ROUND(J7/INDEX(Undirviðmið!$F$6:$F$205,J$4)*INDEX(Undirviðmið!$E$6:$E$205,J$4)*KVARDI,2),""))</f>
        <v/>
      </c>
      <c r="L7" s="23"/>
      <c r="M7" s="40" t="str">
        <f aca="false">IF(OR(L$4=0,L7=""),"",IFERROR(ROUND(L7/INDEX(Undirviðmið!$F$6:$F$205,L$4)*INDEX(Undirviðmið!$E$6:$E$205,L$4)*KVARDI,2),""))</f>
        <v/>
      </c>
      <c r="N7" s="23"/>
      <c r="O7" s="40" t="str">
        <f aca="false">IF(OR(N$4=0,N7=""),"",IFERROR(ROUND(N7/INDEX(Undirviðmið!$F$6:$F$205,N$4)*INDEX(Undirviðmið!$E$6:$E$205,N$4)*KVARDI,2),""))</f>
        <v/>
      </c>
      <c r="P7" s="23"/>
      <c r="Q7" s="40" t="str">
        <f aca="false">IF(OR(P$4=0,P7=""),"",IFERROR(ROUND(P7/INDEX(Undirviðmið!$F$6:$F$205,P$4)*INDEX(Undirviðmið!$E$6:$E$205,P$4)*KVARDI,2),""))</f>
        <v/>
      </c>
      <c r="R7" s="23"/>
      <c r="S7" s="40" t="str">
        <f aca="false">IF(OR(R$4=0,R7=""),"",IFERROR(ROUND(R7/INDEX(Undirviðmið!$F$6:$F$205,R$4)*INDEX(Undirviðmið!$E$6:$E$205,R$4)*KVARDI,2),""))</f>
        <v/>
      </c>
      <c r="T7" s="23"/>
      <c r="U7" s="40" t="str">
        <f aca="false">IF(OR(T$4=0,T7=""),"",IFERROR(ROUND(T7/INDEX(Undirviðmið!$F$6:$F$205,T$4)*INDEX(Undirviðmið!$E$6:$E$205,T$4)*KVARDI,2),""))</f>
        <v/>
      </c>
      <c r="V7" s="23"/>
      <c r="W7" s="40" t="str">
        <f aca="false">IF(OR(V$4=0,V7=""),"",IFERROR(ROUND(V7/INDEX(Undirviðmið!$F$6:$F$205,V$4)*INDEX(Undirviðmið!$E$6:$E$205,V$4)*KVARDI,2),""))</f>
        <v/>
      </c>
      <c r="X7" s="23"/>
      <c r="Y7" s="40" t="str">
        <f aca="false">IF(OR(X$4=0,X7=""),"",IFERROR(ROUND(X7/INDEX(Undirviðmið!$F$6:$F$205,X$4)*INDEX(Undirviðmið!$E$6:$E$205,X$4)*KVARDI,2),""))</f>
        <v/>
      </c>
      <c r="Z7" s="23"/>
      <c r="AA7" s="40" t="str">
        <f aca="false">IF(OR(Z$4=0,Z7=""),"",IFERROR(ROUND(Z7/INDEX(Undirviðmið!$F$6:$F$205,Z$4)*INDEX(Undirviðmið!$E$6:$E$205,Z$4)*KVARDI,2),""))</f>
        <v/>
      </c>
      <c r="AB7" s="23"/>
      <c r="AC7" s="40" t="str">
        <f aca="false">IF(OR(AB$4=0,AB7=""),"",IFERROR(ROUND(AB7/INDEX(Undirviðmið!$F$6:$F$205,AB$4)*INDEX(Undirviðmið!$E$6:$E$205,AB$4)*KVARDI,2),""))</f>
        <v/>
      </c>
      <c r="AD7" s="23"/>
      <c r="AE7" s="40" t="str">
        <f aca="false">IF(OR(AD$4=0,AD7=""),"",IFERROR(ROUND(AD7/INDEX(Undirviðmið!$F$6:$F$205,AD$4)*INDEX(Undirviðmið!$E$6:$E$205,AD$4)*KVARDI,2),""))</f>
        <v/>
      </c>
      <c r="AF7" s="23"/>
      <c r="AG7" s="40" t="str">
        <f aca="false">IF(OR(AF$4=0,AF7=""),"",IFERROR(ROUND(AF7/INDEX(Undirviðmið!$F$6:$F$205,AF$4)*INDEX(Undirviðmið!$E$6:$E$205,AF$4)*KVARDI,2),""))</f>
        <v/>
      </c>
      <c r="AH7" s="23"/>
      <c r="AI7" s="40" t="str">
        <f aca="false">IF(OR(AH$4=0,AH7=""),"",IFERROR(ROUND(AH7/INDEX(Undirviðmið!$F$6:$F$205,AH$4)*INDEX(Undirviðmið!$E$6:$E$205,AH$4)*KVARDI,2),""))</f>
        <v/>
      </c>
      <c r="AJ7" s="23"/>
      <c r="AK7" s="40" t="str">
        <f aca="false">IF(OR(AJ$4=0,AJ7=""),"",IFERROR(ROUND(AJ7/INDEX(Undirviðmið!$F$6:$F$205,AJ$4)*INDEX(Undirviðmið!$E$6:$E$205,AJ$4)*KVARDI,2),""))</f>
        <v/>
      </c>
      <c r="AL7" s="23"/>
      <c r="AM7" s="40" t="str">
        <f aca="false">IF(OR(AL$4=0,AL7=""),"",IFERROR(ROUND(AL7/INDEX(Undirviðmið!$F$6:$F$205,AL$4)*INDEX(Undirviðmið!$E$6:$E$205,AL$4)*KVARDI,2),""))</f>
        <v/>
      </c>
      <c r="AN7" s="23"/>
      <c r="AO7" s="40" t="str">
        <f aca="false">IF(OR(AN$4=0,AN7=""),"",IFERROR(ROUND(AN7/INDEX(Undirviðmið!$F$6:$F$205,AN$4)*INDEX(Undirviðmið!$E$6:$E$205,AN$4)*KVARDI,2),""))</f>
        <v/>
      </c>
      <c r="AP7" s="23"/>
      <c r="AQ7" s="40" t="str">
        <f aca="false">IF(OR(AP$4=0,AP7=""),"",IFERROR(ROUND(AP7/INDEX(Undirviðmið!$F$6:$F$205,AP$4)*INDEX(Undirviðmið!$E$6:$E$205,AP$4)*KVARDI,2),""))</f>
        <v/>
      </c>
      <c r="AR7" s="23"/>
      <c r="AS7" s="40" t="str">
        <f aca="false">IF(OR(AR$4=0,AR7=""),"",IFERROR(ROUND(AR7/INDEX(Undirviðmið!$F$6:$F$205,AR$4)*INDEX(Undirviðmið!$E$6:$E$205,AR$4)*KVARDI,2),""))</f>
        <v/>
      </c>
      <c r="AT7" s="23"/>
      <c r="AU7" s="40" t="str">
        <f aca="false">IF(OR(AT$4=0,AT7=""),"",IFERROR(ROUND(AT7/INDEX(Undirviðmið!$F$6:$F$205,AT$4)*INDEX(Undirviðmið!$E$6:$E$205,AT$4)*KVARDI,2),""))</f>
        <v/>
      </c>
      <c r="AV7" s="23"/>
      <c r="AW7" s="40" t="str">
        <f aca="false">IF(OR(AV$4=0,AV7=""),"",IFERROR(ROUND(AV7/INDEX(Undirviðmið!$F$6:$F$205,AV$4)*INDEX(Undirviðmið!$E$6:$E$205,AV$4)*KVARDI,2),""))</f>
        <v/>
      </c>
      <c r="AX7" s="23"/>
      <c r="AY7" s="40" t="str">
        <f aca="false">IF(OR(AX$4=0,AX7=""),"",IFERROR(ROUND(AX7/INDEX(Undirviðmið!$F$6:$F$205,AX$4)*INDEX(Undirviðmið!$E$6:$E$205,AX$4)*KVARDI,2),""))</f>
        <v/>
      </c>
      <c r="AZ7" s="23"/>
      <c r="BA7" s="40" t="str">
        <f aca="false">IF(OR(AZ$4=0,AZ7=""),"",IFERROR(ROUND(AZ7/INDEX(Undirviðmið!$F$6:$F$205,AZ$4)*INDEX(Undirviðmið!$E$6:$E$205,AZ$4)*KVARDI,2),""))</f>
        <v/>
      </c>
      <c r="BB7" s="23"/>
      <c r="BC7" s="40" t="str">
        <f aca="false">IF(OR(BB$4=0,BB7=""),"",IFERROR(ROUND(BB7/INDEX(Undirviðmið!$F$6:$F$205,BB$4)*INDEX(Undirviðmið!$E$6:$E$205,BB$4)*KVARDI,2),""))</f>
        <v/>
      </c>
      <c r="BD7" s="23"/>
      <c r="BE7" s="40" t="str">
        <f aca="false">IF(OR(BD$4=0,BD7=""),"",IFERROR(ROUND(BD7/INDEX(Undirviðmið!$F$6:$F$205,BD$4)*INDEX(Undirviðmið!$E$6:$E$205,BD$4)*KVARDI,2),""))</f>
        <v/>
      </c>
      <c r="BF7" s="23"/>
      <c r="BG7" s="40" t="str">
        <f aca="false">IF(OR(BF$4=0,BF7=""),"",IFERROR(ROUND(BF7/INDEX(Undirviðmið!$F$6:$F$205,BF$4)*INDEX(Undirviðmið!$E$6:$E$205,BF$4)*KVARDI,2),""))</f>
        <v/>
      </c>
      <c r="BH7" s="23"/>
      <c r="BI7" s="40" t="str">
        <f aca="false">IF(OR(BH$4=0,BH7=""),"",IFERROR(ROUND(BH7/INDEX(Undirviðmið!$F$6:$F$205,BH$4)*INDEX(Undirviðmið!$E$6:$E$205,BH$4)*KVARDI,2),""))</f>
        <v/>
      </c>
      <c r="BJ7" s="23"/>
      <c r="BK7" s="40" t="str">
        <f aca="false">IF(OR(BJ$4=0,BJ7=""),"",IFERROR(ROUND(BJ7/INDEX(Undirviðmið!$F$6:$F$205,BJ$4)*INDEX(Undirviðmið!$E$6:$E$205,BJ$4)*KVARDI,2),""))</f>
        <v/>
      </c>
      <c r="BL7" s="23"/>
      <c r="BM7" s="40" t="str">
        <f aca="false">IF(OR(BL$4=0,BL7=""),"",IFERROR(ROUND(BL7/INDEX(Undirviðmið!$F$6:$F$205,BL$4)*INDEX(Undirviðmið!$E$6:$E$205,BL$4)*KVARDI,2),""))</f>
        <v/>
      </c>
      <c r="BN7" s="23"/>
      <c r="BO7" s="40" t="str">
        <f aca="false">IF(OR(BN$4=0,BN7=""),"",IFERROR(ROUND(BN7/INDEX(Undirviðmið!$F$6:$F$205,BN$4)*INDEX(Undirviðmið!$E$6:$E$205,BN$4)*KVARDI,2),""))</f>
        <v/>
      </c>
      <c r="BP7" s="23"/>
      <c r="BQ7" s="40" t="str">
        <f aca="false">IF(OR(BP$4=0,BP7=""),"",IFERROR(ROUND(BP7/INDEX(Undirviðmið!$F$6:$F$205,BP$4)*INDEX(Undirviðmið!$E$6:$E$205,BP$4)*KVARDI,2),""))</f>
        <v/>
      </c>
      <c r="BR7" s="23"/>
      <c r="BS7" s="40" t="str">
        <f aca="false">IF(OR(BR$4=0,BR7=""),"",IFERROR(ROUND(BR7/INDEX(Undirviðmið!$F$6:$F$205,BR$4)*INDEX(Undirviðmið!$E$6:$E$205,BR$4)*KVARDI,2),""))</f>
        <v/>
      </c>
      <c r="BT7" s="23"/>
      <c r="BU7" s="40" t="str">
        <f aca="false">IF(OR(BT$4=0,BT7=""),"",IFERROR(ROUND(BT7/INDEX(Undirviðmið!$F$6:$F$205,BT$4)*INDEX(Undirviðmið!$E$6:$E$205,BT$4)*KVARDI,2),""))</f>
        <v/>
      </c>
      <c r="BV7" s="23"/>
      <c r="BW7" s="40" t="str">
        <f aca="false">IF(OR(BV$4=0,BV7=""),"",IFERROR(ROUND(BV7/INDEX(Undirviðmið!$F$6:$F$205,BV$4)*INDEX(Undirviðmið!$E$6:$E$205,BV$4)*KVARDI,2),""))</f>
        <v/>
      </c>
      <c r="BX7" s="23"/>
      <c r="BY7" s="40" t="str">
        <f aca="false">IF(OR(BX$4=0,BX7=""),"",IFERROR(ROUND(BX7/INDEX(Undirviðmið!$F$6:$F$205,BX$4)*INDEX(Undirviðmið!$E$6:$E$205,BX$4)*KVARDI,2),""))</f>
        <v/>
      </c>
      <c r="BZ7" s="23"/>
      <c r="CA7" s="40" t="str">
        <f aca="false">IF(OR(BZ$4=0,BZ7=""),"",IFERROR(ROUND(BZ7/INDEX(Undirviðmið!$F$6:$F$205,BZ$4)*INDEX(Undirviðmið!$E$6:$E$205,BZ$4)*KVARDI,2),""))</f>
        <v/>
      </c>
      <c r="CB7" s="23"/>
      <c r="CC7" s="40" t="str">
        <f aca="false">IF(OR(CB$4=0,CB7=""),"",IFERROR(ROUND(CB7/INDEX(Undirviðmið!$F$6:$F$205,CB$4)*INDEX(Undirviðmið!$E$6:$E$205,CB$4)*KVARDI,2),""))</f>
        <v/>
      </c>
      <c r="CD7" s="23"/>
      <c r="CE7" s="40" t="str">
        <f aca="false">IF(OR(CD$4=0,CD7=""),"",IFERROR(ROUND(CD7/INDEX(Undirviðmið!$F$6:$F$205,CD$4)*INDEX(Undirviðmið!$E$6:$E$205,CD$4)*KVARDI,2),""))</f>
        <v/>
      </c>
      <c r="CF7" s="23"/>
      <c r="CG7" s="40" t="str">
        <f aca="false">IF(OR(CF$4=0,CF7=""),"",IFERROR(ROUND(CF7/INDEX(Undirviðmið!$F$6:$F$205,CF$4)*INDEX(Undirviðmið!$E$6:$E$205,CF$4)*KVARDI,2),""))</f>
        <v/>
      </c>
      <c r="CH7" s="23"/>
      <c r="CI7" s="40" t="str">
        <f aca="false">IF(OR(CH$4=0,CH7=""),"",IFERROR(ROUND(CH7/INDEX(Undirviðmið!$F$6:$F$205,CH$4)*INDEX(Undirviðmið!$E$6:$E$205,CH$4)*KVARDI,2),""))</f>
        <v/>
      </c>
      <c r="CJ7" s="23"/>
      <c r="CK7" s="40" t="str">
        <f aca="false">IF(OR(CJ$4=0,CJ7=""),"",IFERROR(ROUND(CJ7/INDEX(Undirviðmið!$F$6:$F$205,CJ$4)*INDEX(Undirviðmið!$E$6:$E$205,CJ$4)*KVARDI,2),""))</f>
        <v/>
      </c>
      <c r="CL7" s="23"/>
      <c r="CM7" s="40" t="str">
        <f aca="false">IF(OR(CL$4=0,CL7=""),"",IFERROR(ROUND(CL7/INDEX(Undirviðmið!$F$6:$F$205,CL$4)*INDEX(Undirviðmið!$E$6:$E$205,CL$4)*KVARDI,2),""))</f>
        <v/>
      </c>
      <c r="CN7" s="23"/>
      <c r="CO7" s="40" t="str">
        <f aca="false">IF(OR(CN$4=0,CN7=""),"",IFERROR(ROUND(CN7/INDEX(Undirviðmið!$F$6:$F$205,CN$4)*INDEX(Undirviðmið!$E$6:$E$205,CN$4)*KVARDI,2),""))</f>
        <v/>
      </c>
      <c r="CP7" s="23"/>
      <c r="CQ7" s="40" t="str">
        <f aca="false">IF(OR(CP$4=0,CP7=""),"",IFERROR(ROUND(CP7/INDEX(Undirviðmið!$F$6:$F$205,CP$4)*INDEX(Undirviðmið!$E$6:$E$205,CP$4)*KVARDI,2),""))</f>
        <v/>
      </c>
      <c r="CR7" s="23"/>
      <c r="CS7" s="40" t="str">
        <f aca="false">IF(OR(CR$4=0,CR7=""),"",IFERROR(ROUND(CR7/INDEX(Undirviðmið!$F$6:$F$205,CR$4)*INDEX(Undirviðmið!$E$6:$E$205,CR$4)*KVARDI,2),""))</f>
        <v/>
      </c>
      <c r="CT7" s="23"/>
      <c r="CU7" s="40" t="str">
        <f aca="false">IF(OR(CT$4=0,CT7=""),"",IFERROR(ROUND(CT7/INDEX(Undirviðmið!$F$6:$F$205,CT$4)*INDEX(Undirviðmið!$E$6:$E$205,CT$4)*KVARDI,2),""))</f>
        <v/>
      </c>
      <c r="CV7" s="23"/>
      <c r="CW7" s="40" t="str">
        <f aca="false">IF(OR(CV$4=0,CV7=""),"",IFERROR(ROUND(CV7/INDEX(Undirviðmið!$F$6:$F$205,CV$4)*INDEX(Undirviðmið!$E$6:$E$205,CV$4)*KVARDI,2),""))</f>
        <v/>
      </c>
      <c r="CX7" s="23"/>
      <c r="CY7" s="40" t="str">
        <f aca="false">IF(OR(CX$4=0,CX7=""),"",IFERROR(ROUND(CX7/INDEX(Undirviðmið!$F$6:$F$205,CX$4)*INDEX(Undirviðmið!$E$6:$E$205,CX$4)*KVARDI,2),""))</f>
        <v/>
      </c>
      <c r="CZ7" s="23"/>
      <c r="DA7" s="40" t="str">
        <f aca="false">IF(OR(CZ$4=0,CZ7=""),"",IFERROR(ROUND(CZ7/INDEX(Undirviðmið!$F$6:$F$205,CZ$4)*INDEX(Undirviðmið!$E$6:$E$205,CZ$4)*KVARDI,2),""))</f>
        <v/>
      </c>
      <c r="DB7" s="23"/>
      <c r="DC7" s="40" t="str">
        <f aca="false">IF(OR(DB$4=0,DB7=""),"",IFERROR(ROUND(DB7/INDEX(Undirviðmið!$F$6:$F$205,DB$4)*INDEX(Undirviðmið!$E$6:$E$205,DB$4)*KVARDI,2),""))</f>
        <v/>
      </c>
      <c r="DD7" s="23"/>
      <c r="DE7" s="40" t="str">
        <f aca="false">IF(OR(DD$4=0,DD7=""),"",IFERROR(ROUND(DD7/INDEX(Undirviðmið!$F$6:$F$205,DD$4)*INDEX(Undirviðmið!$E$6:$E$205,DD$4)*KVARDI,2),""))</f>
        <v/>
      </c>
      <c r="DF7" s="23"/>
      <c r="DG7" s="40" t="str">
        <f aca="false">IF(OR(DF$4=0,DF7=""),"",IFERROR(ROUND(DF7/INDEX(Undirviðmið!$F$6:$F$205,DF$4)*INDEX(Undirviðmið!$E$6:$E$205,DF$4)*KVARDI,2),""))</f>
        <v/>
      </c>
      <c r="DH7" s="23"/>
      <c r="DI7" s="40" t="str">
        <f aca="false">IF(OR(DH$4=0,DH7=""),"",IFERROR(ROUND(DH7/INDEX(Undirviðmið!$F$6:$F$205,DH$4)*INDEX(Undirviðmið!$E$6:$E$205,DH$4)*KVARDI,2),""))</f>
        <v/>
      </c>
      <c r="DJ7" s="23"/>
      <c r="DK7" s="40" t="str">
        <f aca="false">IF(OR(DJ$4=0,DJ7=""),"",IFERROR(ROUND(DJ7/INDEX(Undirviðmið!$F$6:$F$205,DJ$4)*INDEX(Undirviðmið!$E$6:$E$205,DJ$4)*KVARDI,2),""))</f>
        <v/>
      </c>
      <c r="DL7" s="23"/>
      <c r="DM7" s="40" t="str">
        <f aca="false">IF(OR(DL$4=0,DL7=""),"",IFERROR(ROUND(DL7/INDEX(Undirviðmið!$F$6:$F$205,DL$4)*INDEX(Undirviðmið!$E$6:$E$205,DL$4)*KVARDI,2),""))</f>
        <v/>
      </c>
      <c r="DN7" s="23"/>
      <c r="DO7" s="40" t="str">
        <f aca="false">IF(OR(DN$4=0,DN7=""),"",IFERROR(ROUND(DN7/INDEX(Undirviðmið!$F$6:$F$205,DN$4)*INDEX(Undirviðmið!$E$6:$E$205,DN$4)*KVARDI,2),""))</f>
        <v/>
      </c>
      <c r="DP7" s="23"/>
      <c r="DQ7" s="40" t="str">
        <f aca="false">IF(OR(DP$4=0,DP7=""),"",IFERROR(ROUND(DP7/INDEX(Undirviðmið!$F$6:$F$205,DP$4)*INDEX(Undirviðmið!$E$6:$E$205,DP$4)*KVARDI,2),""))</f>
        <v/>
      </c>
      <c r="DR7" s="23"/>
      <c r="DS7" s="40" t="str">
        <f aca="false">IF(OR(DR$4=0,DR7=""),"",IFERROR(ROUND(DR7/INDEX(Undirviðmið!$F$6:$F$205,DR$4)*INDEX(Undirviðmið!$E$6:$E$205,DR$4)*KVARDI,2),""))</f>
        <v/>
      </c>
      <c r="DT7" s="23"/>
      <c r="DU7" s="40" t="str">
        <f aca="false">IF(OR(DT$4=0,DT7=""),"",IFERROR(ROUND(DT7/INDEX(Undirviðmið!$F$6:$F$205,DT$4)*INDEX(Undirviðmið!$E$6:$E$205,DT$4)*KVARDI,2),""))</f>
        <v/>
      </c>
      <c r="DV7" s="23"/>
      <c r="DW7" s="40" t="str">
        <f aca="false">IF(OR(DV$4=0,DV7=""),"",IFERROR(ROUND(DV7/INDEX(Undirviðmið!$F$6:$F$205,DV$4)*INDEX(Undirviðmið!$E$6:$E$205,DV$4)*KVARDI,2),""))</f>
        <v/>
      </c>
      <c r="DX7" s="23"/>
      <c r="DY7" s="40" t="str">
        <f aca="false">IF(OR(DX$4=0,DX7=""),"",IFERROR(ROUND(DX7/INDEX(Undirviðmið!$F$6:$F$205,DX$4)*INDEX(Undirviðmið!$E$6:$E$205,DX$4)*KVARDI,2),""))</f>
        <v/>
      </c>
      <c r="DZ7" s="23"/>
      <c r="EA7" s="40" t="str">
        <f aca="false">IF(OR(DZ$4=0,DZ7=""),"",IFERROR(ROUND(DZ7/INDEX(Undirviðmið!$F$6:$F$205,DZ$4)*INDEX(Undirviðmið!$E$6:$E$205,DZ$4)*KVARDI,2),""))</f>
        <v/>
      </c>
      <c r="EB7" s="23"/>
      <c r="EC7" s="40" t="str">
        <f aca="false">IF(OR(EB$4=0,EB7=""),"",IFERROR(ROUND(EB7/INDEX(Undirviðmið!$F$6:$F$205,EB$4)*INDEX(Undirviðmið!$E$6:$E$205,EB$4)*KVARDI,2),""))</f>
        <v/>
      </c>
      <c r="ED7" s="23"/>
      <c r="EE7" s="40" t="str">
        <f aca="false">IF(OR(ED$4=0,ED7=""),"",IFERROR(ROUND(ED7/INDEX(Undirviðmið!$F$6:$F$205,ED$4)*INDEX(Undirviðmið!$E$6:$E$205,ED$4)*KVARDI,2),""))</f>
        <v/>
      </c>
      <c r="EF7" s="23"/>
      <c r="EG7" s="40" t="str">
        <f aca="false">IF(OR(EF$4=0,EF7=""),"",IFERROR(ROUND(EF7/INDEX(Undirviðmið!$F$6:$F$205,EF$4)*INDEX(Undirviðmið!$E$6:$E$205,EF$4)*KVARDI,2),""))</f>
        <v/>
      </c>
      <c r="EH7" s="23"/>
      <c r="EI7" s="40" t="str">
        <f aca="false">IF(OR(EH$4=0,EH7=""),"",IFERROR(ROUND(EH7/INDEX(Undirviðmið!$F$6:$F$205,EH$4)*INDEX(Undirviðmið!$E$6:$E$205,EH$4)*KVARDI,2),""))</f>
        <v/>
      </c>
      <c r="EJ7" s="23"/>
      <c r="EK7" s="40" t="str">
        <f aca="false">IF(OR(EJ$4=0,EJ7=""),"",IFERROR(ROUND(EJ7/INDEX(Undirviðmið!$F$6:$F$205,EJ$4)*INDEX(Undirviðmið!$E$6:$E$205,EJ$4)*KVARDI,2),""))</f>
        <v/>
      </c>
      <c r="EL7" s="23"/>
      <c r="EM7" s="40" t="str">
        <f aca="false">IF(OR(EL$4=0,EL7=""),"",IFERROR(ROUND(EL7/INDEX(Undirviðmið!$F$6:$F$205,EL$4)*INDEX(Undirviðmið!$E$6:$E$205,EL$4)*KVARDI,2),""))</f>
        <v/>
      </c>
      <c r="EN7" s="23"/>
      <c r="EO7" s="40" t="str">
        <f aca="false">IF(OR(EN$4=0,EN7=""),"",IFERROR(ROUND(EN7/INDEX(Undirviðmið!$F$6:$F$205,EN$4)*INDEX(Undirviðmið!$E$6:$E$205,EN$4)*KVARDI,2),""))</f>
        <v/>
      </c>
      <c r="EP7" s="23"/>
      <c r="EQ7" s="40" t="str">
        <f aca="false">IF(OR(EP$4=0,EP7=""),"",IFERROR(ROUND(EP7/INDEX(Undirviðmið!$F$6:$F$205,EP$4)*INDEX(Undirviðmið!$E$6:$E$205,EP$4)*KVARDI,2),""))</f>
        <v/>
      </c>
      <c r="ER7" s="23"/>
      <c r="ES7" s="40" t="str">
        <f aca="false">IF(OR(ER$4=0,ER7=""),"",IFERROR(ROUND(ER7/INDEX(Undirviðmið!$F$6:$F$205,ER$4)*INDEX(Undirviðmið!$E$6:$E$205,ER$4)*KVARDI,2),""))</f>
        <v/>
      </c>
      <c r="ET7" s="23"/>
      <c r="EU7" s="40" t="str">
        <f aca="false">IF(OR(ET$4=0,ET7=""),"",IFERROR(ROUND(ET7/INDEX(Undirviðmið!$F$6:$F$205,ET$4)*INDEX(Undirviðmið!$E$6:$E$205,ET$4)*KVARDI,2),""))</f>
        <v/>
      </c>
      <c r="EV7" s="23"/>
      <c r="EW7" s="40" t="str">
        <f aca="false">IF(OR(EV$4=0,EV7=""),"",IFERROR(ROUND(EV7/INDEX(Undirviðmið!$F$6:$F$205,EV$4)*INDEX(Undirviðmið!$E$6:$E$205,EV$4)*KVARDI,2),""))</f>
        <v/>
      </c>
      <c r="EX7" s="23"/>
      <c r="EY7" s="40" t="str">
        <f aca="false">IF(OR(EX$4=0,EX7=""),"",IFERROR(ROUND(EX7/INDEX(Undirviðmið!$F$6:$F$205,EX$4)*INDEX(Undirviðmið!$E$6:$E$205,EX$4)*KVARDI,2),""))</f>
        <v/>
      </c>
      <c r="EZ7" s="23"/>
      <c r="FA7" s="40" t="str">
        <f aca="false">IF(OR(EZ$4=0,EZ7=""),"",IFERROR(ROUND(EZ7/INDEX(Undirviðmið!$F$6:$F$205,EZ$4)*INDEX(Undirviðmið!$E$6:$E$205,EZ$4)*KVARDI,2),""))</f>
        <v/>
      </c>
      <c r="FB7" s="23"/>
      <c r="FC7" s="40" t="str">
        <f aca="false">IF(OR(FB$4=0,FB7=""),"",IFERROR(ROUND(FB7/INDEX(Undirviðmið!$F$6:$F$205,FB$4)*INDEX(Undirviðmið!$E$6:$E$205,FB$4)*KVARDI,2),""))</f>
        <v/>
      </c>
      <c r="FD7" s="23"/>
      <c r="FE7" s="40" t="str">
        <f aca="false">IF(OR(FD$4=0,FD7=""),"",IFERROR(ROUND(FD7/INDEX(Undirviðmið!$F$6:$F$205,FD$4)*INDEX(Undirviðmið!$E$6:$E$205,FD$4)*KVARDI,2),""))</f>
        <v/>
      </c>
      <c r="FF7" s="23"/>
      <c r="FG7" s="40" t="str">
        <f aca="false">IF(OR(FF$4=0,FF7=""),"",IFERROR(ROUND(FF7/INDEX(Undirviðmið!$F$6:$F$205,FF$4)*INDEX(Undirviðmið!$E$6:$E$205,FF$4)*KVARDI,2),""))</f>
        <v/>
      </c>
      <c r="FH7" s="23"/>
      <c r="FI7" s="40" t="str">
        <f aca="false">IF(OR(FH$4=0,FH7=""),"",IFERROR(ROUND(FH7/INDEX(Undirviðmið!$F$6:$F$205,FH$4)*INDEX(Undirviðmið!$E$6:$E$205,FH$4)*KVARDI,2),""))</f>
        <v/>
      </c>
      <c r="FJ7" s="23"/>
      <c r="FK7" s="40" t="str">
        <f aca="false">IF(OR(FJ$4=0,FJ7=""),"",IFERROR(ROUND(FJ7/INDEX(Undirviðmið!$F$6:$F$205,FJ$4)*INDEX(Undirviðmið!$E$6:$E$205,FJ$4)*KVARDI,2),""))</f>
        <v/>
      </c>
      <c r="FL7" s="23"/>
      <c r="FM7" s="40" t="str">
        <f aca="false">IF(OR(FL$4=0,FL7=""),"",IFERROR(ROUND(FL7/INDEX(Undirviðmið!$F$6:$F$205,FL$4)*INDEX(Undirviðmið!$E$6:$E$205,FL$4)*KVARDI,2),""))</f>
        <v/>
      </c>
      <c r="FN7" s="23"/>
      <c r="FO7" s="40" t="str">
        <f aca="false">IF(OR(FN$4=0,FN7=""),"",IFERROR(ROUND(FN7/INDEX(Undirviðmið!$F$6:$F$205,FN$4)*INDEX(Undirviðmið!$E$6:$E$205,FN$4)*KVARDI,2),""))</f>
        <v/>
      </c>
      <c r="FP7" s="23"/>
      <c r="FQ7" s="40" t="str">
        <f aca="false">IF(OR(FP$4=0,FP7=""),"",IFERROR(ROUND(FP7/INDEX(Undirviðmið!$F$6:$F$205,FP$4)*INDEX(Undirviðmið!$E$6:$E$205,FP$4)*KVARDI,2),""))</f>
        <v/>
      </c>
      <c r="FR7" s="23"/>
      <c r="FS7" s="40" t="str">
        <f aca="false">IF(OR(FR$4=0,FR7=""),"",IFERROR(ROUND(FR7/INDEX(Undirviðmið!$F$6:$F$205,FR$4)*INDEX(Undirviðmið!$E$6:$E$205,FR$4)*KVARDI,2),""))</f>
        <v/>
      </c>
      <c r="FT7" s="23"/>
      <c r="FU7" s="40" t="str">
        <f aca="false">IF(OR(FT$4=0,FT7=""),"",IFERROR(ROUND(FT7/INDEX(Undirviðmið!$F$6:$F$205,FT$4)*INDEX(Undirviðmið!$E$6:$E$205,FT$4)*KVARDI,2),""))</f>
        <v/>
      </c>
      <c r="FV7" s="23"/>
      <c r="FW7" s="40" t="str">
        <f aca="false">IF(OR(FV$4=0,FV7=""),"",IFERROR(ROUND(FV7/INDEX(Undirviðmið!$F$6:$F$205,FV$4)*INDEX(Undirviðmið!$E$6:$E$205,FV$4)*KVARDI,2),""))</f>
        <v/>
      </c>
      <c r="FX7" s="23"/>
      <c r="FY7" s="40" t="str">
        <f aca="false">IF(OR(FX$4=0,FX7=""),"",IFERROR(ROUND(FX7/INDEX(Undirviðmið!$F$6:$F$205,FX$4)*INDEX(Undirviðmið!$E$6:$E$205,FX$4)*KVARDI,2),""))</f>
        <v/>
      </c>
      <c r="FZ7" s="23"/>
      <c r="GA7" s="40" t="str">
        <f aca="false">IF(OR(FZ$4=0,FZ7=""),"",IFERROR(ROUND(FZ7/INDEX(Undirviðmið!$F$6:$F$205,FZ$4)*INDEX(Undirviðmið!$E$6:$E$205,FZ$4)*KVARDI,2),""))</f>
        <v/>
      </c>
      <c r="GB7" s="23"/>
      <c r="GC7" s="40" t="str">
        <f aca="false">IF(OR(GB$4=0,GB7=""),"",IFERROR(ROUND(GB7/INDEX(Undirviðmið!$F$6:$F$205,GB$4)*INDEX(Undirviðmið!$E$6:$E$205,GB$4)*KVARDI,2),""))</f>
        <v/>
      </c>
      <c r="GD7" s="23"/>
      <c r="GE7" s="40" t="str">
        <f aca="false">IF(OR(GD$4=0,GD7=""),"",IFERROR(ROUND(GD7/INDEX(Undirviðmið!$F$6:$F$205,GD$4)*INDEX(Undirviðmið!$E$6:$E$205,GD$4)*KVARDI,2),""))</f>
        <v/>
      </c>
      <c r="GF7" s="23"/>
      <c r="GG7" s="40" t="str">
        <f aca="false">IF(OR(GF$4=0,GF7=""),"",IFERROR(ROUND(GF7/INDEX(Undirviðmið!$F$6:$F$205,GF$4)*INDEX(Undirviðmið!$E$6:$E$205,GF$4)*KVARDI,2),""))</f>
        <v/>
      </c>
      <c r="GH7" s="23"/>
      <c r="GI7" s="40" t="str">
        <f aca="false">IF(OR(GH$4=0,GH7=""),"",IFERROR(ROUND(GH7/INDEX(Undirviðmið!$F$6:$F$205,GH$4)*INDEX(Undirviðmið!$E$6:$E$205,GH$4)*KVARDI,2),""))</f>
        <v/>
      </c>
      <c r="GJ7" s="23"/>
      <c r="GK7" s="40" t="str">
        <f aca="false">IF(OR(GJ$4=0,GJ7=""),"",IFERROR(ROUND(GJ7/INDEX(Undirviðmið!$F$6:$F$205,GJ$4)*INDEX(Undirviðmið!$E$6:$E$205,GJ$4)*KVARDI,2),""))</f>
        <v/>
      </c>
      <c r="GL7" s="23"/>
      <c r="GM7" s="40" t="str">
        <f aca="false">IF(OR(GL$4=0,GL7=""),"",IFERROR(ROUND(GL7/INDEX(Undirviðmið!$F$6:$F$205,GL$4)*INDEX(Undirviðmið!$E$6:$E$205,GL$4)*KVARDI,2),""))</f>
        <v/>
      </c>
      <c r="GN7" s="23"/>
      <c r="GO7" s="40" t="str">
        <f aca="false">IF(OR(GN$4=0,GN7=""),"",IFERROR(ROUND(GN7/INDEX(Undirviðmið!$F$6:$F$205,GN$4)*INDEX(Undirviðmið!$E$6:$E$205,GN$4)*KVARDI,2),""))</f>
        <v/>
      </c>
      <c r="GP7" s="23"/>
      <c r="GQ7" s="40" t="str">
        <f aca="false">IF(OR(GP$4=0,GP7=""),"",IFERROR(ROUND(GP7/INDEX(Undirviðmið!$F$6:$F$205,GP$4)*INDEX(Undirviðmið!$E$6:$E$205,GP$4)*KVARDI,2),""))</f>
        <v/>
      </c>
      <c r="GR7" s="23"/>
      <c r="GS7" s="40" t="str">
        <f aca="false">IF(OR(GR$4=0,GR7=""),"",IFERROR(ROUND(GR7/INDEX(Undirviðmið!$F$6:$F$205,GR$4)*INDEX(Undirviðmið!$E$6:$E$205,GR$4)*KVARDI,2),""))</f>
        <v/>
      </c>
      <c r="GT7" s="23"/>
      <c r="GU7" s="40" t="str">
        <f aca="false">IF(OR(GT$4=0,GT7=""),"",IFERROR(ROUND(GT7/INDEX(Undirviðmið!$F$6:$F$205,GT$4)*INDEX(Undirviðmið!$E$6:$E$205,GT$4)*KVARDI,2),""))</f>
        <v/>
      </c>
      <c r="GV7" s="44" t="n">
        <f aca="false">IFERROR(SUMIF($D$6:GU$6,"Stig",$D7:GU7),0)</f>
        <v>0</v>
      </c>
    </row>
    <row r="8" customFormat="false" ht="15" hidden="false" customHeight="true" outlineLevel="0" collapsed="false">
      <c r="A8" s="22" t="n">
        <f aca="false">ROW()-6</f>
        <v>2</v>
      </c>
      <c r="B8" s="24" t="str">
        <f aca="false">IF(INDEX(Starfsmenn!$B$6:$B$10005,ROW()-6)="","",INDEX(Starfsmenn!$B$6:$B$10005,ROW()-6))</f>
        <v/>
      </c>
      <c r="C8" s="24" t="str">
        <f aca="false">IF(INDEX(Starfsmenn!$C$6:$C$10005,ROW()-6)="","",INDEX(Starfsmenn!$C$6:$C$10005,ROW()-6))</f>
        <v/>
      </c>
      <c r="D8" s="23"/>
      <c r="E8" s="40" t="str">
        <f aca="false">IF(OR(D$4=0,D8=""),"",IFERROR(ROUND(D8/INDEX(Undirviðmið!$F$6:$F$205,D$4)*INDEX(Undirviðmið!$E$6:$E$205,D$4)*KVARDI,2),""))</f>
        <v/>
      </c>
      <c r="F8" s="23"/>
      <c r="G8" s="40" t="str">
        <f aca="false">IF(OR(F$4=0,F8=""),"",IFERROR(ROUND(F8/INDEX(Undirviðmið!$F$6:$F$205,F$4)*INDEX(Undirviðmið!$E$6:$E$205,F$4)*KVARDI,2),""))</f>
        <v/>
      </c>
      <c r="H8" s="23"/>
      <c r="I8" s="40" t="str">
        <f aca="false">IF(OR(H$4=0,H8=""),"",IFERROR(ROUND(H8/INDEX(Undirviðmið!$F$6:$F$205,H$4)*INDEX(Undirviðmið!$E$6:$E$205,H$4)*KVARDI,2),""))</f>
        <v/>
      </c>
      <c r="J8" s="23"/>
      <c r="K8" s="40" t="str">
        <f aca="false">IF(OR(J$4=0,J8=""),"",IFERROR(ROUND(J8/INDEX(Undirviðmið!$F$6:$F$205,J$4)*INDEX(Undirviðmið!$E$6:$E$205,J$4)*KVARDI,2),""))</f>
        <v/>
      </c>
      <c r="L8" s="23"/>
      <c r="M8" s="40" t="str">
        <f aca="false">IF(OR(L$4=0,L8=""),"",IFERROR(ROUND(L8/INDEX(Undirviðmið!$F$6:$F$205,L$4)*INDEX(Undirviðmið!$E$6:$E$205,L$4)*KVARDI,2),""))</f>
        <v/>
      </c>
      <c r="N8" s="23"/>
      <c r="O8" s="40" t="str">
        <f aca="false">IF(OR(N$4=0,N8=""),"",IFERROR(ROUND(N8/INDEX(Undirviðmið!$F$6:$F$205,N$4)*INDEX(Undirviðmið!$E$6:$E$205,N$4)*KVARDI,2),""))</f>
        <v/>
      </c>
      <c r="P8" s="23"/>
      <c r="Q8" s="40" t="str">
        <f aca="false">IF(OR(P$4=0,P8=""),"",IFERROR(ROUND(P8/INDEX(Undirviðmið!$F$6:$F$205,P$4)*INDEX(Undirviðmið!$E$6:$E$205,P$4)*KVARDI,2),""))</f>
        <v/>
      </c>
      <c r="R8" s="23"/>
      <c r="S8" s="40" t="str">
        <f aca="false">IF(OR(R$4=0,R8=""),"",IFERROR(ROUND(R8/INDEX(Undirviðmið!$F$6:$F$205,R$4)*INDEX(Undirviðmið!$E$6:$E$205,R$4)*KVARDI,2),""))</f>
        <v/>
      </c>
      <c r="T8" s="23"/>
      <c r="U8" s="40" t="str">
        <f aca="false">IF(OR(T$4=0,T8=""),"",IFERROR(ROUND(T8/INDEX(Undirviðmið!$F$6:$F$205,T$4)*INDEX(Undirviðmið!$E$6:$E$205,T$4)*KVARDI,2),""))</f>
        <v/>
      </c>
      <c r="V8" s="23"/>
      <c r="W8" s="40" t="str">
        <f aca="false">IF(OR(V$4=0,V8=""),"",IFERROR(ROUND(V8/INDEX(Undirviðmið!$F$6:$F$205,V$4)*INDEX(Undirviðmið!$E$6:$E$205,V$4)*KVARDI,2),""))</f>
        <v/>
      </c>
      <c r="X8" s="23"/>
      <c r="Y8" s="40" t="str">
        <f aca="false">IF(OR(X$4=0,X8=""),"",IFERROR(ROUND(X8/INDEX(Undirviðmið!$F$6:$F$205,X$4)*INDEX(Undirviðmið!$E$6:$E$205,X$4)*KVARDI,2),""))</f>
        <v/>
      </c>
      <c r="Z8" s="23"/>
      <c r="AA8" s="40" t="str">
        <f aca="false">IF(OR(Z$4=0,Z8=""),"",IFERROR(ROUND(Z8/INDEX(Undirviðmið!$F$6:$F$205,Z$4)*INDEX(Undirviðmið!$E$6:$E$205,Z$4)*KVARDI,2),""))</f>
        <v/>
      </c>
      <c r="AB8" s="23"/>
      <c r="AC8" s="40" t="str">
        <f aca="false">IF(OR(AB$4=0,AB8=""),"",IFERROR(ROUND(AB8/INDEX(Undirviðmið!$F$6:$F$205,AB$4)*INDEX(Undirviðmið!$E$6:$E$205,AB$4)*KVARDI,2),""))</f>
        <v/>
      </c>
      <c r="AD8" s="23"/>
      <c r="AE8" s="40" t="str">
        <f aca="false">IF(OR(AD$4=0,AD8=""),"",IFERROR(ROUND(AD8/INDEX(Undirviðmið!$F$6:$F$205,AD$4)*INDEX(Undirviðmið!$E$6:$E$205,AD$4)*KVARDI,2),""))</f>
        <v/>
      </c>
      <c r="AF8" s="23"/>
      <c r="AG8" s="40" t="str">
        <f aca="false">IF(OR(AF$4=0,AF8=""),"",IFERROR(ROUND(AF8/INDEX(Undirviðmið!$F$6:$F$205,AF$4)*INDEX(Undirviðmið!$E$6:$E$205,AF$4)*KVARDI,2),""))</f>
        <v/>
      </c>
      <c r="AH8" s="23"/>
      <c r="AI8" s="40" t="str">
        <f aca="false">IF(OR(AH$4=0,AH8=""),"",IFERROR(ROUND(AH8/INDEX(Undirviðmið!$F$6:$F$205,AH$4)*INDEX(Undirviðmið!$E$6:$E$205,AH$4)*KVARDI,2),""))</f>
        <v/>
      </c>
      <c r="AJ8" s="23"/>
      <c r="AK8" s="40" t="str">
        <f aca="false">IF(OR(AJ$4=0,AJ8=""),"",IFERROR(ROUND(AJ8/INDEX(Undirviðmið!$F$6:$F$205,AJ$4)*INDEX(Undirviðmið!$E$6:$E$205,AJ$4)*KVARDI,2),""))</f>
        <v/>
      </c>
      <c r="AL8" s="23"/>
      <c r="AM8" s="40" t="str">
        <f aca="false">IF(OR(AL$4=0,AL8=""),"",IFERROR(ROUND(AL8/INDEX(Undirviðmið!$F$6:$F$205,AL$4)*INDEX(Undirviðmið!$E$6:$E$205,AL$4)*KVARDI,2),""))</f>
        <v/>
      </c>
      <c r="AN8" s="23"/>
      <c r="AO8" s="40" t="str">
        <f aca="false">IF(OR(AN$4=0,AN8=""),"",IFERROR(ROUND(AN8/INDEX(Undirviðmið!$F$6:$F$205,AN$4)*INDEX(Undirviðmið!$E$6:$E$205,AN$4)*KVARDI,2),""))</f>
        <v/>
      </c>
      <c r="AP8" s="23"/>
      <c r="AQ8" s="40" t="str">
        <f aca="false">IF(OR(AP$4=0,AP8=""),"",IFERROR(ROUND(AP8/INDEX(Undirviðmið!$F$6:$F$205,AP$4)*INDEX(Undirviðmið!$E$6:$E$205,AP$4)*KVARDI,2),""))</f>
        <v/>
      </c>
      <c r="AR8" s="23"/>
      <c r="AS8" s="40" t="str">
        <f aca="false">IF(OR(AR$4=0,AR8=""),"",IFERROR(ROUND(AR8/INDEX(Undirviðmið!$F$6:$F$205,AR$4)*INDEX(Undirviðmið!$E$6:$E$205,AR$4)*KVARDI,2),""))</f>
        <v/>
      </c>
      <c r="AT8" s="23"/>
      <c r="AU8" s="40" t="str">
        <f aca="false">IF(OR(AT$4=0,AT8=""),"",IFERROR(ROUND(AT8/INDEX(Undirviðmið!$F$6:$F$205,AT$4)*INDEX(Undirviðmið!$E$6:$E$205,AT$4)*KVARDI,2),""))</f>
        <v/>
      </c>
      <c r="AV8" s="23"/>
      <c r="AW8" s="40" t="str">
        <f aca="false">IF(OR(AV$4=0,AV8=""),"",IFERROR(ROUND(AV8/INDEX(Undirviðmið!$F$6:$F$205,AV$4)*INDEX(Undirviðmið!$E$6:$E$205,AV$4)*KVARDI,2),""))</f>
        <v/>
      </c>
      <c r="AX8" s="23"/>
      <c r="AY8" s="40" t="str">
        <f aca="false">IF(OR(AX$4=0,AX8=""),"",IFERROR(ROUND(AX8/INDEX(Undirviðmið!$F$6:$F$205,AX$4)*INDEX(Undirviðmið!$E$6:$E$205,AX$4)*KVARDI,2),""))</f>
        <v/>
      </c>
      <c r="AZ8" s="23"/>
      <c r="BA8" s="40" t="str">
        <f aca="false">IF(OR(AZ$4=0,AZ8=""),"",IFERROR(ROUND(AZ8/INDEX(Undirviðmið!$F$6:$F$205,AZ$4)*INDEX(Undirviðmið!$E$6:$E$205,AZ$4)*KVARDI,2),""))</f>
        <v/>
      </c>
      <c r="BB8" s="23"/>
      <c r="BC8" s="40" t="str">
        <f aca="false">IF(OR(BB$4=0,BB8=""),"",IFERROR(ROUND(BB8/INDEX(Undirviðmið!$F$6:$F$205,BB$4)*INDEX(Undirviðmið!$E$6:$E$205,BB$4)*KVARDI,2),""))</f>
        <v/>
      </c>
      <c r="BD8" s="23"/>
      <c r="BE8" s="40" t="str">
        <f aca="false">IF(OR(BD$4=0,BD8=""),"",IFERROR(ROUND(BD8/INDEX(Undirviðmið!$F$6:$F$205,BD$4)*INDEX(Undirviðmið!$E$6:$E$205,BD$4)*KVARDI,2),""))</f>
        <v/>
      </c>
      <c r="BF8" s="23"/>
      <c r="BG8" s="40" t="str">
        <f aca="false">IF(OR(BF$4=0,BF8=""),"",IFERROR(ROUND(BF8/INDEX(Undirviðmið!$F$6:$F$205,BF$4)*INDEX(Undirviðmið!$E$6:$E$205,BF$4)*KVARDI,2),""))</f>
        <v/>
      </c>
      <c r="BH8" s="23"/>
      <c r="BI8" s="40" t="str">
        <f aca="false">IF(OR(BH$4=0,BH8=""),"",IFERROR(ROUND(BH8/INDEX(Undirviðmið!$F$6:$F$205,BH$4)*INDEX(Undirviðmið!$E$6:$E$205,BH$4)*KVARDI,2),""))</f>
        <v/>
      </c>
      <c r="BJ8" s="23"/>
      <c r="BK8" s="40" t="str">
        <f aca="false">IF(OR(BJ$4=0,BJ8=""),"",IFERROR(ROUND(BJ8/INDEX(Undirviðmið!$F$6:$F$205,BJ$4)*INDEX(Undirviðmið!$E$6:$E$205,BJ$4)*KVARDI,2),""))</f>
        <v/>
      </c>
      <c r="BL8" s="23"/>
      <c r="BM8" s="40" t="str">
        <f aca="false">IF(OR(BL$4=0,BL8=""),"",IFERROR(ROUND(BL8/INDEX(Undirviðmið!$F$6:$F$205,BL$4)*INDEX(Undirviðmið!$E$6:$E$205,BL$4)*KVARDI,2),""))</f>
        <v/>
      </c>
      <c r="BN8" s="23"/>
      <c r="BO8" s="40" t="str">
        <f aca="false">IF(OR(BN$4=0,BN8=""),"",IFERROR(ROUND(BN8/INDEX(Undirviðmið!$F$6:$F$205,BN$4)*INDEX(Undirviðmið!$E$6:$E$205,BN$4)*KVARDI,2),""))</f>
        <v/>
      </c>
      <c r="BP8" s="23"/>
      <c r="BQ8" s="40" t="str">
        <f aca="false">IF(OR(BP$4=0,BP8=""),"",IFERROR(ROUND(BP8/INDEX(Undirviðmið!$F$6:$F$205,BP$4)*INDEX(Undirviðmið!$E$6:$E$205,BP$4)*KVARDI,2),""))</f>
        <v/>
      </c>
      <c r="BR8" s="23"/>
      <c r="BS8" s="40" t="str">
        <f aca="false">IF(OR(BR$4=0,BR8=""),"",IFERROR(ROUND(BR8/INDEX(Undirviðmið!$F$6:$F$205,BR$4)*INDEX(Undirviðmið!$E$6:$E$205,BR$4)*KVARDI,2),""))</f>
        <v/>
      </c>
      <c r="BT8" s="23"/>
      <c r="BU8" s="40" t="str">
        <f aca="false">IF(OR(BT$4=0,BT8=""),"",IFERROR(ROUND(BT8/INDEX(Undirviðmið!$F$6:$F$205,BT$4)*INDEX(Undirviðmið!$E$6:$E$205,BT$4)*KVARDI,2),""))</f>
        <v/>
      </c>
      <c r="BV8" s="23"/>
      <c r="BW8" s="40" t="str">
        <f aca="false">IF(OR(BV$4=0,BV8=""),"",IFERROR(ROUND(BV8/INDEX(Undirviðmið!$F$6:$F$205,BV$4)*INDEX(Undirviðmið!$E$6:$E$205,BV$4)*KVARDI,2),""))</f>
        <v/>
      </c>
      <c r="BX8" s="23"/>
      <c r="BY8" s="40" t="str">
        <f aca="false">IF(OR(BX$4=0,BX8=""),"",IFERROR(ROUND(BX8/INDEX(Undirviðmið!$F$6:$F$205,BX$4)*INDEX(Undirviðmið!$E$6:$E$205,BX$4)*KVARDI,2),""))</f>
        <v/>
      </c>
      <c r="BZ8" s="23"/>
      <c r="CA8" s="40" t="str">
        <f aca="false">IF(OR(BZ$4=0,BZ8=""),"",IFERROR(ROUND(BZ8/INDEX(Undirviðmið!$F$6:$F$205,BZ$4)*INDEX(Undirviðmið!$E$6:$E$205,BZ$4)*KVARDI,2),""))</f>
        <v/>
      </c>
      <c r="CB8" s="23"/>
      <c r="CC8" s="40" t="str">
        <f aca="false">IF(OR(CB$4=0,CB8=""),"",IFERROR(ROUND(CB8/INDEX(Undirviðmið!$F$6:$F$205,CB$4)*INDEX(Undirviðmið!$E$6:$E$205,CB$4)*KVARDI,2),""))</f>
        <v/>
      </c>
      <c r="CD8" s="23"/>
      <c r="CE8" s="40" t="str">
        <f aca="false">IF(OR(CD$4=0,CD8=""),"",IFERROR(ROUND(CD8/INDEX(Undirviðmið!$F$6:$F$205,CD$4)*INDEX(Undirviðmið!$E$6:$E$205,CD$4)*KVARDI,2),""))</f>
        <v/>
      </c>
      <c r="CF8" s="23"/>
      <c r="CG8" s="40" t="str">
        <f aca="false">IF(OR(CF$4=0,CF8=""),"",IFERROR(ROUND(CF8/INDEX(Undirviðmið!$F$6:$F$205,CF$4)*INDEX(Undirviðmið!$E$6:$E$205,CF$4)*KVARDI,2),""))</f>
        <v/>
      </c>
      <c r="CH8" s="23"/>
      <c r="CI8" s="40" t="str">
        <f aca="false">IF(OR(CH$4=0,CH8=""),"",IFERROR(ROUND(CH8/INDEX(Undirviðmið!$F$6:$F$205,CH$4)*INDEX(Undirviðmið!$E$6:$E$205,CH$4)*KVARDI,2),""))</f>
        <v/>
      </c>
      <c r="CJ8" s="23"/>
      <c r="CK8" s="40" t="str">
        <f aca="false">IF(OR(CJ$4=0,CJ8=""),"",IFERROR(ROUND(CJ8/INDEX(Undirviðmið!$F$6:$F$205,CJ$4)*INDEX(Undirviðmið!$E$6:$E$205,CJ$4)*KVARDI,2),""))</f>
        <v/>
      </c>
      <c r="CL8" s="23"/>
      <c r="CM8" s="40" t="str">
        <f aca="false">IF(OR(CL$4=0,CL8=""),"",IFERROR(ROUND(CL8/INDEX(Undirviðmið!$F$6:$F$205,CL$4)*INDEX(Undirviðmið!$E$6:$E$205,CL$4)*KVARDI,2),""))</f>
        <v/>
      </c>
      <c r="CN8" s="23"/>
      <c r="CO8" s="40" t="str">
        <f aca="false">IF(OR(CN$4=0,CN8=""),"",IFERROR(ROUND(CN8/INDEX(Undirviðmið!$F$6:$F$205,CN$4)*INDEX(Undirviðmið!$E$6:$E$205,CN$4)*KVARDI,2),""))</f>
        <v/>
      </c>
      <c r="CP8" s="23"/>
      <c r="CQ8" s="40" t="str">
        <f aca="false">IF(OR(CP$4=0,CP8=""),"",IFERROR(ROUND(CP8/INDEX(Undirviðmið!$F$6:$F$205,CP$4)*INDEX(Undirviðmið!$E$6:$E$205,CP$4)*KVARDI,2),""))</f>
        <v/>
      </c>
      <c r="CR8" s="23"/>
      <c r="CS8" s="40" t="str">
        <f aca="false">IF(OR(CR$4=0,CR8=""),"",IFERROR(ROUND(CR8/INDEX(Undirviðmið!$F$6:$F$205,CR$4)*INDEX(Undirviðmið!$E$6:$E$205,CR$4)*KVARDI,2),""))</f>
        <v/>
      </c>
      <c r="CT8" s="23"/>
      <c r="CU8" s="40" t="str">
        <f aca="false">IF(OR(CT$4=0,CT8=""),"",IFERROR(ROUND(CT8/INDEX(Undirviðmið!$F$6:$F$205,CT$4)*INDEX(Undirviðmið!$E$6:$E$205,CT$4)*KVARDI,2),""))</f>
        <v/>
      </c>
      <c r="CV8" s="23"/>
      <c r="CW8" s="40" t="str">
        <f aca="false">IF(OR(CV$4=0,CV8=""),"",IFERROR(ROUND(CV8/INDEX(Undirviðmið!$F$6:$F$205,CV$4)*INDEX(Undirviðmið!$E$6:$E$205,CV$4)*KVARDI,2),""))</f>
        <v/>
      </c>
      <c r="CX8" s="23"/>
      <c r="CY8" s="40" t="str">
        <f aca="false">IF(OR(CX$4=0,CX8=""),"",IFERROR(ROUND(CX8/INDEX(Undirviðmið!$F$6:$F$205,CX$4)*INDEX(Undirviðmið!$E$6:$E$205,CX$4)*KVARDI,2),""))</f>
        <v/>
      </c>
      <c r="CZ8" s="23"/>
      <c r="DA8" s="40" t="str">
        <f aca="false">IF(OR(CZ$4=0,CZ8=""),"",IFERROR(ROUND(CZ8/INDEX(Undirviðmið!$F$6:$F$205,CZ$4)*INDEX(Undirviðmið!$E$6:$E$205,CZ$4)*KVARDI,2),""))</f>
        <v/>
      </c>
      <c r="DB8" s="23"/>
      <c r="DC8" s="40" t="str">
        <f aca="false">IF(OR(DB$4=0,DB8=""),"",IFERROR(ROUND(DB8/INDEX(Undirviðmið!$F$6:$F$205,DB$4)*INDEX(Undirviðmið!$E$6:$E$205,DB$4)*KVARDI,2),""))</f>
        <v/>
      </c>
      <c r="DD8" s="23"/>
      <c r="DE8" s="40" t="str">
        <f aca="false">IF(OR(DD$4=0,DD8=""),"",IFERROR(ROUND(DD8/INDEX(Undirviðmið!$F$6:$F$205,DD$4)*INDEX(Undirviðmið!$E$6:$E$205,DD$4)*KVARDI,2),""))</f>
        <v/>
      </c>
      <c r="DF8" s="23"/>
      <c r="DG8" s="40" t="str">
        <f aca="false">IF(OR(DF$4=0,DF8=""),"",IFERROR(ROUND(DF8/INDEX(Undirviðmið!$F$6:$F$205,DF$4)*INDEX(Undirviðmið!$E$6:$E$205,DF$4)*KVARDI,2),""))</f>
        <v/>
      </c>
      <c r="DH8" s="23"/>
      <c r="DI8" s="40" t="str">
        <f aca="false">IF(OR(DH$4=0,DH8=""),"",IFERROR(ROUND(DH8/INDEX(Undirviðmið!$F$6:$F$205,DH$4)*INDEX(Undirviðmið!$E$6:$E$205,DH$4)*KVARDI,2),""))</f>
        <v/>
      </c>
      <c r="DJ8" s="23"/>
      <c r="DK8" s="40" t="str">
        <f aca="false">IF(OR(DJ$4=0,DJ8=""),"",IFERROR(ROUND(DJ8/INDEX(Undirviðmið!$F$6:$F$205,DJ$4)*INDEX(Undirviðmið!$E$6:$E$205,DJ$4)*KVARDI,2),""))</f>
        <v/>
      </c>
      <c r="DL8" s="23"/>
      <c r="DM8" s="40" t="str">
        <f aca="false">IF(OR(DL$4=0,DL8=""),"",IFERROR(ROUND(DL8/INDEX(Undirviðmið!$F$6:$F$205,DL$4)*INDEX(Undirviðmið!$E$6:$E$205,DL$4)*KVARDI,2),""))</f>
        <v/>
      </c>
      <c r="DN8" s="23"/>
      <c r="DO8" s="40" t="str">
        <f aca="false">IF(OR(DN$4=0,DN8=""),"",IFERROR(ROUND(DN8/INDEX(Undirviðmið!$F$6:$F$205,DN$4)*INDEX(Undirviðmið!$E$6:$E$205,DN$4)*KVARDI,2),""))</f>
        <v/>
      </c>
      <c r="DP8" s="23"/>
      <c r="DQ8" s="40" t="str">
        <f aca="false">IF(OR(DP$4=0,DP8=""),"",IFERROR(ROUND(DP8/INDEX(Undirviðmið!$F$6:$F$205,DP$4)*INDEX(Undirviðmið!$E$6:$E$205,DP$4)*KVARDI,2),""))</f>
        <v/>
      </c>
      <c r="DR8" s="23"/>
      <c r="DS8" s="40" t="str">
        <f aca="false">IF(OR(DR$4=0,DR8=""),"",IFERROR(ROUND(DR8/INDEX(Undirviðmið!$F$6:$F$205,DR$4)*INDEX(Undirviðmið!$E$6:$E$205,DR$4)*KVARDI,2),""))</f>
        <v/>
      </c>
      <c r="DT8" s="23"/>
      <c r="DU8" s="40" t="str">
        <f aca="false">IF(OR(DT$4=0,DT8=""),"",IFERROR(ROUND(DT8/INDEX(Undirviðmið!$F$6:$F$205,DT$4)*INDEX(Undirviðmið!$E$6:$E$205,DT$4)*KVARDI,2),""))</f>
        <v/>
      </c>
      <c r="DV8" s="23"/>
      <c r="DW8" s="40" t="str">
        <f aca="false">IF(OR(DV$4=0,DV8=""),"",IFERROR(ROUND(DV8/INDEX(Undirviðmið!$F$6:$F$205,DV$4)*INDEX(Undirviðmið!$E$6:$E$205,DV$4)*KVARDI,2),""))</f>
        <v/>
      </c>
      <c r="DX8" s="23"/>
      <c r="DY8" s="40" t="str">
        <f aca="false">IF(OR(DX$4=0,DX8=""),"",IFERROR(ROUND(DX8/INDEX(Undirviðmið!$F$6:$F$205,DX$4)*INDEX(Undirviðmið!$E$6:$E$205,DX$4)*KVARDI,2),""))</f>
        <v/>
      </c>
      <c r="DZ8" s="23"/>
      <c r="EA8" s="40" t="str">
        <f aca="false">IF(OR(DZ$4=0,DZ8=""),"",IFERROR(ROUND(DZ8/INDEX(Undirviðmið!$F$6:$F$205,DZ$4)*INDEX(Undirviðmið!$E$6:$E$205,DZ$4)*KVARDI,2),""))</f>
        <v/>
      </c>
      <c r="EB8" s="23"/>
      <c r="EC8" s="40" t="str">
        <f aca="false">IF(OR(EB$4=0,EB8=""),"",IFERROR(ROUND(EB8/INDEX(Undirviðmið!$F$6:$F$205,EB$4)*INDEX(Undirviðmið!$E$6:$E$205,EB$4)*KVARDI,2),""))</f>
        <v/>
      </c>
      <c r="ED8" s="23"/>
      <c r="EE8" s="40" t="str">
        <f aca="false">IF(OR(ED$4=0,ED8=""),"",IFERROR(ROUND(ED8/INDEX(Undirviðmið!$F$6:$F$205,ED$4)*INDEX(Undirviðmið!$E$6:$E$205,ED$4)*KVARDI,2),""))</f>
        <v/>
      </c>
      <c r="EF8" s="23"/>
      <c r="EG8" s="40" t="str">
        <f aca="false">IF(OR(EF$4=0,EF8=""),"",IFERROR(ROUND(EF8/INDEX(Undirviðmið!$F$6:$F$205,EF$4)*INDEX(Undirviðmið!$E$6:$E$205,EF$4)*KVARDI,2),""))</f>
        <v/>
      </c>
      <c r="EH8" s="23"/>
      <c r="EI8" s="40" t="str">
        <f aca="false">IF(OR(EH$4=0,EH8=""),"",IFERROR(ROUND(EH8/INDEX(Undirviðmið!$F$6:$F$205,EH$4)*INDEX(Undirviðmið!$E$6:$E$205,EH$4)*KVARDI,2),""))</f>
        <v/>
      </c>
      <c r="EJ8" s="23"/>
      <c r="EK8" s="40" t="str">
        <f aca="false">IF(OR(EJ$4=0,EJ8=""),"",IFERROR(ROUND(EJ8/INDEX(Undirviðmið!$F$6:$F$205,EJ$4)*INDEX(Undirviðmið!$E$6:$E$205,EJ$4)*KVARDI,2),""))</f>
        <v/>
      </c>
      <c r="EL8" s="23"/>
      <c r="EM8" s="40" t="str">
        <f aca="false">IF(OR(EL$4=0,EL8=""),"",IFERROR(ROUND(EL8/INDEX(Undirviðmið!$F$6:$F$205,EL$4)*INDEX(Undirviðmið!$E$6:$E$205,EL$4)*KVARDI,2),""))</f>
        <v/>
      </c>
      <c r="EN8" s="23"/>
      <c r="EO8" s="40" t="str">
        <f aca="false">IF(OR(EN$4=0,EN8=""),"",IFERROR(ROUND(EN8/INDEX(Undirviðmið!$F$6:$F$205,EN$4)*INDEX(Undirviðmið!$E$6:$E$205,EN$4)*KVARDI,2),""))</f>
        <v/>
      </c>
      <c r="EP8" s="23"/>
      <c r="EQ8" s="40" t="str">
        <f aca="false">IF(OR(EP$4=0,EP8=""),"",IFERROR(ROUND(EP8/INDEX(Undirviðmið!$F$6:$F$205,EP$4)*INDEX(Undirviðmið!$E$6:$E$205,EP$4)*KVARDI,2),""))</f>
        <v/>
      </c>
      <c r="ER8" s="23"/>
      <c r="ES8" s="40" t="str">
        <f aca="false">IF(OR(ER$4=0,ER8=""),"",IFERROR(ROUND(ER8/INDEX(Undirviðmið!$F$6:$F$205,ER$4)*INDEX(Undirviðmið!$E$6:$E$205,ER$4)*KVARDI,2),""))</f>
        <v/>
      </c>
      <c r="ET8" s="23"/>
      <c r="EU8" s="40" t="str">
        <f aca="false">IF(OR(ET$4=0,ET8=""),"",IFERROR(ROUND(ET8/INDEX(Undirviðmið!$F$6:$F$205,ET$4)*INDEX(Undirviðmið!$E$6:$E$205,ET$4)*KVARDI,2),""))</f>
        <v/>
      </c>
      <c r="EV8" s="23"/>
      <c r="EW8" s="40" t="str">
        <f aca="false">IF(OR(EV$4=0,EV8=""),"",IFERROR(ROUND(EV8/INDEX(Undirviðmið!$F$6:$F$205,EV$4)*INDEX(Undirviðmið!$E$6:$E$205,EV$4)*KVARDI,2),""))</f>
        <v/>
      </c>
      <c r="EX8" s="23"/>
      <c r="EY8" s="40" t="str">
        <f aca="false">IF(OR(EX$4=0,EX8=""),"",IFERROR(ROUND(EX8/INDEX(Undirviðmið!$F$6:$F$205,EX$4)*INDEX(Undirviðmið!$E$6:$E$205,EX$4)*KVARDI,2),""))</f>
        <v/>
      </c>
      <c r="EZ8" s="23"/>
      <c r="FA8" s="40" t="str">
        <f aca="false">IF(OR(EZ$4=0,EZ8=""),"",IFERROR(ROUND(EZ8/INDEX(Undirviðmið!$F$6:$F$205,EZ$4)*INDEX(Undirviðmið!$E$6:$E$205,EZ$4)*KVARDI,2),""))</f>
        <v/>
      </c>
      <c r="FB8" s="23"/>
      <c r="FC8" s="40" t="str">
        <f aca="false">IF(OR(FB$4=0,FB8=""),"",IFERROR(ROUND(FB8/INDEX(Undirviðmið!$F$6:$F$205,FB$4)*INDEX(Undirviðmið!$E$6:$E$205,FB$4)*KVARDI,2),""))</f>
        <v/>
      </c>
      <c r="FD8" s="23"/>
      <c r="FE8" s="40" t="str">
        <f aca="false">IF(OR(FD$4=0,FD8=""),"",IFERROR(ROUND(FD8/INDEX(Undirviðmið!$F$6:$F$205,FD$4)*INDEX(Undirviðmið!$E$6:$E$205,FD$4)*KVARDI,2),""))</f>
        <v/>
      </c>
      <c r="FF8" s="23"/>
      <c r="FG8" s="40" t="str">
        <f aca="false">IF(OR(FF$4=0,FF8=""),"",IFERROR(ROUND(FF8/INDEX(Undirviðmið!$F$6:$F$205,FF$4)*INDEX(Undirviðmið!$E$6:$E$205,FF$4)*KVARDI,2),""))</f>
        <v/>
      </c>
      <c r="FH8" s="23"/>
      <c r="FI8" s="40" t="str">
        <f aca="false">IF(OR(FH$4=0,FH8=""),"",IFERROR(ROUND(FH8/INDEX(Undirviðmið!$F$6:$F$205,FH$4)*INDEX(Undirviðmið!$E$6:$E$205,FH$4)*KVARDI,2),""))</f>
        <v/>
      </c>
      <c r="FJ8" s="23"/>
      <c r="FK8" s="40" t="str">
        <f aca="false">IF(OR(FJ$4=0,FJ8=""),"",IFERROR(ROUND(FJ8/INDEX(Undirviðmið!$F$6:$F$205,FJ$4)*INDEX(Undirviðmið!$E$6:$E$205,FJ$4)*KVARDI,2),""))</f>
        <v/>
      </c>
      <c r="FL8" s="23"/>
      <c r="FM8" s="40" t="str">
        <f aca="false">IF(OR(FL$4=0,FL8=""),"",IFERROR(ROUND(FL8/INDEX(Undirviðmið!$F$6:$F$205,FL$4)*INDEX(Undirviðmið!$E$6:$E$205,FL$4)*KVARDI,2),""))</f>
        <v/>
      </c>
      <c r="FN8" s="23"/>
      <c r="FO8" s="40" t="str">
        <f aca="false">IF(OR(FN$4=0,FN8=""),"",IFERROR(ROUND(FN8/INDEX(Undirviðmið!$F$6:$F$205,FN$4)*INDEX(Undirviðmið!$E$6:$E$205,FN$4)*KVARDI,2),""))</f>
        <v/>
      </c>
      <c r="FP8" s="23"/>
      <c r="FQ8" s="40" t="str">
        <f aca="false">IF(OR(FP$4=0,FP8=""),"",IFERROR(ROUND(FP8/INDEX(Undirviðmið!$F$6:$F$205,FP$4)*INDEX(Undirviðmið!$E$6:$E$205,FP$4)*KVARDI,2),""))</f>
        <v/>
      </c>
      <c r="FR8" s="23"/>
      <c r="FS8" s="40" t="str">
        <f aca="false">IF(OR(FR$4=0,FR8=""),"",IFERROR(ROUND(FR8/INDEX(Undirviðmið!$F$6:$F$205,FR$4)*INDEX(Undirviðmið!$E$6:$E$205,FR$4)*KVARDI,2),""))</f>
        <v/>
      </c>
      <c r="FT8" s="23"/>
      <c r="FU8" s="40" t="str">
        <f aca="false">IF(OR(FT$4=0,FT8=""),"",IFERROR(ROUND(FT8/INDEX(Undirviðmið!$F$6:$F$205,FT$4)*INDEX(Undirviðmið!$E$6:$E$205,FT$4)*KVARDI,2),""))</f>
        <v/>
      </c>
      <c r="FV8" s="23"/>
      <c r="FW8" s="40" t="str">
        <f aca="false">IF(OR(FV$4=0,FV8=""),"",IFERROR(ROUND(FV8/INDEX(Undirviðmið!$F$6:$F$205,FV$4)*INDEX(Undirviðmið!$E$6:$E$205,FV$4)*KVARDI,2),""))</f>
        <v/>
      </c>
      <c r="FX8" s="23"/>
      <c r="FY8" s="40" t="str">
        <f aca="false">IF(OR(FX$4=0,FX8=""),"",IFERROR(ROUND(FX8/INDEX(Undirviðmið!$F$6:$F$205,FX$4)*INDEX(Undirviðmið!$E$6:$E$205,FX$4)*KVARDI,2),""))</f>
        <v/>
      </c>
      <c r="FZ8" s="23"/>
      <c r="GA8" s="40" t="str">
        <f aca="false">IF(OR(FZ$4=0,FZ8=""),"",IFERROR(ROUND(FZ8/INDEX(Undirviðmið!$F$6:$F$205,FZ$4)*INDEX(Undirviðmið!$E$6:$E$205,FZ$4)*KVARDI,2),""))</f>
        <v/>
      </c>
      <c r="GB8" s="23"/>
      <c r="GC8" s="40" t="str">
        <f aca="false">IF(OR(GB$4=0,GB8=""),"",IFERROR(ROUND(GB8/INDEX(Undirviðmið!$F$6:$F$205,GB$4)*INDEX(Undirviðmið!$E$6:$E$205,GB$4)*KVARDI,2),""))</f>
        <v/>
      </c>
      <c r="GD8" s="23"/>
      <c r="GE8" s="40" t="str">
        <f aca="false">IF(OR(GD$4=0,GD8=""),"",IFERROR(ROUND(GD8/INDEX(Undirviðmið!$F$6:$F$205,GD$4)*INDEX(Undirviðmið!$E$6:$E$205,GD$4)*KVARDI,2),""))</f>
        <v/>
      </c>
      <c r="GF8" s="23"/>
      <c r="GG8" s="40" t="str">
        <f aca="false">IF(OR(GF$4=0,GF8=""),"",IFERROR(ROUND(GF8/INDEX(Undirviðmið!$F$6:$F$205,GF$4)*INDEX(Undirviðmið!$E$6:$E$205,GF$4)*KVARDI,2),""))</f>
        <v/>
      </c>
      <c r="GH8" s="23"/>
      <c r="GI8" s="40" t="str">
        <f aca="false">IF(OR(GH$4=0,GH8=""),"",IFERROR(ROUND(GH8/INDEX(Undirviðmið!$F$6:$F$205,GH$4)*INDEX(Undirviðmið!$E$6:$E$205,GH$4)*KVARDI,2),""))</f>
        <v/>
      </c>
      <c r="GJ8" s="23"/>
      <c r="GK8" s="40" t="str">
        <f aca="false">IF(OR(GJ$4=0,GJ8=""),"",IFERROR(ROUND(GJ8/INDEX(Undirviðmið!$F$6:$F$205,GJ$4)*INDEX(Undirviðmið!$E$6:$E$205,GJ$4)*KVARDI,2),""))</f>
        <v/>
      </c>
      <c r="GL8" s="23"/>
      <c r="GM8" s="40" t="str">
        <f aca="false">IF(OR(GL$4=0,GL8=""),"",IFERROR(ROUND(GL8/INDEX(Undirviðmið!$F$6:$F$205,GL$4)*INDEX(Undirviðmið!$E$6:$E$205,GL$4)*KVARDI,2),""))</f>
        <v/>
      </c>
      <c r="GN8" s="23"/>
      <c r="GO8" s="40" t="str">
        <f aca="false">IF(OR(GN$4=0,GN8=""),"",IFERROR(ROUND(GN8/INDEX(Undirviðmið!$F$6:$F$205,GN$4)*INDEX(Undirviðmið!$E$6:$E$205,GN$4)*KVARDI,2),""))</f>
        <v/>
      </c>
      <c r="GP8" s="23"/>
      <c r="GQ8" s="40" t="str">
        <f aca="false">IF(OR(GP$4=0,GP8=""),"",IFERROR(ROUND(GP8/INDEX(Undirviðmið!$F$6:$F$205,GP$4)*INDEX(Undirviðmið!$E$6:$E$205,GP$4)*KVARDI,2),""))</f>
        <v/>
      </c>
      <c r="GR8" s="23"/>
      <c r="GS8" s="40" t="str">
        <f aca="false">IF(OR(GR$4=0,GR8=""),"",IFERROR(ROUND(GR8/INDEX(Undirviðmið!$F$6:$F$205,GR$4)*INDEX(Undirviðmið!$E$6:$E$205,GR$4)*KVARDI,2),""))</f>
        <v/>
      </c>
      <c r="GT8" s="23"/>
      <c r="GU8" s="40" t="str">
        <f aca="false">IF(OR(GT$4=0,GT8=""),"",IFERROR(ROUND(GT8/INDEX(Undirviðmið!$F$6:$F$205,GT$4)*INDEX(Undirviðmið!$E$6:$E$205,GT$4)*KVARDI,2),""))</f>
        <v/>
      </c>
      <c r="GV8" s="44" t="n">
        <f aca="false">IFERROR(SUMIF($D$6:GU$6,"Stig",$D8:GU8),0)</f>
        <v>0</v>
      </c>
    </row>
    <row r="9" customFormat="false" ht="15" hidden="false" customHeight="true" outlineLevel="0" collapsed="false">
      <c r="A9" s="22" t="n">
        <f aca="false">ROW()-6</f>
        <v>3</v>
      </c>
      <c r="B9" s="24" t="str">
        <f aca="false">IF(INDEX(Starfsmenn!$B$6:$B$10005,ROW()-6)="","",INDEX(Starfsmenn!$B$6:$B$10005,ROW()-6))</f>
        <v/>
      </c>
      <c r="C9" s="24" t="str">
        <f aca="false">IF(INDEX(Starfsmenn!$C$6:$C$10005,ROW()-6)="","",INDEX(Starfsmenn!$C$6:$C$10005,ROW()-6))</f>
        <v/>
      </c>
      <c r="D9" s="23"/>
      <c r="E9" s="40" t="str">
        <f aca="false">IF(OR(D$4=0,D9=""),"",IFERROR(ROUND(D9/INDEX(Undirviðmið!$F$6:$F$205,D$4)*INDEX(Undirviðmið!$E$6:$E$205,D$4)*KVARDI,2),""))</f>
        <v/>
      </c>
      <c r="F9" s="23"/>
      <c r="G9" s="40" t="str">
        <f aca="false">IF(OR(F$4=0,F9=""),"",IFERROR(ROUND(F9/INDEX(Undirviðmið!$F$6:$F$205,F$4)*INDEX(Undirviðmið!$E$6:$E$205,F$4)*KVARDI,2),""))</f>
        <v/>
      </c>
      <c r="H9" s="23"/>
      <c r="I9" s="40" t="str">
        <f aca="false">IF(OR(H$4=0,H9=""),"",IFERROR(ROUND(H9/INDEX(Undirviðmið!$F$6:$F$205,H$4)*INDEX(Undirviðmið!$E$6:$E$205,H$4)*KVARDI,2),""))</f>
        <v/>
      </c>
      <c r="J9" s="23"/>
      <c r="K9" s="40" t="str">
        <f aca="false">IF(OR(J$4=0,J9=""),"",IFERROR(ROUND(J9/INDEX(Undirviðmið!$F$6:$F$205,J$4)*INDEX(Undirviðmið!$E$6:$E$205,J$4)*KVARDI,2),""))</f>
        <v/>
      </c>
      <c r="L9" s="23"/>
      <c r="M9" s="40" t="str">
        <f aca="false">IF(OR(L$4=0,L9=""),"",IFERROR(ROUND(L9/INDEX(Undirviðmið!$F$6:$F$205,L$4)*INDEX(Undirviðmið!$E$6:$E$205,L$4)*KVARDI,2),""))</f>
        <v/>
      </c>
      <c r="N9" s="23"/>
      <c r="O9" s="40" t="str">
        <f aca="false">IF(OR(N$4=0,N9=""),"",IFERROR(ROUND(N9/INDEX(Undirviðmið!$F$6:$F$205,N$4)*INDEX(Undirviðmið!$E$6:$E$205,N$4)*KVARDI,2),""))</f>
        <v/>
      </c>
      <c r="P9" s="23"/>
      <c r="Q9" s="40" t="str">
        <f aca="false">IF(OR(P$4=0,P9=""),"",IFERROR(ROUND(P9/INDEX(Undirviðmið!$F$6:$F$205,P$4)*INDEX(Undirviðmið!$E$6:$E$205,P$4)*KVARDI,2),""))</f>
        <v/>
      </c>
      <c r="R9" s="23"/>
      <c r="S9" s="40" t="str">
        <f aca="false">IF(OR(R$4=0,R9=""),"",IFERROR(ROUND(R9/INDEX(Undirviðmið!$F$6:$F$205,R$4)*INDEX(Undirviðmið!$E$6:$E$205,R$4)*KVARDI,2),""))</f>
        <v/>
      </c>
      <c r="T9" s="23"/>
      <c r="U9" s="40" t="str">
        <f aca="false">IF(OR(T$4=0,T9=""),"",IFERROR(ROUND(T9/INDEX(Undirviðmið!$F$6:$F$205,T$4)*INDEX(Undirviðmið!$E$6:$E$205,T$4)*KVARDI,2),""))</f>
        <v/>
      </c>
      <c r="V9" s="23"/>
      <c r="W9" s="40" t="str">
        <f aca="false">IF(OR(V$4=0,V9=""),"",IFERROR(ROUND(V9/INDEX(Undirviðmið!$F$6:$F$205,V$4)*INDEX(Undirviðmið!$E$6:$E$205,V$4)*KVARDI,2),""))</f>
        <v/>
      </c>
      <c r="X9" s="23"/>
      <c r="Y9" s="40" t="str">
        <f aca="false">IF(OR(X$4=0,X9=""),"",IFERROR(ROUND(X9/INDEX(Undirviðmið!$F$6:$F$205,X$4)*INDEX(Undirviðmið!$E$6:$E$205,X$4)*KVARDI,2),""))</f>
        <v/>
      </c>
      <c r="Z9" s="23"/>
      <c r="AA9" s="40" t="str">
        <f aca="false">IF(OR(Z$4=0,Z9=""),"",IFERROR(ROUND(Z9/INDEX(Undirviðmið!$F$6:$F$205,Z$4)*INDEX(Undirviðmið!$E$6:$E$205,Z$4)*KVARDI,2),""))</f>
        <v/>
      </c>
      <c r="AB9" s="23"/>
      <c r="AC9" s="40" t="str">
        <f aca="false">IF(OR(AB$4=0,AB9=""),"",IFERROR(ROUND(AB9/INDEX(Undirviðmið!$F$6:$F$205,AB$4)*INDEX(Undirviðmið!$E$6:$E$205,AB$4)*KVARDI,2),""))</f>
        <v/>
      </c>
      <c r="AD9" s="23"/>
      <c r="AE9" s="40" t="str">
        <f aca="false">IF(OR(AD$4=0,AD9=""),"",IFERROR(ROUND(AD9/INDEX(Undirviðmið!$F$6:$F$205,AD$4)*INDEX(Undirviðmið!$E$6:$E$205,AD$4)*KVARDI,2),""))</f>
        <v/>
      </c>
      <c r="AF9" s="23"/>
      <c r="AG9" s="40" t="str">
        <f aca="false">IF(OR(AF$4=0,AF9=""),"",IFERROR(ROUND(AF9/INDEX(Undirviðmið!$F$6:$F$205,AF$4)*INDEX(Undirviðmið!$E$6:$E$205,AF$4)*KVARDI,2),""))</f>
        <v/>
      </c>
      <c r="AH9" s="23"/>
      <c r="AI9" s="40" t="str">
        <f aca="false">IF(OR(AH$4=0,AH9=""),"",IFERROR(ROUND(AH9/INDEX(Undirviðmið!$F$6:$F$205,AH$4)*INDEX(Undirviðmið!$E$6:$E$205,AH$4)*KVARDI,2),""))</f>
        <v/>
      </c>
      <c r="AJ9" s="23"/>
      <c r="AK9" s="40" t="str">
        <f aca="false">IF(OR(AJ$4=0,AJ9=""),"",IFERROR(ROUND(AJ9/INDEX(Undirviðmið!$F$6:$F$205,AJ$4)*INDEX(Undirviðmið!$E$6:$E$205,AJ$4)*KVARDI,2),""))</f>
        <v/>
      </c>
      <c r="AL9" s="23"/>
      <c r="AM9" s="40" t="str">
        <f aca="false">IF(OR(AL$4=0,AL9=""),"",IFERROR(ROUND(AL9/INDEX(Undirviðmið!$F$6:$F$205,AL$4)*INDEX(Undirviðmið!$E$6:$E$205,AL$4)*KVARDI,2),""))</f>
        <v/>
      </c>
      <c r="AN9" s="23"/>
      <c r="AO9" s="40" t="str">
        <f aca="false">IF(OR(AN$4=0,AN9=""),"",IFERROR(ROUND(AN9/INDEX(Undirviðmið!$F$6:$F$205,AN$4)*INDEX(Undirviðmið!$E$6:$E$205,AN$4)*KVARDI,2),""))</f>
        <v/>
      </c>
      <c r="AP9" s="23"/>
      <c r="AQ9" s="40" t="str">
        <f aca="false">IF(OR(AP$4=0,AP9=""),"",IFERROR(ROUND(AP9/INDEX(Undirviðmið!$F$6:$F$205,AP$4)*INDEX(Undirviðmið!$E$6:$E$205,AP$4)*KVARDI,2),""))</f>
        <v/>
      </c>
      <c r="AR9" s="23"/>
      <c r="AS9" s="40" t="str">
        <f aca="false">IF(OR(AR$4=0,AR9=""),"",IFERROR(ROUND(AR9/INDEX(Undirviðmið!$F$6:$F$205,AR$4)*INDEX(Undirviðmið!$E$6:$E$205,AR$4)*KVARDI,2),""))</f>
        <v/>
      </c>
      <c r="AT9" s="23"/>
      <c r="AU9" s="40" t="str">
        <f aca="false">IF(OR(AT$4=0,AT9=""),"",IFERROR(ROUND(AT9/INDEX(Undirviðmið!$F$6:$F$205,AT$4)*INDEX(Undirviðmið!$E$6:$E$205,AT$4)*KVARDI,2),""))</f>
        <v/>
      </c>
      <c r="AV9" s="23"/>
      <c r="AW9" s="40" t="str">
        <f aca="false">IF(OR(AV$4=0,AV9=""),"",IFERROR(ROUND(AV9/INDEX(Undirviðmið!$F$6:$F$205,AV$4)*INDEX(Undirviðmið!$E$6:$E$205,AV$4)*KVARDI,2),""))</f>
        <v/>
      </c>
      <c r="AX9" s="23"/>
      <c r="AY9" s="40" t="str">
        <f aca="false">IF(OR(AX$4=0,AX9=""),"",IFERROR(ROUND(AX9/INDEX(Undirviðmið!$F$6:$F$205,AX$4)*INDEX(Undirviðmið!$E$6:$E$205,AX$4)*KVARDI,2),""))</f>
        <v/>
      </c>
      <c r="AZ9" s="23"/>
      <c r="BA9" s="40" t="str">
        <f aca="false">IF(OR(AZ$4=0,AZ9=""),"",IFERROR(ROUND(AZ9/INDEX(Undirviðmið!$F$6:$F$205,AZ$4)*INDEX(Undirviðmið!$E$6:$E$205,AZ$4)*KVARDI,2),""))</f>
        <v/>
      </c>
      <c r="BB9" s="23"/>
      <c r="BC9" s="40" t="str">
        <f aca="false">IF(OR(BB$4=0,BB9=""),"",IFERROR(ROUND(BB9/INDEX(Undirviðmið!$F$6:$F$205,BB$4)*INDEX(Undirviðmið!$E$6:$E$205,BB$4)*KVARDI,2),""))</f>
        <v/>
      </c>
      <c r="BD9" s="23"/>
      <c r="BE9" s="40" t="str">
        <f aca="false">IF(OR(BD$4=0,BD9=""),"",IFERROR(ROUND(BD9/INDEX(Undirviðmið!$F$6:$F$205,BD$4)*INDEX(Undirviðmið!$E$6:$E$205,BD$4)*KVARDI,2),""))</f>
        <v/>
      </c>
      <c r="BF9" s="23"/>
      <c r="BG9" s="40" t="str">
        <f aca="false">IF(OR(BF$4=0,BF9=""),"",IFERROR(ROUND(BF9/INDEX(Undirviðmið!$F$6:$F$205,BF$4)*INDEX(Undirviðmið!$E$6:$E$205,BF$4)*KVARDI,2),""))</f>
        <v/>
      </c>
      <c r="BH9" s="23"/>
      <c r="BI9" s="40" t="str">
        <f aca="false">IF(OR(BH$4=0,BH9=""),"",IFERROR(ROUND(BH9/INDEX(Undirviðmið!$F$6:$F$205,BH$4)*INDEX(Undirviðmið!$E$6:$E$205,BH$4)*KVARDI,2),""))</f>
        <v/>
      </c>
      <c r="BJ9" s="23"/>
      <c r="BK9" s="40" t="str">
        <f aca="false">IF(OR(BJ$4=0,BJ9=""),"",IFERROR(ROUND(BJ9/INDEX(Undirviðmið!$F$6:$F$205,BJ$4)*INDEX(Undirviðmið!$E$6:$E$205,BJ$4)*KVARDI,2),""))</f>
        <v/>
      </c>
      <c r="BL9" s="23"/>
      <c r="BM9" s="40" t="str">
        <f aca="false">IF(OR(BL$4=0,BL9=""),"",IFERROR(ROUND(BL9/INDEX(Undirviðmið!$F$6:$F$205,BL$4)*INDEX(Undirviðmið!$E$6:$E$205,BL$4)*KVARDI,2),""))</f>
        <v/>
      </c>
      <c r="BN9" s="23"/>
      <c r="BO9" s="40" t="str">
        <f aca="false">IF(OR(BN$4=0,BN9=""),"",IFERROR(ROUND(BN9/INDEX(Undirviðmið!$F$6:$F$205,BN$4)*INDEX(Undirviðmið!$E$6:$E$205,BN$4)*KVARDI,2),""))</f>
        <v/>
      </c>
      <c r="BP9" s="23"/>
      <c r="BQ9" s="40" t="str">
        <f aca="false">IF(OR(BP$4=0,BP9=""),"",IFERROR(ROUND(BP9/INDEX(Undirviðmið!$F$6:$F$205,BP$4)*INDEX(Undirviðmið!$E$6:$E$205,BP$4)*KVARDI,2),""))</f>
        <v/>
      </c>
      <c r="BR9" s="23"/>
      <c r="BS9" s="40" t="str">
        <f aca="false">IF(OR(BR$4=0,BR9=""),"",IFERROR(ROUND(BR9/INDEX(Undirviðmið!$F$6:$F$205,BR$4)*INDEX(Undirviðmið!$E$6:$E$205,BR$4)*KVARDI,2),""))</f>
        <v/>
      </c>
      <c r="BT9" s="23"/>
      <c r="BU9" s="40" t="str">
        <f aca="false">IF(OR(BT$4=0,BT9=""),"",IFERROR(ROUND(BT9/INDEX(Undirviðmið!$F$6:$F$205,BT$4)*INDEX(Undirviðmið!$E$6:$E$205,BT$4)*KVARDI,2),""))</f>
        <v/>
      </c>
      <c r="BV9" s="23"/>
      <c r="BW9" s="40" t="str">
        <f aca="false">IF(OR(BV$4=0,BV9=""),"",IFERROR(ROUND(BV9/INDEX(Undirviðmið!$F$6:$F$205,BV$4)*INDEX(Undirviðmið!$E$6:$E$205,BV$4)*KVARDI,2),""))</f>
        <v/>
      </c>
      <c r="BX9" s="23"/>
      <c r="BY9" s="40" t="str">
        <f aca="false">IF(OR(BX$4=0,BX9=""),"",IFERROR(ROUND(BX9/INDEX(Undirviðmið!$F$6:$F$205,BX$4)*INDEX(Undirviðmið!$E$6:$E$205,BX$4)*KVARDI,2),""))</f>
        <v/>
      </c>
      <c r="BZ9" s="23"/>
      <c r="CA9" s="40" t="str">
        <f aca="false">IF(OR(BZ$4=0,BZ9=""),"",IFERROR(ROUND(BZ9/INDEX(Undirviðmið!$F$6:$F$205,BZ$4)*INDEX(Undirviðmið!$E$6:$E$205,BZ$4)*KVARDI,2),""))</f>
        <v/>
      </c>
      <c r="CB9" s="23"/>
      <c r="CC9" s="40" t="str">
        <f aca="false">IF(OR(CB$4=0,CB9=""),"",IFERROR(ROUND(CB9/INDEX(Undirviðmið!$F$6:$F$205,CB$4)*INDEX(Undirviðmið!$E$6:$E$205,CB$4)*KVARDI,2),""))</f>
        <v/>
      </c>
      <c r="CD9" s="23"/>
      <c r="CE9" s="40" t="str">
        <f aca="false">IF(OR(CD$4=0,CD9=""),"",IFERROR(ROUND(CD9/INDEX(Undirviðmið!$F$6:$F$205,CD$4)*INDEX(Undirviðmið!$E$6:$E$205,CD$4)*KVARDI,2),""))</f>
        <v/>
      </c>
      <c r="CF9" s="23"/>
      <c r="CG9" s="40" t="str">
        <f aca="false">IF(OR(CF$4=0,CF9=""),"",IFERROR(ROUND(CF9/INDEX(Undirviðmið!$F$6:$F$205,CF$4)*INDEX(Undirviðmið!$E$6:$E$205,CF$4)*KVARDI,2),""))</f>
        <v/>
      </c>
      <c r="CH9" s="23"/>
      <c r="CI9" s="40" t="str">
        <f aca="false">IF(OR(CH$4=0,CH9=""),"",IFERROR(ROUND(CH9/INDEX(Undirviðmið!$F$6:$F$205,CH$4)*INDEX(Undirviðmið!$E$6:$E$205,CH$4)*KVARDI,2),""))</f>
        <v/>
      </c>
      <c r="CJ9" s="23"/>
      <c r="CK9" s="40" t="str">
        <f aca="false">IF(OR(CJ$4=0,CJ9=""),"",IFERROR(ROUND(CJ9/INDEX(Undirviðmið!$F$6:$F$205,CJ$4)*INDEX(Undirviðmið!$E$6:$E$205,CJ$4)*KVARDI,2),""))</f>
        <v/>
      </c>
      <c r="CL9" s="23"/>
      <c r="CM9" s="40" t="str">
        <f aca="false">IF(OR(CL$4=0,CL9=""),"",IFERROR(ROUND(CL9/INDEX(Undirviðmið!$F$6:$F$205,CL$4)*INDEX(Undirviðmið!$E$6:$E$205,CL$4)*KVARDI,2),""))</f>
        <v/>
      </c>
      <c r="CN9" s="23"/>
      <c r="CO9" s="40" t="str">
        <f aca="false">IF(OR(CN$4=0,CN9=""),"",IFERROR(ROUND(CN9/INDEX(Undirviðmið!$F$6:$F$205,CN$4)*INDEX(Undirviðmið!$E$6:$E$205,CN$4)*KVARDI,2),""))</f>
        <v/>
      </c>
      <c r="CP9" s="23"/>
      <c r="CQ9" s="40" t="str">
        <f aca="false">IF(OR(CP$4=0,CP9=""),"",IFERROR(ROUND(CP9/INDEX(Undirviðmið!$F$6:$F$205,CP$4)*INDEX(Undirviðmið!$E$6:$E$205,CP$4)*KVARDI,2),""))</f>
        <v/>
      </c>
      <c r="CR9" s="23"/>
      <c r="CS9" s="40" t="str">
        <f aca="false">IF(OR(CR$4=0,CR9=""),"",IFERROR(ROUND(CR9/INDEX(Undirviðmið!$F$6:$F$205,CR$4)*INDEX(Undirviðmið!$E$6:$E$205,CR$4)*KVARDI,2),""))</f>
        <v/>
      </c>
      <c r="CT9" s="23"/>
      <c r="CU9" s="40" t="str">
        <f aca="false">IF(OR(CT$4=0,CT9=""),"",IFERROR(ROUND(CT9/INDEX(Undirviðmið!$F$6:$F$205,CT$4)*INDEX(Undirviðmið!$E$6:$E$205,CT$4)*KVARDI,2),""))</f>
        <v/>
      </c>
      <c r="CV9" s="23"/>
      <c r="CW9" s="40" t="str">
        <f aca="false">IF(OR(CV$4=0,CV9=""),"",IFERROR(ROUND(CV9/INDEX(Undirviðmið!$F$6:$F$205,CV$4)*INDEX(Undirviðmið!$E$6:$E$205,CV$4)*KVARDI,2),""))</f>
        <v/>
      </c>
      <c r="CX9" s="23"/>
      <c r="CY9" s="40" t="str">
        <f aca="false">IF(OR(CX$4=0,CX9=""),"",IFERROR(ROUND(CX9/INDEX(Undirviðmið!$F$6:$F$205,CX$4)*INDEX(Undirviðmið!$E$6:$E$205,CX$4)*KVARDI,2),""))</f>
        <v/>
      </c>
      <c r="CZ9" s="23"/>
      <c r="DA9" s="40" t="str">
        <f aca="false">IF(OR(CZ$4=0,CZ9=""),"",IFERROR(ROUND(CZ9/INDEX(Undirviðmið!$F$6:$F$205,CZ$4)*INDEX(Undirviðmið!$E$6:$E$205,CZ$4)*KVARDI,2),""))</f>
        <v/>
      </c>
      <c r="DB9" s="23"/>
      <c r="DC9" s="40" t="str">
        <f aca="false">IF(OR(DB$4=0,DB9=""),"",IFERROR(ROUND(DB9/INDEX(Undirviðmið!$F$6:$F$205,DB$4)*INDEX(Undirviðmið!$E$6:$E$205,DB$4)*KVARDI,2),""))</f>
        <v/>
      </c>
      <c r="DD9" s="23"/>
      <c r="DE9" s="40" t="str">
        <f aca="false">IF(OR(DD$4=0,DD9=""),"",IFERROR(ROUND(DD9/INDEX(Undirviðmið!$F$6:$F$205,DD$4)*INDEX(Undirviðmið!$E$6:$E$205,DD$4)*KVARDI,2),""))</f>
        <v/>
      </c>
      <c r="DF9" s="23"/>
      <c r="DG9" s="40" t="str">
        <f aca="false">IF(OR(DF$4=0,DF9=""),"",IFERROR(ROUND(DF9/INDEX(Undirviðmið!$F$6:$F$205,DF$4)*INDEX(Undirviðmið!$E$6:$E$205,DF$4)*KVARDI,2),""))</f>
        <v/>
      </c>
      <c r="DH9" s="23"/>
      <c r="DI9" s="40" t="str">
        <f aca="false">IF(OR(DH$4=0,DH9=""),"",IFERROR(ROUND(DH9/INDEX(Undirviðmið!$F$6:$F$205,DH$4)*INDEX(Undirviðmið!$E$6:$E$205,DH$4)*KVARDI,2),""))</f>
        <v/>
      </c>
      <c r="DJ9" s="23"/>
      <c r="DK9" s="40" t="str">
        <f aca="false">IF(OR(DJ$4=0,DJ9=""),"",IFERROR(ROUND(DJ9/INDEX(Undirviðmið!$F$6:$F$205,DJ$4)*INDEX(Undirviðmið!$E$6:$E$205,DJ$4)*KVARDI,2),""))</f>
        <v/>
      </c>
      <c r="DL9" s="23"/>
      <c r="DM9" s="40" t="str">
        <f aca="false">IF(OR(DL$4=0,DL9=""),"",IFERROR(ROUND(DL9/INDEX(Undirviðmið!$F$6:$F$205,DL$4)*INDEX(Undirviðmið!$E$6:$E$205,DL$4)*KVARDI,2),""))</f>
        <v/>
      </c>
      <c r="DN9" s="23"/>
      <c r="DO9" s="40" t="str">
        <f aca="false">IF(OR(DN$4=0,DN9=""),"",IFERROR(ROUND(DN9/INDEX(Undirviðmið!$F$6:$F$205,DN$4)*INDEX(Undirviðmið!$E$6:$E$205,DN$4)*KVARDI,2),""))</f>
        <v/>
      </c>
      <c r="DP9" s="23"/>
      <c r="DQ9" s="40" t="str">
        <f aca="false">IF(OR(DP$4=0,DP9=""),"",IFERROR(ROUND(DP9/INDEX(Undirviðmið!$F$6:$F$205,DP$4)*INDEX(Undirviðmið!$E$6:$E$205,DP$4)*KVARDI,2),""))</f>
        <v/>
      </c>
      <c r="DR9" s="23"/>
      <c r="DS9" s="40" t="str">
        <f aca="false">IF(OR(DR$4=0,DR9=""),"",IFERROR(ROUND(DR9/INDEX(Undirviðmið!$F$6:$F$205,DR$4)*INDEX(Undirviðmið!$E$6:$E$205,DR$4)*KVARDI,2),""))</f>
        <v/>
      </c>
      <c r="DT9" s="23"/>
      <c r="DU9" s="40" t="str">
        <f aca="false">IF(OR(DT$4=0,DT9=""),"",IFERROR(ROUND(DT9/INDEX(Undirviðmið!$F$6:$F$205,DT$4)*INDEX(Undirviðmið!$E$6:$E$205,DT$4)*KVARDI,2),""))</f>
        <v/>
      </c>
      <c r="DV9" s="23"/>
      <c r="DW9" s="40" t="str">
        <f aca="false">IF(OR(DV$4=0,DV9=""),"",IFERROR(ROUND(DV9/INDEX(Undirviðmið!$F$6:$F$205,DV$4)*INDEX(Undirviðmið!$E$6:$E$205,DV$4)*KVARDI,2),""))</f>
        <v/>
      </c>
      <c r="DX9" s="23"/>
      <c r="DY9" s="40" t="str">
        <f aca="false">IF(OR(DX$4=0,DX9=""),"",IFERROR(ROUND(DX9/INDEX(Undirviðmið!$F$6:$F$205,DX$4)*INDEX(Undirviðmið!$E$6:$E$205,DX$4)*KVARDI,2),""))</f>
        <v/>
      </c>
      <c r="DZ9" s="23"/>
      <c r="EA9" s="40" t="str">
        <f aca="false">IF(OR(DZ$4=0,DZ9=""),"",IFERROR(ROUND(DZ9/INDEX(Undirviðmið!$F$6:$F$205,DZ$4)*INDEX(Undirviðmið!$E$6:$E$205,DZ$4)*KVARDI,2),""))</f>
        <v/>
      </c>
      <c r="EB9" s="23"/>
      <c r="EC9" s="40" t="str">
        <f aca="false">IF(OR(EB$4=0,EB9=""),"",IFERROR(ROUND(EB9/INDEX(Undirviðmið!$F$6:$F$205,EB$4)*INDEX(Undirviðmið!$E$6:$E$205,EB$4)*KVARDI,2),""))</f>
        <v/>
      </c>
      <c r="ED9" s="23"/>
      <c r="EE9" s="40" t="str">
        <f aca="false">IF(OR(ED$4=0,ED9=""),"",IFERROR(ROUND(ED9/INDEX(Undirviðmið!$F$6:$F$205,ED$4)*INDEX(Undirviðmið!$E$6:$E$205,ED$4)*KVARDI,2),""))</f>
        <v/>
      </c>
      <c r="EF9" s="23"/>
      <c r="EG9" s="40" t="str">
        <f aca="false">IF(OR(EF$4=0,EF9=""),"",IFERROR(ROUND(EF9/INDEX(Undirviðmið!$F$6:$F$205,EF$4)*INDEX(Undirviðmið!$E$6:$E$205,EF$4)*KVARDI,2),""))</f>
        <v/>
      </c>
      <c r="EH9" s="23"/>
      <c r="EI9" s="40" t="str">
        <f aca="false">IF(OR(EH$4=0,EH9=""),"",IFERROR(ROUND(EH9/INDEX(Undirviðmið!$F$6:$F$205,EH$4)*INDEX(Undirviðmið!$E$6:$E$205,EH$4)*KVARDI,2),""))</f>
        <v/>
      </c>
      <c r="EJ9" s="23"/>
      <c r="EK9" s="40" t="str">
        <f aca="false">IF(OR(EJ$4=0,EJ9=""),"",IFERROR(ROUND(EJ9/INDEX(Undirviðmið!$F$6:$F$205,EJ$4)*INDEX(Undirviðmið!$E$6:$E$205,EJ$4)*KVARDI,2),""))</f>
        <v/>
      </c>
      <c r="EL9" s="23"/>
      <c r="EM9" s="40" t="str">
        <f aca="false">IF(OR(EL$4=0,EL9=""),"",IFERROR(ROUND(EL9/INDEX(Undirviðmið!$F$6:$F$205,EL$4)*INDEX(Undirviðmið!$E$6:$E$205,EL$4)*KVARDI,2),""))</f>
        <v/>
      </c>
      <c r="EN9" s="23"/>
      <c r="EO9" s="40" t="str">
        <f aca="false">IF(OR(EN$4=0,EN9=""),"",IFERROR(ROUND(EN9/INDEX(Undirviðmið!$F$6:$F$205,EN$4)*INDEX(Undirviðmið!$E$6:$E$205,EN$4)*KVARDI,2),""))</f>
        <v/>
      </c>
      <c r="EP9" s="23"/>
      <c r="EQ9" s="40" t="str">
        <f aca="false">IF(OR(EP$4=0,EP9=""),"",IFERROR(ROUND(EP9/INDEX(Undirviðmið!$F$6:$F$205,EP$4)*INDEX(Undirviðmið!$E$6:$E$205,EP$4)*KVARDI,2),""))</f>
        <v/>
      </c>
      <c r="ER9" s="23"/>
      <c r="ES9" s="40" t="str">
        <f aca="false">IF(OR(ER$4=0,ER9=""),"",IFERROR(ROUND(ER9/INDEX(Undirviðmið!$F$6:$F$205,ER$4)*INDEX(Undirviðmið!$E$6:$E$205,ER$4)*KVARDI,2),""))</f>
        <v/>
      </c>
      <c r="ET9" s="23"/>
      <c r="EU9" s="40" t="str">
        <f aca="false">IF(OR(ET$4=0,ET9=""),"",IFERROR(ROUND(ET9/INDEX(Undirviðmið!$F$6:$F$205,ET$4)*INDEX(Undirviðmið!$E$6:$E$205,ET$4)*KVARDI,2),""))</f>
        <v/>
      </c>
      <c r="EV9" s="23"/>
      <c r="EW9" s="40" t="str">
        <f aca="false">IF(OR(EV$4=0,EV9=""),"",IFERROR(ROUND(EV9/INDEX(Undirviðmið!$F$6:$F$205,EV$4)*INDEX(Undirviðmið!$E$6:$E$205,EV$4)*KVARDI,2),""))</f>
        <v/>
      </c>
      <c r="EX9" s="23"/>
      <c r="EY9" s="40" t="str">
        <f aca="false">IF(OR(EX$4=0,EX9=""),"",IFERROR(ROUND(EX9/INDEX(Undirviðmið!$F$6:$F$205,EX$4)*INDEX(Undirviðmið!$E$6:$E$205,EX$4)*KVARDI,2),""))</f>
        <v/>
      </c>
      <c r="EZ9" s="23"/>
      <c r="FA9" s="40" t="str">
        <f aca="false">IF(OR(EZ$4=0,EZ9=""),"",IFERROR(ROUND(EZ9/INDEX(Undirviðmið!$F$6:$F$205,EZ$4)*INDEX(Undirviðmið!$E$6:$E$205,EZ$4)*KVARDI,2),""))</f>
        <v/>
      </c>
      <c r="FB9" s="23"/>
      <c r="FC9" s="40" t="str">
        <f aca="false">IF(OR(FB$4=0,FB9=""),"",IFERROR(ROUND(FB9/INDEX(Undirviðmið!$F$6:$F$205,FB$4)*INDEX(Undirviðmið!$E$6:$E$205,FB$4)*KVARDI,2),""))</f>
        <v/>
      </c>
      <c r="FD9" s="23"/>
      <c r="FE9" s="40" t="str">
        <f aca="false">IF(OR(FD$4=0,FD9=""),"",IFERROR(ROUND(FD9/INDEX(Undirviðmið!$F$6:$F$205,FD$4)*INDEX(Undirviðmið!$E$6:$E$205,FD$4)*KVARDI,2),""))</f>
        <v/>
      </c>
      <c r="FF9" s="23"/>
      <c r="FG9" s="40" t="str">
        <f aca="false">IF(OR(FF$4=0,FF9=""),"",IFERROR(ROUND(FF9/INDEX(Undirviðmið!$F$6:$F$205,FF$4)*INDEX(Undirviðmið!$E$6:$E$205,FF$4)*KVARDI,2),""))</f>
        <v/>
      </c>
      <c r="FH9" s="23"/>
      <c r="FI9" s="40" t="str">
        <f aca="false">IF(OR(FH$4=0,FH9=""),"",IFERROR(ROUND(FH9/INDEX(Undirviðmið!$F$6:$F$205,FH$4)*INDEX(Undirviðmið!$E$6:$E$205,FH$4)*KVARDI,2),""))</f>
        <v/>
      </c>
      <c r="FJ9" s="23"/>
      <c r="FK9" s="40" t="str">
        <f aca="false">IF(OR(FJ$4=0,FJ9=""),"",IFERROR(ROUND(FJ9/INDEX(Undirviðmið!$F$6:$F$205,FJ$4)*INDEX(Undirviðmið!$E$6:$E$205,FJ$4)*KVARDI,2),""))</f>
        <v/>
      </c>
      <c r="FL9" s="23"/>
      <c r="FM9" s="40" t="str">
        <f aca="false">IF(OR(FL$4=0,FL9=""),"",IFERROR(ROUND(FL9/INDEX(Undirviðmið!$F$6:$F$205,FL$4)*INDEX(Undirviðmið!$E$6:$E$205,FL$4)*KVARDI,2),""))</f>
        <v/>
      </c>
      <c r="FN9" s="23"/>
      <c r="FO9" s="40" t="str">
        <f aca="false">IF(OR(FN$4=0,FN9=""),"",IFERROR(ROUND(FN9/INDEX(Undirviðmið!$F$6:$F$205,FN$4)*INDEX(Undirviðmið!$E$6:$E$205,FN$4)*KVARDI,2),""))</f>
        <v/>
      </c>
      <c r="FP9" s="23"/>
      <c r="FQ9" s="40" t="str">
        <f aca="false">IF(OR(FP$4=0,FP9=""),"",IFERROR(ROUND(FP9/INDEX(Undirviðmið!$F$6:$F$205,FP$4)*INDEX(Undirviðmið!$E$6:$E$205,FP$4)*KVARDI,2),""))</f>
        <v/>
      </c>
      <c r="FR9" s="23"/>
      <c r="FS9" s="40" t="str">
        <f aca="false">IF(OR(FR$4=0,FR9=""),"",IFERROR(ROUND(FR9/INDEX(Undirviðmið!$F$6:$F$205,FR$4)*INDEX(Undirviðmið!$E$6:$E$205,FR$4)*KVARDI,2),""))</f>
        <v/>
      </c>
      <c r="FT9" s="23"/>
      <c r="FU9" s="40" t="str">
        <f aca="false">IF(OR(FT$4=0,FT9=""),"",IFERROR(ROUND(FT9/INDEX(Undirviðmið!$F$6:$F$205,FT$4)*INDEX(Undirviðmið!$E$6:$E$205,FT$4)*KVARDI,2),""))</f>
        <v/>
      </c>
      <c r="FV9" s="23"/>
      <c r="FW9" s="40" t="str">
        <f aca="false">IF(OR(FV$4=0,FV9=""),"",IFERROR(ROUND(FV9/INDEX(Undirviðmið!$F$6:$F$205,FV$4)*INDEX(Undirviðmið!$E$6:$E$205,FV$4)*KVARDI,2),""))</f>
        <v/>
      </c>
      <c r="FX9" s="23"/>
      <c r="FY9" s="40" t="str">
        <f aca="false">IF(OR(FX$4=0,FX9=""),"",IFERROR(ROUND(FX9/INDEX(Undirviðmið!$F$6:$F$205,FX$4)*INDEX(Undirviðmið!$E$6:$E$205,FX$4)*KVARDI,2),""))</f>
        <v/>
      </c>
      <c r="FZ9" s="23"/>
      <c r="GA9" s="40" t="str">
        <f aca="false">IF(OR(FZ$4=0,FZ9=""),"",IFERROR(ROUND(FZ9/INDEX(Undirviðmið!$F$6:$F$205,FZ$4)*INDEX(Undirviðmið!$E$6:$E$205,FZ$4)*KVARDI,2),""))</f>
        <v/>
      </c>
      <c r="GB9" s="23"/>
      <c r="GC9" s="40" t="str">
        <f aca="false">IF(OR(GB$4=0,GB9=""),"",IFERROR(ROUND(GB9/INDEX(Undirviðmið!$F$6:$F$205,GB$4)*INDEX(Undirviðmið!$E$6:$E$205,GB$4)*KVARDI,2),""))</f>
        <v/>
      </c>
      <c r="GD9" s="23"/>
      <c r="GE9" s="40" t="str">
        <f aca="false">IF(OR(GD$4=0,GD9=""),"",IFERROR(ROUND(GD9/INDEX(Undirviðmið!$F$6:$F$205,GD$4)*INDEX(Undirviðmið!$E$6:$E$205,GD$4)*KVARDI,2),""))</f>
        <v/>
      </c>
      <c r="GF9" s="23"/>
      <c r="GG9" s="40" t="str">
        <f aca="false">IF(OR(GF$4=0,GF9=""),"",IFERROR(ROUND(GF9/INDEX(Undirviðmið!$F$6:$F$205,GF$4)*INDEX(Undirviðmið!$E$6:$E$205,GF$4)*KVARDI,2),""))</f>
        <v/>
      </c>
      <c r="GH9" s="23"/>
      <c r="GI9" s="40" t="str">
        <f aca="false">IF(OR(GH$4=0,GH9=""),"",IFERROR(ROUND(GH9/INDEX(Undirviðmið!$F$6:$F$205,GH$4)*INDEX(Undirviðmið!$E$6:$E$205,GH$4)*KVARDI,2),""))</f>
        <v/>
      </c>
      <c r="GJ9" s="23"/>
      <c r="GK9" s="40" t="str">
        <f aca="false">IF(OR(GJ$4=0,GJ9=""),"",IFERROR(ROUND(GJ9/INDEX(Undirviðmið!$F$6:$F$205,GJ$4)*INDEX(Undirviðmið!$E$6:$E$205,GJ$4)*KVARDI,2),""))</f>
        <v/>
      </c>
      <c r="GL9" s="23"/>
      <c r="GM9" s="40" t="str">
        <f aca="false">IF(OR(GL$4=0,GL9=""),"",IFERROR(ROUND(GL9/INDEX(Undirviðmið!$F$6:$F$205,GL$4)*INDEX(Undirviðmið!$E$6:$E$205,GL$4)*KVARDI,2),""))</f>
        <v/>
      </c>
      <c r="GN9" s="23"/>
      <c r="GO9" s="40" t="str">
        <f aca="false">IF(OR(GN$4=0,GN9=""),"",IFERROR(ROUND(GN9/INDEX(Undirviðmið!$F$6:$F$205,GN$4)*INDEX(Undirviðmið!$E$6:$E$205,GN$4)*KVARDI,2),""))</f>
        <v/>
      </c>
      <c r="GP9" s="23"/>
      <c r="GQ9" s="40" t="str">
        <f aca="false">IF(OR(GP$4=0,GP9=""),"",IFERROR(ROUND(GP9/INDEX(Undirviðmið!$F$6:$F$205,GP$4)*INDEX(Undirviðmið!$E$6:$E$205,GP$4)*KVARDI,2),""))</f>
        <v/>
      </c>
      <c r="GR9" s="23"/>
      <c r="GS9" s="40" t="str">
        <f aca="false">IF(OR(GR$4=0,GR9=""),"",IFERROR(ROUND(GR9/INDEX(Undirviðmið!$F$6:$F$205,GR$4)*INDEX(Undirviðmið!$E$6:$E$205,GR$4)*KVARDI,2),""))</f>
        <v/>
      </c>
      <c r="GT9" s="23"/>
      <c r="GU9" s="40" t="str">
        <f aca="false">IF(OR(GT$4=0,GT9=""),"",IFERROR(ROUND(GT9/INDEX(Undirviðmið!$F$6:$F$205,GT$4)*INDEX(Undirviðmið!$E$6:$E$205,GT$4)*KVARDI,2),""))</f>
        <v/>
      </c>
      <c r="GV9" s="44" t="n">
        <f aca="false">IFERROR(SUMIF($D$6:GU$6,"Stig",$D9:GU9),0)</f>
        <v>0</v>
      </c>
    </row>
    <row r="10" customFormat="false" ht="15" hidden="false" customHeight="true" outlineLevel="0" collapsed="false">
      <c r="A10" s="22" t="n">
        <f aca="false">ROW()-6</f>
        <v>4</v>
      </c>
      <c r="B10" s="24" t="str">
        <f aca="false">IF(INDEX(Starfsmenn!$B$6:$B$10005,ROW()-6)="","",INDEX(Starfsmenn!$B$6:$B$10005,ROW()-6))</f>
        <v/>
      </c>
      <c r="C10" s="24" t="str">
        <f aca="false">IF(INDEX(Starfsmenn!$C$6:$C$10005,ROW()-6)="","",INDEX(Starfsmenn!$C$6:$C$10005,ROW()-6))</f>
        <v/>
      </c>
      <c r="D10" s="23"/>
      <c r="E10" s="40" t="str">
        <f aca="false">IF(OR(D$4=0,D10=""),"",IFERROR(ROUND(D10/INDEX(Undirviðmið!$F$6:$F$205,D$4)*INDEX(Undirviðmið!$E$6:$E$205,D$4)*KVARDI,2),""))</f>
        <v/>
      </c>
      <c r="F10" s="23"/>
      <c r="G10" s="40" t="str">
        <f aca="false">IF(OR(F$4=0,F10=""),"",IFERROR(ROUND(F10/INDEX(Undirviðmið!$F$6:$F$205,F$4)*INDEX(Undirviðmið!$E$6:$E$205,F$4)*KVARDI,2),""))</f>
        <v/>
      </c>
      <c r="H10" s="23"/>
      <c r="I10" s="40" t="str">
        <f aca="false">IF(OR(H$4=0,H10=""),"",IFERROR(ROUND(H10/INDEX(Undirviðmið!$F$6:$F$205,H$4)*INDEX(Undirviðmið!$E$6:$E$205,H$4)*KVARDI,2),""))</f>
        <v/>
      </c>
      <c r="J10" s="23"/>
      <c r="K10" s="40" t="str">
        <f aca="false">IF(OR(J$4=0,J10=""),"",IFERROR(ROUND(J10/INDEX(Undirviðmið!$F$6:$F$205,J$4)*INDEX(Undirviðmið!$E$6:$E$205,J$4)*KVARDI,2),""))</f>
        <v/>
      </c>
      <c r="L10" s="23"/>
      <c r="M10" s="40" t="str">
        <f aca="false">IF(OR(L$4=0,L10=""),"",IFERROR(ROUND(L10/INDEX(Undirviðmið!$F$6:$F$205,L$4)*INDEX(Undirviðmið!$E$6:$E$205,L$4)*KVARDI,2),""))</f>
        <v/>
      </c>
      <c r="N10" s="23"/>
      <c r="O10" s="40" t="str">
        <f aca="false">IF(OR(N$4=0,N10=""),"",IFERROR(ROUND(N10/INDEX(Undirviðmið!$F$6:$F$205,N$4)*INDEX(Undirviðmið!$E$6:$E$205,N$4)*KVARDI,2),""))</f>
        <v/>
      </c>
      <c r="P10" s="23"/>
      <c r="Q10" s="40" t="str">
        <f aca="false">IF(OR(P$4=0,P10=""),"",IFERROR(ROUND(P10/INDEX(Undirviðmið!$F$6:$F$205,P$4)*INDEX(Undirviðmið!$E$6:$E$205,P$4)*KVARDI,2),""))</f>
        <v/>
      </c>
      <c r="R10" s="23"/>
      <c r="S10" s="40" t="str">
        <f aca="false">IF(OR(R$4=0,R10=""),"",IFERROR(ROUND(R10/INDEX(Undirviðmið!$F$6:$F$205,R$4)*INDEX(Undirviðmið!$E$6:$E$205,R$4)*KVARDI,2),""))</f>
        <v/>
      </c>
      <c r="T10" s="23"/>
      <c r="U10" s="40" t="str">
        <f aca="false">IF(OR(T$4=0,T10=""),"",IFERROR(ROUND(T10/INDEX(Undirviðmið!$F$6:$F$205,T$4)*INDEX(Undirviðmið!$E$6:$E$205,T$4)*KVARDI,2),""))</f>
        <v/>
      </c>
      <c r="V10" s="23"/>
      <c r="W10" s="40" t="str">
        <f aca="false">IF(OR(V$4=0,V10=""),"",IFERROR(ROUND(V10/INDEX(Undirviðmið!$F$6:$F$205,V$4)*INDEX(Undirviðmið!$E$6:$E$205,V$4)*KVARDI,2),""))</f>
        <v/>
      </c>
      <c r="X10" s="23"/>
      <c r="Y10" s="40" t="str">
        <f aca="false">IF(OR(X$4=0,X10=""),"",IFERROR(ROUND(X10/INDEX(Undirviðmið!$F$6:$F$205,X$4)*INDEX(Undirviðmið!$E$6:$E$205,X$4)*KVARDI,2),""))</f>
        <v/>
      </c>
      <c r="Z10" s="23"/>
      <c r="AA10" s="40" t="str">
        <f aca="false">IF(OR(Z$4=0,Z10=""),"",IFERROR(ROUND(Z10/INDEX(Undirviðmið!$F$6:$F$205,Z$4)*INDEX(Undirviðmið!$E$6:$E$205,Z$4)*KVARDI,2),""))</f>
        <v/>
      </c>
      <c r="AB10" s="23"/>
      <c r="AC10" s="40" t="str">
        <f aca="false">IF(OR(AB$4=0,AB10=""),"",IFERROR(ROUND(AB10/INDEX(Undirviðmið!$F$6:$F$205,AB$4)*INDEX(Undirviðmið!$E$6:$E$205,AB$4)*KVARDI,2),""))</f>
        <v/>
      </c>
      <c r="AD10" s="23"/>
      <c r="AE10" s="40" t="str">
        <f aca="false">IF(OR(AD$4=0,AD10=""),"",IFERROR(ROUND(AD10/INDEX(Undirviðmið!$F$6:$F$205,AD$4)*INDEX(Undirviðmið!$E$6:$E$205,AD$4)*KVARDI,2),""))</f>
        <v/>
      </c>
      <c r="AF10" s="23"/>
      <c r="AG10" s="40" t="str">
        <f aca="false">IF(OR(AF$4=0,AF10=""),"",IFERROR(ROUND(AF10/INDEX(Undirviðmið!$F$6:$F$205,AF$4)*INDEX(Undirviðmið!$E$6:$E$205,AF$4)*KVARDI,2),""))</f>
        <v/>
      </c>
      <c r="AH10" s="23"/>
      <c r="AI10" s="40" t="str">
        <f aca="false">IF(OR(AH$4=0,AH10=""),"",IFERROR(ROUND(AH10/INDEX(Undirviðmið!$F$6:$F$205,AH$4)*INDEX(Undirviðmið!$E$6:$E$205,AH$4)*KVARDI,2),""))</f>
        <v/>
      </c>
      <c r="AJ10" s="23"/>
      <c r="AK10" s="40" t="str">
        <f aca="false">IF(OR(AJ$4=0,AJ10=""),"",IFERROR(ROUND(AJ10/INDEX(Undirviðmið!$F$6:$F$205,AJ$4)*INDEX(Undirviðmið!$E$6:$E$205,AJ$4)*KVARDI,2),""))</f>
        <v/>
      </c>
      <c r="AL10" s="23"/>
      <c r="AM10" s="40" t="str">
        <f aca="false">IF(OR(AL$4=0,AL10=""),"",IFERROR(ROUND(AL10/INDEX(Undirviðmið!$F$6:$F$205,AL$4)*INDEX(Undirviðmið!$E$6:$E$205,AL$4)*KVARDI,2),""))</f>
        <v/>
      </c>
      <c r="AN10" s="23"/>
      <c r="AO10" s="40" t="str">
        <f aca="false">IF(OR(AN$4=0,AN10=""),"",IFERROR(ROUND(AN10/INDEX(Undirviðmið!$F$6:$F$205,AN$4)*INDEX(Undirviðmið!$E$6:$E$205,AN$4)*KVARDI,2),""))</f>
        <v/>
      </c>
      <c r="AP10" s="23"/>
      <c r="AQ10" s="40" t="str">
        <f aca="false">IF(OR(AP$4=0,AP10=""),"",IFERROR(ROUND(AP10/INDEX(Undirviðmið!$F$6:$F$205,AP$4)*INDEX(Undirviðmið!$E$6:$E$205,AP$4)*KVARDI,2),""))</f>
        <v/>
      </c>
      <c r="AR10" s="23"/>
      <c r="AS10" s="40" t="str">
        <f aca="false">IF(OR(AR$4=0,AR10=""),"",IFERROR(ROUND(AR10/INDEX(Undirviðmið!$F$6:$F$205,AR$4)*INDEX(Undirviðmið!$E$6:$E$205,AR$4)*KVARDI,2),""))</f>
        <v/>
      </c>
      <c r="AT10" s="23"/>
      <c r="AU10" s="40" t="str">
        <f aca="false">IF(OR(AT$4=0,AT10=""),"",IFERROR(ROUND(AT10/INDEX(Undirviðmið!$F$6:$F$205,AT$4)*INDEX(Undirviðmið!$E$6:$E$205,AT$4)*KVARDI,2),""))</f>
        <v/>
      </c>
      <c r="AV10" s="23"/>
      <c r="AW10" s="40" t="str">
        <f aca="false">IF(OR(AV$4=0,AV10=""),"",IFERROR(ROUND(AV10/INDEX(Undirviðmið!$F$6:$F$205,AV$4)*INDEX(Undirviðmið!$E$6:$E$205,AV$4)*KVARDI,2),""))</f>
        <v/>
      </c>
      <c r="AX10" s="23"/>
      <c r="AY10" s="40" t="str">
        <f aca="false">IF(OR(AX$4=0,AX10=""),"",IFERROR(ROUND(AX10/INDEX(Undirviðmið!$F$6:$F$205,AX$4)*INDEX(Undirviðmið!$E$6:$E$205,AX$4)*KVARDI,2),""))</f>
        <v/>
      </c>
      <c r="AZ10" s="23"/>
      <c r="BA10" s="40" t="str">
        <f aca="false">IF(OR(AZ$4=0,AZ10=""),"",IFERROR(ROUND(AZ10/INDEX(Undirviðmið!$F$6:$F$205,AZ$4)*INDEX(Undirviðmið!$E$6:$E$205,AZ$4)*KVARDI,2),""))</f>
        <v/>
      </c>
      <c r="BB10" s="23"/>
      <c r="BC10" s="40" t="str">
        <f aca="false">IF(OR(BB$4=0,BB10=""),"",IFERROR(ROUND(BB10/INDEX(Undirviðmið!$F$6:$F$205,BB$4)*INDEX(Undirviðmið!$E$6:$E$205,BB$4)*KVARDI,2),""))</f>
        <v/>
      </c>
      <c r="BD10" s="23"/>
      <c r="BE10" s="40" t="str">
        <f aca="false">IF(OR(BD$4=0,BD10=""),"",IFERROR(ROUND(BD10/INDEX(Undirviðmið!$F$6:$F$205,BD$4)*INDEX(Undirviðmið!$E$6:$E$205,BD$4)*KVARDI,2),""))</f>
        <v/>
      </c>
      <c r="BF10" s="23"/>
      <c r="BG10" s="40" t="str">
        <f aca="false">IF(OR(BF$4=0,BF10=""),"",IFERROR(ROUND(BF10/INDEX(Undirviðmið!$F$6:$F$205,BF$4)*INDEX(Undirviðmið!$E$6:$E$205,BF$4)*KVARDI,2),""))</f>
        <v/>
      </c>
      <c r="BH10" s="23"/>
      <c r="BI10" s="40" t="str">
        <f aca="false">IF(OR(BH$4=0,BH10=""),"",IFERROR(ROUND(BH10/INDEX(Undirviðmið!$F$6:$F$205,BH$4)*INDEX(Undirviðmið!$E$6:$E$205,BH$4)*KVARDI,2),""))</f>
        <v/>
      </c>
      <c r="BJ10" s="23"/>
      <c r="BK10" s="40" t="str">
        <f aca="false">IF(OR(BJ$4=0,BJ10=""),"",IFERROR(ROUND(BJ10/INDEX(Undirviðmið!$F$6:$F$205,BJ$4)*INDEX(Undirviðmið!$E$6:$E$205,BJ$4)*KVARDI,2),""))</f>
        <v/>
      </c>
      <c r="BL10" s="23"/>
      <c r="BM10" s="40" t="str">
        <f aca="false">IF(OR(BL$4=0,BL10=""),"",IFERROR(ROUND(BL10/INDEX(Undirviðmið!$F$6:$F$205,BL$4)*INDEX(Undirviðmið!$E$6:$E$205,BL$4)*KVARDI,2),""))</f>
        <v/>
      </c>
      <c r="BN10" s="23"/>
      <c r="BO10" s="40" t="str">
        <f aca="false">IF(OR(BN$4=0,BN10=""),"",IFERROR(ROUND(BN10/INDEX(Undirviðmið!$F$6:$F$205,BN$4)*INDEX(Undirviðmið!$E$6:$E$205,BN$4)*KVARDI,2),""))</f>
        <v/>
      </c>
      <c r="BP10" s="23"/>
      <c r="BQ10" s="40" t="str">
        <f aca="false">IF(OR(BP$4=0,BP10=""),"",IFERROR(ROUND(BP10/INDEX(Undirviðmið!$F$6:$F$205,BP$4)*INDEX(Undirviðmið!$E$6:$E$205,BP$4)*KVARDI,2),""))</f>
        <v/>
      </c>
      <c r="BR10" s="23"/>
      <c r="BS10" s="40" t="str">
        <f aca="false">IF(OR(BR$4=0,BR10=""),"",IFERROR(ROUND(BR10/INDEX(Undirviðmið!$F$6:$F$205,BR$4)*INDEX(Undirviðmið!$E$6:$E$205,BR$4)*KVARDI,2),""))</f>
        <v/>
      </c>
      <c r="BT10" s="23"/>
      <c r="BU10" s="40" t="str">
        <f aca="false">IF(OR(BT$4=0,BT10=""),"",IFERROR(ROUND(BT10/INDEX(Undirviðmið!$F$6:$F$205,BT$4)*INDEX(Undirviðmið!$E$6:$E$205,BT$4)*KVARDI,2),""))</f>
        <v/>
      </c>
      <c r="BV10" s="23"/>
      <c r="BW10" s="40" t="str">
        <f aca="false">IF(OR(BV$4=0,BV10=""),"",IFERROR(ROUND(BV10/INDEX(Undirviðmið!$F$6:$F$205,BV$4)*INDEX(Undirviðmið!$E$6:$E$205,BV$4)*KVARDI,2),""))</f>
        <v/>
      </c>
      <c r="BX10" s="23"/>
      <c r="BY10" s="40" t="str">
        <f aca="false">IF(OR(BX$4=0,BX10=""),"",IFERROR(ROUND(BX10/INDEX(Undirviðmið!$F$6:$F$205,BX$4)*INDEX(Undirviðmið!$E$6:$E$205,BX$4)*KVARDI,2),""))</f>
        <v/>
      </c>
      <c r="BZ10" s="23"/>
      <c r="CA10" s="40" t="str">
        <f aca="false">IF(OR(BZ$4=0,BZ10=""),"",IFERROR(ROUND(BZ10/INDEX(Undirviðmið!$F$6:$F$205,BZ$4)*INDEX(Undirviðmið!$E$6:$E$205,BZ$4)*KVARDI,2),""))</f>
        <v/>
      </c>
      <c r="CB10" s="23"/>
      <c r="CC10" s="40" t="str">
        <f aca="false">IF(OR(CB$4=0,CB10=""),"",IFERROR(ROUND(CB10/INDEX(Undirviðmið!$F$6:$F$205,CB$4)*INDEX(Undirviðmið!$E$6:$E$205,CB$4)*KVARDI,2),""))</f>
        <v/>
      </c>
      <c r="CD10" s="23"/>
      <c r="CE10" s="40" t="str">
        <f aca="false">IF(OR(CD$4=0,CD10=""),"",IFERROR(ROUND(CD10/INDEX(Undirviðmið!$F$6:$F$205,CD$4)*INDEX(Undirviðmið!$E$6:$E$205,CD$4)*KVARDI,2),""))</f>
        <v/>
      </c>
      <c r="CF10" s="23"/>
      <c r="CG10" s="40" t="str">
        <f aca="false">IF(OR(CF$4=0,CF10=""),"",IFERROR(ROUND(CF10/INDEX(Undirviðmið!$F$6:$F$205,CF$4)*INDEX(Undirviðmið!$E$6:$E$205,CF$4)*KVARDI,2),""))</f>
        <v/>
      </c>
      <c r="CH10" s="23"/>
      <c r="CI10" s="40" t="str">
        <f aca="false">IF(OR(CH$4=0,CH10=""),"",IFERROR(ROUND(CH10/INDEX(Undirviðmið!$F$6:$F$205,CH$4)*INDEX(Undirviðmið!$E$6:$E$205,CH$4)*KVARDI,2),""))</f>
        <v/>
      </c>
      <c r="CJ10" s="23"/>
      <c r="CK10" s="40" t="str">
        <f aca="false">IF(OR(CJ$4=0,CJ10=""),"",IFERROR(ROUND(CJ10/INDEX(Undirviðmið!$F$6:$F$205,CJ$4)*INDEX(Undirviðmið!$E$6:$E$205,CJ$4)*KVARDI,2),""))</f>
        <v/>
      </c>
      <c r="CL10" s="23"/>
      <c r="CM10" s="40" t="str">
        <f aca="false">IF(OR(CL$4=0,CL10=""),"",IFERROR(ROUND(CL10/INDEX(Undirviðmið!$F$6:$F$205,CL$4)*INDEX(Undirviðmið!$E$6:$E$205,CL$4)*KVARDI,2),""))</f>
        <v/>
      </c>
      <c r="CN10" s="23"/>
      <c r="CO10" s="40" t="str">
        <f aca="false">IF(OR(CN$4=0,CN10=""),"",IFERROR(ROUND(CN10/INDEX(Undirviðmið!$F$6:$F$205,CN$4)*INDEX(Undirviðmið!$E$6:$E$205,CN$4)*KVARDI,2),""))</f>
        <v/>
      </c>
      <c r="CP10" s="23"/>
      <c r="CQ10" s="40" t="str">
        <f aca="false">IF(OR(CP$4=0,CP10=""),"",IFERROR(ROUND(CP10/INDEX(Undirviðmið!$F$6:$F$205,CP$4)*INDEX(Undirviðmið!$E$6:$E$205,CP$4)*KVARDI,2),""))</f>
        <v/>
      </c>
      <c r="CR10" s="23"/>
      <c r="CS10" s="40" t="str">
        <f aca="false">IF(OR(CR$4=0,CR10=""),"",IFERROR(ROUND(CR10/INDEX(Undirviðmið!$F$6:$F$205,CR$4)*INDEX(Undirviðmið!$E$6:$E$205,CR$4)*KVARDI,2),""))</f>
        <v/>
      </c>
      <c r="CT10" s="23"/>
      <c r="CU10" s="40" t="str">
        <f aca="false">IF(OR(CT$4=0,CT10=""),"",IFERROR(ROUND(CT10/INDEX(Undirviðmið!$F$6:$F$205,CT$4)*INDEX(Undirviðmið!$E$6:$E$205,CT$4)*KVARDI,2),""))</f>
        <v/>
      </c>
      <c r="CV10" s="23"/>
      <c r="CW10" s="40" t="str">
        <f aca="false">IF(OR(CV$4=0,CV10=""),"",IFERROR(ROUND(CV10/INDEX(Undirviðmið!$F$6:$F$205,CV$4)*INDEX(Undirviðmið!$E$6:$E$205,CV$4)*KVARDI,2),""))</f>
        <v/>
      </c>
      <c r="CX10" s="23"/>
      <c r="CY10" s="40" t="str">
        <f aca="false">IF(OR(CX$4=0,CX10=""),"",IFERROR(ROUND(CX10/INDEX(Undirviðmið!$F$6:$F$205,CX$4)*INDEX(Undirviðmið!$E$6:$E$205,CX$4)*KVARDI,2),""))</f>
        <v/>
      </c>
      <c r="CZ10" s="23"/>
      <c r="DA10" s="40" t="str">
        <f aca="false">IF(OR(CZ$4=0,CZ10=""),"",IFERROR(ROUND(CZ10/INDEX(Undirviðmið!$F$6:$F$205,CZ$4)*INDEX(Undirviðmið!$E$6:$E$205,CZ$4)*KVARDI,2),""))</f>
        <v/>
      </c>
      <c r="DB10" s="23"/>
      <c r="DC10" s="40" t="str">
        <f aca="false">IF(OR(DB$4=0,DB10=""),"",IFERROR(ROUND(DB10/INDEX(Undirviðmið!$F$6:$F$205,DB$4)*INDEX(Undirviðmið!$E$6:$E$205,DB$4)*KVARDI,2),""))</f>
        <v/>
      </c>
      <c r="DD10" s="23"/>
      <c r="DE10" s="40" t="str">
        <f aca="false">IF(OR(DD$4=0,DD10=""),"",IFERROR(ROUND(DD10/INDEX(Undirviðmið!$F$6:$F$205,DD$4)*INDEX(Undirviðmið!$E$6:$E$205,DD$4)*KVARDI,2),""))</f>
        <v/>
      </c>
      <c r="DF10" s="23"/>
      <c r="DG10" s="40" t="str">
        <f aca="false">IF(OR(DF$4=0,DF10=""),"",IFERROR(ROUND(DF10/INDEX(Undirviðmið!$F$6:$F$205,DF$4)*INDEX(Undirviðmið!$E$6:$E$205,DF$4)*KVARDI,2),""))</f>
        <v/>
      </c>
      <c r="DH10" s="23"/>
      <c r="DI10" s="40" t="str">
        <f aca="false">IF(OR(DH$4=0,DH10=""),"",IFERROR(ROUND(DH10/INDEX(Undirviðmið!$F$6:$F$205,DH$4)*INDEX(Undirviðmið!$E$6:$E$205,DH$4)*KVARDI,2),""))</f>
        <v/>
      </c>
      <c r="DJ10" s="23"/>
      <c r="DK10" s="40" t="str">
        <f aca="false">IF(OR(DJ$4=0,DJ10=""),"",IFERROR(ROUND(DJ10/INDEX(Undirviðmið!$F$6:$F$205,DJ$4)*INDEX(Undirviðmið!$E$6:$E$205,DJ$4)*KVARDI,2),""))</f>
        <v/>
      </c>
      <c r="DL10" s="23"/>
      <c r="DM10" s="40" t="str">
        <f aca="false">IF(OR(DL$4=0,DL10=""),"",IFERROR(ROUND(DL10/INDEX(Undirviðmið!$F$6:$F$205,DL$4)*INDEX(Undirviðmið!$E$6:$E$205,DL$4)*KVARDI,2),""))</f>
        <v/>
      </c>
      <c r="DN10" s="23"/>
      <c r="DO10" s="40" t="str">
        <f aca="false">IF(OR(DN$4=0,DN10=""),"",IFERROR(ROUND(DN10/INDEX(Undirviðmið!$F$6:$F$205,DN$4)*INDEX(Undirviðmið!$E$6:$E$205,DN$4)*KVARDI,2),""))</f>
        <v/>
      </c>
      <c r="DP10" s="23"/>
      <c r="DQ10" s="40" t="str">
        <f aca="false">IF(OR(DP$4=0,DP10=""),"",IFERROR(ROUND(DP10/INDEX(Undirviðmið!$F$6:$F$205,DP$4)*INDEX(Undirviðmið!$E$6:$E$205,DP$4)*KVARDI,2),""))</f>
        <v/>
      </c>
      <c r="DR10" s="23"/>
      <c r="DS10" s="40" t="str">
        <f aca="false">IF(OR(DR$4=0,DR10=""),"",IFERROR(ROUND(DR10/INDEX(Undirviðmið!$F$6:$F$205,DR$4)*INDEX(Undirviðmið!$E$6:$E$205,DR$4)*KVARDI,2),""))</f>
        <v/>
      </c>
      <c r="DT10" s="23"/>
      <c r="DU10" s="40" t="str">
        <f aca="false">IF(OR(DT$4=0,DT10=""),"",IFERROR(ROUND(DT10/INDEX(Undirviðmið!$F$6:$F$205,DT$4)*INDEX(Undirviðmið!$E$6:$E$205,DT$4)*KVARDI,2),""))</f>
        <v/>
      </c>
      <c r="DV10" s="23"/>
      <c r="DW10" s="40" t="str">
        <f aca="false">IF(OR(DV$4=0,DV10=""),"",IFERROR(ROUND(DV10/INDEX(Undirviðmið!$F$6:$F$205,DV$4)*INDEX(Undirviðmið!$E$6:$E$205,DV$4)*KVARDI,2),""))</f>
        <v/>
      </c>
      <c r="DX10" s="23"/>
      <c r="DY10" s="40" t="str">
        <f aca="false">IF(OR(DX$4=0,DX10=""),"",IFERROR(ROUND(DX10/INDEX(Undirviðmið!$F$6:$F$205,DX$4)*INDEX(Undirviðmið!$E$6:$E$205,DX$4)*KVARDI,2),""))</f>
        <v/>
      </c>
      <c r="DZ10" s="23"/>
      <c r="EA10" s="40" t="str">
        <f aca="false">IF(OR(DZ$4=0,DZ10=""),"",IFERROR(ROUND(DZ10/INDEX(Undirviðmið!$F$6:$F$205,DZ$4)*INDEX(Undirviðmið!$E$6:$E$205,DZ$4)*KVARDI,2),""))</f>
        <v/>
      </c>
      <c r="EB10" s="23"/>
      <c r="EC10" s="40" t="str">
        <f aca="false">IF(OR(EB$4=0,EB10=""),"",IFERROR(ROUND(EB10/INDEX(Undirviðmið!$F$6:$F$205,EB$4)*INDEX(Undirviðmið!$E$6:$E$205,EB$4)*KVARDI,2),""))</f>
        <v/>
      </c>
      <c r="ED10" s="23"/>
      <c r="EE10" s="40" t="str">
        <f aca="false">IF(OR(ED$4=0,ED10=""),"",IFERROR(ROUND(ED10/INDEX(Undirviðmið!$F$6:$F$205,ED$4)*INDEX(Undirviðmið!$E$6:$E$205,ED$4)*KVARDI,2),""))</f>
        <v/>
      </c>
      <c r="EF10" s="23"/>
      <c r="EG10" s="40" t="str">
        <f aca="false">IF(OR(EF$4=0,EF10=""),"",IFERROR(ROUND(EF10/INDEX(Undirviðmið!$F$6:$F$205,EF$4)*INDEX(Undirviðmið!$E$6:$E$205,EF$4)*KVARDI,2),""))</f>
        <v/>
      </c>
      <c r="EH10" s="23"/>
      <c r="EI10" s="40" t="str">
        <f aca="false">IF(OR(EH$4=0,EH10=""),"",IFERROR(ROUND(EH10/INDEX(Undirviðmið!$F$6:$F$205,EH$4)*INDEX(Undirviðmið!$E$6:$E$205,EH$4)*KVARDI,2),""))</f>
        <v/>
      </c>
      <c r="EJ10" s="23"/>
      <c r="EK10" s="40" t="str">
        <f aca="false">IF(OR(EJ$4=0,EJ10=""),"",IFERROR(ROUND(EJ10/INDEX(Undirviðmið!$F$6:$F$205,EJ$4)*INDEX(Undirviðmið!$E$6:$E$205,EJ$4)*KVARDI,2),""))</f>
        <v/>
      </c>
      <c r="EL10" s="23"/>
      <c r="EM10" s="40" t="str">
        <f aca="false">IF(OR(EL$4=0,EL10=""),"",IFERROR(ROUND(EL10/INDEX(Undirviðmið!$F$6:$F$205,EL$4)*INDEX(Undirviðmið!$E$6:$E$205,EL$4)*KVARDI,2),""))</f>
        <v/>
      </c>
      <c r="EN10" s="23"/>
      <c r="EO10" s="40" t="str">
        <f aca="false">IF(OR(EN$4=0,EN10=""),"",IFERROR(ROUND(EN10/INDEX(Undirviðmið!$F$6:$F$205,EN$4)*INDEX(Undirviðmið!$E$6:$E$205,EN$4)*KVARDI,2),""))</f>
        <v/>
      </c>
      <c r="EP10" s="23"/>
      <c r="EQ10" s="40" t="str">
        <f aca="false">IF(OR(EP$4=0,EP10=""),"",IFERROR(ROUND(EP10/INDEX(Undirviðmið!$F$6:$F$205,EP$4)*INDEX(Undirviðmið!$E$6:$E$205,EP$4)*KVARDI,2),""))</f>
        <v/>
      </c>
      <c r="ER10" s="23"/>
      <c r="ES10" s="40" t="str">
        <f aca="false">IF(OR(ER$4=0,ER10=""),"",IFERROR(ROUND(ER10/INDEX(Undirviðmið!$F$6:$F$205,ER$4)*INDEX(Undirviðmið!$E$6:$E$205,ER$4)*KVARDI,2),""))</f>
        <v/>
      </c>
      <c r="ET10" s="23"/>
      <c r="EU10" s="40" t="str">
        <f aca="false">IF(OR(ET$4=0,ET10=""),"",IFERROR(ROUND(ET10/INDEX(Undirviðmið!$F$6:$F$205,ET$4)*INDEX(Undirviðmið!$E$6:$E$205,ET$4)*KVARDI,2),""))</f>
        <v/>
      </c>
      <c r="EV10" s="23"/>
      <c r="EW10" s="40" t="str">
        <f aca="false">IF(OR(EV$4=0,EV10=""),"",IFERROR(ROUND(EV10/INDEX(Undirviðmið!$F$6:$F$205,EV$4)*INDEX(Undirviðmið!$E$6:$E$205,EV$4)*KVARDI,2),""))</f>
        <v/>
      </c>
      <c r="EX10" s="23"/>
      <c r="EY10" s="40" t="str">
        <f aca="false">IF(OR(EX$4=0,EX10=""),"",IFERROR(ROUND(EX10/INDEX(Undirviðmið!$F$6:$F$205,EX$4)*INDEX(Undirviðmið!$E$6:$E$205,EX$4)*KVARDI,2),""))</f>
        <v/>
      </c>
      <c r="EZ10" s="23"/>
      <c r="FA10" s="40" t="str">
        <f aca="false">IF(OR(EZ$4=0,EZ10=""),"",IFERROR(ROUND(EZ10/INDEX(Undirviðmið!$F$6:$F$205,EZ$4)*INDEX(Undirviðmið!$E$6:$E$205,EZ$4)*KVARDI,2),""))</f>
        <v/>
      </c>
      <c r="FB10" s="23"/>
      <c r="FC10" s="40" t="str">
        <f aca="false">IF(OR(FB$4=0,FB10=""),"",IFERROR(ROUND(FB10/INDEX(Undirviðmið!$F$6:$F$205,FB$4)*INDEX(Undirviðmið!$E$6:$E$205,FB$4)*KVARDI,2),""))</f>
        <v/>
      </c>
      <c r="FD10" s="23"/>
      <c r="FE10" s="40" t="str">
        <f aca="false">IF(OR(FD$4=0,FD10=""),"",IFERROR(ROUND(FD10/INDEX(Undirviðmið!$F$6:$F$205,FD$4)*INDEX(Undirviðmið!$E$6:$E$205,FD$4)*KVARDI,2),""))</f>
        <v/>
      </c>
      <c r="FF10" s="23"/>
      <c r="FG10" s="40" t="str">
        <f aca="false">IF(OR(FF$4=0,FF10=""),"",IFERROR(ROUND(FF10/INDEX(Undirviðmið!$F$6:$F$205,FF$4)*INDEX(Undirviðmið!$E$6:$E$205,FF$4)*KVARDI,2),""))</f>
        <v/>
      </c>
      <c r="FH10" s="23"/>
      <c r="FI10" s="40" t="str">
        <f aca="false">IF(OR(FH$4=0,FH10=""),"",IFERROR(ROUND(FH10/INDEX(Undirviðmið!$F$6:$F$205,FH$4)*INDEX(Undirviðmið!$E$6:$E$205,FH$4)*KVARDI,2),""))</f>
        <v/>
      </c>
      <c r="FJ10" s="23"/>
      <c r="FK10" s="40" t="str">
        <f aca="false">IF(OR(FJ$4=0,FJ10=""),"",IFERROR(ROUND(FJ10/INDEX(Undirviðmið!$F$6:$F$205,FJ$4)*INDEX(Undirviðmið!$E$6:$E$205,FJ$4)*KVARDI,2),""))</f>
        <v/>
      </c>
      <c r="FL10" s="23"/>
      <c r="FM10" s="40" t="str">
        <f aca="false">IF(OR(FL$4=0,FL10=""),"",IFERROR(ROUND(FL10/INDEX(Undirviðmið!$F$6:$F$205,FL$4)*INDEX(Undirviðmið!$E$6:$E$205,FL$4)*KVARDI,2),""))</f>
        <v/>
      </c>
      <c r="FN10" s="23"/>
      <c r="FO10" s="40" t="str">
        <f aca="false">IF(OR(FN$4=0,FN10=""),"",IFERROR(ROUND(FN10/INDEX(Undirviðmið!$F$6:$F$205,FN$4)*INDEX(Undirviðmið!$E$6:$E$205,FN$4)*KVARDI,2),""))</f>
        <v/>
      </c>
      <c r="FP10" s="23"/>
      <c r="FQ10" s="40" t="str">
        <f aca="false">IF(OR(FP$4=0,FP10=""),"",IFERROR(ROUND(FP10/INDEX(Undirviðmið!$F$6:$F$205,FP$4)*INDEX(Undirviðmið!$E$6:$E$205,FP$4)*KVARDI,2),""))</f>
        <v/>
      </c>
      <c r="FR10" s="23"/>
      <c r="FS10" s="40" t="str">
        <f aca="false">IF(OR(FR$4=0,FR10=""),"",IFERROR(ROUND(FR10/INDEX(Undirviðmið!$F$6:$F$205,FR$4)*INDEX(Undirviðmið!$E$6:$E$205,FR$4)*KVARDI,2),""))</f>
        <v/>
      </c>
      <c r="FT10" s="23"/>
      <c r="FU10" s="40" t="str">
        <f aca="false">IF(OR(FT$4=0,FT10=""),"",IFERROR(ROUND(FT10/INDEX(Undirviðmið!$F$6:$F$205,FT$4)*INDEX(Undirviðmið!$E$6:$E$205,FT$4)*KVARDI,2),""))</f>
        <v/>
      </c>
      <c r="FV10" s="23"/>
      <c r="FW10" s="40" t="str">
        <f aca="false">IF(OR(FV$4=0,FV10=""),"",IFERROR(ROUND(FV10/INDEX(Undirviðmið!$F$6:$F$205,FV$4)*INDEX(Undirviðmið!$E$6:$E$205,FV$4)*KVARDI,2),""))</f>
        <v/>
      </c>
      <c r="FX10" s="23"/>
      <c r="FY10" s="40" t="str">
        <f aca="false">IF(OR(FX$4=0,FX10=""),"",IFERROR(ROUND(FX10/INDEX(Undirviðmið!$F$6:$F$205,FX$4)*INDEX(Undirviðmið!$E$6:$E$205,FX$4)*KVARDI,2),""))</f>
        <v/>
      </c>
      <c r="FZ10" s="23"/>
      <c r="GA10" s="40" t="str">
        <f aca="false">IF(OR(FZ$4=0,FZ10=""),"",IFERROR(ROUND(FZ10/INDEX(Undirviðmið!$F$6:$F$205,FZ$4)*INDEX(Undirviðmið!$E$6:$E$205,FZ$4)*KVARDI,2),""))</f>
        <v/>
      </c>
      <c r="GB10" s="23"/>
      <c r="GC10" s="40" t="str">
        <f aca="false">IF(OR(GB$4=0,GB10=""),"",IFERROR(ROUND(GB10/INDEX(Undirviðmið!$F$6:$F$205,GB$4)*INDEX(Undirviðmið!$E$6:$E$205,GB$4)*KVARDI,2),""))</f>
        <v/>
      </c>
      <c r="GD10" s="23"/>
      <c r="GE10" s="40" t="str">
        <f aca="false">IF(OR(GD$4=0,GD10=""),"",IFERROR(ROUND(GD10/INDEX(Undirviðmið!$F$6:$F$205,GD$4)*INDEX(Undirviðmið!$E$6:$E$205,GD$4)*KVARDI,2),""))</f>
        <v/>
      </c>
      <c r="GF10" s="23"/>
      <c r="GG10" s="40" t="str">
        <f aca="false">IF(OR(GF$4=0,GF10=""),"",IFERROR(ROUND(GF10/INDEX(Undirviðmið!$F$6:$F$205,GF$4)*INDEX(Undirviðmið!$E$6:$E$205,GF$4)*KVARDI,2),""))</f>
        <v/>
      </c>
      <c r="GH10" s="23"/>
      <c r="GI10" s="40" t="str">
        <f aca="false">IF(OR(GH$4=0,GH10=""),"",IFERROR(ROUND(GH10/INDEX(Undirviðmið!$F$6:$F$205,GH$4)*INDEX(Undirviðmið!$E$6:$E$205,GH$4)*KVARDI,2),""))</f>
        <v/>
      </c>
      <c r="GJ10" s="23"/>
      <c r="GK10" s="40" t="str">
        <f aca="false">IF(OR(GJ$4=0,GJ10=""),"",IFERROR(ROUND(GJ10/INDEX(Undirviðmið!$F$6:$F$205,GJ$4)*INDEX(Undirviðmið!$E$6:$E$205,GJ$4)*KVARDI,2),""))</f>
        <v/>
      </c>
      <c r="GL10" s="23"/>
      <c r="GM10" s="40" t="str">
        <f aca="false">IF(OR(GL$4=0,GL10=""),"",IFERROR(ROUND(GL10/INDEX(Undirviðmið!$F$6:$F$205,GL$4)*INDEX(Undirviðmið!$E$6:$E$205,GL$4)*KVARDI,2),""))</f>
        <v/>
      </c>
      <c r="GN10" s="23"/>
      <c r="GO10" s="40" t="str">
        <f aca="false">IF(OR(GN$4=0,GN10=""),"",IFERROR(ROUND(GN10/INDEX(Undirviðmið!$F$6:$F$205,GN$4)*INDEX(Undirviðmið!$E$6:$E$205,GN$4)*KVARDI,2),""))</f>
        <v/>
      </c>
      <c r="GP10" s="23"/>
      <c r="GQ10" s="40" t="str">
        <f aca="false">IF(OR(GP$4=0,GP10=""),"",IFERROR(ROUND(GP10/INDEX(Undirviðmið!$F$6:$F$205,GP$4)*INDEX(Undirviðmið!$E$6:$E$205,GP$4)*KVARDI,2),""))</f>
        <v/>
      </c>
      <c r="GR10" s="23"/>
      <c r="GS10" s="40" t="str">
        <f aca="false">IF(OR(GR$4=0,GR10=""),"",IFERROR(ROUND(GR10/INDEX(Undirviðmið!$F$6:$F$205,GR$4)*INDEX(Undirviðmið!$E$6:$E$205,GR$4)*KVARDI,2),""))</f>
        <v/>
      </c>
      <c r="GT10" s="23"/>
      <c r="GU10" s="40" t="str">
        <f aca="false">IF(OR(GT$4=0,GT10=""),"",IFERROR(ROUND(GT10/INDEX(Undirviðmið!$F$6:$F$205,GT$4)*INDEX(Undirviðmið!$E$6:$E$205,GT$4)*KVARDI,2),""))</f>
        <v/>
      </c>
      <c r="GV10" s="44" t="n">
        <f aca="false">IFERROR(SUMIF($D$6:GU$6,"Stig",$D10:GU10),0)</f>
        <v>0</v>
      </c>
    </row>
    <row r="11" customFormat="false" ht="15" hidden="false" customHeight="true" outlineLevel="0" collapsed="false">
      <c r="A11" s="22" t="n">
        <f aca="false">ROW()-6</f>
        <v>5</v>
      </c>
      <c r="B11" s="24" t="str">
        <f aca="false">IF(INDEX(Starfsmenn!$B$6:$B$10005,ROW()-6)="","",INDEX(Starfsmenn!$B$6:$B$10005,ROW()-6))</f>
        <v/>
      </c>
      <c r="C11" s="24" t="str">
        <f aca="false">IF(INDEX(Starfsmenn!$C$6:$C$10005,ROW()-6)="","",INDEX(Starfsmenn!$C$6:$C$10005,ROW()-6))</f>
        <v/>
      </c>
      <c r="D11" s="23"/>
      <c r="E11" s="40" t="str">
        <f aca="false">IF(OR(D$4=0,D11=""),"",IFERROR(ROUND(D11/INDEX(Undirviðmið!$F$6:$F$205,D$4)*INDEX(Undirviðmið!$E$6:$E$205,D$4)*KVARDI,2),""))</f>
        <v/>
      </c>
      <c r="F11" s="23"/>
      <c r="G11" s="40" t="str">
        <f aca="false">IF(OR(F$4=0,F11=""),"",IFERROR(ROUND(F11/INDEX(Undirviðmið!$F$6:$F$205,F$4)*INDEX(Undirviðmið!$E$6:$E$205,F$4)*KVARDI,2),""))</f>
        <v/>
      </c>
      <c r="H11" s="23"/>
      <c r="I11" s="40" t="str">
        <f aca="false">IF(OR(H$4=0,H11=""),"",IFERROR(ROUND(H11/INDEX(Undirviðmið!$F$6:$F$205,H$4)*INDEX(Undirviðmið!$E$6:$E$205,H$4)*KVARDI,2),""))</f>
        <v/>
      </c>
      <c r="J11" s="23"/>
      <c r="K11" s="40" t="str">
        <f aca="false">IF(OR(J$4=0,J11=""),"",IFERROR(ROUND(J11/INDEX(Undirviðmið!$F$6:$F$205,J$4)*INDEX(Undirviðmið!$E$6:$E$205,J$4)*KVARDI,2),""))</f>
        <v/>
      </c>
      <c r="L11" s="23"/>
      <c r="M11" s="40" t="str">
        <f aca="false">IF(OR(L$4=0,L11=""),"",IFERROR(ROUND(L11/INDEX(Undirviðmið!$F$6:$F$205,L$4)*INDEX(Undirviðmið!$E$6:$E$205,L$4)*KVARDI,2),""))</f>
        <v/>
      </c>
      <c r="N11" s="23"/>
      <c r="O11" s="40" t="str">
        <f aca="false">IF(OR(N$4=0,N11=""),"",IFERROR(ROUND(N11/INDEX(Undirviðmið!$F$6:$F$205,N$4)*INDEX(Undirviðmið!$E$6:$E$205,N$4)*KVARDI,2),""))</f>
        <v/>
      </c>
      <c r="P11" s="23"/>
      <c r="Q11" s="40" t="str">
        <f aca="false">IF(OR(P$4=0,P11=""),"",IFERROR(ROUND(P11/INDEX(Undirviðmið!$F$6:$F$205,P$4)*INDEX(Undirviðmið!$E$6:$E$205,P$4)*KVARDI,2),""))</f>
        <v/>
      </c>
      <c r="R11" s="23"/>
      <c r="S11" s="40" t="str">
        <f aca="false">IF(OR(R$4=0,R11=""),"",IFERROR(ROUND(R11/INDEX(Undirviðmið!$F$6:$F$205,R$4)*INDEX(Undirviðmið!$E$6:$E$205,R$4)*KVARDI,2),""))</f>
        <v/>
      </c>
      <c r="T11" s="23"/>
      <c r="U11" s="40" t="str">
        <f aca="false">IF(OR(T$4=0,T11=""),"",IFERROR(ROUND(T11/INDEX(Undirviðmið!$F$6:$F$205,T$4)*INDEX(Undirviðmið!$E$6:$E$205,T$4)*KVARDI,2),""))</f>
        <v/>
      </c>
      <c r="V11" s="23"/>
      <c r="W11" s="40" t="str">
        <f aca="false">IF(OR(V$4=0,V11=""),"",IFERROR(ROUND(V11/INDEX(Undirviðmið!$F$6:$F$205,V$4)*INDEX(Undirviðmið!$E$6:$E$205,V$4)*KVARDI,2),""))</f>
        <v/>
      </c>
      <c r="X11" s="23"/>
      <c r="Y11" s="40" t="str">
        <f aca="false">IF(OR(X$4=0,X11=""),"",IFERROR(ROUND(X11/INDEX(Undirviðmið!$F$6:$F$205,X$4)*INDEX(Undirviðmið!$E$6:$E$205,X$4)*KVARDI,2),""))</f>
        <v/>
      </c>
      <c r="Z11" s="23"/>
      <c r="AA11" s="40" t="str">
        <f aca="false">IF(OR(Z$4=0,Z11=""),"",IFERROR(ROUND(Z11/INDEX(Undirviðmið!$F$6:$F$205,Z$4)*INDEX(Undirviðmið!$E$6:$E$205,Z$4)*KVARDI,2),""))</f>
        <v/>
      </c>
      <c r="AB11" s="23"/>
      <c r="AC11" s="40" t="str">
        <f aca="false">IF(OR(AB$4=0,AB11=""),"",IFERROR(ROUND(AB11/INDEX(Undirviðmið!$F$6:$F$205,AB$4)*INDEX(Undirviðmið!$E$6:$E$205,AB$4)*KVARDI,2),""))</f>
        <v/>
      </c>
      <c r="AD11" s="23"/>
      <c r="AE11" s="40" t="str">
        <f aca="false">IF(OR(AD$4=0,AD11=""),"",IFERROR(ROUND(AD11/INDEX(Undirviðmið!$F$6:$F$205,AD$4)*INDEX(Undirviðmið!$E$6:$E$205,AD$4)*KVARDI,2),""))</f>
        <v/>
      </c>
      <c r="AF11" s="23"/>
      <c r="AG11" s="40" t="str">
        <f aca="false">IF(OR(AF$4=0,AF11=""),"",IFERROR(ROUND(AF11/INDEX(Undirviðmið!$F$6:$F$205,AF$4)*INDEX(Undirviðmið!$E$6:$E$205,AF$4)*KVARDI,2),""))</f>
        <v/>
      </c>
      <c r="AH11" s="23"/>
      <c r="AI11" s="40" t="str">
        <f aca="false">IF(OR(AH$4=0,AH11=""),"",IFERROR(ROUND(AH11/INDEX(Undirviðmið!$F$6:$F$205,AH$4)*INDEX(Undirviðmið!$E$6:$E$205,AH$4)*KVARDI,2),""))</f>
        <v/>
      </c>
      <c r="AJ11" s="23"/>
      <c r="AK11" s="40" t="str">
        <f aca="false">IF(OR(AJ$4=0,AJ11=""),"",IFERROR(ROUND(AJ11/INDEX(Undirviðmið!$F$6:$F$205,AJ$4)*INDEX(Undirviðmið!$E$6:$E$205,AJ$4)*KVARDI,2),""))</f>
        <v/>
      </c>
      <c r="AL11" s="23"/>
      <c r="AM11" s="40" t="str">
        <f aca="false">IF(OR(AL$4=0,AL11=""),"",IFERROR(ROUND(AL11/INDEX(Undirviðmið!$F$6:$F$205,AL$4)*INDEX(Undirviðmið!$E$6:$E$205,AL$4)*KVARDI,2),""))</f>
        <v/>
      </c>
      <c r="AN11" s="23"/>
      <c r="AO11" s="40" t="str">
        <f aca="false">IF(OR(AN$4=0,AN11=""),"",IFERROR(ROUND(AN11/INDEX(Undirviðmið!$F$6:$F$205,AN$4)*INDEX(Undirviðmið!$E$6:$E$205,AN$4)*KVARDI,2),""))</f>
        <v/>
      </c>
      <c r="AP11" s="23"/>
      <c r="AQ11" s="40" t="str">
        <f aca="false">IF(OR(AP$4=0,AP11=""),"",IFERROR(ROUND(AP11/INDEX(Undirviðmið!$F$6:$F$205,AP$4)*INDEX(Undirviðmið!$E$6:$E$205,AP$4)*KVARDI,2),""))</f>
        <v/>
      </c>
      <c r="AR11" s="23"/>
      <c r="AS11" s="40" t="str">
        <f aca="false">IF(OR(AR$4=0,AR11=""),"",IFERROR(ROUND(AR11/INDEX(Undirviðmið!$F$6:$F$205,AR$4)*INDEX(Undirviðmið!$E$6:$E$205,AR$4)*KVARDI,2),""))</f>
        <v/>
      </c>
      <c r="AT11" s="23"/>
      <c r="AU11" s="40" t="str">
        <f aca="false">IF(OR(AT$4=0,AT11=""),"",IFERROR(ROUND(AT11/INDEX(Undirviðmið!$F$6:$F$205,AT$4)*INDEX(Undirviðmið!$E$6:$E$205,AT$4)*KVARDI,2),""))</f>
        <v/>
      </c>
      <c r="AV11" s="23"/>
      <c r="AW11" s="40" t="str">
        <f aca="false">IF(OR(AV$4=0,AV11=""),"",IFERROR(ROUND(AV11/INDEX(Undirviðmið!$F$6:$F$205,AV$4)*INDEX(Undirviðmið!$E$6:$E$205,AV$4)*KVARDI,2),""))</f>
        <v/>
      </c>
      <c r="AX11" s="23"/>
      <c r="AY11" s="40" t="str">
        <f aca="false">IF(OR(AX$4=0,AX11=""),"",IFERROR(ROUND(AX11/INDEX(Undirviðmið!$F$6:$F$205,AX$4)*INDEX(Undirviðmið!$E$6:$E$205,AX$4)*KVARDI,2),""))</f>
        <v/>
      </c>
      <c r="AZ11" s="23"/>
      <c r="BA11" s="40" t="str">
        <f aca="false">IF(OR(AZ$4=0,AZ11=""),"",IFERROR(ROUND(AZ11/INDEX(Undirviðmið!$F$6:$F$205,AZ$4)*INDEX(Undirviðmið!$E$6:$E$205,AZ$4)*KVARDI,2),""))</f>
        <v/>
      </c>
      <c r="BB11" s="23"/>
      <c r="BC11" s="40" t="str">
        <f aca="false">IF(OR(BB$4=0,BB11=""),"",IFERROR(ROUND(BB11/INDEX(Undirviðmið!$F$6:$F$205,BB$4)*INDEX(Undirviðmið!$E$6:$E$205,BB$4)*KVARDI,2),""))</f>
        <v/>
      </c>
      <c r="BD11" s="23"/>
      <c r="BE11" s="40" t="str">
        <f aca="false">IF(OR(BD$4=0,BD11=""),"",IFERROR(ROUND(BD11/INDEX(Undirviðmið!$F$6:$F$205,BD$4)*INDEX(Undirviðmið!$E$6:$E$205,BD$4)*KVARDI,2),""))</f>
        <v/>
      </c>
      <c r="BF11" s="23"/>
      <c r="BG11" s="40" t="str">
        <f aca="false">IF(OR(BF$4=0,BF11=""),"",IFERROR(ROUND(BF11/INDEX(Undirviðmið!$F$6:$F$205,BF$4)*INDEX(Undirviðmið!$E$6:$E$205,BF$4)*KVARDI,2),""))</f>
        <v/>
      </c>
      <c r="BH11" s="23"/>
      <c r="BI11" s="40" t="str">
        <f aca="false">IF(OR(BH$4=0,BH11=""),"",IFERROR(ROUND(BH11/INDEX(Undirviðmið!$F$6:$F$205,BH$4)*INDEX(Undirviðmið!$E$6:$E$205,BH$4)*KVARDI,2),""))</f>
        <v/>
      </c>
      <c r="BJ11" s="23"/>
      <c r="BK11" s="40" t="str">
        <f aca="false">IF(OR(BJ$4=0,BJ11=""),"",IFERROR(ROUND(BJ11/INDEX(Undirviðmið!$F$6:$F$205,BJ$4)*INDEX(Undirviðmið!$E$6:$E$205,BJ$4)*KVARDI,2),""))</f>
        <v/>
      </c>
      <c r="BL11" s="23"/>
      <c r="BM11" s="40" t="str">
        <f aca="false">IF(OR(BL$4=0,BL11=""),"",IFERROR(ROUND(BL11/INDEX(Undirviðmið!$F$6:$F$205,BL$4)*INDEX(Undirviðmið!$E$6:$E$205,BL$4)*KVARDI,2),""))</f>
        <v/>
      </c>
      <c r="BN11" s="23"/>
      <c r="BO11" s="40" t="str">
        <f aca="false">IF(OR(BN$4=0,BN11=""),"",IFERROR(ROUND(BN11/INDEX(Undirviðmið!$F$6:$F$205,BN$4)*INDEX(Undirviðmið!$E$6:$E$205,BN$4)*KVARDI,2),""))</f>
        <v/>
      </c>
      <c r="BP11" s="23"/>
      <c r="BQ11" s="40" t="str">
        <f aca="false">IF(OR(BP$4=0,BP11=""),"",IFERROR(ROUND(BP11/INDEX(Undirviðmið!$F$6:$F$205,BP$4)*INDEX(Undirviðmið!$E$6:$E$205,BP$4)*KVARDI,2),""))</f>
        <v/>
      </c>
      <c r="BR11" s="23"/>
      <c r="BS11" s="40" t="str">
        <f aca="false">IF(OR(BR$4=0,BR11=""),"",IFERROR(ROUND(BR11/INDEX(Undirviðmið!$F$6:$F$205,BR$4)*INDEX(Undirviðmið!$E$6:$E$205,BR$4)*KVARDI,2),""))</f>
        <v/>
      </c>
      <c r="BT11" s="23"/>
      <c r="BU11" s="40" t="str">
        <f aca="false">IF(OR(BT$4=0,BT11=""),"",IFERROR(ROUND(BT11/INDEX(Undirviðmið!$F$6:$F$205,BT$4)*INDEX(Undirviðmið!$E$6:$E$205,BT$4)*KVARDI,2),""))</f>
        <v/>
      </c>
      <c r="BV11" s="23"/>
      <c r="BW11" s="40" t="str">
        <f aca="false">IF(OR(BV$4=0,BV11=""),"",IFERROR(ROUND(BV11/INDEX(Undirviðmið!$F$6:$F$205,BV$4)*INDEX(Undirviðmið!$E$6:$E$205,BV$4)*KVARDI,2),""))</f>
        <v/>
      </c>
      <c r="BX11" s="23"/>
      <c r="BY11" s="40" t="str">
        <f aca="false">IF(OR(BX$4=0,BX11=""),"",IFERROR(ROUND(BX11/INDEX(Undirviðmið!$F$6:$F$205,BX$4)*INDEX(Undirviðmið!$E$6:$E$205,BX$4)*KVARDI,2),""))</f>
        <v/>
      </c>
      <c r="BZ11" s="23"/>
      <c r="CA11" s="40" t="str">
        <f aca="false">IF(OR(BZ$4=0,BZ11=""),"",IFERROR(ROUND(BZ11/INDEX(Undirviðmið!$F$6:$F$205,BZ$4)*INDEX(Undirviðmið!$E$6:$E$205,BZ$4)*KVARDI,2),""))</f>
        <v/>
      </c>
      <c r="CB11" s="23"/>
      <c r="CC11" s="40" t="str">
        <f aca="false">IF(OR(CB$4=0,CB11=""),"",IFERROR(ROUND(CB11/INDEX(Undirviðmið!$F$6:$F$205,CB$4)*INDEX(Undirviðmið!$E$6:$E$205,CB$4)*KVARDI,2),""))</f>
        <v/>
      </c>
      <c r="CD11" s="23"/>
      <c r="CE11" s="40" t="str">
        <f aca="false">IF(OR(CD$4=0,CD11=""),"",IFERROR(ROUND(CD11/INDEX(Undirviðmið!$F$6:$F$205,CD$4)*INDEX(Undirviðmið!$E$6:$E$205,CD$4)*KVARDI,2),""))</f>
        <v/>
      </c>
      <c r="CF11" s="23"/>
      <c r="CG11" s="40" t="str">
        <f aca="false">IF(OR(CF$4=0,CF11=""),"",IFERROR(ROUND(CF11/INDEX(Undirviðmið!$F$6:$F$205,CF$4)*INDEX(Undirviðmið!$E$6:$E$205,CF$4)*KVARDI,2),""))</f>
        <v/>
      </c>
      <c r="CH11" s="23"/>
      <c r="CI11" s="40" t="str">
        <f aca="false">IF(OR(CH$4=0,CH11=""),"",IFERROR(ROUND(CH11/INDEX(Undirviðmið!$F$6:$F$205,CH$4)*INDEX(Undirviðmið!$E$6:$E$205,CH$4)*KVARDI,2),""))</f>
        <v/>
      </c>
      <c r="CJ11" s="23"/>
      <c r="CK11" s="40" t="str">
        <f aca="false">IF(OR(CJ$4=0,CJ11=""),"",IFERROR(ROUND(CJ11/INDEX(Undirviðmið!$F$6:$F$205,CJ$4)*INDEX(Undirviðmið!$E$6:$E$205,CJ$4)*KVARDI,2),""))</f>
        <v/>
      </c>
      <c r="CL11" s="23"/>
      <c r="CM11" s="40" t="str">
        <f aca="false">IF(OR(CL$4=0,CL11=""),"",IFERROR(ROUND(CL11/INDEX(Undirviðmið!$F$6:$F$205,CL$4)*INDEX(Undirviðmið!$E$6:$E$205,CL$4)*KVARDI,2),""))</f>
        <v/>
      </c>
      <c r="CN11" s="23"/>
      <c r="CO11" s="40" t="str">
        <f aca="false">IF(OR(CN$4=0,CN11=""),"",IFERROR(ROUND(CN11/INDEX(Undirviðmið!$F$6:$F$205,CN$4)*INDEX(Undirviðmið!$E$6:$E$205,CN$4)*KVARDI,2),""))</f>
        <v/>
      </c>
      <c r="CP11" s="23"/>
      <c r="CQ11" s="40" t="str">
        <f aca="false">IF(OR(CP$4=0,CP11=""),"",IFERROR(ROUND(CP11/INDEX(Undirviðmið!$F$6:$F$205,CP$4)*INDEX(Undirviðmið!$E$6:$E$205,CP$4)*KVARDI,2),""))</f>
        <v/>
      </c>
      <c r="CR11" s="23"/>
      <c r="CS11" s="40" t="str">
        <f aca="false">IF(OR(CR$4=0,CR11=""),"",IFERROR(ROUND(CR11/INDEX(Undirviðmið!$F$6:$F$205,CR$4)*INDEX(Undirviðmið!$E$6:$E$205,CR$4)*KVARDI,2),""))</f>
        <v/>
      </c>
      <c r="CT11" s="23"/>
      <c r="CU11" s="40" t="str">
        <f aca="false">IF(OR(CT$4=0,CT11=""),"",IFERROR(ROUND(CT11/INDEX(Undirviðmið!$F$6:$F$205,CT$4)*INDEX(Undirviðmið!$E$6:$E$205,CT$4)*KVARDI,2),""))</f>
        <v/>
      </c>
      <c r="CV11" s="23"/>
      <c r="CW11" s="40" t="str">
        <f aca="false">IF(OR(CV$4=0,CV11=""),"",IFERROR(ROUND(CV11/INDEX(Undirviðmið!$F$6:$F$205,CV$4)*INDEX(Undirviðmið!$E$6:$E$205,CV$4)*KVARDI,2),""))</f>
        <v/>
      </c>
      <c r="CX11" s="23"/>
      <c r="CY11" s="40" t="str">
        <f aca="false">IF(OR(CX$4=0,CX11=""),"",IFERROR(ROUND(CX11/INDEX(Undirviðmið!$F$6:$F$205,CX$4)*INDEX(Undirviðmið!$E$6:$E$205,CX$4)*KVARDI,2),""))</f>
        <v/>
      </c>
      <c r="CZ11" s="23"/>
      <c r="DA11" s="40" t="str">
        <f aca="false">IF(OR(CZ$4=0,CZ11=""),"",IFERROR(ROUND(CZ11/INDEX(Undirviðmið!$F$6:$F$205,CZ$4)*INDEX(Undirviðmið!$E$6:$E$205,CZ$4)*KVARDI,2),""))</f>
        <v/>
      </c>
      <c r="DB11" s="23"/>
      <c r="DC11" s="40" t="str">
        <f aca="false">IF(OR(DB$4=0,DB11=""),"",IFERROR(ROUND(DB11/INDEX(Undirviðmið!$F$6:$F$205,DB$4)*INDEX(Undirviðmið!$E$6:$E$205,DB$4)*KVARDI,2),""))</f>
        <v/>
      </c>
      <c r="DD11" s="23"/>
      <c r="DE11" s="40" t="str">
        <f aca="false">IF(OR(DD$4=0,DD11=""),"",IFERROR(ROUND(DD11/INDEX(Undirviðmið!$F$6:$F$205,DD$4)*INDEX(Undirviðmið!$E$6:$E$205,DD$4)*KVARDI,2),""))</f>
        <v/>
      </c>
      <c r="DF11" s="23"/>
      <c r="DG11" s="40" t="str">
        <f aca="false">IF(OR(DF$4=0,DF11=""),"",IFERROR(ROUND(DF11/INDEX(Undirviðmið!$F$6:$F$205,DF$4)*INDEX(Undirviðmið!$E$6:$E$205,DF$4)*KVARDI,2),""))</f>
        <v/>
      </c>
      <c r="DH11" s="23"/>
      <c r="DI11" s="40" t="str">
        <f aca="false">IF(OR(DH$4=0,DH11=""),"",IFERROR(ROUND(DH11/INDEX(Undirviðmið!$F$6:$F$205,DH$4)*INDEX(Undirviðmið!$E$6:$E$205,DH$4)*KVARDI,2),""))</f>
        <v/>
      </c>
      <c r="DJ11" s="23"/>
      <c r="DK11" s="40" t="str">
        <f aca="false">IF(OR(DJ$4=0,DJ11=""),"",IFERROR(ROUND(DJ11/INDEX(Undirviðmið!$F$6:$F$205,DJ$4)*INDEX(Undirviðmið!$E$6:$E$205,DJ$4)*KVARDI,2),""))</f>
        <v/>
      </c>
      <c r="DL11" s="23"/>
      <c r="DM11" s="40" t="str">
        <f aca="false">IF(OR(DL$4=0,DL11=""),"",IFERROR(ROUND(DL11/INDEX(Undirviðmið!$F$6:$F$205,DL$4)*INDEX(Undirviðmið!$E$6:$E$205,DL$4)*KVARDI,2),""))</f>
        <v/>
      </c>
      <c r="DN11" s="23"/>
      <c r="DO11" s="40" t="str">
        <f aca="false">IF(OR(DN$4=0,DN11=""),"",IFERROR(ROUND(DN11/INDEX(Undirviðmið!$F$6:$F$205,DN$4)*INDEX(Undirviðmið!$E$6:$E$205,DN$4)*KVARDI,2),""))</f>
        <v/>
      </c>
      <c r="DP11" s="23"/>
      <c r="DQ11" s="40" t="str">
        <f aca="false">IF(OR(DP$4=0,DP11=""),"",IFERROR(ROUND(DP11/INDEX(Undirviðmið!$F$6:$F$205,DP$4)*INDEX(Undirviðmið!$E$6:$E$205,DP$4)*KVARDI,2),""))</f>
        <v/>
      </c>
      <c r="DR11" s="23"/>
      <c r="DS11" s="40" t="str">
        <f aca="false">IF(OR(DR$4=0,DR11=""),"",IFERROR(ROUND(DR11/INDEX(Undirviðmið!$F$6:$F$205,DR$4)*INDEX(Undirviðmið!$E$6:$E$205,DR$4)*KVARDI,2),""))</f>
        <v/>
      </c>
      <c r="DT11" s="23"/>
      <c r="DU11" s="40" t="str">
        <f aca="false">IF(OR(DT$4=0,DT11=""),"",IFERROR(ROUND(DT11/INDEX(Undirviðmið!$F$6:$F$205,DT$4)*INDEX(Undirviðmið!$E$6:$E$205,DT$4)*KVARDI,2),""))</f>
        <v/>
      </c>
      <c r="DV11" s="23"/>
      <c r="DW11" s="40" t="str">
        <f aca="false">IF(OR(DV$4=0,DV11=""),"",IFERROR(ROUND(DV11/INDEX(Undirviðmið!$F$6:$F$205,DV$4)*INDEX(Undirviðmið!$E$6:$E$205,DV$4)*KVARDI,2),""))</f>
        <v/>
      </c>
      <c r="DX11" s="23"/>
      <c r="DY11" s="40" t="str">
        <f aca="false">IF(OR(DX$4=0,DX11=""),"",IFERROR(ROUND(DX11/INDEX(Undirviðmið!$F$6:$F$205,DX$4)*INDEX(Undirviðmið!$E$6:$E$205,DX$4)*KVARDI,2),""))</f>
        <v/>
      </c>
      <c r="DZ11" s="23"/>
      <c r="EA11" s="40" t="str">
        <f aca="false">IF(OR(DZ$4=0,DZ11=""),"",IFERROR(ROUND(DZ11/INDEX(Undirviðmið!$F$6:$F$205,DZ$4)*INDEX(Undirviðmið!$E$6:$E$205,DZ$4)*KVARDI,2),""))</f>
        <v/>
      </c>
      <c r="EB11" s="23"/>
      <c r="EC11" s="40" t="str">
        <f aca="false">IF(OR(EB$4=0,EB11=""),"",IFERROR(ROUND(EB11/INDEX(Undirviðmið!$F$6:$F$205,EB$4)*INDEX(Undirviðmið!$E$6:$E$205,EB$4)*KVARDI,2),""))</f>
        <v/>
      </c>
      <c r="ED11" s="23"/>
      <c r="EE11" s="40" t="str">
        <f aca="false">IF(OR(ED$4=0,ED11=""),"",IFERROR(ROUND(ED11/INDEX(Undirviðmið!$F$6:$F$205,ED$4)*INDEX(Undirviðmið!$E$6:$E$205,ED$4)*KVARDI,2),""))</f>
        <v/>
      </c>
      <c r="EF11" s="23"/>
      <c r="EG11" s="40" t="str">
        <f aca="false">IF(OR(EF$4=0,EF11=""),"",IFERROR(ROUND(EF11/INDEX(Undirviðmið!$F$6:$F$205,EF$4)*INDEX(Undirviðmið!$E$6:$E$205,EF$4)*KVARDI,2),""))</f>
        <v/>
      </c>
      <c r="EH11" s="23"/>
      <c r="EI11" s="40" t="str">
        <f aca="false">IF(OR(EH$4=0,EH11=""),"",IFERROR(ROUND(EH11/INDEX(Undirviðmið!$F$6:$F$205,EH$4)*INDEX(Undirviðmið!$E$6:$E$205,EH$4)*KVARDI,2),""))</f>
        <v/>
      </c>
      <c r="EJ11" s="23"/>
      <c r="EK11" s="40" t="str">
        <f aca="false">IF(OR(EJ$4=0,EJ11=""),"",IFERROR(ROUND(EJ11/INDEX(Undirviðmið!$F$6:$F$205,EJ$4)*INDEX(Undirviðmið!$E$6:$E$205,EJ$4)*KVARDI,2),""))</f>
        <v/>
      </c>
      <c r="EL11" s="23"/>
      <c r="EM11" s="40" t="str">
        <f aca="false">IF(OR(EL$4=0,EL11=""),"",IFERROR(ROUND(EL11/INDEX(Undirviðmið!$F$6:$F$205,EL$4)*INDEX(Undirviðmið!$E$6:$E$205,EL$4)*KVARDI,2),""))</f>
        <v/>
      </c>
      <c r="EN11" s="23"/>
      <c r="EO11" s="40" t="str">
        <f aca="false">IF(OR(EN$4=0,EN11=""),"",IFERROR(ROUND(EN11/INDEX(Undirviðmið!$F$6:$F$205,EN$4)*INDEX(Undirviðmið!$E$6:$E$205,EN$4)*KVARDI,2),""))</f>
        <v/>
      </c>
      <c r="EP11" s="23"/>
      <c r="EQ11" s="40" t="str">
        <f aca="false">IF(OR(EP$4=0,EP11=""),"",IFERROR(ROUND(EP11/INDEX(Undirviðmið!$F$6:$F$205,EP$4)*INDEX(Undirviðmið!$E$6:$E$205,EP$4)*KVARDI,2),""))</f>
        <v/>
      </c>
      <c r="ER11" s="23"/>
      <c r="ES11" s="40" t="str">
        <f aca="false">IF(OR(ER$4=0,ER11=""),"",IFERROR(ROUND(ER11/INDEX(Undirviðmið!$F$6:$F$205,ER$4)*INDEX(Undirviðmið!$E$6:$E$205,ER$4)*KVARDI,2),""))</f>
        <v/>
      </c>
      <c r="ET11" s="23"/>
      <c r="EU11" s="40" t="str">
        <f aca="false">IF(OR(ET$4=0,ET11=""),"",IFERROR(ROUND(ET11/INDEX(Undirviðmið!$F$6:$F$205,ET$4)*INDEX(Undirviðmið!$E$6:$E$205,ET$4)*KVARDI,2),""))</f>
        <v/>
      </c>
      <c r="EV11" s="23"/>
      <c r="EW11" s="40" t="str">
        <f aca="false">IF(OR(EV$4=0,EV11=""),"",IFERROR(ROUND(EV11/INDEX(Undirviðmið!$F$6:$F$205,EV$4)*INDEX(Undirviðmið!$E$6:$E$205,EV$4)*KVARDI,2),""))</f>
        <v/>
      </c>
      <c r="EX11" s="23"/>
      <c r="EY11" s="40" t="str">
        <f aca="false">IF(OR(EX$4=0,EX11=""),"",IFERROR(ROUND(EX11/INDEX(Undirviðmið!$F$6:$F$205,EX$4)*INDEX(Undirviðmið!$E$6:$E$205,EX$4)*KVARDI,2),""))</f>
        <v/>
      </c>
      <c r="EZ11" s="23"/>
      <c r="FA11" s="40" t="str">
        <f aca="false">IF(OR(EZ$4=0,EZ11=""),"",IFERROR(ROUND(EZ11/INDEX(Undirviðmið!$F$6:$F$205,EZ$4)*INDEX(Undirviðmið!$E$6:$E$205,EZ$4)*KVARDI,2),""))</f>
        <v/>
      </c>
      <c r="FB11" s="23"/>
      <c r="FC11" s="40" t="str">
        <f aca="false">IF(OR(FB$4=0,FB11=""),"",IFERROR(ROUND(FB11/INDEX(Undirviðmið!$F$6:$F$205,FB$4)*INDEX(Undirviðmið!$E$6:$E$205,FB$4)*KVARDI,2),""))</f>
        <v/>
      </c>
      <c r="FD11" s="23"/>
      <c r="FE11" s="40" t="str">
        <f aca="false">IF(OR(FD$4=0,FD11=""),"",IFERROR(ROUND(FD11/INDEX(Undirviðmið!$F$6:$F$205,FD$4)*INDEX(Undirviðmið!$E$6:$E$205,FD$4)*KVARDI,2),""))</f>
        <v/>
      </c>
      <c r="FF11" s="23"/>
      <c r="FG11" s="40" t="str">
        <f aca="false">IF(OR(FF$4=0,FF11=""),"",IFERROR(ROUND(FF11/INDEX(Undirviðmið!$F$6:$F$205,FF$4)*INDEX(Undirviðmið!$E$6:$E$205,FF$4)*KVARDI,2),""))</f>
        <v/>
      </c>
      <c r="FH11" s="23"/>
      <c r="FI11" s="40" t="str">
        <f aca="false">IF(OR(FH$4=0,FH11=""),"",IFERROR(ROUND(FH11/INDEX(Undirviðmið!$F$6:$F$205,FH$4)*INDEX(Undirviðmið!$E$6:$E$205,FH$4)*KVARDI,2),""))</f>
        <v/>
      </c>
      <c r="FJ11" s="23"/>
      <c r="FK11" s="40" t="str">
        <f aca="false">IF(OR(FJ$4=0,FJ11=""),"",IFERROR(ROUND(FJ11/INDEX(Undirviðmið!$F$6:$F$205,FJ$4)*INDEX(Undirviðmið!$E$6:$E$205,FJ$4)*KVARDI,2),""))</f>
        <v/>
      </c>
      <c r="FL11" s="23"/>
      <c r="FM11" s="40" t="str">
        <f aca="false">IF(OR(FL$4=0,FL11=""),"",IFERROR(ROUND(FL11/INDEX(Undirviðmið!$F$6:$F$205,FL$4)*INDEX(Undirviðmið!$E$6:$E$205,FL$4)*KVARDI,2),""))</f>
        <v/>
      </c>
      <c r="FN11" s="23"/>
      <c r="FO11" s="40" t="str">
        <f aca="false">IF(OR(FN$4=0,FN11=""),"",IFERROR(ROUND(FN11/INDEX(Undirviðmið!$F$6:$F$205,FN$4)*INDEX(Undirviðmið!$E$6:$E$205,FN$4)*KVARDI,2),""))</f>
        <v/>
      </c>
      <c r="FP11" s="23"/>
      <c r="FQ11" s="40" t="str">
        <f aca="false">IF(OR(FP$4=0,FP11=""),"",IFERROR(ROUND(FP11/INDEX(Undirviðmið!$F$6:$F$205,FP$4)*INDEX(Undirviðmið!$E$6:$E$205,FP$4)*KVARDI,2),""))</f>
        <v/>
      </c>
      <c r="FR11" s="23"/>
      <c r="FS11" s="40" t="str">
        <f aca="false">IF(OR(FR$4=0,FR11=""),"",IFERROR(ROUND(FR11/INDEX(Undirviðmið!$F$6:$F$205,FR$4)*INDEX(Undirviðmið!$E$6:$E$205,FR$4)*KVARDI,2),""))</f>
        <v/>
      </c>
      <c r="FT11" s="23"/>
      <c r="FU11" s="40" t="str">
        <f aca="false">IF(OR(FT$4=0,FT11=""),"",IFERROR(ROUND(FT11/INDEX(Undirviðmið!$F$6:$F$205,FT$4)*INDEX(Undirviðmið!$E$6:$E$205,FT$4)*KVARDI,2),""))</f>
        <v/>
      </c>
      <c r="FV11" s="23"/>
      <c r="FW11" s="40" t="str">
        <f aca="false">IF(OR(FV$4=0,FV11=""),"",IFERROR(ROUND(FV11/INDEX(Undirviðmið!$F$6:$F$205,FV$4)*INDEX(Undirviðmið!$E$6:$E$205,FV$4)*KVARDI,2),""))</f>
        <v/>
      </c>
      <c r="FX11" s="23"/>
      <c r="FY11" s="40" t="str">
        <f aca="false">IF(OR(FX$4=0,FX11=""),"",IFERROR(ROUND(FX11/INDEX(Undirviðmið!$F$6:$F$205,FX$4)*INDEX(Undirviðmið!$E$6:$E$205,FX$4)*KVARDI,2),""))</f>
        <v/>
      </c>
      <c r="FZ11" s="23"/>
      <c r="GA11" s="40" t="str">
        <f aca="false">IF(OR(FZ$4=0,FZ11=""),"",IFERROR(ROUND(FZ11/INDEX(Undirviðmið!$F$6:$F$205,FZ$4)*INDEX(Undirviðmið!$E$6:$E$205,FZ$4)*KVARDI,2),""))</f>
        <v/>
      </c>
      <c r="GB11" s="23"/>
      <c r="GC11" s="40" t="str">
        <f aca="false">IF(OR(GB$4=0,GB11=""),"",IFERROR(ROUND(GB11/INDEX(Undirviðmið!$F$6:$F$205,GB$4)*INDEX(Undirviðmið!$E$6:$E$205,GB$4)*KVARDI,2),""))</f>
        <v/>
      </c>
      <c r="GD11" s="23"/>
      <c r="GE11" s="40" t="str">
        <f aca="false">IF(OR(GD$4=0,GD11=""),"",IFERROR(ROUND(GD11/INDEX(Undirviðmið!$F$6:$F$205,GD$4)*INDEX(Undirviðmið!$E$6:$E$205,GD$4)*KVARDI,2),""))</f>
        <v/>
      </c>
      <c r="GF11" s="23"/>
      <c r="GG11" s="40" t="str">
        <f aca="false">IF(OR(GF$4=0,GF11=""),"",IFERROR(ROUND(GF11/INDEX(Undirviðmið!$F$6:$F$205,GF$4)*INDEX(Undirviðmið!$E$6:$E$205,GF$4)*KVARDI,2),""))</f>
        <v/>
      </c>
      <c r="GH11" s="23"/>
      <c r="GI11" s="40" t="str">
        <f aca="false">IF(OR(GH$4=0,GH11=""),"",IFERROR(ROUND(GH11/INDEX(Undirviðmið!$F$6:$F$205,GH$4)*INDEX(Undirviðmið!$E$6:$E$205,GH$4)*KVARDI,2),""))</f>
        <v/>
      </c>
      <c r="GJ11" s="23"/>
      <c r="GK11" s="40" t="str">
        <f aca="false">IF(OR(GJ$4=0,GJ11=""),"",IFERROR(ROUND(GJ11/INDEX(Undirviðmið!$F$6:$F$205,GJ$4)*INDEX(Undirviðmið!$E$6:$E$205,GJ$4)*KVARDI,2),""))</f>
        <v/>
      </c>
      <c r="GL11" s="23"/>
      <c r="GM11" s="40" t="str">
        <f aca="false">IF(OR(GL$4=0,GL11=""),"",IFERROR(ROUND(GL11/INDEX(Undirviðmið!$F$6:$F$205,GL$4)*INDEX(Undirviðmið!$E$6:$E$205,GL$4)*KVARDI,2),""))</f>
        <v/>
      </c>
      <c r="GN11" s="23"/>
      <c r="GO11" s="40" t="str">
        <f aca="false">IF(OR(GN$4=0,GN11=""),"",IFERROR(ROUND(GN11/INDEX(Undirviðmið!$F$6:$F$205,GN$4)*INDEX(Undirviðmið!$E$6:$E$205,GN$4)*KVARDI,2),""))</f>
        <v/>
      </c>
      <c r="GP11" s="23"/>
      <c r="GQ11" s="40" t="str">
        <f aca="false">IF(OR(GP$4=0,GP11=""),"",IFERROR(ROUND(GP11/INDEX(Undirviðmið!$F$6:$F$205,GP$4)*INDEX(Undirviðmið!$E$6:$E$205,GP$4)*KVARDI,2),""))</f>
        <v/>
      </c>
      <c r="GR11" s="23"/>
      <c r="GS11" s="40" t="str">
        <f aca="false">IF(OR(GR$4=0,GR11=""),"",IFERROR(ROUND(GR11/INDEX(Undirviðmið!$F$6:$F$205,GR$4)*INDEX(Undirviðmið!$E$6:$E$205,GR$4)*KVARDI,2),""))</f>
        <v/>
      </c>
      <c r="GT11" s="23"/>
      <c r="GU11" s="40" t="str">
        <f aca="false">IF(OR(GT$4=0,GT11=""),"",IFERROR(ROUND(GT11/INDEX(Undirviðmið!$F$6:$F$205,GT$4)*INDEX(Undirviðmið!$E$6:$E$205,GT$4)*KVARDI,2),""))</f>
        <v/>
      </c>
      <c r="GV11" s="44" t="n">
        <f aca="false">IFERROR(SUMIF($D$6:GU$6,"Stig",$D11:GU11),0)</f>
        <v>0</v>
      </c>
    </row>
    <row r="12" customFormat="false" ht="15" hidden="false" customHeight="true" outlineLevel="0" collapsed="false">
      <c r="A12" s="22" t="n">
        <f aca="false">ROW()-6</f>
        <v>6</v>
      </c>
      <c r="B12" s="24" t="str">
        <f aca="false">IF(INDEX(Starfsmenn!$B$6:$B$10005,ROW()-6)="","",INDEX(Starfsmenn!$B$6:$B$10005,ROW()-6))</f>
        <v/>
      </c>
      <c r="C12" s="24" t="str">
        <f aca="false">IF(INDEX(Starfsmenn!$C$6:$C$10005,ROW()-6)="","",INDEX(Starfsmenn!$C$6:$C$10005,ROW()-6))</f>
        <v/>
      </c>
      <c r="D12" s="23"/>
      <c r="E12" s="40" t="str">
        <f aca="false">IF(OR(D$4=0,D12=""),"",IFERROR(ROUND(D12/INDEX(Undirviðmið!$F$6:$F$205,D$4)*INDEX(Undirviðmið!$E$6:$E$205,D$4)*KVARDI,2),""))</f>
        <v/>
      </c>
      <c r="F12" s="23"/>
      <c r="G12" s="40" t="str">
        <f aca="false">IF(OR(F$4=0,F12=""),"",IFERROR(ROUND(F12/INDEX(Undirviðmið!$F$6:$F$205,F$4)*INDEX(Undirviðmið!$E$6:$E$205,F$4)*KVARDI,2),""))</f>
        <v/>
      </c>
      <c r="H12" s="23"/>
      <c r="I12" s="40" t="str">
        <f aca="false">IF(OR(H$4=0,H12=""),"",IFERROR(ROUND(H12/INDEX(Undirviðmið!$F$6:$F$205,H$4)*INDEX(Undirviðmið!$E$6:$E$205,H$4)*KVARDI,2),""))</f>
        <v/>
      </c>
      <c r="J12" s="23"/>
      <c r="K12" s="40" t="str">
        <f aca="false">IF(OR(J$4=0,J12=""),"",IFERROR(ROUND(J12/INDEX(Undirviðmið!$F$6:$F$205,J$4)*INDEX(Undirviðmið!$E$6:$E$205,J$4)*KVARDI,2),""))</f>
        <v/>
      </c>
      <c r="L12" s="23"/>
      <c r="M12" s="40" t="str">
        <f aca="false">IF(OR(L$4=0,L12=""),"",IFERROR(ROUND(L12/INDEX(Undirviðmið!$F$6:$F$205,L$4)*INDEX(Undirviðmið!$E$6:$E$205,L$4)*KVARDI,2),""))</f>
        <v/>
      </c>
      <c r="N12" s="23"/>
      <c r="O12" s="40" t="str">
        <f aca="false">IF(OR(N$4=0,N12=""),"",IFERROR(ROUND(N12/INDEX(Undirviðmið!$F$6:$F$205,N$4)*INDEX(Undirviðmið!$E$6:$E$205,N$4)*KVARDI,2),""))</f>
        <v/>
      </c>
      <c r="P12" s="23"/>
      <c r="Q12" s="40" t="str">
        <f aca="false">IF(OR(P$4=0,P12=""),"",IFERROR(ROUND(P12/INDEX(Undirviðmið!$F$6:$F$205,P$4)*INDEX(Undirviðmið!$E$6:$E$205,P$4)*KVARDI,2),""))</f>
        <v/>
      </c>
      <c r="R12" s="23"/>
      <c r="S12" s="40" t="str">
        <f aca="false">IF(OR(R$4=0,R12=""),"",IFERROR(ROUND(R12/INDEX(Undirviðmið!$F$6:$F$205,R$4)*INDEX(Undirviðmið!$E$6:$E$205,R$4)*KVARDI,2),""))</f>
        <v/>
      </c>
      <c r="T12" s="23"/>
      <c r="U12" s="40" t="str">
        <f aca="false">IF(OR(T$4=0,T12=""),"",IFERROR(ROUND(T12/INDEX(Undirviðmið!$F$6:$F$205,T$4)*INDEX(Undirviðmið!$E$6:$E$205,T$4)*KVARDI,2),""))</f>
        <v/>
      </c>
      <c r="V12" s="23"/>
      <c r="W12" s="40" t="str">
        <f aca="false">IF(OR(V$4=0,V12=""),"",IFERROR(ROUND(V12/INDEX(Undirviðmið!$F$6:$F$205,V$4)*INDEX(Undirviðmið!$E$6:$E$205,V$4)*KVARDI,2),""))</f>
        <v/>
      </c>
      <c r="X12" s="23"/>
      <c r="Y12" s="40" t="str">
        <f aca="false">IF(OR(X$4=0,X12=""),"",IFERROR(ROUND(X12/INDEX(Undirviðmið!$F$6:$F$205,X$4)*INDEX(Undirviðmið!$E$6:$E$205,X$4)*KVARDI,2),""))</f>
        <v/>
      </c>
      <c r="Z12" s="23"/>
      <c r="AA12" s="40" t="str">
        <f aca="false">IF(OR(Z$4=0,Z12=""),"",IFERROR(ROUND(Z12/INDEX(Undirviðmið!$F$6:$F$205,Z$4)*INDEX(Undirviðmið!$E$6:$E$205,Z$4)*KVARDI,2),""))</f>
        <v/>
      </c>
      <c r="AB12" s="23"/>
      <c r="AC12" s="40" t="str">
        <f aca="false">IF(OR(AB$4=0,AB12=""),"",IFERROR(ROUND(AB12/INDEX(Undirviðmið!$F$6:$F$205,AB$4)*INDEX(Undirviðmið!$E$6:$E$205,AB$4)*KVARDI,2),""))</f>
        <v/>
      </c>
      <c r="AD12" s="23"/>
      <c r="AE12" s="40" t="str">
        <f aca="false">IF(OR(AD$4=0,AD12=""),"",IFERROR(ROUND(AD12/INDEX(Undirviðmið!$F$6:$F$205,AD$4)*INDEX(Undirviðmið!$E$6:$E$205,AD$4)*KVARDI,2),""))</f>
        <v/>
      </c>
      <c r="AF12" s="23"/>
      <c r="AG12" s="40" t="str">
        <f aca="false">IF(OR(AF$4=0,AF12=""),"",IFERROR(ROUND(AF12/INDEX(Undirviðmið!$F$6:$F$205,AF$4)*INDEX(Undirviðmið!$E$6:$E$205,AF$4)*KVARDI,2),""))</f>
        <v/>
      </c>
      <c r="AH12" s="23"/>
      <c r="AI12" s="40" t="str">
        <f aca="false">IF(OR(AH$4=0,AH12=""),"",IFERROR(ROUND(AH12/INDEX(Undirviðmið!$F$6:$F$205,AH$4)*INDEX(Undirviðmið!$E$6:$E$205,AH$4)*KVARDI,2),""))</f>
        <v/>
      </c>
      <c r="AJ12" s="23"/>
      <c r="AK12" s="40" t="str">
        <f aca="false">IF(OR(AJ$4=0,AJ12=""),"",IFERROR(ROUND(AJ12/INDEX(Undirviðmið!$F$6:$F$205,AJ$4)*INDEX(Undirviðmið!$E$6:$E$205,AJ$4)*KVARDI,2),""))</f>
        <v/>
      </c>
      <c r="AL12" s="23"/>
      <c r="AM12" s="40" t="str">
        <f aca="false">IF(OR(AL$4=0,AL12=""),"",IFERROR(ROUND(AL12/INDEX(Undirviðmið!$F$6:$F$205,AL$4)*INDEX(Undirviðmið!$E$6:$E$205,AL$4)*KVARDI,2),""))</f>
        <v/>
      </c>
      <c r="AN12" s="23"/>
      <c r="AO12" s="40" t="str">
        <f aca="false">IF(OR(AN$4=0,AN12=""),"",IFERROR(ROUND(AN12/INDEX(Undirviðmið!$F$6:$F$205,AN$4)*INDEX(Undirviðmið!$E$6:$E$205,AN$4)*KVARDI,2),""))</f>
        <v/>
      </c>
      <c r="AP12" s="23"/>
      <c r="AQ12" s="40" t="str">
        <f aca="false">IF(OR(AP$4=0,AP12=""),"",IFERROR(ROUND(AP12/INDEX(Undirviðmið!$F$6:$F$205,AP$4)*INDEX(Undirviðmið!$E$6:$E$205,AP$4)*KVARDI,2),""))</f>
        <v/>
      </c>
      <c r="AR12" s="23"/>
      <c r="AS12" s="40" t="str">
        <f aca="false">IF(OR(AR$4=0,AR12=""),"",IFERROR(ROUND(AR12/INDEX(Undirviðmið!$F$6:$F$205,AR$4)*INDEX(Undirviðmið!$E$6:$E$205,AR$4)*KVARDI,2),""))</f>
        <v/>
      </c>
      <c r="AT12" s="23"/>
      <c r="AU12" s="40" t="str">
        <f aca="false">IF(OR(AT$4=0,AT12=""),"",IFERROR(ROUND(AT12/INDEX(Undirviðmið!$F$6:$F$205,AT$4)*INDEX(Undirviðmið!$E$6:$E$205,AT$4)*KVARDI,2),""))</f>
        <v/>
      </c>
      <c r="AV12" s="23"/>
      <c r="AW12" s="40" t="str">
        <f aca="false">IF(OR(AV$4=0,AV12=""),"",IFERROR(ROUND(AV12/INDEX(Undirviðmið!$F$6:$F$205,AV$4)*INDEX(Undirviðmið!$E$6:$E$205,AV$4)*KVARDI,2),""))</f>
        <v/>
      </c>
      <c r="AX12" s="23"/>
      <c r="AY12" s="40" t="str">
        <f aca="false">IF(OR(AX$4=0,AX12=""),"",IFERROR(ROUND(AX12/INDEX(Undirviðmið!$F$6:$F$205,AX$4)*INDEX(Undirviðmið!$E$6:$E$205,AX$4)*KVARDI,2),""))</f>
        <v/>
      </c>
      <c r="AZ12" s="23"/>
      <c r="BA12" s="40" t="str">
        <f aca="false">IF(OR(AZ$4=0,AZ12=""),"",IFERROR(ROUND(AZ12/INDEX(Undirviðmið!$F$6:$F$205,AZ$4)*INDEX(Undirviðmið!$E$6:$E$205,AZ$4)*KVARDI,2),""))</f>
        <v/>
      </c>
      <c r="BB12" s="23"/>
      <c r="BC12" s="40" t="str">
        <f aca="false">IF(OR(BB$4=0,BB12=""),"",IFERROR(ROUND(BB12/INDEX(Undirviðmið!$F$6:$F$205,BB$4)*INDEX(Undirviðmið!$E$6:$E$205,BB$4)*KVARDI,2),""))</f>
        <v/>
      </c>
      <c r="BD12" s="23"/>
      <c r="BE12" s="40" t="str">
        <f aca="false">IF(OR(BD$4=0,BD12=""),"",IFERROR(ROUND(BD12/INDEX(Undirviðmið!$F$6:$F$205,BD$4)*INDEX(Undirviðmið!$E$6:$E$205,BD$4)*KVARDI,2),""))</f>
        <v/>
      </c>
      <c r="BF12" s="23"/>
      <c r="BG12" s="40" t="str">
        <f aca="false">IF(OR(BF$4=0,BF12=""),"",IFERROR(ROUND(BF12/INDEX(Undirviðmið!$F$6:$F$205,BF$4)*INDEX(Undirviðmið!$E$6:$E$205,BF$4)*KVARDI,2),""))</f>
        <v/>
      </c>
      <c r="BH12" s="23"/>
      <c r="BI12" s="40" t="str">
        <f aca="false">IF(OR(BH$4=0,BH12=""),"",IFERROR(ROUND(BH12/INDEX(Undirviðmið!$F$6:$F$205,BH$4)*INDEX(Undirviðmið!$E$6:$E$205,BH$4)*KVARDI,2),""))</f>
        <v/>
      </c>
      <c r="BJ12" s="23"/>
      <c r="BK12" s="40" t="str">
        <f aca="false">IF(OR(BJ$4=0,BJ12=""),"",IFERROR(ROUND(BJ12/INDEX(Undirviðmið!$F$6:$F$205,BJ$4)*INDEX(Undirviðmið!$E$6:$E$205,BJ$4)*KVARDI,2),""))</f>
        <v/>
      </c>
      <c r="BL12" s="23"/>
      <c r="BM12" s="40" t="str">
        <f aca="false">IF(OR(BL$4=0,BL12=""),"",IFERROR(ROUND(BL12/INDEX(Undirviðmið!$F$6:$F$205,BL$4)*INDEX(Undirviðmið!$E$6:$E$205,BL$4)*KVARDI,2),""))</f>
        <v/>
      </c>
      <c r="BN12" s="23"/>
      <c r="BO12" s="40" t="str">
        <f aca="false">IF(OR(BN$4=0,BN12=""),"",IFERROR(ROUND(BN12/INDEX(Undirviðmið!$F$6:$F$205,BN$4)*INDEX(Undirviðmið!$E$6:$E$205,BN$4)*KVARDI,2),""))</f>
        <v/>
      </c>
      <c r="BP12" s="23"/>
      <c r="BQ12" s="40" t="str">
        <f aca="false">IF(OR(BP$4=0,BP12=""),"",IFERROR(ROUND(BP12/INDEX(Undirviðmið!$F$6:$F$205,BP$4)*INDEX(Undirviðmið!$E$6:$E$205,BP$4)*KVARDI,2),""))</f>
        <v/>
      </c>
      <c r="BR12" s="23"/>
      <c r="BS12" s="40" t="str">
        <f aca="false">IF(OR(BR$4=0,BR12=""),"",IFERROR(ROUND(BR12/INDEX(Undirviðmið!$F$6:$F$205,BR$4)*INDEX(Undirviðmið!$E$6:$E$205,BR$4)*KVARDI,2),""))</f>
        <v/>
      </c>
      <c r="BT12" s="23"/>
      <c r="BU12" s="40" t="str">
        <f aca="false">IF(OR(BT$4=0,BT12=""),"",IFERROR(ROUND(BT12/INDEX(Undirviðmið!$F$6:$F$205,BT$4)*INDEX(Undirviðmið!$E$6:$E$205,BT$4)*KVARDI,2),""))</f>
        <v/>
      </c>
      <c r="BV12" s="23"/>
      <c r="BW12" s="40" t="str">
        <f aca="false">IF(OR(BV$4=0,BV12=""),"",IFERROR(ROUND(BV12/INDEX(Undirviðmið!$F$6:$F$205,BV$4)*INDEX(Undirviðmið!$E$6:$E$205,BV$4)*KVARDI,2),""))</f>
        <v/>
      </c>
      <c r="BX12" s="23"/>
      <c r="BY12" s="40" t="str">
        <f aca="false">IF(OR(BX$4=0,BX12=""),"",IFERROR(ROUND(BX12/INDEX(Undirviðmið!$F$6:$F$205,BX$4)*INDEX(Undirviðmið!$E$6:$E$205,BX$4)*KVARDI,2),""))</f>
        <v/>
      </c>
      <c r="BZ12" s="23"/>
      <c r="CA12" s="40" t="str">
        <f aca="false">IF(OR(BZ$4=0,BZ12=""),"",IFERROR(ROUND(BZ12/INDEX(Undirviðmið!$F$6:$F$205,BZ$4)*INDEX(Undirviðmið!$E$6:$E$205,BZ$4)*KVARDI,2),""))</f>
        <v/>
      </c>
      <c r="CB12" s="23"/>
      <c r="CC12" s="40" t="str">
        <f aca="false">IF(OR(CB$4=0,CB12=""),"",IFERROR(ROUND(CB12/INDEX(Undirviðmið!$F$6:$F$205,CB$4)*INDEX(Undirviðmið!$E$6:$E$205,CB$4)*KVARDI,2),""))</f>
        <v/>
      </c>
      <c r="CD12" s="23"/>
      <c r="CE12" s="40" t="str">
        <f aca="false">IF(OR(CD$4=0,CD12=""),"",IFERROR(ROUND(CD12/INDEX(Undirviðmið!$F$6:$F$205,CD$4)*INDEX(Undirviðmið!$E$6:$E$205,CD$4)*KVARDI,2),""))</f>
        <v/>
      </c>
      <c r="CF12" s="23"/>
      <c r="CG12" s="40" t="str">
        <f aca="false">IF(OR(CF$4=0,CF12=""),"",IFERROR(ROUND(CF12/INDEX(Undirviðmið!$F$6:$F$205,CF$4)*INDEX(Undirviðmið!$E$6:$E$205,CF$4)*KVARDI,2),""))</f>
        <v/>
      </c>
      <c r="CH12" s="23"/>
      <c r="CI12" s="40" t="str">
        <f aca="false">IF(OR(CH$4=0,CH12=""),"",IFERROR(ROUND(CH12/INDEX(Undirviðmið!$F$6:$F$205,CH$4)*INDEX(Undirviðmið!$E$6:$E$205,CH$4)*KVARDI,2),""))</f>
        <v/>
      </c>
      <c r="CJ12" s="23"/>
      <c r="CK12" s="40" t="str">
        <f aca="false">IF(OR(CJ$4=0,CJ12=""),"",IFERROR(ROUND(CJ12/INDEX(Undirviðmið!$F$6:$F$205,CJ$4)*INDEX(Undirviðmið!$E$6:$E$205,CJ$4)*KVARDI,2),""))</f>
        <v/>
      </c>
      <c r="CL12" s="23"/>
      <c r="CM12" s="40" t="str">
        <f aca="false">IF(OR(CL$4=0,CL12=""),"",IFERROR(ROUND(CL12/INDEX(Undirviðmið!$F$6:$F$205,CL$4)*INDEX(Undirviðmið!$E$6:$E$205,CL$4)*KVARDI,2),""))</f>
        <v/>
      </c>
      <c r="CN12" s="23"/>
      <c r="CO12" s="40" t="str">
        <f aca="false">IF(OR(CN$4=0,CN12=""),"",IFERROR(ROUND(CN12/INDEX(Undirviðmið!$F$6:$F$205,CN$4)*INDEX(Undirviðmið!$E$6:$E$205,CN$4)*KVARDI,2),""))</f>
        <v/>
      </c>
      <c r="CP12" s="23"/>
      <c r="CQ12" s="40" t="str">
        <f aca="false">IF(OR(CP$4=0,CP12=""),"",IFERROR(ROUND(CP12/INDEX(Undirviðmið!$F$6:$F$205,CP$4)*INDEX(Undirviðmið!$E$6:$E$205,CP$4)*KVARDI,2),""))</f>
        <v/>
      </c>
      <c r="CR12" s="23"/>
      <c r="CS12" s="40" t="str">
        <f aca="false">IF(OR(CR$4=0,CR12=""),"",IFERROR(ROUND(CR12/INDEX(Undirviðmið!$F$6:$F$205,CR$4)*INDEX(Undirviðmið!$E$6:$E$205,CR$4)*KVARDI,2),""))</f>
        <v/>
      </c>
      <c r="CT12" s="23"/>
      <c r="CU12" s="40" t="str">
        <f aca="false">IF(OR(CT$4=0,CT12=""),"",IFERROR(ROUND(CT12/INDEX(Undirviðmið!$F$6:$F$205,CT$4)*INDEX(Undirviðmið!$E$6:$E$205,CT$4)*KVARDI,2),""))</f>
        <v/>
      </c>
      <c r="CV12" s="23"/>
      <c r="CW12" s="40" t="str">
        <f aca="false">IF(OR(CV$4=0,CV12=""),"",IFERROR(ROUND(CV12/INDEX(Undirviðmið!$F$6:$F$205,CV$4)*INDEX(Undirviðmið!$E$6:$E$205,CV$4)*KVARDI,2),""))</f>
        <v/>
      </c>
      <c r="CX12" s="23"/>
      <c r="CY12" s="40" t="str">
        <f aca="false">IF(OR(CX$4=0,CX12=""),"",IFERROR(ROUND(CX12/INDEX(Undirviðmið!$F$6:$F$205,CX$4)*INDEX(Undirviðmið!$E$6:$E$205,CX$4)*KVARDI,2),""))</f>
        <v/>
      </c>
      <c r="CZ12" s="23"/>
      <c r="DA12" s="40" t="str">
        <f aca="false">IF(OR(CZ$4=0,CZ12=""),"",IFERROR(ROUND(CZ12/INDEX(Undirviðmið!$F$6:$F$205,CZ$4)*INDEX(Undirviðmið!$E$6:$E$205,CZ$4)*KVARDI,2),""))</f>
        <v/>
      </c>
      <c r="DB12" s="23"/>
      <c r="DC12" s="40" t="str">
        <f aca="false">IF(OR(DB$4=0,DB12=""),"",IFERROR(ROUND(DB12/INDEX(Undirviðmið!$F$6:$F$205,DB$4)*INDEX(Undirviðmið!$E$6:$E$205,DB$4)*KVARDI,2),""))</f>
        <v/>
      </c>
      <c r="DD12" s="23"/>
      <c r="DE12" s="40" t="str">
        <f aca="false">IF(OR(DD$4=0,DD12=""),"",IFERROR(ROUND(DD12/INDEX(Undirviðmið!$F$6:$F$205,DD$4)*INDEX(Undirviðmið!$E$6:$E$205,DD$4)*KVARDI,2),""))</f>
        <v/>
      </c>
      <c r="DF12" s="23"/>
      <c r="DG12" s="40" t="str">
        <f aca="false">IF(OR(DF$4=0,DF12=""),"",IFERROR(ROUND(DF12/INDEX(Undirviðmið!$F$6:$F$205,DF$4)*INDEX(Undirviðmið!$E$6:$E$205,DF$4)*KVARDI,2),""))</f>
        <v/>
      </c>
      <c r="DH12" s="23"/>
      <c r="DI12" s="40" t="str">
        <f aca="false">IF(OR(DH$4=0,DH12=""),"",IFERROR(ROUND(DH12/INDEX(Undirviðmið!$F$6:$F$205,DH$4)*INDEX(Undirviðmið!$E$6:$E$205,DH$4)*KVARDI,2),""))</f>
        <v/>
      </c>
      <c r="DJ12" s="23"/>
      <c r="DK12" s="40" t="str">
        <f aca="false">IF(OR(DJ$4=0,DJ12=""),"",IFERROR(ROUND(DJ12/INDEX(Undirviðmið!$F$6:$F$205,DJ$4)*INDEX(Undirviðmið!$E$6:$E$205,DJ$4)*KVARDI,2),""))</f>
        <v/>
      </c>
      <c r="DL12" s="23"/>
      <c r="DM12" s="40" t="str">
        <f aca="false">IF(OR(DL$4=0,DL12=""),"",IFERROR(ROUND(DL12/INDEX(Undirviðmið!$F$6:$F$205,DL$4)*INDEX(Undirviðmið!$E$6:$E$205,DL$4)*KVARDI,2),""))</f>
        <v/>
      </c>
      <c r="DN12" s="23"/>
      <c r="DO12" s="40" t="str">
        <f aca="false">IF(OR(DN$4=0,DN12=""),"",IFERROR(ROUND(DN12/INDEX(Undirviðmið!$F$6:$F$205,DN$4)*INDEX(Undirviðmið!$E$6:$E$205,DN$4)*KVARDI,2),""))</f>
        <v/>
      </c>
      <c r="DP12" s="23"/>
      <c r="DQ12" s="40" t="str">
        <f aca="false">IF(OR(DP$4=0,DP12=""),"",IFERROR(ROUND(DP12/INDEX(Undirviðmið!$F$6:$F$205,DP$4)*INDEX(Undirviðmið!$E$6:$E$205,DP$4)*KVARDI,2),""))</f>
        <v/>
      </c>
      <c r="DR12" s="23"/>
      <c r="DS12" s="40" t="str">
        <f aca="false">IF(OR(DR$4=0,DR12=""),"",IFERROR(ROUND(DR12/INDEX(Undirviðmið!$F$6:$F$205,DR$4)*INDEX(Undirviðmið!$E$6:$E$205,DR$4)*KVARDI,2),""))</f>
        <v/>
      </c>
      <c r="DT12" s="23"/>
      <c r="DU12" s="40" t="str">
        <f aca="false">IF(OR(DT$4=0,DT12=""),"",IFERROR(ROUND(DT12/INDEX(Undirviðmið!$F$6:$F$205,DT$4)*INDEX(Undirviðmið!$E$6:$E$205,DT$4)*KVARDI,2),""))</f>
        <v/>
      </c>
      <c r="DV12" s="23"/>
      <c r="DW12" s="40" t="str">
        <f aca="false">IF(OR(DV$4=0,DV12=""),"",IFERROR(ROUND(DV12/INDEX(Undirviðmið!$F$6:$F$205,DV$4)*INDEX(Undirviðmið!$E$6:$E$205,DV$4)*KVARDI,2),""))</f>
        <v/>
      </c>
      <c r="DX12" s="23"/>
      <c r="DY12" s="40" t="str">
        <f aca="false">IF(OR(DX$4=0,DX12=""),"",IFERROR(ROUND(DX12/INDEX(Undirviðmið!$F$6:$F$205,DX$4)*INDEX(Undirviðmið!$E$6:$E$205,DX$4)*KVARDI,2),""))</f>
        <v/>
      </c>
      <c r="DZ12" s="23"/>
      <c r="EA12" s="40" t="str">
        <f aca="false">IF(OR(DZ$4=0,DZ12=""),"",IFERROR(ROUND(DZ12/INDEX(Undirviðmið!$F$6:$F$205,DZ$4)*INDEX(Undirviðmið!$E$6:$E$205,DZ$4)*KVARDI,2),""))</f>
        <v/>
      </c>
      <c r="EB12" s="23"/>
      <c r="EC12" s="40" t="str">
        <f aca="false">IF(OR(EB$4=0,EB12=""),"",IFERROR(ROUND(EB12/INDEX(Undirviðmið!$F$6:$F$205,EB$4)*INDEX(Undirviðmið!$E$6:$E$205,EB$4)*KVARDI,2),""))</f>
        <v/>
      </c>
      <c r="ED12" s="23"/>
      <c r="EE12" s="40" t="str">
        <f aca="false">IF(OR(ED$4=0,ED12=""),"",IFERROR(ROUND(ED12/INDEX(Undirviðmið!$F$6:$F$205,ED$4)*INDEX(Undirviðmið!$E$6:$E$205,ED$4)*KVARDI,2),""))</f>
        <v/>
      </c>
      <c r="EF12" s="23"/>
      <c r="EG12" s="40" t="str">
        <f aca="false">IF(OR(EF$4=0,EF12=""),"",IFERROR(ROUND(EF12/INDEX(Undirviðmið!$F$6:$F$205,EF$4)*INDEX(Undirviðmið!$E$6:$E$205,EF$4)*KVARDI,2),""))</f>
        <v/>
      </c>
      <c r="EH12" s="23"/>
      <c r="EI12" s="40" t="str">
        <f aca="false">IF(OR(EH$4=0,EH12=""),"",IFERROR(ROUND(EH12/INDEX(Undirviðmið!$F$6:$F$205,EH$4)*INDEX(Undirviðmið!$E$6:$E$205,EH$4)*KVARDI,2),""))</f>
        <v/>
      </c>
      <c r="EJ12" s="23"/>
      <c r="EK12" s="40" t="str">
        <f aca="false">IF(OR(EJ$4=0,EJ12=""),"",IFERROR(ROUND(EJ12/INDEX(Undirviðmið!$F$6:$F$205,EJ$4)*INDEX(Undirviðmið!$E$6:$E$205,EJ$4)*KVARDI,2),""))</f>
        <v/>
      </c>
      <c r="EL12" s="23"/>
      <c r="EM12" s="40" t="str">
        <f aca="false">IF(OR(EL$4=0,EL12=""),"",IFERROR(ROUND(EL12/INDEX(Undirviðmið!$F$6:$F$205,EL$4)*INDEX(Undirviðmið!$E$6:$E$205,EL$4)*KVARDI,2),""))</f>
        <v/>
      </c>
      <c r="EN12" s="23"/>
      <c r="EO12" s="40" t="str">
        <f aca="false">IF(OR(EN$4=0,EN12=""),"",IFERROR(ROUND(EN12/INDEX(Undirviðmið!$F$6:$F$205,EN$4)*INDEX(Undirviðmið!$E$6:$E$205,EN$4)*KVARDI,2),""))</f>
        <v/>
      </c>
      <c r="EP12" s="23"/>
      <c r="EQ12" s="40" t="str">
        <f aca="false">IF(OR(EP$4=0,EP12=""),"",IFERROR(ROUND(EP12/INDEX(Undirviðmið!$F$6:$F$205,EP$4)*INDEX(Undirviðmið!$E$6:$E$205,EP$4)*KVARDI,2),""))</f>
        <v/>
      </c>
      <c r="ER12" s="23"/>
      <c r="ES12" s="40" t="str">
        <f aca="false">IF(OR(ER$4=0,ER12=""),"",IFERROR(ROUND(ER12/INDEX(Undirviðmið!$F$6:$F$205,ER$4)*INDEX(Undirviðmið!$E$6:$E$205,ER$4)*KVARDI,2),""))</f>
        <v/>
      </c>
      <c r="ET12" s="23"/>
      <c r="EU12" s="40" t="str">
        <f aca="false">IF(OR(ET$4=0,ET12=""),"",IFERROR(ROUND(ET12/INDEX(Undirviðmið!$F$6:$F$205,ET$4)*INDEX(Undirviðmið!$E$6:$E$205,ET$4)*KVARDI,2),""))</f>
        <v/>
      </c>
      <c r="EV12" s="23"/>
      <c r="EW12" s="40" t="str">
        <f aca="false">IF(OR(EV$4=0,EV12=""),"",IFERROR(ROUND(EV12/INDEX(Undirviðmið!$F$6:$F$205,EV$4)*INDEX(Undirviðmið!$E$6:$E$205,EV$4)*KVARDI,2),""))</f>
        <v/>
      </c>
      <c r="EX12" s="23"/>
      <c r="EY12" s="40" t="str">
        <f aca="false">IF(OR(EX$4=0,EX12=""),"",IFERROR(ROUND(EX12/INDEX(Undirviðmið!$F$6:$F$205,EX$4)*INDEX(Undirviðmið!$E$6:$E$205,EX$4)*KVARDI,2),""))</f>
        <v/>
      </c>
      <c r="EZ12" s="23"/>
      <c r="FA12" s="40" t="str">
        <f aca="false">IF(OR(EZ$4=0,EZ12=""),"",IFERROR(ROUND(EZ12/INDEX(Undirviðmið!$F$6:$F$205,EZ$4)*INDEX(Undirviðmið!$E$6:$E$205,EZ$4)*KVARDI,2),""))</f>
        <v/>
      </c>
      <c r="FB12" s="23"/>
      <c r="FC12" s="40" t="str">
        <f aca="false">IF(OR(FB$4=0,FB12=""),"",IFERROR(ROUND(FB12/INDEX(Undirviðmið!$F$6:$F$205,FB$4)*INDEX(Undirviðmið!$E$6:$E$205,FB$4)*KVARDI,2),""))</f>
        <v/>
      </c>
      <c r="FD12" s="23"/>
      <c r="FE12" s="40" t="str">
        <f aca="false">IF(OR(FD$4=0,FD12=""),"",IFERROR(ROUND(FD12/INDEX(Undirviðmið!$F$6:$F$205,FD$4)*INDEX(Undirviðmið!$E$6:$E$205,FD$4)*KVARDI,2),""))</f>
        <v/>
      </c>
      <c r="FF12" s="23"/>
      <c r="FG12" s="40" t="str">
        <f aca="false">IF(OR(FF$4=0,FF12=""),"",IFERROR(ROUND(FF12/INDEX(Undirviðmið!$F$6:$F$205,FF$4)*INDEX(Undirviðmið!$E$6:$E$205,FF$4)*KVARDI,2),""))</f>
        <v/>
      </c>
      <c r="FH12" s="23"/>
      <c r="FI12" s="40" t="str">
        <f aca="false">IF(OR(FH$4=0,FH12=""),"",IFERROR(ROUND(FH12/INDEX(Undirviðmið!$F$6:$F$205,FH$4)*INDEX(Undirviðmið!$E$6:$E$205,FH$4)*KVARDI,2),""))</f>
        <v/>
      </c>
      <c r="FJ12" s="23"/>
      <c r="FK12" s="40" t="str">
        <f aca="false">IF(OR(FJ$4=0,FJ12=""),"",IFERROR(ROUND(FJ12/INDEX(Undirviðmið!$F$6:$F$205,FJ$4)*INDEX(Undirviðmið!$E$6:$E$205,FJ$4)*KVARDI,2),""))</f>
        <v/>
      </c>
      <c r="FL12" s="23"/>
      <c r="FM12" s="40" t="str">
        <f aca="false">IF(OR(FL$4=0,FL12=""),"",IFERROR(ROUND(FL12/INDEX(Undirviðmið!$F$6:$F$205,FL$4)*INDEX(Undirviðmið!$E$6:$E$205,FL$4)*KVARDI,2),""))</f>
        <v/>
      </c>
      <c r="FN12" s="23"/>
      <c r="FO12" s="40" t="str">
        <f aca="false">IF(OR(FN$4=0,FN12=""),"",IFERROR(ROUND(FN12/INDEX(Undirviðmið!$F$6:$F$205,FN$4)*INDEX(Undirviðmið!$E$6:$E$205,FN$4)*KVARDI,2),""))</f>
        <v/>
      </c>
      <c r="FP12" s="23"/>
      <c r="FQ12" s="40" t="str">
        <f aca="false">IF(OR(FP$4=0,FP12=""),"",IFERROR(ROUND(FP12/INDEX(Undirviðmið!$F$6:$F$205,FP$4)*INDEX(Undirviðmið!$E$6:$E$205,FP$4)*KVARDI,2),""))</f>
        <v/>
      </c>
      <c r="FR12" s="23"/>
      <c r="FS12" s="40" t="str">
        <f aca="false">IF(OR(FR$4=0,FR12=""),"",IFERROR(ROUND(FR12/INDEX(Undirviðmið!$F$6:$F$205,FR$4)*INDEX(Undirviðmið!$E$6:$E$205,FR$4)*KVARDI,2),""))</f>
        <v/>
      </c>
      <c r="FT12" s="23"/>
      <c r="FU12" s="40" t="str">
        <f aca="false">IF(OR(FT$4=0,FT12=""),"",IFERROR(ROUND(FT12/INDEX(Undirviðmið!$F$6:$F$205,FT$4)*INDEX(Undirviðmið!$E$6:$E$205,FT$4)*KVARDI,2),""))</f>
        <v/>
      </c>
      <c r="FV12" s="23"/>
      <c r="FW12" s="40" t="str">
        <f aca="false">IF(OR(FV$4=0,FV12=""),"",IFERROR(ROUND(FV12/INDEX(Undirviðmið!$F$6:$F$205,FV$4)*INDEX(Undirviðmið!$E$6:$E$205,FV$4)*KVARDI,2),""))</f>
        <v/>
      </c>
      <c r="FX12" s="23"/>
      <c r="FY12" s="40" t="str">
        <f aca="false">IF(OR(FX$4=0,FX12=""),"",IFERROR(ROUND(FX12/INDEX(Undirviðmið!$F$6:$F$205,FX$4)*INDEX(Undirviðmið!$E$6:$E$205,FX$4)*KVARDI,2),""))</f>
        <v/>
      </c>
      <c r="FZ12" s="23"/>
      <c r="GA12" s="40" t="str">
        <f aca="false">IF(OR(FZ$4=0,FZ12=""),"",IFERROR(ROUND(FZ12/INDEX(Undirviðmið!$F$6:$F$205,FZ$4)*INDEX(Undirviðmið!$E$6:$E$205,FZ$4)*KVARDI,2),""))</f>
        <v/>
      </c>
      <c r="GB12" s="23"/>
      <c r="GC12" s="40" t="str">
        <f aca="false">IF(OR(GB$4=0,GB12=""),"",IFERROR(ROUND(GB12/INDEX(Undirviðmið!$F$6:$F$205,GB$4)*INDEX(Undirviðmið!$E$6:$E$205,GB$4)*KVARDI,2),""))</f>
        <v/>
      </c>
      <c r="GD12" s="23"/>
      <c r="GE12" s="40" t="str">
        <f aca="false">IF(OR(GD$4=0,GD12=""),"",IFERROR(ROUND(GD12/INDEX(Undirviðmið!$F$6:$F$205,GD$4)*INDEX(Undirviðmið!$E$6:$E$205,GD$4)*KVARDI,2),""))</f>
        <v/>
      </c>
      <c r="GF12" s="23"/>
      <c r="GG12" s="40" t="str">
        <f aca="false">IF(OR(GF$4=0,GF12=""),"",IFERROR(ROUND(GF12/INDEX(Undirviðmið!$F$6:$F$205,GF$4)*INDEX(Undirviðmið!$E$6:$E$205,GF$4)*KVARDI,2),""))</f>
        <v/>
      </c>
      <c r="GH12" s="23"/>
      <c r="GI12" s="40" t="str">
        <f aca="false">IF(OR(GH$4=0,GH12=""),"",IFERROR(ROUND(GH12/INDEX(Undirviðmið!$F$6:$F$205,GH$4)*INDEX(Undirviðmið!$E$6:$E$205,GH$4)*KVARDI,2),""))</f>
        <v/>
      </c>
      <c r="GJ12" s="23"/>
      <c r="GK12" s="40" t="str">
        <f aca="false">IF(OR(GJ$4=0,GJ12=""),"",IFERROR(ROUND(GJ12/INDEX(Undirviðmið!$F$6:$F$205,GJ$4)*INDEX(Undirviðmið!$E$6:$E$205,GJ$4)*KVARDI,2),""))</f>
        <v/>
      </c>
      <c r="GL12" s="23"/>
      <c r="GM12" s="40" t="str">
        <f aca="false">IF(OR(GL$4=0,GL12=""),"",IFERROR(ROUND(GL12/INDEX(Undirviðmið!$F$6:$F$205,GL$4)*INDEX(Undirviðmið!$E$6:$E$205,GL$4)*KVARDI,2),""))</f>
        <v/>
      </c>
      <c r="GN12" s="23"/>
      <c r="GO12" s="40" t="str">
        <f aca="false">IF(OR(GN$4=0,GN12=""),"",IFERROR(ROUND(GN12/INDEX(Undirviðmið!$F$6:$F$205,GN$4)*INDEX(Undirviðmið!$E$6:$E$205,GN$4)*KVARDI,2),""))</f>
        <v/>
      </c>
      <c r="GP12" s="23"/>
      <c r="GQ12" s="40" t="str">
        <f aca="false">IF(OR(GP$4=0,GP12=""),"",IFERROR(ROUND(GP12/INDEX(Undirviðmið!$F$6:$F$205,GP$4)*INDEX(Undirviðmið!$E$6:$E$205,GP$4)*KVARDI,2),""))</f>
        <v/>
      </c>
      <c r="GR12" s="23"/>
      <c r="GS12" s="40" t="str">
        <f aca="false">IF(OR(GR$4=0,GR12=""),"",IFERROR(ROUND(GR12/INDEX(Undirviðmið!$F$6:$F$205,GR$4)*INDEX(Undirviðmið!$E$6:$E$205,GR$4)*KVARDI,2),""))</f>
        <v/>
      </c>
      <c r="GT12" s="23"/>
      <c r="GU12" s="40" t="str">
        <f aca="false">IF(OR(GT$4=0,GT12=""),"",IFERROR(ROUND(GT12/INDEX(Undirviðmið!$F$6:$F$205,GT$4)*INDEX(Undirviðmið!$E$6:$E$205,GT$4)*KVARDI,2),""))</f>
        <v/>
      </c>
      <c r="GV12" s="44" t="n">
        <f aca="false">IFERROR(SUMIF($D$6:GU$6,"Stig",$D12:GU12),0)</f>
        <v>0</v>
      </c>
    </row>
    <row r="13" customFormat="false" ht="15" hidden="false" customHeight="true" outlineLevel="0" collapsed="false">
      <c r="A13" s="22" t="n">
        <f aca="false">ROW()-6</f>
        <v>7</v>
      </c>
      <c r="B13" s="24" t="str">
        <f aca="false">IF(INDEX(Starfsmenn!$B$6:$B$10005,ROW()-6)="","",INDEX(Starfsmenn!$B$6:$B$10005,ROW()-6))</f>
        <v/>
      </c>
      <c r="C13" s="24" t="str">
        <f aca="false">IF(INDEX(Starfsmenn!$C$6:$C$10005,ROW()-6)="","",INDEX(Starfsmenn!$C$6:$C$10005,ROW()-6))</f>
        <v/>
      </c>
      <c r="D13" s="23"/>
      <c r="E13" s="40" t="str">
        <f aca="false">IF(OR(D$4=0,D13=""),"",IFERROR(ROUND(D13/INDEX(Undirviðmið!$F$6:$F$205,D$4)*INDEX(Undirviðmið!$E$6:$E$205,D$4)*KVARDI,2),""))</f>
        <v/>
      </c>
      <c r="F13" s="23"/>
      <c r="G13" s="40" t="str">
        <f aca="false">IF(OR(F$4=0,F13=""),"",IFERROR(ROUND(F13/INDEX(Undirviðmið!$F$6:$F$205,F$4)*INDEX(Undirviðmið!$E$6:$E$205,F$4)*KVARDI,2),""))</f>
        <v/>
      </c>
      <c r="H13" s="23"/>
      <c r="I13" s="40" t="str">
        <f aca="false">IF(OR(H$4=0,H13=""),"",IFERROR(ROUND(H13/INDEX(Undirviðmið!$F$6:$F$205,H$4)*INDEX(Undirviðmið!$E$6:$E$205,H$4)*KVARDI,2),""))</f>
        <v/>
      </c>
      <c r="J13" s="23"/>
      <c r="K13" s="40" t="str">
        <f aca="false">IF(OR(J$4=0,J13=""),"",IFERROR(ROUND(J13/INDEX(Undirviðmið!$F$6:$F$205,J$4)*INDEX(Undirviðmið!$E$6:$E$205,J$4)*KVARDI,2),""))</f>
        <v/>
      </c>
      <c r="L13" s="23"/>
      <c r="M13" s="40" t="str">
        <f aca="false">IF(OR(L$4=0,L13=""),"",IFERROR(ROUND(L13/INDEX(Undirviðmið!$F$6:$F$205,L$4)*INDEX(Undirviðmið!$E$6:$E$205,L$4)*KVARDI,2),""))</f>
        <v/>
      </c>
      <c r="N13" s="23"/>
      <c r="O13" s="40" t="str">
        <f aca="false">IF(OR(N$4=0,N13=""),"",IFERROR(ROUND(N13/INDEX(Undirviðmið!$F$6:$F$205,N$4)*INDEX(Undirviðmið!$E$6:$E$205,N$4)*KVARDI,2),""))</f>
        <v/>
      </c>
      <c r="P13" s="23"/>
      <c r="Q13" s="40" t="str">
        <f aca="false">IF(OR(P$4=0,P13=""),"",IFERROR(ROUND(P13/INDEX(Undirviðmið!$F$6:$F$205,P$4)*INDEX(Undirviðmið!$E$6:$E$205,P$4)*KVARDI,2),""))</f>
        <v/>
      </c>
      <c r="R13" s="23"/>
      <c r="S13" s="40" t="str">
        <f aca="false">IF(OR(R$4=0,R13=""),"",IFERROR(ROUND(R13/INDEX(Undirviðmið!$F$6:$F$205,R$4)*INDEX(Undirviðmið!$E$6:$E$205,R$4)*KVARDI,2),""))</f>
        <v/>
      </c>
      <c r="T13" s="23"/>
      <c r="U13" s="40" t="str">
        <f aca="false">IF(OR(T$4=0,T13=""),"",IFERROR(ROUND(T13/INDEX(Undirviðmið!$F$6:$F$205,T$4)*INDEX(Undirviðmið!$E$6:$E$205,T$4)*KVARDI,2),""))</f>
        <v/>
      </c>
      <c r="V13" s="23"/>
      <c r="W13" s="40" t="str">
        <f aca="false">IF(OR(V$4=0,V13=""),"",IFERROR(ROUND(V13/INDEX(Undirviðmið!$F$6:$F$205,V$4)*INDEX(Undirviðmið!$E$6:$E$205,V$4)*KVARDI,2),""))</f>
        <v/>
      </c>
      <c r="X13" s="23"/>
      <c r="Y13" s="40" t="str">
        <f aca="false">IF(OR(X$4=0,X13=""),"",IFERROR(ROUND(X13/INDEX(Undirviðmið!$F$6:$F$205,X$4)*INDEX(Undirviðmið!$E$6:$E$205,X$4)*KVARDI,2),""))</f>
        <v/>
      </c>
      <c r="Z13" s="23"/>
      <c r="AA13" s="40" t="str">
        <f aca="false">IF(OR(Z$4=0,Z13=""),"",IFERROR(ROUND(Z13/INDEX(Undirviðmið!$F$6:$F$205,Z$4)*INDEX(Undirviðmið!$E$6:$E$205,Z$4)*KVARDI,2),""))</f>
        <v/>
      </c>
      <c r="AB13" s="23"/>
      <c r="AC13" s="40" t="str">
        <f aca="false">IF(OR(AB$4=0,AB13=""),"",IFERROR(ROUND(AB13/INDEX(Undirviðmið!$F$6:$F$205,AB$4)*INDEX(Undirviðmið!$E$6:$E$205,AB$4)*KVARDI,2),""))</f>
        <v/>
      </c>
      <c r="AD13" s="23"/>
      <c r="AE13" s="40" t="str">
        <f aca="false">IF(OR(AD$4=0,AD13=""),"",IFERROR(ROUND(AD13/INDEX(Undirviðmið!$F$6:$F$205,AD$4)*INDEX(Undirviðmið!$E$6:$E$205,AD$4)*KVARDI,2),""))</f>
        <v/>
      </c>
      <c r="AF13" s="23"/>
      <c r="AG13" s="40" t="str">
        <f aca="false">IF(OR(AF$4=0,AF13=""),"",IFERROR(ROUND(AF13/INDEX(Undirviðmið!$F$6:$F$205,AF$4)*INDEX(Undirviðmið!$E$6:$E$205,AF$4)*KVARDI,2),""))</f>
        <v/>
      </c>
      <c r="AH13" s="23"/>
      <c r="AI13" s="40" t="str">
        <f aca="false">IF(OR(AH$4=0,AH13=""),"",IFERROR(ROUND(AH13/INDEX(Undirviðmið!$F$6:$F$205,AH$4)*INDEX(Undirviðmið!$E$6:$E$205,AH$4)*KVARDI,2),""))</f>
        <v/>
      </c>
      <c r="AJ13" s="23"/>
      <c r="AK13" s="40" t="str">
        <f aca="false">IF(OR(AJ$4=0,AJ13=""),"",IFERROR(ROUND(AJ13/INDEX(Undirviðmið!$F$6:$F$205,AJ$4)*INDEX(Undirviðmið!$E$6:$E$205,AJ$4)*KVARDI,2),""))</f>
        <v/>
      </c>
      <c r="AL13" s="23"/>
      <c r="AM13" s="40" t="str">
        <f aca="false">IF(OR(AL$4=0,AL13=""),"",IFERROR(ROUND(AL13/INDEX(Undirviðmið!$F$6:$F$205,AL$4)*INDEX(Undirviðmið!$E$6:$E$205,AL$4)*KVARDI,2),""))</f>
        <v/>
      </c>
      <c r="AN13" s="23"/>
      <c r="AO13" s="40" t="str">
        <f aca="false">IF(OR(AN$4=0,AN13=""),"",IFERROR(ROUND(AN13/INDEX(Undirviðmið!$F$6:$F$205,AN$4)*INDEX(Undirviðmið!$E$6:$E$205,AN$4)*KVARDI,2),""))</f>
        <v/>
      </c>
      <c r="AP13" s="23"/>
      <c r="AQ13" s="40" t="str">
        <f aca="false">IF(OR(AP$4=0,AP13=""),"",IFERROR(ROUND(AP13/INDEX(Undirviðmið!$F$6:$F$205,AP$4)*INDEX(Undirviðmið!$E$6:$E$205,AP$4)*KVARDI,2),""))</f>
        <v/>
      </c>
      <c r="AR13" s="23"/>
      <c r="AS13" s="40" t="str">
        <f aca="false">IF(OR(AR$4=0,AR13=""),"",IFERROR(ROUND(AR13/INDEX(Undirviðmið!$F$6:$F$205,AR$4)*INDEX(Undirviðmið!$E$6:$E$205,AR$4)*KVARDI,2),""))</f>
        <v/>
      </c>
      <c r="AT13" s="23"/>
      <c r="AU13" s="40" t="str">
        <f aca="false">IF(OR(AT$4=0,AT13=""),"",IFERROR(ROUND(AT13/INDEX(Undirviðmið!$F$6:$F$205,AT$4)*INDEX(Undirviðmið!$E$6:$E$205,AT$4)*KVARDI,2),""))</f>
        <v/>
      </c>
      <c r="AV13" s="23"/>
      <c r="AW13" s="40" t="str">
        <f aca="false">IF(OR(AV$4=0,AV13=""),"",IFERROR(ROUND(AV13/INDEX(Undirviðmið!$F$6:$F$205,AV$4)*INDEX(Undirviðmið!$E$6:$E$205,AV$4)*KVARDI,2),""))</f>
        <v/>
      </c>
      <c r="AX13" s="23"/>
      <c r="AY13" s="40" t="str">
        <f aca="false">IF(OR(AX$4=0,AX13=""),"",IFERROR(ROUND(AX13/INDEX(Undirviðmið!$F$6:$F$205,AX$4)*INDEX(Undirviðmið!$E$6:$E$205,AX$4)*KVARDI,2),""))</f>
        <v/>
      </c>
      <c r="AZ13" s="23"/>
      <c r="BA13" s="40" t="str">
        <f aca="false">IF(OR(AZ$4=0,AZ13=""),"",IFERROR(ROUND(AZ13/INDEX(Undirviðmið!$F$6:$F$205,AZ$4)*INDEX(Undirviðmið!$E$6:$E$205,AZ$4)*KVARDI,2),""))</f>
        <v/>
      </c>
      <c r="BB13" s="23"/>
      <c r="BC13" s="40" t="str">
        <f aca="false">IF(OR(BB$4=0,BB13=""),"",IFERROR(ROUND(BB13/INDEX(Undirviðmið!$F$6:$F$205,BB$4)*INDEX(Undirviðmið!$E$6:$E$205,BB$4)*KVARDI,2),""))</f>
        <v/>
      </c>
      <c r="BD13" s="23"/>
      <c r="BE13" s="40" t="str">
        <f aca="false">IF(OR(BD$4=0,BD13=""),"",IFERROR(ROUND(BD13/INDEX(Undirviðmið!$F$6:$F$205,BD$4)*INDEX(Undirviðmið!$E$6:$E$205,BD$4)*KVARDI,2),""))</f>
        <v/>
      </c>
      <c r="BF13" s="23"/>
      <c r="BG13" s="40" t="str">
        <f aca="false">IF(OR(BF$4=0,BF13=""),"",IFERROR(ROUND(BF13/INDEX(Undirviðmið!$F$6:$F$205,BF$4)*INDEX(Undirviðmið!$E$6:$E$205,BF$4)*KVARDI,2),""))</f>
        <v/>
      </c>
      <c r="BH13" s="23"/>
      <c r="BI13" s="40" t="str">
        <f aca="false">IF(OR(BH$4=0,BH13=""),"",IFERROR(ROUND(BH13/INDEX(Undirviðmið!$F$6:$F$205,BH$4)*INDEX(Undirviðmið!$E$6:$E$205,BH$4)*KVARDI,2),""))</f>
        <v/>
      </c>
      <c r="BJ13" s="23"/>
      <c r="BK13" s="40" t="str">
        <f aca="false">IF(OR(BJ$4=0,BJ13=""),"",IFERROR(ROUND(BJ13/INDEX(Undirviðmið!$F$6:$F$205,BJ$4)*INDEX(Undirviðmið!$E$6:$E$205,BJ$4)*KVARDI,2),""))</f>
        <v/>
      </c>
      <c r="BL13" s="23"/>
      <c r="BM13" s="40" t="str">
        <f aca="false">IF(OR(BL$4=0,BL13=""),"",IFERROR(ROUND(BL13/INDEX(Undirviðmið!$F$6:$F$205,BL$4)*INDEX(Undirviðmið!$E$6:$E$205,BL$4)*KVARDI,2),""))</f>
        <v/>
      </c>
      <c r="BN13" s="23"/>
      <c r="BO13" s="40" t="str">
        <f aca="false">IF(OR(BN$4=0,BN13=""),"",IFERROR(ROUND(BN13/INDEX(Undirviðmið!$F$6:$F$205,BN$4)*INDEX(Undirviðmið!$E$6:$E$205,BN$4)*KVARDI,2),""))</f>
        <v/>
      </c>
      <c r="BP13" s="23"/>
      <c r="BQ13" s="40" t="str">
        <f aca="false">IF(OR(BP$4=0,BP13=""),"",IFERROR(ROUND(BP13/INDEX(Undirviðmið!$F$6:$F$205,BP$4)*INDEX(Undirviðmið!$E$6:$E$205,BP$4)*KVARDI,2),""))</f>
        <v/>
      </c>
      <c r="BR13" s="23"/>
      <c r="BS13" s="40" t="str">
        <f aca="false">IF(OR(BR$4=0,BR13=""),"",IFERROR(ROUND(BR13/INDEX(Undirviðmið!$F$6:$F$205,BR$4)*INDEX(Undirviðmið!$E$6:$E$205,BR$4)*KVARDI,2),""))</f>
        <v/>
      </c>
      <c r="BT13" s="23"/>
      <c r="BU13" s="40" t="str">
        <f aca="false">IF(OR(BT$4=0,BT13=""),"",IFERROR(ROUND(BT13/INDEX(Undirviðmið!$F$6:$F$205,BT$4)*INDEX(Undirviðmið!$E$6:$E$205,BT$4)*KVARDI,2),""))</f>
        <v/>
      </c>
      <c r="BV13" s="23"/>
      <c r="BW13" s="40" t="str">
        <f aca="false">IF(OR(BV$4=0,BV13=""),"",IFERROR(ROUND(BV13/INDEX(Undirviðmið!$F$6:$F$205,BV$4)*INDEX(Undirviðmið!$E$6:$E$205,BV$4)*KVARDI,2),""))</f>
        <v/>
      </c>
      <c r="BX13" s="23"/>
      <c r="BY13" s="40" t="str">
        <f aca="false">IF(OR(BX$4=0,BX13=""),"",IFERROR(ROUND(BX13/INDEX(Undirviðmið!$F$6:$F$205,BX$4)*INDEX(Undirviðmið!$E$6:$E$205,BX$4)*KVARDI,2),""))</f>
        <v/>
      </c>
      <c r="BZ13" s="23"/>
      <c r="CA13" s="40" t="str">
        <f aca="false">IF(OR(BZ$4=0,BZ13=""),"",IFERROR(ROUND(BZ13/INDEX(Undirviðmið!$F$6:$F$205,BZ$4)*INDEX(Undirviðmið!$E$6:$E$205,BZ$4)*KVARDI,2),""))</f>
        <v/>
      </c>
      <c r="CB13" s="23"/>
      <c r="CC13" s="40" t="str">
        <f aca="false">IF(OR(CB$4=0,CB13=""),"",IFERROR(ROUND(CB13/INDEX(Undirviðmið!$F$6:$F$205,CB$4)*INDEX(Undirviðmið!$E$6:$E$205,CB$4)*KVARDI,2),""))</f>
        <v/>
      </c>
      <c r="CD13" s="23"/>
      <c r="CE13" s="40" t="str">
        <f aca="false">IF(OR(CD$4=0,CD13=""),"",IFERROR(ROUND(CD13/INDEX(Undirviðmið!$F$6:$F$205,CD$4)*INDEX(Undirviðmið!$E$6:$E$205,CD$4)*KVARDI,2),""))</f>
        <v/>
      </c>
      <c r="CF13" s="23"/>
      <c r="CG13" s="40" t="str">
        <f aca="false">IF(OR(CF$4=0,CF13=""),"",IFERROR(ROUND(CF13/INDEX(Undirviðmið!$F$6:$F$205,CF$4)*INDEX(Undirviðmið!$E$6:$E$205,CF$4)*KVARDI,2),""))</f>
        <v/>
      </c>
      <c r="CH13" s="23"/>
      <c r="CI13" s="40" t="str">
        <f aca="false">IF(OR(CH$4=0,CH13=""),"",IFERROR(ROUND(CH13/INDEX(Undirviðmið!$F$6:$F$205,CH$4)*INDEX(Undirviðmið!$E$6:$E$205,CH$4)*KVARDI,2),""))</f>
        <v/>
      </c>
      <c r="CJ13" s="23"/>
      <c r="CK13" s="40" t="str">
        <f aca="false">IF(OR(CJ$4=0,CJ13=""),"",IFERROR(ROUND(CJ13/INDEX(Undirviðmið!$F$6:$F$205,CJ$4)*INDEX(Undirviðmið!$E$6:$E$205,CJ$4)*KVARDI,2),""))</f>
        <v/>
      </c>
      <c r="CL13" s="23"/>
      <c r="CM13" s="40" t="str">
        <f aca="false">IF(OR(CL$4=0,CL13=""),"",IFERROR(ROUND(CL13/INDEX(Undirviðmið!$F$6:$F$205,CL$4)*INDEX(Undirviðmið!$E$6:$E$205,CL$4)*KVARDI,2),""))</f>
        <v/>
      </c>
      <c r="CN13" s="23"/>
      <c r="CO13" s="40" t="str">
        <f aca="false">IF(OR(CN$4=0,CN13=""),"",IFERROR(ROUND(CN13/INDEX(Undirviðmið!$F$6:$F$205,CN$4)*INDEX(Undirviðmið!$E$6:$E$205,CN$4)*KVARDI,2),""))</f>
        <v/>
      </c>
      <c r="CP13" s="23"/>
      <c r="CQ13" s="40" t="str">
        <f aca="false">IF(OR(CP$4=0,CP13=""),"",IFERROR(ROUND(CP13/INDEX(Undirviðmið!$F$6:$F$205,CP$4)*INDEX(Undirviðmið!$E$6:$E$205,CP$4)*KVARDI,2),""))</f>
        <v/>
      </c>
      <c r="CR13" s="23"/>
      <c r="CS13" s="40" t="str">
        <f aca="false">IF(OR(CR$4=0,CR13=""),"",IFERROR(ROUND(CR13/INDEX(Undirviðmið!$F$6:$F$205,CR$4)*INDEX(Undirviðmið!$E$6:$E$205,CR$4)*KVARDI,2),""))</f>
        <v/>
      </c>
      <c r="CT13" s="23"/>
      <c r="CU13" s="40" t="str">
        <f aca="false">IF(OR(CT$4=0,CT13=""),"",IFERROR(ROUND(CT13/INDEX(Undirviðmið!$F$6:$F$205,CT$4)*INDEX(Undirviðmið!$E$6:$E$205,CT$4)*KVARDI,2),""))</f>
        <v/>
      </c>
      <c r="CV13" s="23"/>
      <c r="CW13" s="40" t="str">
        <f aca="false">IF(OR(CV$4=0,CV13=""),"",IFERROR(ROUND(CV13/INDEX(Undirviðmið!$F$6:$F$205,CV$4)*INDEX(Undirviðmið!$E$6:$E$205,CV$4)*KVARDI,2),""))</f>
        <v/>
      </c>
      <c r="CX13" s="23"/>
      <c r="CY13" s="40" t="str">
        <f aca="false">IF(OR(CX$4=0,CX13=""),"",IFERROR(ROUND(CX13/INDEX(Undirviðmið!$F$6:$F$205,CX$4)*INDEX(Undirviðmið!$E$6:$E$205,CX$4)*KVARDI,2),""))</f>
        <v/>
      </c>
      <c r="CZ13" s="23"/>
      <c r="DA13" s="40" t="str">
        <f aca="false">IF(OR(CZ$4=0,CZ13=""),"",IFERROR(ROUND(CZ13/INDEX(Undirviðmið!$F$6:$F$205,CZ$4)*INDEX(Undirviðmið!$E$6:$E$205,CZ$4)*KVARDI,2),""))</f>
        <v/>
      </c>
      <c r="DB13" s="23"/>
      <c r="DC13" s="40" t="str">
        <f aca="false">IF(OR(DB$4=0,DB13=""),"",IFERROR(ROUND(DB13/INDEX(Undirviðmið!$F$6:$F$205,DB$4)*INDEX(Undirviðmið!$E$6:$E$205,DB$4)*KVARDI,2),""))</f>
        <v/>
      </c>
      <c r="DD13" s="23"/>
      <c r="DE13" s="40" t="str">
        <f aca="false">IF(OR(DD$4=0,DD13=""),"",IFERROR(ROUND(DD13/INDEX(Undirviðmið!$F$6:$F$205,DD$4)*INDEX(Undirviðmið!$E$6:$E$205,DD$4)*KVARDI,2),""))</f>
        <v/>
      </c>
      <c r="DF13" s="23"/>
      <c r="DG13" s="40" t="str">
        <f aca="false">IF(OR(DF$4=0,DF13=""),"",IFERROR(ROUND(DF13/INDEX(Undirviðmið!$F$6:$F$205,DF$4)*INDEX(Undirviðmið!$E$6:$E$205,DF$4)*KVARDI,2),""))</f>
        <v/>
      </c>
      <c r="DH13" s="23"/>
      <c r="DI13" s="40" t="str">
        <f aca="false">IF(OR(DH$4=0,DH13=""),"",IFERROR(ROUND(DH13/INDEX(Undirviðmið!$F$6:$F$205,DH$4)*INDEX(Undirviðmið!$E$6:$E$205,DH$4)*KVARDI,2),""))</f>
        <v/>
      </c>
      <c r="DJ13" s="23"/>
      <c r="DK13" s="40" t="str">
        <f aca="false">IF(OR(DJ$4=0,DJ13=""),"",IFERROR(ROUND(DJ13/INDEX(Undirviðmið!$F$6:$F$205,DJ$4)*INDEX(Undirviðmið!$E$6:$E$205,DJ$4)*KVARDI,2),""))</f>
        <v/>
      </c>
      <c r="DL13" s="23"/>
      <c r="DM13" s="40" t="str">
        <f aca="false">IF(OR(DL$4=0,DL13=""),"",IFERROR(ROUND(DL13/INDEX(Undirviðmið!$F$6:$F$205,DL$4)*INDEX(Undirviðmið!$E$6:$E$205,DL$4)*KVARDI,2),""))</f>
        <v/>
      </c>
      <c r="DN13" s="23"/>
      <c r="DO13" s="40" t="str">
        <f aca="false">IF(OR(DN$4=0,DN13=""),"",IFERROR(ROUND(DN13/INDEX(Undirviðmið!$F$6:$F$205,DN$4)*INDEX(Undirviðmið!$E$6:$E$205,DN$4)*KVARDI,2),""))</f>
        <v/>
      </c>
      <c r="DP13" s="23"/>
      <c r="DQ13" s="40" t="str">
        <f aca="false">IF(OR(DP$4=0,DP13=""),"",IFERROR(ROUND(DP13/INDEX(Undirviðmið!$F$6:$F$205,DP$4)*INDEX(Undirviðmið!$E$6:$E$205,DP$4)*KVARDI,2),""))</f>
        <v/>
      </c>
      <c r="DR13" s="23"/>
      <c r="DS13" s="40" t="str">
        <f aca="false">IF(OR(DR$4=0,DR13=""),"",IFERROR(ROUND(DR13/INDEX(Undirviðmið!$F$6:$F$205,DR$4)*INDEX(Undirviðmið!$E$6:$E$205,DR$4)*KVARDI,2),""))</f>
        <v/>
      </c>
      <c r="DT13" s="23"/>
      <c r="DU13" s="40" t="str">
        <f aca="false">IF(OR(DT$4=0,DT13=""),"",IFERROR(ROUND(DT13/INDEX(Undirviðmið!$F$6:$F$205,DT$4)*INDEX(Undirviðmið!$E$6:$E$205,DT$4)*KVARDI,2),""))</f>
        <v/>
      </c>
      <c r="DV13" s="23"/>
      <c r="DW13" s="40" t="str">
        <f aca="false">IF(OR(DV$4=0,DV13=""),"",IFERROR(ROUND(DV13/INDEX(Undirviðmið!$F$6:$F$205,DV$4)*INDEX(Undirviðmið!$E$6:$E$205,DV$4)*KVARDI,2),""))</f>
        <v/>
      </c>
      <c r="DX13" s="23"/>
      <c r="DY13" s="40" t="str">
        <f aca="false">IF(OR(DX$4=0,DX13=""),"",IFERROR(ROUND(DX13/INDEX(Undirviðmið!$F$6:$F$205,DX$4)*INDEX(Undirviðmið!$E$6:$E$205,DX$4)*KVARDI,2),""))</f>
        <v/>
      </c>
      <c r="DZ13" s="23"/>
      <c r="EA13" s="40" t="str">
        <f aca="false">IF(OR(DZ$4=0,DZ13=""),"",IFERROR(ROUND(DZ13/INDEX(Undirviðmið!$F$6:$F$205,DZ$4)*INDEX(Undirviðmið!$E$6:$E$205,DZ$4)*KVARDI,2),""))</f>
        <v/>
      </c>
      <c r="EB13" s="23"/>
      <c r="EC13" s="40" t="str">
        <f aca="false">IF(OR(EB$4=0,EB13=""),"",IFERROR(ROUND(EB13/INDEX(Undirviðmið!$F$6:$F$205,EB$4)*INDEX(Undirviðmið!$E$6:$E$205,EB$4)*KVARDI,2),""))</f>
        <v/>
      </c>
      <c r="ED13" s="23"/>
      <c r="EE13" s="40" t="str">
        <f aca="false">IF(OR(ED$4=0,ED13=""),"",IFERROR(ROUND(ED13/INDEX(Undirviðmið!$F$6:$F$205,ED$4)*INDEX(Undirviðmið!$E$6:$E$205,ED$4)*KVARDI,2),""))</f>
        <v/>
      </c>
      <c r="EF13" s="23"/>
      <c r="EG13" s="40" t="str">
        <f aca="false">IF(OR(EF$4=0,EF13=""),"",IFERROR(ROUND(EF13/INDEX(Undirviðmið!$F$6:$F$205,EF$4)*INDEX(Undirviðmið!$E$6:$E$205,EF$4)*KVARDI,2),""))</f>
        <v/>
      </c>
      <c r="EH13" s="23"/>
      <c r="EI13" s="40" t="str">
        <f aca="false">IF(OR(EH$4=0,EH13=""),"",IFERROR(ROUND(EH13/INDEX(Undirviðmið!$F$6:$F$205,EH$4)*INDEX(Undirviðmið!$E$6:$E$205,EH$4)*KVARDI,2),""))</f>
        <v/>
      </c>
      <c r="EJ13" s="23"/>
      <c r="EK13" s="40" t="str">
        <f aca="false">IF(OR(EJ$4=0,EJ13=""),"",IFERROR(ROUND(EJ13/INDEX(Undirviðmið!$F$6:$F$205,EJ$4)*INDEX(Undirviðmið!$E$6:$E$205,EJ$4)*KVARDI,2),""))</f>
        <v/>
      </c>
      <c r="EL13" s="23"/>
      <c r="EM13" s="40" t="str">
        <f aca="false">IF(OR(EL$4=0,EL13=""),"",IFERROR(ROUND(EL13/INDEX(Undirviðmið!$F$6:$F$205,EL$4)*INDEX(Undirviðmið!$E$6:$E$205,EL$4)*KVARDI,2),""))</f>
        <v/>
      </c>
      <c r="EN13" s="23"/>
      <c r="EO13" s="40" t="str">
        <f aca="false">IF(OR(EN$4=0,EN13=""),"",IFERROR(ROUND(EN13/INDEX(Undirviðmið!$F$6:$F$205,EN$4)*INDEX(Undirviðmið!$E$6:$E$205,EN$4)*KVARDI,2),""))</f>
        <v/>
      </c>
      <c r="EP13" s="23"/>
      <c r="EQ13" s="40" t="str">
        <f aca="false">IF(OR(EP$4=0,EP13=""),"",IFERROR(ROUND(EP13/INDEX(Undirviðmið!$F$6:$F$205,EP$4)*INDEX(Undirviðmið!$E$6:$E$205,EP$4)*KVARDI,2),""))</f>
        <v/>
      </c>
      <c r="ER13" s="23"/>
      <c r="ES13" s="40" t="str">
        <f aca="false">IF(OR(ER$4=0,ER13=""),"",IFERROR(ROUND(ER13/INDEX(Undirviðmið!$F$6:$F$205,ER$4)*INDEX(Undirviðmið!$E$6:$E$205,ER$4)*KVARDI,2),""))</f>
        <v/>
      </c>
      <c r="ET13" s="23"/>
      <c r="EU13" s="40" t="str">
        <f aca="false">IF(OR(ET$4=0,ET13=""),"",IFERROR(ROUND(ET13/INDEX(Undirviðmið!$F$6:$F$205,ET$4)*INDEX(Undirviðmið!$E$6:$E$205,ET$4)*KVARDI,2),""))</f>
        <v/>
      </c>
      <c r="EV13" s="23"/>
      <c r="EW13" s="40" t="str">
        <f aca="false">IF(OR(EV$4=0,EV13=""),"",IFERROR(ROUND(EV13/INDEX(Undirviðmið!$F$6:$F$205,EV$4)*INDEX(Undirviðmið!$E$6:$E$205,EV$4)*KVARDI,2),""))</f>
        <v/>
      </c>
      <c r="EX13" s="23"/>
      <c r="EY13" s="40" t="str">
        <f aca="false">IF(OR(EX$4=0,EX13=""),"",IFERROR(ROUND(EX13/INDEX(Undirviðmið!$F$6:$F$205,EX$4)*INDEX(Undirviðmið!$E$6:$E$205,EX$4)*KVARDI,2),""))</f>
        <v/>
      </c>
      <c r="EZ13" s="23"/>
      <c r="FA13" s="40" t="str">
        <f aca="false">IF(OR(EZ$4=0,EZ13=""),"",IFERROR(ROUND(EZ13/INDEX(Undirviðmið!$F$6:$F$205,EZ$4)*INDEX(Undirviðmið!$E$6:$E$205,EZ$4)*KVARDI,2),""))</f>
        <v/>
      </c>
      <c r="FB13" s="23"/>
      <c r="FC13" s="40" t="str">
        <f aca="false">IF(OR(FB$4=0,FB13=""),"",IFERROR(ROUND(FB13/INDEX(Undirviðmið!$F$6:$F$205,FB$4)*INDEX(Undirviðmið!$E$6:$E$205,FB$4)*KVARDI,2),""))</f>
        <v/>
      </c>
      <c r="FD13" s="23"/>
      <c r="FE13" s="40" t="str">
        <f aca="false">IF(OR(FD$4=0,FD13=""),"",IFERROR(ROUND(FD13/INDEX(Undirviðmið!$F$6:$F$205,FD$4)*INDEX(Undirviðmið!$E$6:$E$205,FD$4)*KVARDI,2),""))</f>
        <v/>
      </c>
      <c r="FF13" s="23"/>
      <c r="FG13" s="40" t="str">
        <f aca="false">IF(OR(FF$4=0,FF13=""),"",IFERROR(ROUND(FF13/INDEX(Undirviðmið!$F$6:$F$205,FF$4)*INDEX(Undirviðmið!$E$6:$E$205,FF$4)*KVARDI,2),""))</f>
        <v/>
      </c>
      <c r="FH13" s="23"/>
      <c r="FI13" s="40" t="str">
        <f aca="false">IF(OR(FH$4=0,FH13=""),"",IFERROR(ROUND(FH13/INDEX(Undirviðmið!$F$6:$F$205,FH$4)*INDEX(Undirviðmið!$E$6:$E$205,FH$4)*KVARDI,2),""))</f>
        <v/>
      </c>
      <c r="FJ13" s="23"/>
      <c r="FK13" s="40" t="str">
        <f aca="false">IF(OR(FJ$4=0,FJ13=""),"",IFERROR(ROUND(FJ13/INDEX(Undirviðmið!$F$6:$F$205,FJ$4)*INDEX(Undirviðmið!$E$6:$E$205,FJ$4)*KVARDI,2),""))</f>
        <v/>
      </c>
      <c r="FL13" s="23"/>
      <c r="FM13" s="40" t="str">
        <f aca="false">IF(OR(FL$4=0,FL13=""),"",IFERROR(ROUND(FL13/INDEX(Undirviðmið!$F$6:$F$205,FL$4)*INDEX(Undirviðmið!$E$6:$E$205,FL$4)*KVARDI,2),""))</f>
        <v/>
      </c>
      <c r="FN13" s="23"/>
      <c r="FO13" s="40" t="str">
        <f aca="false">IF(OR(FN$4=0,FN13=""),"",IFERROR(ROUND(FN13/INDEX(Undirviðmið!$F$6:$F$205,FN$4)*INDEX(Undirviðmið!$E$6:$E$205,FN$4)*KVARDI,2),""))</f>
        <v/>
      </c>
      <c r="FP13" s="23"/>
      <c r="FQ13" s="40" t="str">
        <f aca="false">IF(OR(FP$4=0,FP13=""),"",IFERROR(ROUND(FP13/INDEX(Undirviðmið!$F$6:$F$205,FP$4)*INDEX(Undirviðmið!$E$6:$E$205,FP$4)*KVARDI,2),""))</f>
        <v/>
      </c>
      <c r="FR13" s="23"/>
      <c r="FS13" s="40" t="str">
        <f aca="false">IF(OR(FR$4=0,FR13=""),"",IFERROR(ROUND(FR13/INDEX(Undirviðmið!$F$6:$F$205,FR$4)*INDEX(Undirviðmið!$E$6:$E$205,FR$4)*KVARDI,2),""))</f>
        <v/>
      </c>
      <c r="FT13" s="23"/>
      <c r="FU13" s="40" t="str">
        <f aca="false">IF(OR(FT$4=0,FT13=""),"",IFERROR(ROUND(FT13/INDEX(Undirviðmið!$F$6:$F$205,FT$4)*INDEX(Undirviðmið!$E$6:$E$205,FT$4)*KVARDI,2),""))</f>
        <v/>
      </c>
      <c r="FV13" s="23"/>
      <c r="FW13" s="40" t="str">
        <f aca="false">IF(OR(FV$4=0,FV13=""),"",IFERROR(ROUND(FV13/INDEX(Undirviðmið!$F$6:$F$205,FV$4)*INDEX(Undirviðmið!$E$6:$E$205,FV$4)*KVARDI,2),""))</f>
        <v/>
      </c>
      <c r="FX13" s="23"/>
      <c r="FY13" s="40" t="str">
        <f aca="false">IF(OR(FX$4=0,FX13=""),"",IFERROR(ROUND(FX13/INDEX(Undirviðmið!$F$6:$F$205,FX$4)*INDEX(Undirviðmið!$E$6:$E$205,FX$4)*KVARDI,2),""))</f>
        <v/>
      </c>
      <c r="FZ13" s="23"/>
      <c r="GA13" s="40" t="str">
        <f aca="false">IF(OR(FZ$4=0,FZ13=""),"",IFERROR(ROUND(FZ13/INDEX(Undirviðmið!$F$6:$F$205,FZ$4)*INDEX(Undirviðmið!$E$6:$E$205,FZ$4)*KVARDI,2),""))</f>
        <v/>
      </c>
      <c r="GB13" s="23"/>
      <c r="GC13" s="40" t="str">
        <f aca="false">IF(OR(GB$4=0,GB13=""),"",IFERROR(ROUND(GB13/INDEX(Undirviðmið!$F$6:$F$205,GB$4)*INDEX(Undirviðmið!$E$6:$E$205,GB$4)*KVARDI,2),""))</f>
        <v/>
      </c>
      <c r="GD13" s="23"/>
      <c r="GE13" s="40" t="str">
        <f aca="false">IF(OR(GD$4=0,GD13=""),"",IFERROR(ROUND(GD13/INDEX(Undirviðmið!$F$6:$F$205,GD$4)*INDEX(Undirviðmið!$E$6:$E$205,GD$4)*KVARDI,2),""))</f>
        <v/>
      </c>
      <c r="GF13" s="23"/>
      <c r="GG13" s="40" t="str">
        <f aca="false">IF(OR(GF$4=0,GF13=""),"",IFERROR(ROUND(GF13/INDEX(Undirviðmið!$F$6:$F$205,GF$4)*INDEX(Undirviðmið!$E$6:$E$205,GF$4)*KVARDI,2),""))</f>
        <v/>
      </c>
      <c r="GH13" s="23"/>
      <c r="GI13" s="40" t="str">
        <f aca="false">IF(OR(GH$4=0,GH13=""),"",IFERROR(ROUND(GH13/INDEX(Undirviðmið!$F$6:$F$205,GH$4)*INDEX(Undirviðmið!$E$6:$E$205,GH$4)*KVARDI,2),""))</f>
        <v/>
      </c>
      <c r="GJ13" s="23"/>
      <c r="GK13" s="40" t="str">
        <f aca="false">IF(OR(GJ$4=0,GJ13=""),"",IFERROR(ROUND(GJ13/INDEX(Undirviðmið!$F$6:$F$205,GJ$4)*INDEX(Undirviðmið!$E$6:$E$205,GJ$4)*KVARDI,2),""))</f>
        <v/>
      </c>
      <c r="GL13" s="23"/>
      <c r="GM13" s="40" t="str">
        <f aca="false">IF(OR(GL$4=0,GL13=""),"",IFERROR(ROUND(GL13/INDEX(Undirviðmið!$F$6:$F$205,GL$4)*INDEX(Undirviðmið!$E$6:$E$205,GL$4)*KVARDI,2),""))</f>
        <v/>
      </c>
      <c r="GN13" s="23"/>
      <c r="GO13" s="40" t="str">
        <f aca="false">IF(OR(GN$4=0,GN13=""),"",IFERROR(ROUND(GN13/INDEX(Undirviðmið!$F$6:$F$205,GN$4)*INDEX(Undirviðmið!$E$6:$E$205,GN$4)*KVARDI,2),""))</f>
        <v/>
      </c>
      <c r="GP13" s="23"/>
      <c r="GQ13" s="40" t="str">
        <f aca="false">IF(OR(GP$4=0,GP13=""),"",IFERROR(ROUND(GP13/INDEX(Undirviðmið!$F$6:$F$205,GP$4)*INDEX(Undirviðmið!$E$6:$E$205,GP$4)*KVARDI,2),""))</f>
        <v/>
      </c>
      <c r="GR13" s="23"/>
      <c r="GS13" s="40" t="str">
        <f aca="false">IF(OR(GR$4=0,GR13=""),"",IFERROR(ROUND(GR13/INDEX(Undirviðmið!$F$6:$F$205,GR$4)*INDEX(Undirviðmið!$E$6:$E$205,GR$4)*KVARDI,2),""))</f>
        <v/>
      </c>
      <c r="GT13" s="23"/>
      <c r="GU13" s="40" t="str">
        <f aca="false">IF(OR(GT$4=0,GT13=""),"",IFERROR(ROUND(GT13/INDEX(Undirviðmið!$F$6:$F$205,GT$4)*INDEX(Undirviðmið!$E$6:$E$205,GT$4)*KVARDI,2),""))</f>
        <v/>
      </c>
      <c r="GV13" s="44" t="n">
        <f aca="false">IFERROR(SUMIF($D$6:GU$6,"Stig",$D13:GU13),0)</f>
        <v>0</v>
      </c>
    </row>
    <row r="14" customFormat="false" ht="15" hidden="false" customHeight="true" outlineLevel="0" collapsed="false">
      <c r="A14" s="22" t="n">
        <f aca="false">ROW()-6</f>
        <v>8</v>
      </c>
      <c r="B14" s="24" t="str">
        <f aca="false">IF(INDEX(Starfsmenn!$B$6:$B$10005,ROW()-6)="","",INDEX(Starfsmenn!$B$6:$B$10005,ROW()-6))</f>
        <v/>
      </c>
      <c r="C14" s="24" t="str">
        <f aca="false">IF(INDEX(Starfsmenn!$C$6:$C$10005,ROW()-6)="","",INDEX(Starfsmenn!$C$6:$C$10005,ROW()-6))</f>
        <v/>
      </c>
      <c r="D14" s="23"/>
      <c r="E14" s="40" t="str">
        <f aca="false">IF(OR(D$4=0,D14=""),"",IFERROR(ROUND(D14/INDEX(Undirviðmið!$F$6:$F$205,D$4)*INDEX(Undirviðmið!$E$6:$E$205,D$4)*KVARDI,2),""))</f>
        <v/>
      </c>
      <c r="F14" s="23"/>
      <c r="G14" s="40" t="str">
        <f aca="false">IF(OR(F$4=0,F14=""),"",IFERROR(ROUND(F14/INDEX(Undirviðmið!$F$6:$F$205,F$4)*INDEX(Undirviðmið!$E$6:$E$205,F$4)*KVARDI,2),""))</f>
        <v/>
      </c>
      <c r="H14" s="23"/>
      <c r="I14" s="40" t="str">
        <f aca="false">IF(OR(H$4=0,H14=""),"",IFERROR(ROUND(H14/INDEX(Undirviðmið!$F$6:$F$205,H$4)*INDEX(Undirviðmið!$E$6:$E$205,H$4)*KVARDI,2),""))</f>
        <v/>
      </c>
      <c r="J14" s="23"/>
      <c r="K14" s="40" t="str">
        <f aca="false">IF(OR(J$4=0,J14=""),"",IFERROR(ROUND(J14/INDEX(Undirviðmið!$F$6:$F$205,J$4)*INDEX(Undirviðmið!$E$6:$E$205,J$4)*KVARDI,2),""))</f>
        <v/>
      </c>
      <c r="L14" s="23"/>
      <c r="M14" s="40" t="str">
        <f aca="false">IF(OR(L$4=0,L14=""),"",IFERROR(ROUND(L14/INDEX(Undirviðmið!$F$6:$F$205,L$4)*INDEX(Undirviðmið!$E$6:$E$205,L$4)*KVARDI,2),""))</f>
        <v/>
      </c>
      <c r="N14" s="23"/>
      <c r="O14" s="40" t="str">
        <f aca="false">IF(OR(N$4=0,N14=""),"",IFERROR(ROUND(N14/INDEX(Undirviðmið!$F$6:$F$205,N$4)*INDEX(Undirviðmið!$E$6:$E$205,N$4)*KVARDI,2),""))</f>
        <v/>
      </c>
      <c r="P14" s="23"/>
      <c r="Q14" s="40" t="str">
        <f aca="false">IF(OR(P$4=0,P14=""),"",IFERROR(ROUND(P14/INDEX(Undirviðmið!$F$6:$F$205,P$4)*INDEX(Undirviðmið!$E$6:$E$205,P$4)*KVARDI,2),""))</f>
        <v/>
      </c>
      <c r="R14" s="23"/>
      <c r="S14" s="40" t="str">
        <f aca="false">IF(OR(R$4=0,R14=""),"",IFERROR(ROUND(R14/INDEX(Undirviðmið!$F$6:$F$205,R$4)*INDEX(Undirviðmið!$E$6:$E$205,R$4)*KVARDI,2),""))</f>
        <v/>
      </c>
      <c r="T14" s="23"/>
      <c r="U14" s="40" t="str">
        <f aca="false">IF(OR(T$4=0,T14=""),"",IFERROR(ROUND(T14/INDEX(Undirviðmið!$F$6:$F$205,T$4)*INDEX(Undirviðmið!$E$6:$E$205,T$4)*KVARDI,2),""))</f>
        <v/>
      </c>
      <c r="V14" s="23"/>
      <c r="W14" s="40" t="str">
        <f aca="false">IF(OR(V$4=0,V14=""),"",IFERROR(ROUND(V14/INDEX(Undirviðmið!$F$6:$F$205,V$4)*INDEX(Undirviðmið!$E$6:$E$205,V$4)*KVARDI,2),""))</f>
        <v/>
      </c>
      <c r="X14" s="23"/>
      <c r="Y14" s="40" t="str">
        <f aca="false">IF(OR(X$4=0,X14=""),"",IFERROR(ROUND(X14/INDEX(Undirviðmið!$F$6:$F$205,X$4)*INDEX(Undirviðmið!$E$6:$E$205,X$4)*KVARDI,2),""))</f>
        <v/>
      </c>
      <c r="Z14" s="23"/>
      <c r="AA14" s="40" t="str">
        <f aca="false">IF(OR(Z$4=0,Z14=""),"",IFERROR(ROUND(Z14/INDEX(Undirviðmið!$F$6:$F$205,Z$4)*INDEX(Undirviðmið!$E$6:$E$205,Z$4)*KVARDI,2),""))</f>
        <v/>
      </c>
      <c r="AB14" s="23"/>
      <c r="AC14" s="40" t="str">
        <f aca="false">IF(OR(AB$4=0,AB14=""),"",IFERROR(ROUND(AB14/INDEX(Undirviðmið!$F$6:$F$205,AB$4)*INDEX(Undirviðmið!$E$6:$E$205,AB$4)*KVARDI,2),""))</f>
        <v/>
      </c>
      <c r="AD14" s="23"/>
      <c r="AE14" s="40" t="str">
        <f aca="false">IF(OR(AD$4=0,AD14=""),"",IFERROR(ROUND(AD14/INDEX(Undirviðmið!$F$6:$F$205,AD$4)*INDEX(Undirviðmið!$E$6:$E$205,AD$4)*KVARDI,2),""))</f>
        <v/>
      </c>
      <c r="AF14" s="23"/>
      <c r="AG14" s="40" t="str">
        <f aca="false">IF(OR(AF$4=0,AF14=""),"",IFERROR(ROUND(AF14/INDEX(Undirviðmið!$F$6:$F$205,AF$4)*INDEX(Undirviðmið!$E$6:$E$205,AF$4)*KVARDI,2),""))</f>
        <v/>
      </c>
      <c r="AH14" s="23"/>
      <c r="AI14" s="40" t="str">
        <f aca="false">IF(OR(AH$4=0,AH14=""),"",IFERROR(ROUND(AH14/INDEX(Undirviðmið!$F$6:$F$205,AH$4)*INDEX(Undirviðmið!$E$6:$E$205,AH$4)*KVARDI,2),""))</f>
        <v/>
      </c>
      <c r="AJ14" s="23"/>
      <c r="AK14" s="40" t="str">
        <f aca="false">IF(OR(AJ$4=0,AJ14=""),"",IFERROR(ROUND(AJ14/INDEX(Undirviðmið!$F$6:$F$205,AJ$4)*INDEX(Undirviðmið!$E$6:$E$205,AJ$4)*KVARDI,2),""))</f>
        <v/>
      </c>
      <c r="AL14" s="23"/>
      <c r="AM14" s="40" t="str">
        <f aca="false">IF(OR(AL$4=0,AL14=""),"",IFERROR(ROUND(AL14/INDEX(Undirviðmið!$F$6:$F$205,AL$4)*INDEX(Undirviðmið!$E$6:$E$205,AL$4)*KVARDI,2),""))</f>
        <v/>
      </c>
      <c r="AN14" s="23"/>
      <c r="AO14" s="40" t="str">
        <f aca="false">IF(OR(AN$4=0,AN14=""),"",IFERROR(ROUND(AN14/INDEX(Undirviðmið!$F$6:$F$205,AN$4)*INDEX(Undirviðmið!$E$6:$E$205,AN$4)*KVARDI,2),""))</f>
        <v/>
      </c>
      <c r="AP14" s="23"/>
      <c r="AQ14" s="40" t="str">
        <f aca="false">IF(OR(AP$4=0,AP14=""),"",IFERROR(ROUND(AP14/INDEX(Undirviðmið!$F$6:$F$205,AP$4)*INDEX(Undirviðmið!$E$6:$E$205,AP$4)*KVARDI,2),""))</f>
        <v/>
      </c>
      <c r="AR14" s="23"/>
      <c r="AS14" s="40" t="str">
        <f aca="false">IF(OR(AR$4=0,AR14=""),"",IFERROR(ROUND(AR14/INDEX(Undirviðmið!$F$6:$F$205,AR$4)*INDEX(Undirviðmið!$E$6:$E$205,AR$4)*KVARDI,2),""))</f>
        <v/>
      </c>
      <c r="AT14" s="23"/>
      <c r="AU14" s="40" t="str">
        <f aca="false">IF(OR(AT$4=0,AT14=""),"",IFERROR(ROUND(AT14/INDEX(Undirviðmið!$F$6:$F$205,AT$4)*INDEX(Undirviðmið!$E$6:$E$205,AT$4)*KVARDI,2),""))</f>
        <v/>
      </c>
      <c r="AV14" s="23"/>
      <c r="AW14" s="40" t="str">
        <f aca="false">IF(OR(AV$4=0,AV14=""),"",IFERROR(ROUND(AV14/INDEX(Undirviðmið!$F$6:$F$205,AV$4)*INDEX(Undirviðmið!$E$6:$E$205,AV$4)*KVARDI,2),""))</f>
        <v/>
      </c>
      <c r="AX14" s="23"/>
      <c r="AY14" s="40" t="str">
        <f aca="false">IF(OR(AX$4=0,AX14=""),"",IFERROR(ROUND(AX14/INDEX(Undirviðmið!$F$6:$F$205,AX$4)*INDEX(Undirviðmið!$E$6:$E$205,AX$4)*KVARDI,2),""))</f>
        <v/>
      </c>
      <c r="AZ14" s="23"/>
      <c r="BA14" s="40" t="str">
        <f aca="false">IF(OR(AZ$4=0,AZ14=""),"",IFERROR(ROUND(AZ14/INDEX(Undirviðmið!$F$6:$F$205,AZ$4)*INDEX(Undirviðmið!$E$6:$E$205,AZ$4)*KVARDI,2),""))</f>
        <v/>
      </c>
      <c r="BB14" s="23"/>
      <c r="BC14" s="40" t="str">
        <f aca="false">IF(OR(BB$4=0,BB14=""),"",IFERROR(ROUND(BB14/INDEX(Undirviðmið!$F$6:$F$205,BB$4)*INDEX(Undirviðmið!$E$6:$E$205,BB$4)*KVARDI,2),""))</f>
        <v/>
      </c>
      <c r="BD14" s="23"/>
      <c r="BE14" s="40" t="str">
        <f aca="false">IF(OR(BD$4=0,BD14=""),"",IFERROR(ROUND(BD14/INDEX(Undirviðmið!$F$6:$F$205,BD$4)*INDEX(Undirviðmið!$E$6:$E$205,BD$4)*KVARDI,2),""))</f>
        <v/>
      </c>
      <c r="BF14" s="23"/>
      <c r="BG14" s="40" t="str">
        <f aca="false">IF(OR(BF$4=0,BF14=""),"",IFERROR(ROUND(BF14/INDEX(Undirviðmið!$F$6:$F$205,BF$4)*INDEX(Undirviðmið!$E$6:$E$205,BF$4)*KVARDI,2),""))</f>
        <v/>
      </c>
      <c r="BH14" s="23"/>
      <c r="BI14" s="40" t="str">
        <f aca="false">IF(OR(BH$4=0,BH14=""),"",IFERROR(ROUND(BH14/INDEX(Undirviðmið!$F$6:$F$205,BH$4)*INDEX(Undirviðmið!$E$6:$E$205,BH$4)*KVARDI,2),""))</f>
        <v/>
      </c>
      <c r="BJ14" s="23"/>
      <c r="BK14" s="40" t="str">
        <f aca="false">IF(OR(BJ$4=0,BJ14=""),"",IFERROR(ROUND(BJ14/INDEX(Undirviðmið!$F$6:$F$205,BJ$4)*INDEX(Undirviðmið!$E$6:$E$205,BJ$4)*KVARDI,2),""))</f>
        <v/>
      </c>
      <c r="BL14" s="23"/>
      <c r="BM14" s="40" t="str">
        <f aca="false">IF(OR(BL$4=0,BL14=""),"",IFERROR(ROUND(BL14/INDEX(Undirviðmið!$F$6:$F$205,BL$4)*INDEX(Undirviðmið!$E$6:$E$205,BL$4)*KVARDI,2),""))</f>
        <v/>
      </c>
      <c r="BN14" s="23"/>
      <c r="BO14" s="40" t="str">
        <f aca="false">IF(OR(BN$4=0,BN14=""),"",IFERROR(ROUND(BN14/INDEX(Undirviðmið!$F$6:$F$205,BN$4)*INDEX(Undirviðmið!$E$6:$E$205,BN$4)*KVARDI,2),""))</f>
        <v/>
      </c>
      <c r="BP14" s="23"/>
      <c r="BQ14" s="40" t="str">
        <f aca="false">IF(OR(BP$4=0,BP14=""),"",IFERROR(ROUND(BP14/INDEX(Undirviðmið!$F$6:$F$205,BP$4)*INDEX(Undirviðmið!$E$6:$E$205,BP$4)*KVARDI,2),""))</f>
        <v/>
      </c>
      <c r="BR14" s="23"/>
      <c r="BS14" s="40" t="str">
        <f aca="false">IF(OR(BR$4=0,BR14=""),"",IFERROR(ROUND(BR14/INDEX(Undirviðmið!$F$6:$F$205,BR$4)*INDEX(Undirviðmið!$E$6:$E$205,BR$4)*KVARDI,2),""))</f>
        <v/>
      </c>
      <c r="BT14" s="23"/>
      <c r="BU14" s="40" t="str">
        <f aca="false">IF(OR(BT$4=0,BT14=""),"",IFERROR(ROUND(BT14/INDEX(Undirviðmið!$F$6:$F$205,BT$4)*INDEX(Undirviðmið!$E$6:$E$205,BT$4)*KVARDI,2),""))</f>
        <v/>
      </c>
      <c r="BV14" s="23"/>
      <c r="BW14" s="40" t="str">
        <f aca="false">IF(OR(BV$4=0,BV14=""),"",IFERROR(ROUND(BV14/INDEX(Undirviðmið!$F$6:$F$205,BV$4)*INDEX(Undirviðmið!$E$6:$E$205,BV$4)*KVARDI,2),""))</f>
        <v/>
      </c>
      <c r="BX14" s="23"/>
      <c r="BY14" s="40" t="str">
        <f aca="false">IF(OR(BX$4=0,BX14=""),"",IFERROR(ROUND(BX14/INDEX(Undirviðmið!$F$6:$F$205,BX$4)*INDEX(Undirviðmið!$E$6:$E$205,BX$4)*KVARDI,2),""))</f>
        <v/>
      </c>
      <c r="BZ14" s="23"/>
      <c r="CA14" s="40" t="str">
        <f aca="false">IF(OR(BZ$4=0,BZ14=""),"",IFERROR(ROUND(BZ14/INDEX(Undirviðmið!$F$6:$F$205,BZ$4)*INDEX(Undirviðmið!$E$6:$E$205,BZ$4)*KVARDI,2),""))</f>
        <v/>
      </c>
      <c r="CB14" s="23"/>
      <c r="CC14" s="40" t="str">
        <f aca="false">IF(OR(CB$4=0,CB14=""),"",IFERROR(ROUND(CB14/INDEX(Undirviðmið!$F$6:$F$205,CB$4)*INDEX(Undirviðmið!$E$6:$E$205,CB$4)*KVARDI,2),""))</f>
        <v/>
      </c>
      <c r="CD14" s="23"/>
      <c r="CE14" s="40" t="str">
        <f aca="false">IF(OR(CD$4=0,CD14=""),"",IFERROR(ROUND(CD14/INDEX(Undirviðmið!$F$6:$F$205,CD$4)*INDEX(Undirviðmið!$E$6:$E$205,CD$4)*KVARDI,2),""))</f>
        <v/>
      </c>
      <c r="CF14" s="23"/>
      <c r="CG14" s="40" t="str">
        <f aca="false">IF(OR(CF$4=0,CF14=""),"",IFERROR(ROUND(CF14/INDEX(Undirviðmið!$F$6:$F$205,CF$4)*INDEX(Undirviðmið!$E$6:$E$205,CF$4)*KVARDI,2),""))</f>
        <v/>
      </c>
      <c r="CH14" s="23"/>
      <c r="CI14" s="40" t="str">
        <f aca="false">IF(OR(CH$4=0,CH14=""),"",IFERROR(ROUND(CH14/INDEX(Undirviðmið!$F$6:$F$205,CH$4)*INDEX(Undirviðmið!$E$6:$E$205,CH$4)*KVARDI,2),""))</f>
        <v/>
      </c>
      <c r="CJ14" s="23"/>
      <c r="CK14" s="40" t="str">
        <f aca="false">IF(OR(CJ$4=0,CJ14=""),"",IFERROR(ROUND(CJ14/INDEX(Undirviðmið!$F$6:$F$205,CJ$4)*INDEX(Undirviðmið!$E$6:$E$205,CJ$4)*KVARDI,2),""))</f>
        <v/>
      </c>
      <c r="CL14" s="23"/>
      <c r="CM14" s="40" t="str">
        <f aca="false">IF(OR(CL$4=0,CL14=""),"",IFERROR(ROUND(CL14/INDEX(Undirviðmið!$F$6:$F$205,CL$4)*INDEX(Undirviðmið!$E$6:$E$205,CL$4)*KVARDI,2),""))</f>
        <v/>
      </c>
      <c r="CN14" s="23"/>
      <c r="CO14" s="40" t="str">
        <f aca="false">IF(OR(CN$4=0,CN14=""),"",IFERROR(ROUND(CN14/INDEX(Undirviðmið!$F$6:$F$205,CN$4)*INDEX(Undirviðmið!$E$6:$E$205,CN$4)*KVARDI,2),""))</f>
        <v/>
      </c>
      <c r="CP14" s="23"/>
      <c r="CQ14" s="40" t="str">
        <f aca="false">IF(OR(CP$4=0,CP14=""),"",IFERROR(ROUND(CP14/INDEX(Undirviðmið!$F$6:$F$205,CP$4)*INDEX(Undirviðmið!$E$6:$E$205,CP$4)*KVARDI,2),""))</f>
        <v/>
      </c>
      <c r="CR14" s="23"/>
      <c r="CS14" s="40" t="str">
        <f aca="false">IF(OR(CR$4=0,CR14=""),"",IFERROR(ROUND(CR14/INDEX(Undirviðmið!$F$6:$F$205,CR$4)*INDEX(Undirviðmið!$E$6:$E$205,CR$4)*KVARDI,2),""))</f>
        <v/>
      </c>
      <c r="CT14" s="23"/>
      <c r="CU14" s="40" t="str">
        <f aca="false">IF(OR(CT$4=0,CT14=""),"",IFERROR(ROUND(CT14/INDEX(Undirviðmið!$F$6:$F$205,CT$4)*INDEX(Undirviðmið!$E$6:$E$205,CT$4)*KVARDI,2),""))</f>
        <v/>
      </c>
      <c r="CV14" s="23"/>
      <c r="CW14" s="40" t="str">
        <f aca="false">IF(OR(CV$4=0,CV14=""),"",IFERROR(ROUND(CV14/INDEX(Undirviðmið!$F$6:$F$205,CV$4)*INDEX(Undirviðmið!$E$6:$E$205,CV$4)*KVARDI,2),""))</f>
        <v/>
      </c>
      <c r="CX14" s="23"/>
      <c r="CY14" s="40" t="str">
        <f aca="false">IF(OR(CX$4=0,CX14=""),"",IFERROR(ROUND(CX14/INDEX(Undirviðmið!$F$6:$F$205,CX$4)*INDEX(Undirviðmið!$E$6:$E$205,CX$4)*KVARDI,2),""))</f>
        <v/>
      </c>
      <c r="CZ14" s="23"/>
      <c r="DA14" s="40" t="str">
        <f aca="false">IF(OR(CZ$4=0,CZ14=""),"",IFERROR(ROUND(CZ14/INDEX(Undirviðmið!$F$6:$F$205,CZ$4)*INDEX(Undirviðmið!$E$6:$E$205,CZ$4)*KVARDI,2),""))</f>
        <v/>
      </c>
      <c r="DB14" s="23"/>
      <c r="DC14" s="40" t="str">
        <f aca="false">IF(OR(DB$4=0,DB14=""),"",IFERROR(ROUND(DB14/INDEX(Undirviðmið!$F$6:$F$205,DB$4)*INDEX(Undirviðmið!$E$6:$E$205,DB$4)*KVARDI,2),""))</f>
        <v/>
      </c>
      <c r="DD14" s="23"/>
      <c r="DE14" s="40" t="str">
        <f aca="false">IF(OR(DD$4=0,DD14=""),"",IFERROR(ROUND(DD14/INDEX(Undirviðmið!$F$6:$F$205,DD$4)*INDEX(Undirviðmið!$E$6:$E$205,DD$4)*KVARDI,2),""))</f>
        <v/>
      </c>
      <c r="DF14" s="23"/>
      <c r="DG14" s="40" t="str">
        <f aca="false">IF(OR(DF$4=0,DF14=""),"",IFERROR(ROUND(DF14/INDEX(Undirviðmið!$F$6:$F$205,DF$4)*INDEX(Undirviðmið!$E$6:$E$205,DF$4)*KVARDI,2),""))</f>
        <v/>
      </c>
      <c r="DH14" s="23"/>
      <c r="DI14" s="40" t="str">
        <f aca="false">IF(OR(DH$4=0,DH14=""),"",IFERROR(ROUND(DH14/INDEX(Undirviðmið!$F$6:$F$205,DH$4)*INDEX(Undirviðmið!$E$6:$E$205,DH$4)*KVARDI,2),""))</f>
        <v/>
      </c>
      <c r="DJ14" s="23"/>
      <c r="DK14" s="40" t="str">
        <f aca="false">IF(OR(DJ$4=0,DJ14=""),"",IFERROR(ROUND(DJ14/INDEX(Undirviðmið!$F$6:$F$205,DJ$4)*INDEX(Undirviðmið!$E$6:$E$205,DJ$4)*KVARDI,2),""))</f>
        <v/>
      </c>
      <c r="DL14" s="23"/>
      <c r="DM14" s="40" t="str">
        <f aca="false">IF(OR(DL$4=0,DL14=""),"",IFERROR(ROUND(DL14/INDEX(Undirviðmið!$F$6:$F$205,DL$4)*INDEX(Undirviðmið!$E$6:$E$205,DL$4)*KVARDI,2),""))</f>
        <v/>
      </c>
      <c r="DN14" s="23"/>
      <c r="DO14" s="40" t="str">
        <f aca="false">IF(OR(DN$4=0,DN14=""),"",IFERROR(ROUND(DN14/INDEX(Undirviðmið!$F$6:$F$205,DN$4)*INDEX(Undirviðmið!$E$6:$E$205,DN$4)*KVARDI,2),""))</f>
        <v/>
      </c>
      <c r="DP14" s="23"/>
      <c r="DQ14" s="40" t="str">
        <f aca="false">IF(OR(DP$4=0,DP14=""),"",IFERROR(ROUND(DP14/INDEX(Undirviðmið!$F$6:$F$205,DP$4)*INDEX(Undirviðmið!$E$6:$E$205,DP$4)*KVARDI,2),""))</f>
        <v/>
      </c>
      <c r="DR14" s="23"/>
      <c r="DS14" s="40" t="str">
        <f aca="false">IF(OR(DR$4=0,DR14=""),"",IFERROR(ROUND(DR14/INDEX(Undirviðmið!$F$6:$F$205,DR$4)*INDEX(Undirviðmið!$E$6:$E$205,DR$4)*KVARDI,2),""))</f>
        <v/>
      </c>
      <c r="DT14" s="23"/>
      <c r="DU14" s="40" t="str">
        <f aca="false">IF(OR(DT$4=0,DT14=""),"",IFERROR(ROUND(DT14/INDEX(Undirviðmið!$F$6:$F$205,DT$4)*INDEX(Undirviðmið!$E$6:$E$205,DT$4)*KVARDI,2),""))</f>
        <v/>
      </c>
      <c r="DV14" s="23"/>
      <c r="DW14" s="40" t="str">
        <f aca="false">IF(OR(DV$4=0,DV14=""),"",IFERROR(ROUND(DV14/INDEX(Undirviðmið!$F$6:$F$205,DV$4)*INDEX(Undirviðmið!$E$6:$E$205,DV$4)*KVARDI,2),""))</f>
        <v/>
      </c>
      <c r="DX14" s="23"/>
      <c r="DY14" s="40" t="str">
        <f aca="false">IF(OR(DX$4=0,DX14=""),"",IFERROR(ROUND(DX14/INDEX(Undirviðmið!$F$6:$F$205,DX$4)*INDEX(Undirviðmið!$E$6:$E$205,DX$4)*KVARDI,2),""))</f>
        <v/>
      </c>
      <c r="DZ14" s="23"/>
      <c r="EA14" s="40" t="str">
        <f aca="false">IF(OR(DZ$4=0,DZ14=""),"",IFERROR(ROUND(DZ14/INDEX(Undirviðmið!$F$6:$F$205,DZ$4)*INDEX(Undirviðmið!$E$6:$E$205,DZ$4)*KVARDI,2),""))</f>
        <v/>
      </c>
      <c r="EB14" s="23"/>
      <c r="EC14" s="40" t="str">
        <f aca="false">IF(OR(EB$4=0,EB14=""),"",IFERROR(ROUND(EB14/INDEX(Undirviðmið!$F$6:$F$205,EB$4)*INDEX(Undirviðmið!$E$6:$E$205,EB$4)*KVARDI,2),""))</f>
        <v/>
      </c>
      <c r="ED14" s="23"/>
      <c r="EE14" s="40" t="str">
        <f aca="false">IF(OR(ED$4=0,ED14=""),"",IFERROR(ROUND(ED14/INDEX(Undirviðmið!$F$6:$F$205,ED$4)*INDEX(Undirviðmið!$E$6:$E$205,ED$4)*KVARDI,2),""))</f>
        <v/>
      </c>
      <c r="EF14" s="23"/>
      <c r="EG14" s="40" t="str">
        <f aca="false">IF(OR(EF$4=0,EF14=""),"",IFERROR(ROUND(EF14/INDEX(Undirviðmið!$F$6:$F$205,EF$4)*INDEX(Undirviðmið!$E$6:$E$205,EF$4)*KVARDI,2),""))</f>
        <v/>
      </c>
      <c r="EH14" s="23"/>
      <c r="EI14" s="40" t="str">
        <f aca="false">IF(OR(EH$4=0,EH14=""),"",IFERROR(ROUND(EH14/INDEX(Undirviðmið!$F$6:$F$205,EH$4)*INDEX(Undirviðmið!$E$6:$E$205,EH$4)*KVARDI,2),""))</f>
        <v/>
      </c>
      <c r="EJ14" s="23"/>
      <c r="EK14" s="40" t="str">
        <f aca="false">IF(OR(EJ$4=0,EJ14=""),"",IFERROR(ROUND(EJ14/INDEX(Undirviðmið!$F$6:$F$205,EJ$4)*INDEX(Undirviðmið!$E$6:$E$205,EJ$4)*KVARDI,2),""))</f>
        <v/>
      </c>
      <c r="EL14" s="23"/>
      <c r="EM14" s="40" t="str">
        <f aca="false">IF(OR(EL$4=0,EL14=""),"",IFERROR(ROUND(EL14/INDEX(Undirviðmið!$F$6:$F$205,EL$4)*INDEX(Undirviðmið!$E$6:$E$205,EL$4)*KVARDI,2),""))</f>
        <v/>
      </c>
      <c r="EN14" s="23"/>
      <c r="EO14" s="40" t="str">
        <f aca="false">IF(OR(EN$4=0,EN14=""),"",IFERROR(ROUND(EN14/INDEX(Undirviðmið!$F$6:$F$205,EN$4)*INDEX(Undirviðmið!$E$6:$E$205,EN$4)*KVARDI,2),""))</f>
        <v/>
      </c>
      <c r="EP14" s="23"/>
      <c r="EQ14" s="40" t="str">
        <f aca="false">IF(OR(EP$4=0,EP14=""),"",IFERROR(ROUND(EP14/INDEX(Undirviðmið!$F$6:$F$205,EP$4)*INDEX(Undirviðmið!$E$6:$E$205,EP$4)*KVARDI,2),""))</f>
        <v/>
      </c>
      <c r="ER14" s="23"/>
      <c r="ES14" s="40" t="str">
        <f aca="false">IF(OR(ER$4=0,ER14=""),"",IFERROR(ROUND(ER14/INDEX(Undirviðmið!$F$6:$F$205,ER$4)*INDEX(Undirviðmið!$E$6:$E$205,ER$4)*KVARDI,2),""))</f>
        <v/>
      </c>
      <c r="ET14" s="23"/>
      <c r="EU14" s="40" t="str">
        <f aca="false">IF(OR(ET$4=0,ET14=""),"",IFERROR(ROUND(ET14/INDEX(Undirviðmið!$F$6:$F$205,ET$4)*INDEX(Undirviðmið!$E$6:$E$205,ET$4)*KVARDI,2),""))</f>
        <v/>
      </c>
      <c r="EV14" s="23"/>
      <c r="EW14" s="40" t="str">
        <f aca="false">IF(OR(EV$4=0,EV14=""),"",IFERROR(ROUND(EV14/INDEX(Undirviðmið!$F$6:$F$205,EV$4)*INDEX(Undirviðmið!$E$6:$E$205,EV$4)*KVARDI,2),""))</f>
        <v/>
      </c>
      <c r="EX14" s="23"/>
      <c r="EY14" s="40" t="str">
        <f aca="false">IF(OR(EX$4=0,EX14=""),"",IFERROR(ROUND(EX14/INDEX(Undirviðmið!$F$6:$F$205,EX$4)*INDEX(Undirviðmið!$E$6:$E$205,EX$4)*KVARDI,2),""))</f>
        <v/>
      </c>
      <c r="EZ14" s="23"/>
      <c r="FA14" s="40" t="str">
        <f aca="false">IF(OR(EZ$4=0,EZ14=""),"",IFERROR(ROUND(EZ14/INDEX(Undirviðmið!$F$6:$F$205,EZ$4)*INDEX(Undirviðmið!$E$6:$E$205,EZ$4)*KVARDI,2),""))</f>
        <v/>
      </c>
      <c r="FB14" s="23"/>
      <c r="FC14" s="40" t="str">
        <f aca="false">IF(OR(FB$4=0,FB14=""),"",IFERROR(ROUND(FB14/INDEX(Undirviðmið!$F$6:$F$205,FB$4)*INDEX(Undirviðmið!$E$6:$E$205,FB$4)*KVARDI,2),""))</f>
        <v/>
      </c>
      <c r="FD14" s="23"/>
      <c r="FE14" s="40" t="str">
        <f aca="false">IF(OR(FD$4=0,FD14=""),"",IFERROR(ROUND(FD14/INDEX(Undirviðmið!$F$6:$F$205,FD$4)*INDEX(Undirviðmið!$E$6:$E$205,FD$4)*KVARDI,2),""))</f>
        <v/>
      </c>
      <c r="FF14" s="23"/>
      <c r="FG14" s="40" t="str">
        <f aca="false">IF(OR(FF$4=0,FF14=""),"",IFERROR(ROUND(FF14/INDEX(Undirviðmið!$F$6:$F$205,FF$4)*INDEX(Undirviðmið!$E$6:$E$205,FF$4)*KVARDI,2),""))</f>
        <v/>
      </c>
      <c r="FH14" s="23"/>
      <c r="FI14" s="40" t="str">
        <f aca="false">IF(OR(FH$4=0,FH14=""),"",IFERROR(ROUND(FH14/INDEX(Undirviðmið!$F$6:$F$205,FH$4)*INDEX(Undirviðmið!$E$6:$E$205,FH$4)*KVARDI,2),""))</f>
        <v/>
      </c>
      <c r="FJ14" s="23"/>
      <c r="FK14" s="40" t="str">
        <f aca="false">IF(OR(FJ$4=0,FJ14=""),"",IFERROR(ROUND(FJ14/INDEX(Undirviðmið!$F$6:$F$205,FJ$4)*INDEX(Undirviðmið!$E$6:$E$205,FJ$4)*KVARDI,2),""))</f>
        <v/>
      </c>
      <c r="FL14" s="23"/>
      <c r="FM14" s="40" t="str">
        <f aca="false">IF(OR(FL$4=0,FL14=""),"",IFERROR(ROUND(FL14/INDEX(Undirviðmið!$F$6:$F$205,FL$4)*INDEX(Undirviðmið!$E$6:$E$205,FL$4)*KVARDI,2),""))</f>
        <v/>
      </c>
      <c r="FN14" s="23"/>
      <c r="FO14" s="40" t="str">
        <f aca="false">IF(OR(FN$4=0,FN14=""),"",IFERROR(ROUND(FN14/INDEX(Undirviðmið!$F$6:$F$205,FN$4)*INDEX(Undirviðmið!$E$6:$E$205,FN$4)*KVARDI,2),""))</f>
        <v/>
      </c>
      <c r="FP14" s="23"/>
      <c r="FQ14" s="40" t="str">
        <f aca="false">IF(OR(FP$4=0,FP14=""),"",IFERROR(ROUND(FP14/INDEX(Undirviðmið!$F$6:$F$205,FP$4)*INDEX(Undirviðmið!$E$6:$E$205,FP$4)*KVARDI,2),""))</f>
        <v/>
      </c>
      <c r="FR14" s="23"/>
      <c r="FS14" s="40" t="str">
        <f aca="false">IF(OR(FR$4=0,FR14=""),"",IFERROR(ROUND(FR14/INDEX(Undirviðmið!$F$6:$F$205,FR$4)*INDEX(Undirviðmið!$E$6:$E$205,FR$4)*KVARDI,2),""))</f>
        <v/>
      </c>
      <c r="FT14" s="23"/>
      <c r="FU14" s="40" t="str">
        <f aca="false">IF(OR(FT$4=0,FT14=""),"",IFERROR(ROUND(FT14/INDEX(Undirviðmið!$F$6:$F$205,FT$4)*INDEX(Undirviðmið!$E$6:$E$205,FT$4)*KVARDI,2),""))</f>
        <v/>
      </c>
      <c r="FV14" s="23"/>
      <c r="FW14" s="40" t="str">
        <f aca="false">IF(OR(FV$4=0,FV14=""),"",IFERROR(ROUND(FV14/INDEX(Undirviðmið!$F$6:$F$205,FV$4)*INDEX(Undirviðmið!$E$6:$E$205,FV$4)*KVARDI,2),""))</f>
        <v/>
      </c>
      <c r="FX14" s="23"/>
      <c r="FY14" s="40" t="str">
        <f aca="false">IF(OR(FX$4=0,FX14=""),"",IFERROR(ROUND(FX14/INDEX(Undirviðmið!$F$6:$F$205,FX$4)*INDEX(Undirviðmið!$E$6:$E$205,FX$4)*KVARDI,2),""))</f>
        <v/>
      </c>
      <c r="FZ14" s="23"/>
      <c r="GA14" s="40" t="str">
        <f aca="false">IF(OR(FZ$4=0,FZ14=""),"",IFERROR(ROUND(FZ14/INDEX(Undirviðmið!$F$6:$F$205,FZ$4)*INDEX(Undirviðmið!$E$6:$E$205,FZ$4)*KVARDI,2),""))</f>
        <v/>
      </c>
      <c r="GB14" s="23"/>
      <c r="GC14" s="40" t="str">
        <f aca="false">IF(OR(GB$4=0,GB14=""),"",IFERROR(ROUND(GB14/INDEX(Undirviðmið!$F$6:$F$205,GB$4)*INDEX(Undirviðmið!$E$6:$E$205,GB$4)*KVARDI,2),""))</f>
        <v/>
      </c>
      <c r="GD14" s="23"/>
      <c r="GE14" s="40" t="str">
        <f aca="false">IF(OR(GD$4=0,GD14=""),"",IFERROR(ROUND(GD14/INDEX(Undirviðmið!$F$6:$F$205,GD$4)*INDEX(Undirviðmið!$E$6:$E$205,GD$4)*KVARDI,2),""))</f>
        <v/>
      </c>
      <c r="GF14" s="23"/>
      <c r="GG14" s="40" t="str">
        <f aca="false">IF(OR(GF$4=0,GF14=""),"",IFERROR(ROUND(GF14/INDEX(Undirviðmið!$F$6:$F$205,GF$4)*INDEX(Undirviðmið!$E$6:$E$205,GF$4)*KVARDI,2),""))</f>
        <v/>
      </c>
      <c r="GH14" s="23"/>
      <c r="GI14" s="40" t="str">
        <f aca="false">IF(OR(GH$4=0,GH14=""),"",IFERROR(ROUND(GH14/INDEX(Undirviðmið!$F$6:$F$205,GH$4)*INDEX(Undirviðmið!$E$6:$E$205,GH$4)*KVARDI,2),""))</f>
        <v/>
      </c>
      <c r="GJ14" s="23"/>
      <c r="GK14" s="40" t="str">
        <f aca="false">IF(OR(GJ$4=0,GJ14=""),"",IFERROR(ROUND(GJ14/INDEX(Undirviðmið!$F$6:$F$205,GJ$4)*INDEX(Undirviðmið!$E$6:$E$205,GJ$4)*KVARDI,2),""))</f>
        <v/>
      </c>
      <c r="GL14" s="23"/>
      <c r="GM14" s="40" t="str">
        <f aca="false">IF(OR(GL$4=0,GL14=""),"",IFERROR(ROUND(GL14/INDEX(Undirviðmið!$F$6:$F$205,GL$4)*INDEX(Undirviðmið!$E$6:$E$205,GL$4)*KVARDI,2),""))</f>
        <v/>
      </c>
      <c r="GN14" s="23"/>
      <c r="GO14" s="40" t="str">
        <f aca="false">IF(OR(GN$4=0,GN14=""),"",IFERROR(ROUND(GN14/INDEX(Undirviðmið!$F$6:$F$205,GN$4)*INDEX(Undirviðmið!$E$6:$E$205,GN$4)*KVARDI,2),""))</f>
        <v/>
      </c>
      <c r="GP14" s="23"/>
      <c r="GQ14" s="40" t="str">
        <f aca="false">IF(OR(GP$4=0,GP14=""),"",IFERROR(ROUND(GP14/INDEX(Undirviðmið!$F$6:$F$205,GP$4)*INDEX(Undirviðmið!$E$6:$E$205,GP$4)*KVARDI,2),""))</f>
        <v/>
      </c>
      <c r="GR14" s="23"/>
      <c r="GS14" s="40" t="str">
        <f aca="false">IF(OR(GR$4=0,GR14=""),"",IFERROR(ROUND(GR14/INDEX(Undirviðmið!$F$6:$F$205,GR$4)*INDEX(Undirviðmið!$E$6:$E$205,GR$4)*KVARDI,2),""))</f>
        <v/>
      </c>
      <c r="GT14" s="23"/>
      <c r="GU14" s="40" t="str">
        <f aca="false">IF(OR(GT$4=0,GT14=""),"",IFERROR(ROUND(GT14/INDEX(Undirviðmið!$F$6:$F$205,GT$4)*INDEX(Undirviðmið!$E$6:$E$205,GT$4)*KVARDI,2),""))</f>
        <v/>
      </c>
      <c r="GV14" s="44" t="n">
        <f aca="false">IFERROR(SUMIF($D$6:GU$6,"Stig",$D14:GU14),0)</f>
        <v>0</v>
      </c>
    </row>
    <row r="15" customFormat="false" ht="15" hidden="false" customHeight="true" outlineLevel="0" collapsed="false">
      <c r="A15" s="22" t="n">
        <f aca="false">ROW()-6</f>
        <v>9</v>
      </c>
      <c r="B15" s="24" t="str">
        <f aca="false">IF(INDEX(Starfsmenn!$B$6:$B$10005,ROW()-6)="","",INDEX(Starfsmenn!$B$6:$B$10005,ROW()-6))</f>
        <v/>
      </c>
      <c r="C15" s="24" t="str">
        <f aca="false">IF(INDEX(Starfsmenn!$C$6:$C$10005,ROW()-6)="","",INDEX(Starfsmenn!$C$6:$C$10005,ROW()-6))</f>
        <v/>
      </c>
      <c r="D15" s="23"/>
      <c r="E15" s="40" t="str">
        <f aca="false">IF(OR(D$4=0,D15=""),"",IFERROR(ROUND(D15/INDEX(Undirviðmið!$F$6:$F$205,D$4)*INDEX(Undirviðmið!$E$6:$E$205,D$4)*KVARDI,2),""))</f>
        <v/>
      </c>
      <c r="F15" s="23"/>
      <c r="G15" s="40" t="str">
        <f aca="false">IF(OR(F$4=0,F15=""),"",IFERROR(ROUND(F15/INDEX(Undirviðmið!$F$6:$F$205,F$4)*INDEX(Undirviðmið!$E$6:$E$205,F$4)*KVARDI,2),""))</f>
        <v/>
      </c>
      <c r="H15" s="23"/>
      <c r="I15" s="40" t="str">
        <f aca="false">IF(OR(H$4=0,H15=""),"",IFERROR(ROUND(H15/INDEX(Undirviðmið!$F$6:$F$205,H$4)*INDEX(Undirviðmið!$E$6:$E$205,H$4)*KVARDI,2),""))</f>
        <v/>
      </c>
      <c r="J15" s="23"/>
      <c r="K15" s="40" t="str">
        <f aca="false">IF(OR(J$4=0,J15=""),"",IFERROR(ROUND(J15/INDEX(Undirviðmið!$F$6:$F$205,J$4)*INDEX(Undirviðmið!$E$6:$E$205,J$4)*KVARDI,2),""))</f>
        <v/>
      </c>
      <c r="L15" s="23"/>
      <c r="M15" s="40" t="str">
        <f aca="false">IF(OR(L$4=0,L15=""),"",IFERROR(ROUND(L15/INDEX(Undirviðmið!$F$6:$F$205,L$4)*INDEX(Undirviðmið!$E$6:$E$205,L$4)*KVARDI,2),""))</f>
        <v/>
      </c>
      <c r="N15" s="23"/>
      <c r="O15" s="40" t="str">
        <f aca="false">IF(OR(N$4=0,N15=""),"",IFERROR(ROUND(N15/INDEX(Undirviðmið!$F$6:$F$205,N$4)*INDEX(Undirviðmið!$E$6:$E$205,N$4)*KVARDI,2),""))</f>
        <v/>
      </c>
      <c r="P15" s="23"/>
      <c r="Q15" s="40" t="str">
        <f aca="false">IF(OR(P$4=0,P15=""),"",IFERROR(ROUND(P15/INDEX(Undirviðmið!$F$6:$F$205,P$4)*INDEX(Undirviðmið!$E$6:$E$205,P$4)*KVARDI,2),""))</f>
        <v/>
      </c>
      <c r="R15" s="23"/>
      <c r="S15" s="40" t="str">
        <f aca="false">IF(OR(R$4=0,R15=""),"",IFERROR(ROUND(R15/INDEX(Undirviðmið!$F$6:$F$205,R$4)*INDEX(Undirviðmið!$E$6:$E$205,R$4)*KVARDI,2),""))</f>
        <v/>
      </c>
      <c r="T15" s="23"/>
      <c r="U15" s="40" t="str">
        <f aca="false">IF(OR(T$4=0,T15=""),"",IFERROR(ROUND(T15/INDEX(Undirviðmið!$F$6:$F$205,T$4)*INDEX(Undirviðmið!$E$6:$E$205,T$4)*KVARDI,2),""))</f>
        <v/>
      </c>
      <c r="V15" s="23"/>
      <c r="W15" s="40" t="str">
        <f aca="false">IF(OR(V$4=0,V15=""),"",IFERROR(ROUND(V15/INDEX(Undirviðmið!$F$6:$F$205,V$4)*INDEX(Undirviðmið!$E$6:$E$205,V$4)*KVARDI,2),""))</f>
        <v/>
      </c>
      <c r="X15" s="23"/>
      <c r="Y15" s="40" t="str">
        <f aca="false">IF(OR(X$4=0,X15=""),"",IFERROR(ROUND(X15/INDEX(Undirviðmið!$F$6:$F$205,X$4)*INDEX(Undirviðmið!$E$6:$E$205,X$4)*KVARDI,2),""))</f>
        <v/>
      </c>
      <c r="Z15" s="23"/>
      <c r="AA15" s="40" t="str">
        <f aca="false">IF(OR(Z$4=0,Z15=""),"",IFERROR(ROUND(Z15/INDEX(Undirviðmið!$F$6:$F$205,Z$4)*INDEX(Undirviðmið!$E$6:$E$205,Z$4)*KVARDI,2),""))</f>
        <v/>
      </c>
      <c r="AB15" s="23"/>
      <c r="AC15" s="40" t="str">
        <f aca="false">IF(OR(AB$4=0,AB15=""),"",IFERROR(ROUND(AB15/INDEX(Undirviðmið!$F$6:$F$205,AB$4)*INDEX(Undirviðmið!$E$6:$E$205,AB$4)*KVARDI,2),""))</f>
        <v/>
      </c>
      <c r="AD15" s="23"/>
      <c r="AE15" s="40" t="str">
        <f aca="false">IF(OR(AD$4=0,AD15=""),"",IFERROR(ROUND(AD15/INDEX(Undirviðmið!$F$6:$F$205,AD$4)*INDEX(Undirviðmið!$E$6:$E$205,AD$4)*KVARDI,2),""))</f>
        <v/>
      </c>
      <c r="AF15" s="23"/>
      <c r="AG15" s="40" t="str">
        <f aca="false">IF(OR(AF$4=0,AF15=""),"",IFERROR(ROUND(AF15/INDEX(Undirviðmið!$F$6:$F$205,AF$4)*INDEX(Undirviðmið!$E$6:$E$205,AF$4)*KVARDI,2),""))</f>
        <v/>
      </c>
      <c r="AH15" s="23"/>
      <c r="AI15" s="40" t="str">
        <f aca="false">IF(OR(AH$4=0,AH15=""),"",IFERROR(ROUND(AH15/INDEX(Undirviðmið!$F$6:$F$205,AH$4)*INDEX(Undirviðmið!$E$6:$E$205,AH$4)*KVARDI,2),""))</f>
        <v/>
      </c>
      <c r="AJ15" s="23"/>
      <c r="AK15" s="40" t="str">
        <f aca="false">IF(OR(AJ$4=0,AJ15=""),"",IFERROR(ROUND(AJ15/INDEX(Undirviðmið!$F$6:$F$205,AJ$4)*INDEX(Undirviðmið!$E$6:$E$205,AJ$4)*KVARDI,2),""))</f>
        <v/>
      </c>
      <c r="AL15" s="23"/>
      <c r="AM15" s="40" t="str">
        <f aca="false">IF(OR(AL$4=0,AL15=""),"",IFERROR(ROUND(AL15/INDEX(Undirviðmið!$F$6:$F$205,AL$4)*INDEX(Undirviðmið!$E$6:$E$205,AL$4)*KVARDI,2),""))</f>
        <v/>
      </c>
      <c r="AN15" s="23"/>
      <c r="AO15" s="40" t="str">
        <f aca="false">IF(OR(AN$4=0,AN15=""),"",IFERROR(ROUND(AN15/INDEX(Undirviðmið!$F$6:$F$205,AN$4)*INDEX(Undirviðmið!$E$6:$E$205,AN$4)*KVARDI,2),""))</f>
        <v/>
      </c>
      <c r="AP15" s="23"/>
      <c r="AQ15" s="40" t="str">
        <f aca="false">IF(OR(AP$4=0,AP15=""),"",IFERROR(ROUND(AP15/INDEX(Undirviðmið!$F$6:$F$205,AP$4)*INDEX(Undirviðmið!$E$6:$E$205,AP$4)*KVARDI,2),""))</f>
        <v/>
      </c>
      <c r="AR15" s="23"/>
      <c r="AS15" s="40" t="str">
        <f aca="false">IF(OR(AR$4=0,AR15=""),"",IFERROR(ROUND(AR15/INDEX(Undirviðmið!$F$6:$F$205,AR$4)*INDEX(Undirviðmið!$E$6:$E$205,AR$4)*KVARDI,2),""))</f>
        <v/>
      </c>
      <c r="AT15" s="23"/>
      <c r="AU15" s="40" t="str">
        <f aca="false">IF(OR(AT$4=0,AT15=""),"",IFERROR(ROUND(AT15/INDEX(Undirviðmið!$F$6:$F$205,AT$4)*INDEX(Undirviðmið!$E$6:$E$205,AT$4)*KVARDI,2),""))</f>
        <v/>
      </c>
      <c r="AV15" s="23"/>
      <c r="AW15" s="40" t="str">
        <f aca="false">IF(OR(AV$4=0,AV15=""),"",IFERROR(ROUND(AV15/INDEX(Undirviðmið!$F$6:$F$205,AV$4)*INDEX(Undirviðmið!$E$6:$E$205,AV$4)*KVARDI,2),""))</f>
        <v/>
      </c>
      <c r="AX15" s="23"/>
      <c r="AY15" s="40" t="str">
        <f aca="false">IF(OR(AX$4=0,AX15=""),"",IFERROR(ROUND(AX15/INDEX(Undirviðmið!$F$6:$F$205,AX$4)*INDEX(Undirviðmið!$E$6:$E$205,AX$4)*KVARDI,2),""))</f>
        <v/>
      </c>
      <c r="AZ15" s="23"/>
      <c r="BA15" s="40" t="str">
        <f aca="false">IF(OR(AZ$4=0,AZ15=""),"",IFERROR(ROUND(AZ15/INDEX(Undirviðmið!$F$6:$F$205,AZ$4)*INDEX(Undirviðmið!$E$6:$E$205,AZ$4)*KVARDI,2),""))</f>
        <v/>
      </c>
      <c r="BB15" s="23"/>
      <c r="BC15" s="40" t="str">
        <f aca="false">IF(OR(BB$4=0,BB15=""),"",IFERROR(ROUND(BB15/INDEX(Undirviðmið!$F$6:$F$205,BB$4)*INDEX(Undirviðmið!$E$6:$E$205,BB$4)*KVARDI,2),""))</f>
        <v/>
      </c>
      <c r="BD15" s="23"/>
      <c r="BE15" s="40" t="str">
        <f aca="false">IF(OR(BD$4=0,BD15=""),"",IFERROR(ROUND(BD15/INDEX(Undirviðmið!$F$6:$F$205,BD$4)*INDEX(Undirviðmið!$E$6:$E$205,BD$4)*KVARDI,2),""))</f>
        <v/>
      </c>
      <c r="BF15" s="23"/>
      <c r="BG15" s="40" t="str">
        <f aca="false">IF(OR(BF$4=0,BF15=""),"",IFERROR(ROUND(BF15/INDEX(Undirviðmið!$F$6:$F$205,BF$4)*INDEX(Undirviðmið!$E$6:$E$205,BF$4)*KVARDI,2),""))</f>
        <v/>
      </c>
      <c r="BH15" s="23"/>
      <c r="BI15" s="40" t="str">
        <f aca="false">IF(OR(BH$4=0,BH15=""),"",IFERROR(ROUND(BH15/INDEX(Undirviðmið!$F$6:$F$205,BH$4)*INDEX(Undirviðmið!$E$6:$E$205,BH$4)*KVARDI,2),""))</f>
        <v/>
      </c>
      <c r="BJ15" s="23"/>
      <c r="BK15" s="40" t="str">
        <f aca="false">IF(OR(BJ$4=0,BJ15=""),"",IFERROR(ROUND(BJ15/INDEX(Undirviðmið!$F$6:$F$205,BJ$4)*INDEX(Undirviðmið!$E$6:$E$205,BJ$4)*KVARDI,2),""))</f>
        <v/>
      </c>
      <c r="BL15" s="23"/>
      <c r="BM15" s="40" t="str">
        <f aca="false">IF(OR(BL$4=0,BL15=""),"",IFERROR(ROUND(BL15/INDEX(Undirviðmið!$F$6:$F$205,BL$4)*INDEX(Undirviðmið!$E$6:$E$205,BL$4)*KVARDI,2),""))</f>
        <v/>
      </c>
      <c r="BN15" s="23"/>
      <c r="BO15" s="40" t="str">
        <f aca="false">IF(OR(BN$4=0,BN15=""),"",IFERROR(ROUND(BN15/INDEX(Undirviðmið!$F$6:$F$205,BN$4)*INDEX(Undirviðmið!$E$6:$E$205,BN$4)*KVARDI,2),""))</f>
        <v/>
      </c>
      <c r="BP15" s="23"/>
      <c r="BQ15" s="40" t="str">
        <f aca="false">IF(OR(BP$4=0,BP15=""),"",IFERROR(ROUND(BP15/INDEX(Undirviðmið!$F$6:$F$205,BP$4)*INDEX(Undirviðmið!$E$6:$E$205,BP$4)*KVARDI,2),""))</f>
        <v/>
      </c>
      <c r="BR15" s="23"/>
      <c r="BS15" s="40" t="str">
        <f aca="false">IF(OR(BR$4=0,BR15=""),"",IFERROR(ROUND(BR15/INDEX(Undirviðmið!$F$6:$F$205,BR$4)*INDEX(Undirviðmið!$E$6:$E$205,BR$4)*KVARDI,2),""))</f>
        <v/>
      </c>
      <c r="BT15" s="23"/>
      <c r="BU15" s="40" t="str">
        <f aca="false">IF(OR(BT$4=0,BT15=""),"",IFERROR(ROUND(BT15/INDEX(Undirviðmið!$F$6:$F$205,BT$4)*INDEX(Undirviðmið!$E$6:$E$205,BT$4)*KVARDI,2),""))</f>
        <v/>
      </c>
      <c r="BV15" s="23"/>
      <c r="BW15" s="40" t="str">
        <f aca="false">IF(OR(BV$4=0,BV15=""),"",IFERROR(ROUND(BV15/INDEX(Undirviðmið!$F$6:$F$205,BV$4)*INDEX(Undirviðmið!$E$6:$E$205,BV$4)*KVARDI,2),""))</f>
        <v/>
      </c>
      <c r="BX15" s="23"/>
      <c r="BY15" s="40" t="str">
        <f aca="false">IF(OR(BX$4=0,BX15=""),"",IFERROR(ROUND(BX15/INDEX(Undirviðmið!$F$6:$F$205,BX$4)*INDEX(Undirviðmið!$E$6:$E$205,BX$4)*KVARDI,2),""))</f>
        <v/>
      </c>
      <c r="BZ15" s="23"/>
      <c r="CA15" s="40" t="str">
        <f aca="false">IF(OR(BZ$4=0,BZ15=""),"",IFERROR(ROUND(BZ15/INDEX(Undirviðmið!$F$6:$F$205,BZ$4)*INDEX(Undirviðmið!$E$6:$E$205,BZ$4)*KVARDI,2),""))</f>
        <v/>
      </c>
      <c r="CB15" s="23"/>
      <c r="CC15" s="40" t="str">
        <f aca="false">IF(OR(CB$4=0,CB15=""),"",IFERROR(ROUND(CB15/INDEX(Undirviðmið!$F$6:$F$205,CB$4)*INDEX(Undirviðmið!$E$6:$E$205,CB$4)*KVARDI,2),""))</f>
        <v/>
      </c>
      <c r="CD15" s="23"/>
      <c r="CE15" s="40" t="str">
        <f aca="false">IF(OR(CD$4=0,CD15=""),"",IFERROR(ROUND(CD15/INDEX(Undirviðmið!$F$6:$F$205,CD$4)*INDEX(Undirviðmið!$E$6:$E$205,CD$4)*KVARDI,2),""))</f>
        <v/>
      </c>
      <c r="CF15" s="23"/>
      <c r="CG15" s="40" t="str">
        <f aca="false">IF(OR(CF$4=0,CF15=""),"",IFERROR(ROUND(CF15/INDEX(Undirviðmið!$F$6:$F$205,CF$4)*INDEX(Undirviðmið!$E$6:$E$205,CF$4)*KVARDI,2),""))</f>
        <v/>
      </c>
      <c r="CH15" s="23"/>
      <c r="CI15" s="40" t="str">
        <f aca="false">IF(OR(CH$4=0,CH15=""),"",IFERROR(ROUND(CH15/INDEX(Undirviðmið!$F$6:$F$205,CH$4)*INDEX(Undirviðmið!$E$6:$E$205,CH$4)*KVARDI,2),""))</f>
        <v/>
      </c>
      <c r="CJ15" s="23"/>
      <c r="CK15" s="40" t="str">
        <f aca="false">IF(OR(CJ$4=0,CJ15=""),"",IFERROR(ROUND(CJ15/INDEX(Undirviðmið!$F$6:$F$205,CJ$4)*INDEX(Undirviðmið!$E$6:$E$205,CJ$4)*KVARDI,2),""))</f>
        <v/>
      </c>
      <c r="CL15" s="23"/>
      <c r="CM15" s="40" t="str">
        <f aca="false">IF(OR(CL$4=0,CL15=""),"",IFERROR(ROUND(CL15/INDEX(Undirviðmið!$F$6:$F$205,CL$4)*INDEX(Undirviðmið!$E$6:$E$205,CL$4)*KVARDI,2),""))</f>
        <v/>
      </c>
      <c r="CN15" s="23"/>
      <c r="CO15" s="40" t="str">
        <f aca="false">IF(OR(CN$4=0,CN15=""),"",IFERROR(ROUND(CN15/INDEX(Undirviðmið!$F$6:$F$205,CN$4)*INDEX(Undirviðmið!$E$6:$E$205,CN$4)*KVARDI,2),""))</f>
        <v/>
      </c>
      <c r="CP15" s="23"/>
      <c r="CQ15" s="40" t="str">
        <f aca="false">IF(OR(CP$4=0,CP15=""),"",IFERROR(ROUND(CP15/INDEX(Undirviðmið!$F$6:$F$205,CP$4)*INDEX(Undirviðmið!$E$6:$E$205,CP$4)*KVARDI,2),""))</f>
        <v/>
      </c>
      <c r="CR15" s="23"/>
      <c r="CS15" s="40" t="str">
        <f aca="false">IF(OR(CR$4=0,CR15=""),"",IFERROR(ROUND(CR15/INDEX(Undirviðmið!$F$6:$F$205,CR$4)*INDEX(Undirviðmið!$E$6:$E$205,CR$4)*KVARDI,2),""))</f>
        <v/>
      </c>
      <c r="CT15" s="23"/>
      <c r="CU15" s="40" t="str">
        <f aca="false">IF(OR(CT$4=0,CT15=""),"",IFERROR(ROUND(CT15/INDEX(Undirviðmið!$F$6:$F$205,CT$4)*INDEX(Undirviðmið!$E$6:$E$205,CT$4)*KVARDI,2),""))</f>
        <v/>
      </c>
      <c r="CV15" s="23"/>
      <c r="CW15" s="40" t="str">
        <f aca="false">IF(OR(CV$4=0,CV15=""),"",IFERROR(ROUND(CV15/INDEX(Undirviðmið!$F$6:$F$205,CV$4)*INDEX(Undirviðmið!$E$6:$E$205,CV$4)*KVARDI,2),""))</f>
        <v/>
      </c>
      <c r="CX15" s="23"/>
      <c r="CY15" s="40" t="str">
        <f aca="false">IF(OR(CX$4=0,CX15=""),"",IFERROR(ROUND(CX15/INDEX(Undirviðmið!$F$6:$F$205,CX$4)*INDEX(Undirviðmið!$E$6:$E$205,CX$4)*KVARDI,2),""))</f>
        <v/>
      </c>
      <c r="CZ15" s="23"/>
      <c r="DA15" s="40" t="str">
        <f aca="false">IF(OR(CZ$4=0,CZ15=""),"",IFERROR(ROUND(CZ15/INDEX(Undirviðmið!$F$6:$F$205,CZ$4)*INDEX(Undirviðmið!$E$6:$E$205,CZ$4)*KVARDI,2),""))</f>
        <v/>
      </c>
      <c r="DB15" s="23"/>
      <c r="DC15" s="40" t="str">
        <f aca="false">IF(OR(DB$4=0,DB15=""),"",IFERROR(ROUND(DB15/INDEX(Undirviðmið!$F$6:$F$205,DB$4)*INDEX(Undirviðmið!$E$6:$E$205,DB$4)*KVARDI,2),""))</f>
        <v/>
      </c>
      <c r="DD15" s="23"/>
      <c r="DE15" s="40" t="str">
        <f aca="false">IF(OR(DD$4=0,DD15=""),"",IFERROR(ROUND(DD15/INDEX(Undirviðmið!$F$6:$F$205,DD$4)*INDEX(Undirviðmið!$E$6:$E$205,DD$4)*KVARDI,2),""))</f>
        <v/>
      </c>
      <c r="DF15" s="23"/>
      <c r="DG15" s="40" t="str">
        <f aca="false">IF(OR(DF$4=0,DF15=""),"",IFERROR(ROUND(DF15/INDEX(Undirviðmið!$F$6:$F$205,DF$4)*INDEX(Undirviðmið!$E$6:$E$205,DF$4)*KVARDI,2),""))</f>
        <v/>
      </c>
      <c r="DH15" s="23"/>
      <c r="DI15" s="40" t="str">
        <f aca="false">IF(OR(DH$4=0,DH15=""),"",IFERROR(ROUND(DH15/INDEX(Undirviðmið!$F$6:$F$205,DH$4)*INDEX(Undirviðmið!$E$6:$E$205,DH$4)*KVARDI,2),""))</f>
        <v/>
      </c>
      <c r="DJ15" s="23"/>
      <c r="DK15" s="40" t="str">
        <f aca="false">IF(OR(DJ$4=0,DJ15=""),"",IFERROR(ROUND(DJ15/INDEX(Undirviðmið!$F$6:$F$205,DJ$4)*INDEX(Undirviðmið!$E$6:$E$205,DJ$4)*KVARDI,2),""))</f>
        <v/>
      </c>
      <c r="DL15" s="23"/>
      <c r="DM15" s="40" t="str">
        <f aca="false">IF(OR(DL$4=0,DL15=""),"",IFERROR(ROUND(DL15/INDEX(Undirviðmið!$F$6:$F$205,DL$4)*INDEX(Undirviðmið!$E$6:$E$205,DL$4)*KVARDI,2),""))</f>
        <v/>
      </c>
      <c r="DN15" s="23"/>
      <c r="DO15" s="40" t="str">
        <f aca="false">IF(OR(DN$4=0,DN15=""),"",IFERROR(ROUND(DN15/INDEX(Undirviðmið!$F$6:$F$205,DN$4)*INDEX(Undirviðmið!$E$6:$E$205,DN$4)*KVARDI,2),""))</f>
        <v/>
      </c>
      <c r="DP15" s="23"/>
      <c r="DQ15" s="40" t="str">
        <f aca="false">IF(OR(DP$4=0,DP15=""),"",IFERROR(ROUND(DP15/INDEX(Undirviðmið!$F$6:$F$205,DP$4)*INDEX(Undirviðmið!$E$6:$E$205,DP$4)*KVARDI,2),""))</f>
        <v/>
      </c>
      <c r="DR15" s="23"/>
      <c r="DS15" s="40" t="str">
        <f aca="false">IF(OR(DR$4=0,DR15=""),"",IFERROR(ROUND(DR15/INDEX(Undirviðmið!$F$6:$F$205,DR$4)*INDEX(Undirviðmið!$E$6:$E$205,DR$4)*KVARDI,2),""))</f>
        <v/>
      </c>
      <c r="DT15" s="23"/>
      <c r="DU15" s="40" t="str">
        <f aca="false">IF(OR(DT$4=0,DT15=""),"",IFERROR(ROUND(DT15/INDEX(Undirviðmið!$F$6:$F$205,DT$4)*INDEX(Undirviðmið!$E$6:$E$205,DT$4)*KVARDI,2),""))</f>
        <v/>
      </c>
      <c r="DV15" s="23"/>
      <c r="DW15" s="40" t="str">
        <f aca="false">IF(OR(DV$4=0,DV15=""),"",IFERROR(ROUND(DV15/INDEX(Undirviðmið!$F$6:$F$205,DV$4)*INDEX(Undirviðmið!$E$6:$E$205,DV$4)*KVARDI,2),""))</f>
        <v/>
      </c>
      <c r="DX15" s="23"/>
      <c r="DY15" s="40" t="str">
        <f aca="false">IF(OR(DX$4=0,DX15=""),"",IFERROR(ROUND(DX15/INDEX(Undirviðmið!$F$6:$F$205,DX$4)*INDEX(Undirviðmið!$E$6:$E$205,DX$4)*KVARDI,2),""))</f>
        <v/>
      </c>
      <c r="DZ15" s="23"/>
      <c r="EA15" s="40" t="str">
        <f aca="false">IF(OR(DZ$4=0,DZ15=""),"",IFERROR(ROUND(DZ15/INDEX(Undirviðmið!$F$6:$F$205,DZ$4)*INDEX(Undirviðmið!$E$6:$E$205,DZ$4)*KVARDI,2),""))</f>
        <v/>
      </c>
      <c r="EB15" s="23"/>
      <c r="EC15" s="40" t="str">
        <f aca="false">IF(OR(EB$4=0,EB15=""),"",IFERROR(ROUND(EB15/INDEX(Undirviðmið!$F$6:$F$205,EB$4)*INDEX(Undirviðmið!$E$6:$E$205,EB$4)*KVARDI,2),""))</f>
        <v/>
      </c>
      <c r="ED15" s="23"/>
      <c r="EE15" s="40" t="str">
        <f aca="false">IF(OR(ED$4=0,ED15=""),"",IFERROR(ROUND(ED15/INDEX(Undirviðmið!$F$6:$F$205,ED$4)*INDEX(Undirviðmið!$E$6:$E$205,ED$4)*KVARDI,2),""))</f>
        <v/>
      </c>
      <c r="EF15" s="23"/>
      <c r="EG15" s="40" t="str">
        <f aca="false">IF(OR(EF$4=0,EF15=""),"",IFERROR(ROUND(EF15/INDEX(Undirviðmið!$F$6:$F$205,EF$4)*INDEX(Undirviðmið!$E$6:$E$205,EF$4)*KVARDI,2),""))</f>
        <v/>
      </c>
      <c r="EH15" s="23"/>
      <c r="EI15" s="40" t="str">
        <f aca="false">IF(OR(EH$4=0,EH15=""),"",IFERROR(ROUND(EH15/INDEX(Undirviðmið!$F$6:$F$205,EH$4)*INDEX(Undirviðmið!$E$6:$E$205,EH$4)*KVARDI,2),""))</f>
        <v/>
      </c>
      <c r="EJ15" s="23"/>
      <c r="EK15" s="40" t="str">
        <f aca="false">IF(OR(EJ$4=0,EJ15=""),"",IFERROR(ROUND(EJ15/INDEX(Undirviðmið!$F$6:$F$205,EJ$4)*INDEX(Undirviðmið!$E$6:$E$205,EJ$4)*KVARDI,2),""))</f>
        <v/>
      </c>
      <c r="EL15" s="23"/>
      <c r="EM15" s="40" t="str">
        <f aca="false">IF(OR(EL$4=0,EL15=""),"",IFERROR(ROUND(EL15/INDEX(Undirviðmið!$F$6:$F$205,EL$4)*INDEX(Undirviðmið!$E$6:$E$205,EL$4)*KVARDI,2),""))</f>
        <v/>
      </c>
      <c r="EN15" s="23"/>
      <c r="EO15" s="40" t="str">
        <f aca="false">IF(OR(EN$4=0,EN15=""),"",IFERROR(ROUND(EN15/INDEX(Undirviðmið!$F$6:$F$205,EN$4)*INDEX(Undirviðmið!$E$6:$E$205,EN$4)*KVARDI,2),""))</f>
        <v/>
      </c>
      <c r="EP15" s="23"/>
      <c r="EQ15" s="40" t="str">
        <f aca="false">IF(OR(EP$4=0,EP15=""),"",IFERROR(ROUND(EP15/INDEX(Undirviðmið!$F$6:$F$205,EP$4)*INDEX(Undirviðmið!$E$6:$E$205,EP$4)*KVARDI,2),""))</f>
        <v/>
      </c>
      <c r="ER15" s="23"/>
      <c r="ES15" s="40" t="str">
        <f aca="false">IF(OR(ER$4=0,ER15=""),"",IFERROR(ROUND(ER15/INDEX(Undirviðmið!$F$6:$F$205,ER$4)*INDEX(Undirviðmið!$E$6:$E$205,ER$4)*KVARDI,2),""))</f>
        <v/>
      </c>
      <c r="ET15" s="23"/>
      <c r="EU15" s="40" t="str">
        <f aca="false">IF(OR(ET$4=0,ET15=""),"",IFERROR(ROUND(ET15/INDEX(Undirviðmið!$F$6:$F$205,ET$4)*INDEX(Undirviðmið!$E$6:$E$205,ET$4)*KVARDI,2),""))</f>
        <v/>
      </c>
      <c r="EV15" s="23"/>
      <c r="EW15" s="40" t="str">
        <f aca="false">IF(OR(EV$4=0,EV15=""),"",IFERROR(ROUND(EV15/INDEX(Undirviðmið!$F$6:$F$205,EV$4)*INDEX(Undirviðmið!$E$6:$E$205,EV$4)*KVARDI,2),""))</f>
        <v/>
      </c>
      <c r="EX15" s="23"/>
      <c r="EY15" s="40" t="str">
        <f aca="false">IF(OR(EX$4=0,EX15=""),"",IFERROR(ROUND(EX15/INDEX(Undirviðmið!$F$6:$F$205,EX$4)*INDEX(Undirviðmið!$E$6:$E$205,EX$4)*KVARDI,2),""))</f>
        <v/>
      </c>
      <c r="EZ15" s="23"/>
      <c r="FA15" s="40" t="str">
        <f aca="false">IF(OR(EZ$4=0,EZ15=""),"",IFERROR(ROUND(EZ15/INDEX(Undirviðmið!$F$6:$F$205,EZ$4)*INDEX(Undirviðmið!$E$6:$E$205,EZ$4)*KVARDI,2),""))</f>
        <v/>
      </c>
      <c r="FB15" s="23"/>
      <c r="FC15" s="40" t="str">
        <f aca="false">IF(OR(FB$4=0,FB15=""),"",IFERROR(ROUND(FB15/INDEX(Undirviðmið!$F$6:$F$205,FB$4)*INDEX(Undirviðmið!$E$6:$E$205,FB$4)*KVARDI,2),""))</f>
        <v/>
      </c>
      <c r="FD15" s="23"/>
      <c r="FE15" s="40" t="str">
        <f aca="false">IF(OR(FD$4=0,FD15=""),"",IFERROR(ROUND(FD15/INDEX(Undirviðmið!$F$6:$F$205,FD$4)*INDEX(Undirviðmið!$E$6:$E$205,FD$4)*KVARDI,2),""))</f>
        <v/>
      </c>
      <c r="FF15" s="23"/>
      <c r="FG15" s="40" t="str">
        <f aca="false">IF(OR(FF$4=0,FF15=""),"",IFERROR(ROUND(FF15/INDEX(Undirviðmið!$F$6:$F$205,FF$4)*INDEX(Undirviðmið!$E$6:$E$205,FF$4)*KVARDI,2),""))</f>
        <v/>
      </c>
      <c r="FH15" s="23"/>
      <c r="FI15" s="40" t="str">
        <f aca="false">IF(OR(FH$4=0,FH15=""),"",IFERROR(ROUND(FH15/INDEX(Undirviðmið!$F$6:$F$205,FH$4)*INDEX(Undirviðmið!$E$6:$E$205,FH$4)*KVARDI,2),""))</f>
        <v/>
      </c>
      <c r="FJ15" s="23"/>
      <c r="FK15" s="40" t="str">
        <f aca="false">IF(OR(FJ$4=0,FJ15=""),"",IFERROR(ROUND(FJ15/INDEX(Undirviðmið!$F$6:$F$205,FJ$4)*INDEX(Undirviðmið!$E$6:$E$205,FJ$4)*KVARDI,2),""))</f>
        <v/>
      </c>
      <c r="FL15" s="23"/>
      <c r="FM15" s="40" t="str">
        <f aca="false">IF(OR(FL$4=0,FL15=""),"",IFERROR(ROUND(FL15/INDEX(Undirviðmið!$F$6:$F$205,FL$4)*INDEX(Undirviðmið!$E$6:$E$205,FL$4)*KVARDI,2),""))</f>
        <v/>
      </c>
      <c r="FN15" s="23"/>
      <c r="FO15" s="40" t="str">
        <f aca="false">IF(OR(FN$4=0,FN15=""),"",IFERROR(ROUND(FN15/INDEX(Undirviðmið!$F$6:$F$205,FN$4)*INDEX(Undirviðmið!$E$6:$E$205,FN$4)*KVARDI,2),""))</f>
        <v/>
      </c>
      <c r="FP15" s="23"/>
      <c r="FQ15" s="40" t="str">
        <f aca="false">IF(OR(FP$4=0,FP15=""),"",IFERROR(ROUND(FP15/INDEX(Undirviðmið!$F$6:$F$205,FP$4)*INDEX(Undirviðmið!$E$6:$E$205,FP$4)*KVARDI,2),""))</f>
        <v/>
      </c>
      <c r="FR15" s="23"/>
      <c r="FS15" s="40" t="str">
        <f aca="false">IF(OR(FR$4=0,FR15=""),"",IFERROR(ROUND(FR15/INDEX(Undirviðmið!$F$6:$F$205,FR$4)*INDEX(Undirviðmið!$E$6:$E$205,FR$4)*KVARDI,2),""))</f>
        <v/>
      </c>
      <c r="FT15" s="23"/>
      <c r="FU15" s="40" t="str">
        <f aca="false">IF(OR(FT$4=0,FT15=""),"",IFERROR(ROUND(FT15/INDEX(Undirviðmið!$F$6:$F$205,FT$4)*INDEX(Undirviðmið!$E$6:$E$205,FT$4)*KVARDI,2),""))</f>
        <v/>
      </c>
      <c r="FV15" s="23"/>
      <c r="FW15" s="40" t="str">
        <f aca="false">IF(OR(FV$4=0,FV15=""),"",IFERROR(ROUND(FV15/INDEX(Undirviðmið!$F$6:$F$205,FV$4)*INDEX(Undirviðmið!$E$6:$E$205,FV$4)*KVARDI,2),""))</f>
        <v/>
      </c>
      <c r="FX15" s="23"/>
      <c r="FY15" s="40" t="str">
        <f aca="false">IF(OR(FX$4=0,FX15=""),"",IFERROR(ROUND(FX15/INDEX(Undirviðmið!$F$6:$F$205,FX$4)*INDEX(Undirviðmið!$E$6:$E$205,FX$4)*KVARDI,2),""))</f>
        <v/>
      </c>
      <c r="FZ15" s="23"/>
      <c r="GA15" s="40" t="str">
        <f aca="false">IF(OR(FZ$4=0,FZ15=""),"",IFERROR(ROUND(FZ15/INDEX(Undirviðmið!$F$6:$F$205,FZ$4)*INDEX(Undirviðmið!$E$6:$E$205,FZ$4)*KVARDI,2),""))</f>
        <v/>
      </c>
      <c r="GB15" s="23"/>
      <c r="GC15" s="40" t="str">
        <f aca="false">IF(OR(GB$4=0,GB15=""),"",IFERROR(ROUND(GB15/INDEX(Undirviðmið!$F$6:$F$205,GB$4)*INDEX(Undirviðmið!$E$6:$E$205,GB$4)*KVARDI,2),""))</f>
        <v/>
      </c>
      <c r="GD15" s="23"/>
      <c r="GE15" s="40" t="str">
        <f aca="false">IF(OR(GD$4=0,GD15=""),"",IFERROR(ROUND(GD15/INDEX(Undirviðmið!$F$6:$F$205,GD$4)*INDEX(Undirviðmið!$E$6:$E$205,GD$4)*KVARDI,2),""))</f>
        <v/>
      </c>
      <c r="GF15" s="23"/>
      <c r="GG15" s="40" t="str">
        <f aca="false">IF(OR(GF$4=0,GF15=""),"",IFERROR(ROUND(GF15/INDEX(Undirviðmið!$F$6:$F$205,GF$4)*INDEX(Undirviðmið!$E$6:$E$205,GF$4)*KVARDI,2),""))</f>
        <v/>
      </c>
      <c r="GH15" s="23"/>
      <c r="GI15" s="40" t="str">
        <f aca="false">IF(OR(GH$4=0,GH15=""),"",IFERROR(ROUND(GH15/INDEX(Undirviðmið!$F$6:$F$205,GH$4)*INDEX(Undirviðmið!$E$6:$E$205,GH$4)*KVARDI,2),""))</f>
        <v/>
      </c>
      <c r="GJ15" s="23"/>
      <c r="GK15" s="40" t="str">
        <f aca="false">IF(OR(GJ$4=0,GJ15=""),"",IFERROR(ROUND(GJ15/INDEX(Undirviðmið!$F$6:$F$205,GJ$4)*INDEX(Undirviðmið!$E$6:$E$205,GJ$4)*KVARDI,2),""))</f>
        <v/>
      </c>
      <c r="GL15" s="23"/>
      <c r="GM15" s="40" t="str">
        <f aca="false">IF(OR(GL$4=0,GL15=""),"",IFERROR(ROUND(GL15/INDEX(Undirviðmið!$F$6:$F$205,GL$4)*INDEX(Undirviðmið!$E$6:$E$205,GL$4)*KVARDI,2),""))</f>
        <v/>
      </c>
      <c r="GN15" s="23"/>
      <c r="GO15" s="40" t="str">
        <f aca="false">IF(OR(GN$4=0,GN15=""),"",IFERROR(ROUND(GN15/INDEX(Undirviðmið!$F$6:$F$205,GN$4)*INDEX(Undirviðmið!$E$6:$E$205,GN$4)*KVARDI,2),""))</f>
        <v/>
      </c>
      <c r="GP15" s="23"/>
      <c r="GQ15" s="40" t="str">
        <f aca="false">IF(OR(GP$4=0,GP15=""),"",IFERROR(ROUND(GP15/INDEX(Undirviðmið!$F$6:$F$205,GP$4)*INDEX(Undirviðmið!$E$6:$E$205,GP$4)*KVARDI,2),""))</f>
        <v/>
      </c>
      <c r="GR15" s="23"/>
      <c r="GS15" s="40" t="str">
        <f aca="false">IF(OR(GR$4=0,GR15=""),"",IFERROR(ROUND(GR15/INDEX(Undirviðmið!$F$6:$F$205,GR$4)*INDEX(Undirviðmið!$E$6:$E$205,GR$4)*KVARDI,2),""))</f>
        <v/>
      </c>
      <c r="GT15" s="23"/>
      <c r="GU15" s="40" t="str">
        <f aca="false">IF(OR(GT$4=0,GT15=""),"",IFERROR(ROUND(GT15/INDEX(Undirviðmið!$F$6:$F$205,GT$4)*INDEX(Undirviðmið!$E$6:$E$205,GT$4)*KVARDI,2),""))</f>
        <v/>
      </c>
      <c r="GV15" s="44" t="n">
        <f aca="false">IFERROR(SUMIF($D$6:GU$6,"Stig",$D15:GU15),0)</f>
        <v>0</v>
      </c>
    </row>
    <row r="16" customFormat="false" ht="15" hidden="false" customHeight="true" outlineLevel="0" collapsed="false">
      <c r="A16" s="22" t="n">
        <f aca="false">ROW()-6</f>
        <v>10</v>
      </c>
      <c r="B16" s="24" t="str">
        <f aca="false">IF(INDEX(Starfsmenn!$B$6:$B$10005,ROW()-6)="","",INDEX(Starfsmenn!$B$6:$B$10005,ROW()-6))</f>
        <v/>
      </c>
      <c r="C16" s="24" t="str">
        <f aca="false">IF(INDEX(Starfsmenn!$C$6:$C$10005,ROW()-6)="","",INDEX(Starfsmenn!$C$6:$C$10005,ROW()-6))</f>
        <v/>
      </c>
      <c r="D16" s="23"/>
      <c r="E16" s="40" t="str">
        <f aca="false">IF(OR(D$4=0,D16=""),"",IFERROR(ROUND(D16/INDEX(Undirviðmið!$F$6:$F$205,D$4)*INDEX(Undirviðmið!$E$6:$E$205,D$4)*KVARDI,2),""))</f>
        <v/>
      </c>
      <c r="F16" s="23"/>
      <c r="G16" s="40" t="str">
        <f aca="false">IF(OR(F$4=0,F16=""),"",IFERROR(ROUND(F16/INDEX(Undirviðmið!$F$6:$F$205,F$4)*INDEX(Undirviðmið!$E$6:$E$205,F$4)*KVARDI,2),""))</f>
        <v/>
      </c>
      <c r="H16" s="23"/>
      <c r="I16" s="40" t="str">
        <f aca="false">IF(OR(H$4=0,H16=""),"",IFERROR(ROUND(H16/INDEX(Undirviðmið!$F$6:$F$205,H$4)*INDEX(Undirviðmið!$E$6:$E$205,H$4)*KVARDI,2),""))</f>
        <v/>
      </c>
      <c r="J16" s="23"/>
      <c r="K16" s="40" t="str">
        <f aca="false">IF(OR(J$4=0,J16=""),"",IFERROR(ROUND(J16/INDEX(Undirviðmið!$F$6:$F$205,J$4)*INDEX(Undirviðmið!$E$6:$E$205,J$4)*KVARDI,2),""))</f>
        <v/>
      </c>
      <c r="L16" s="23"/>
      <c r="M16" s="40" t="str">
        <f aca="false">IF(OR(L$4=0,L16=""),"",IFERROR(ROUND(L16/INDEX(Undirviðmið!$F$6:$F$205,L$4)*INDEX(Undirviðmið!$E$6:$E$205,L$4)*KVARDI,2),""))</f>
        <v/>
      </c>
      <c r="N16" s="23"/>
      <c r="O16" s="40" t="str">
        <f aca="false">IF(OR(N$4=0,N16=""),"",IFERROR(ROUND(N16/INDEX(Undirviðmið!$F$6:$F$205,N$4)*INDEX(Undirviðmið!$E$6:$E$205,N$4)*KVARDI,2),""))</f>
        <v/>
      </c>
      <c r="P16" s="23"/>
      <c r="Q16" s="40" t="str">
        <f aca="false">IF(OR(P$4=0,P16=""),"",IFERROR(ROUND(P16/INDEX(Undirviðmið!$F$6:$F$205,P$4)*INDEX(Undirviðmið!$E$6:$E$205,P$4)*KVARDI,2),""))</f>
        <v/>
      </c>
      <c r="R16" s="23"/>
      <c r="S16" s="40" t="str">
        <f aca="false">IF(OR(R$4=0,R16=""),"",IFERROR(ROUND(R16/INDEX(Undirviðmið!$F$6:$F$205,R$4)*INDEX(Undirviðmið!$E$6:$E$205,R$4)*KVARDI,2),""))</f>
        <v/>
      </c>
      <c r="T16" s="23"/>
      <c r="U16" s="40" t="str">
        <f aca="false">IF(OR(T$4=0,T16=""),"",IFERROR(ROUND(T16/INDEX(Undirviðmið!$F$6:$F$205,T$4)*INDEX(Undirviðmið!$E$6:$E$205,T$4)*KVARDI,2),""))</f>
        <v/>
      </c>
      <c r="V16" s="23"/>
      <c r="W16" s="40" t="str">
        <f aca="false">IF(OR(V$4=0,V16=""),"",IFERROR(ROUND(V16/INDEX(Undirviðmið!$F$6:$F$205,V$4)*INDEX(Undirviðmið!$E$6:$E$205,V$4)*KVARDI,2),""))</f>
        <v/>
      </c>
      <c r="X16" s="23"/>
      <c r="Y16" s="40" t="str">
        <f aca="false">IF(OR(X$4=0,X16=""),"",IFERROR(ROUND(X16/INDEX(Undirviðmið!$F$6:$F$205,X$4)*INDEX(Undirviðmið!$E$6:$E$205,X$4)*KVARDI,2),""))</f>
        <v/>
      </c>
      <c r="Z16" s="23"/>
      <c r="AA16" s="40" t="str">
        <f aca="false">IF(OR(Z$4=0,Z16=""),"",IFERROR(ROUND(Z16/INDEX(Undirviðmið!$F$6:$F$205,Z$4)*INDEX(Undirviðmið!$E$6:$E$205,Z$4)*KVARDI,2),""))</f>
        <v/>
      </c>
      <c r="AB16" s="23"/>
      <c r="AC16" s="40" t="str">
        <f aca="false">IF(OR(AB$4=0,AB16=""),"",IFERROR(ROUND(AB16/INDEX(Undirviðmið!$F$6:$F$205,AB$4)*INDEX(Undirviðmið!$E$6:$E$205,AB$4)*KVARDI,2),""))</f>
        <v/>
      </c>
      <c r="AD16" s="23"/>
      <c r="AE16" s="40" t="str">
        <f aca="false">IF(OR(AD$4=0,AD16=""),"",IFERROR(ROUND(AD16/INDEX(Undirviðmið!$F$6:$F$205,AD$4)*INDEX(Undirviðmið!$E$6:$E$205,AD$4)*KVARDI,2),""))</f>
        <v/>
      </c>
      <c r="AF16" s="23"/>
      <c r="AG16" s="40" t="str">
        <f aca="false">IF(OR(AF$4=0,AF16=""),"",IFERROR(ROUND(AF16/INDEX(Undirviðmið!$F$6:$F$205,AF$4)*INDEX(Undirviðmið!$E$6:$E$205,AF$4)*KVARDI,2),""))</f>
        <v/>
      </c>
      <c r="AH16" s="23"/>
      <c r="AI16" s="40" t="str">
        <f aca="false">IF(OR(AH$4=0,AH16=""),"",IFERROR(ROUND(AH16/INDEX(Undirviðmið!$F$6:$F$205,AH$4)*INDEX(Undirviðmið!$E$6:$E$205,AH$4)*KVARDI,2),""))</f>
        <v/>
      </c>
      <c r="AJ16" s="23"/>
      <c r="AK16" s="40" t="str">
        <f aca="false">IF(OR(AJ$4=0,AJ16=""),"",IFERROR(ROUND(AJ16/INDEX(Undirviðmið!$F$6:$F$205,AJ$4)*INDEX(Undirviðmið!$E$6:$E$205,AJ$4)*KVARDI,2),""))</f>
        <v/>
      </c>
      <c r="AL16" s="23"/>
      <c r="AM16" s="40" t="str">
        <f aca="false">IF(OR(AL$4=0,AL16=""),"",IFERROR(ROUND(AL16/INDEX(Undirviðmið!$F$6:$F$205,AL$4)*INDEX(Undirviðmið!$E$6:$E$205,AL$4)*KVARDI,2),""))</f>
        <v/>
      </c>
      <c r="AN16" s="23"/>
      <c r="AO16" s="40" t="str">
        <f aca="false">IF(OR(AN$4=0,AN16=""),"",IFERROR(ROUND(AN16/INDEX(Undirviðmið!$F$6:$F$205,AN$4)*INDEX(Undirviðmið!$E$6:$E$205,AN$4)*KVARDI,2),""))</f>
        <v/>
      </c>
      <c r="AP16" s="23"/>
      <c r="AQ16" s="40" t="str">
        <f aca="false">IF(OR(AP$4=0,AP16=""),"",IFERROR(ROUND(AP16/INDEX(Undirviðmið!$F$6:$F$205,AP$4)*INDEX(Undirviðmið!$E$6:$E$205,AP$4)*KVARDI,2),""))</f>
        <v/>
      </c>
      <c r="AR16" s="23"/>
      <c r="AS16" s="40" t="str">
        <f aca="false">IF(OR(AR$4=0,AR16=""),"",IFERROR(ROUND(AR16/INDEX(Undirviðmið!$F$6:$F$205,AR$4)*INDEX(Undirviðmið!$E$6:$E$205,AR$4)*KVARDI,2),""))</f>
        <v/>
      </c>
      <c r="AT16" s="23"/>
      <c r="AU16" s="40" t="str">
        <f aca="false">IF(OR(AT$4=0,AT16=""),"",IFERROR(ROUND(AT16/INDEX(Undirviðmið!$F$6:$F$205,AT$4)*INDEX(Undirviðmið!$E$6:$E$205,AT$4)*KVARDI,2),""))</f>
        <v/>
      </c>
      <c r="AV16" s="23"/>
      <c r="AW16" s="40" t="str">
        <f aca="false">IF(OR(AV$4=0,AV16=""),"",IFERROR(ROUND(AV16/INDEX(Undirviðmið!$F$6:$F$205,AV$4)*INDEX(Undirviðmið!$E$6:$E$205,AV$4)*KVARDI,2),""))</f>
        <v/>
      </c>
      <c r="AX16" s="23"/>
      <c r="AY16" s="40" t="str">
        <f aca="false">IF(OR(AX$4=0,AX16=""),"",IFERROR(ROUND(AX16/INDEX(Undirviðmið!$F$6:$F$205,AX$4)*INDEX(Undirviðmið!$E$6:$E$205,AX$4)*KVARDI,2),""))</f>
        <v/>
      </c>
      <c r="AZ16" s="23"/>
      <c r="BA16" s="40" t="str">
        <f aca="false">IF(OR(AZ$4=0,AZ16=""),"",IFERROR(ROUND(AZ16/INDEX(Undirviðmið!$F$6:$F$205,AZ$4)*INDEX(Undirviðmið!$E$6:$E$205,AZ$4)*KVARDI,2),""))</f>
        <v/>
      </c>
      <c r="BB16" s="23"/>
      <c r="BC16" s="40" t="str">
        <f aca="false">IF(OR(BB$4=0,BB16=""),"",IFERROR(ROUND(BB16/INDEX(Undirviðmið!$F$6:$F$205,BB$4)*INDEX(Undirviðmið!$E$6:$E$205,BB$4)*KVARDI,2),""))</f>
        <v/>
      </c>
      <c r="BD16" s="23"/>
      <c r="BE16" s="40" t="str">
        <f aca="false">IF(OR(BD$4=0,BD16=""),"",IFERROR(ROUND(BD16/INDEX(Undirviðmið!$F$6:$F$205,BD$4)*INDEX(Undirviðmið!$E$6:$E$205,BD$4)*KVARDI,2),""))</f>
        <v/>
      </c>
      <c r="BF16" s="23"/>
      <c r="BG16" s="40" t="str">
        <f aca="false">IF(OR(BF$4=0,BF16=""),"",IFERROR(ROUND(BF16/INDEX(Undirviðmið!$F$6:$F$205,BF$4)*INDEX(Undirviðmið!$E$6:$E$205,BF$4)*KVARDI,2),""))</f>
        <v/>
      </c>
      <c r="BH16" s="23"/>
      <c r="BI16" s="40" t="str">
        <f aca="false">IF(OR(BH$4=0,BH16=""),"",IFERROR(ROUND(BH16/INDEX(Undirviðmið!$F$6:$F$205,BH$4)*INDEX(Undirviðmið!$E$6:$E$205,BH$4)*KVARDI,2),""))</f>
        <v/>
      </c>
      <c r="BJ16" s="23"/>
      <c r="BK16" s="40" t="str">
        <f aca="false">IF(OR(BJ$4=0,BJ16=""),"",IFERROR(ROUND(BJ16/INDEX(Undirviðmið!$F$6:$F$205,BJ$4)*INDEX(Undirviðmið!$E$6:$E$205,BJ$4)*KVARDI,2),""))</f>
        <v/>
      </c>
      <c r="BL16" s="23"/>
      <c r="BM16" s="40" t="str">
        <f aca="false">IF(OR(BL$4=0,BL16=""),"",IFERROR(ROUND(BL16/INDEX(Undirviðmið!$F$6:$F$205,BL$4)*INDEX(Undirviðmið!$E$6:$E$205,BL$4)*KVARDI,2),""))</f>
        <v/>
      </c>
      <c r="BN16" s="23"/>
      <c r="BO16" s="40" t="str">
        <f aca="false">IF(OR(BN$4=0,BN16=""),"",IFERROR(ROUND(BN16/INDEX(Undirviðmið!$F$6:$F$205,BN$4)*INDEX(Undirviðmið!$E$6:$E$205,BN$4)*KVARDI,2),""))</f>
        <v/>
      </c>
      <c r="BP16" s="23"/>
      <c r="BQ16" s="40" t="str">
        <f aca="false">IF(OR(BP$4=0,BP16=""),"",IFERROR(ROUND(BP16/INDEX(Undirviðmið!$F$6:$F$205,BP$4)*INDEX(Undirviðmið!$E$6:$E$205,BP$4)*KVARDI,2),""))</f>
        <v/>
      </c>
      <c r="BR16" s="23"/>
      <c r="BS16" s="40" t="str">
        <f aca="false">IF(OR(BR$4=0,BR16=""),"",IFERROR(ROUND(BR16/INDEX(Undirviðmið!$F$6:$F$205,BR$4)*INDEX(Undirviðmið!$E$6:$E$205,BR$4)*KVARDI,2),""))</f>
        <v/>
      </c>
      <c r="BT16" s="23"/>
      <c r="BU16" s="40" t="str">
        <f aca="false">IF(OR(BT$4=0,BT16=""),"",IFERROR(ROUND(BT16/INDEX(Undirviðmið!$F$6:$F$205,BT$4)*INDEX(Undirviðmið!$E$6:$E$205,BT$4)*KVARDI,2),""))</f>
        <v/>
      </c>
      <c r="BV16" s="23"/>
      <c r="BW16" s="40" t="str">
        <f aca="false">IF(OR(BV$4=0,BV16=""),"",IFERROR(ROUND(BV16/INDEX(Undirviðmið!$F$6:$F$205,BV$4)*INDEX(Undirviðmið!$E$6:$E$205,BV$4)*KVARDI,2),""))</f>
        <v/>
      </c>
      <c r="BX16" s="23"/>
      <c r="BY16" s="40" t="str">
        <f aca="false">IF(OR(BX$4=0,BX16=""),"",IFERROR(ROUND(BX16/INDEX(Undirviðmið!$F$6:$F$205,BX$4)*INDEX(Undirviðmið!$E$6:$E$205,BX$4)*KVARDI,2),""))</f>
        <v/>
      </c>
      <c r="BZ16" s="23"/>
      <c r="CA16" s="40" t="str">
        <f aca="false">IF(OR(BZ$4=0,BZ16=""),"",IFERROR(ROUND(BZ16/INDEX(Undirviðmið!$F$6:$F$205,BZ$4)*INDEX(Undirviðmið!$E$6:$E$205,BZ$4)*KVARDI,2),""))</f>
        <v/>
      </c>
      <c r="CB16" s="23"/>
      <c r="CC16" s="40" t="str">
        <f aca="false">IF(OR(CB$4=0,CB16=""),"",IFERROR(ROUND(CB16/INDEX(Undirviðmið!$F$6:$F$205,CB$4)*INDEX(Undirviðmið!$E$6:$E$205,CB$4)*KVARDI,2),""))</f>
        <v/>
      </c>
      <c r="CD16" s="23"/>
      <c r="CE16" s="40" t="str">
        <f aca="false">IF(OR(CD$4=0,CD16=""),"",IFERROR(ROUND(CD16/INDEX(Undirviðmið!$F$6:$F$205,CD$4)*INDEX(Undirviðmið!$E$6:$E$205,CD$4)*KVARDI,2),""))</f>
        <v/>
      </c>
      <c r="CF16" s="23"/>
      <c r="CG16" s="40" t="str">
        <f aca="false">IF(OR(CF$4=0,CF16=""),"",IFERROR(ROUND(CF16/INDEX(Undirviðmið!$F$6:$F$205,CF$4)*INDEX(Undirviðmið!$E$6:$E$205,CF$4)*KVARDI,2),""))</f>
        <v/>
      </c>
      <c r="CH16" s="23"/>
      <c r="CI16" s="40" t="str">
        <f aca="false">IF(OR(CH$4=0,CH16=""),"",IFERROR(ROUND(CH16/INDEX(Undirviðmið!$F$6:$F$205,CH$4)*INDEX(Undirviðmið!$E$6:$E$205,CH$4)*KVARDI,2),""))</f>
        <v/>
      </c>
      <c r="CJ16" s="23"/>
      <c r="CK16" s="40" t="str">
        <f aca="false">IF(OR(CJ$4=0,CJ16=""),"",IFERROR(ROUND(CJ16/INDEX(Undirviðmið!$F$6:$F$205,CJ$4)*INDEX(Undirviðmið!$E$6:$E$205,CJ$4)*KVARDI,2),""))</f>
        <v/>
      </c>
      <c r="CL16" s="23"/>
      <c r="CM16" s="40" t="str">
        <f aca="false">IF(OR(CL$4=0,CL16=""),"",IFERROR(ROUND(CL16/INDEX(Undirviðmið!$F$6:$F$205,CL$4)*INDEX(Undirviðmið!$E$6:$E$205,CL$4)*KVARDI,2),""))</f>
        <v/>
      </c>
      <c r="CN16" s="23"/>
      <c r="CO16" s="40" t="str">
        <f aca="false">IF(OR(CN$4=0,CN16=""),"",IFERROR(ROUND(CN16/INDEX(Undirviðmið!$F$6:$F$205,CN$4)*INDEX(Undirviðmið!$E$6:$E$205,CN$4)*KVARDI,2),""))</f>
        <v/>
      </c>
      <c r="CP16" s="23"/>
      <c r="CQ16" s="40" t="str">
        <f aca="false">IF(OR(CP$4=0,CP16=""),"",IFERROR(ROUND(CP16/INDEX(Undirviðmið!$F$6:$F$205,CP$4)*INDEX(Undirviðmið!$E$6:$E$205,CP$4)*KVARDI,2),""))</f>
        <v/>
      </c>
      <c r="CR16" s="23"/>
      <c r="CS16" s="40" t="str">
        <f aca="false">IF(OR(CR$4=0,CR16=""),"",IFERROR(ROUND(CR16/INDEX(Undirviðmið!$F$6:$F$205,CR$4)*INDEX(Undirviðmið!$E$6:$E$205,CR$4)*KVARDI,2),""))</f>
        <v/>
      </c>
      <c r="CT16" s="23"/>
      <c r="CU16" s="40" t="str">
        <f aca="false">IF(OR(CT$4=0,CT16=""),"",IFERROR(ROUND(CT16/INDEX(Undirviðmið!$F$6:$F$205,CT$4)*INDEX(Undirviðmið!$E$6:$E$205,CT$4)*KVARDI,2),""))</f>
        <v/>
      </c>
      <c r="CV16" s="23"/>
      <c r="CW16" s="40" t="str">
        <f aca="false">IF(OR(CV$4=0,CV16=""),"",IFERROR(ROUND(CV16/INDEX(Undirviðmið!$F$6:$F$205,CV$4)*INDEX(Undirviðmið!$E$6:$E$205,CV$4)*KVARDI,2),""))</f>
        <v/>
      </c>
      <c r="CX16" s="23"/>
      <c r="CY16" s="40" t="str">
        <f aca="false">IF(OR(CX$4=0,CX16=""),"",IFERROR(ROUND(CX16/INDEX(Undirviðmið!$F$6:$F$205,CX$4)*INDEX(Undirviðmið!$E$6:$E$205,CX$4)*KVARDI,2),""))</f>
        <v/>
      </c>
      <c r="CZ16" s="23"/>
      <c r="DA16" s="40" t="str">
        <f aca="false">IF(OR(CZ$4=0,CZ16=""),"",IFERROR(ROUND(CZ16/INDEX(Undirviðmið!$F$6:$F$205,CZ$4)*INDEX(Undirviðmið!$E$6:$E$205,CZ$4)*KVARDI,2),""))</f>
        <v/>
      </c>
      <c r="DB16" s="23"/>
      <c r="DC16" s="40" t="str">
        <f aca="false">IF(OR(DB$4=0,DB16=""),"",IFERROR(ROUND(DB16/INDEX(Undirviðmið!$F$6:$F$205,DB$4)*INDEX(Undirviðmið!$E$6:$E$205,DB$4)*KVARDI,2),""))</f>
        <v/>
      </c>
      <c r="DD16" s="23"/>
      <c r="DE16" s="40" t="str">
        <f aca="false">IF(OR(DD$4=0,DD16=""),"",IFERROR(ROUND(DD16/INDEX(Undirviðmið!$F$6:$F$205,DD$4)*INDEX(Undirviðmið!$E$6:$E$205,DD$4)*KVARDI,2),""))</f>
        <v/>
      </c>
      <c r="DF16" s="23"/>
      <c r="DG16" s="40" t="str">
        <f aca="false">IF(OR(DF$4=0,DF16=""),"",IFERROR(ROUND(DF16/INDEX(Undirviðmið!$F$6:$F$205,DF$4)*INDEX(Undirviðmið!$E$6:$E$205,DF$4)*KVARDI,2),""))</f>
        <v/>
      </c>
      <c r="DH16" s="23"/>
      <c r="DI16" s="40" t="str">
        <f aca="false">IF(OR(DH$4=0,DH16=""),"",IFERROR(ROUND(DH16/INDEX(Undirviðmið!$F$6:$F$205,DH$4)*INDEX(Undirviðmið!$E$6:$E$205,DH$4)*KVARDI,2),""))</f>
        <v/>
      </c>
      <c r="DJ16" s="23"/>
      <c r="DK16" s="40" t="str">
        <f aca="false">IF(OR(DJ$4=0,DJ16=""),"",IFERROR(ROUND(DJ16/INDEX(Undirviðmið!$F$6:$F$205,DJ$4)*INDEX(Undirviðmið!$E$6:$E$205,DJ$4)*KVARDI,2),""))</f>
        <v/>
      </c>
      <c r="DL16" s="23"/>
      <c r="DM16" s="40" t="str">
        <f aca="false">IF(OR(DL$4=0,DL16=""),"",IFERROR(ROUND(DL16/INDEX(Undirviðmið!$F$6:$F$205,DL$4)*INDEX(Undirviðmið!$E$6:$E$205,DL$4)*KVARDI,2),""))</f>
        <v/>
      </c>
      <c r="DN16" s="23"/>
      <c r="DO16" s="40" t="str">
        <f aca="false">IF(OR(DN$4=0,DN16=""),"",IFERROR(ROUND(DN16/INDEX(Undirviðmið!$F$6:$F$205,DN$4)*INDEX(Undirviðmið!$E$6:$E$205,DN$4)*KVARDI,2),""))</f>
        <v/>
      </c>
      <c r="DP16" s="23"/>
      <c r="DQ16" s="40" t="str">
        <f aca="false">IF(OR(DP$4=0,DP16=""),"",IFERROR(ROUND(DP16/INDEX(Undirviðmið!$F$6:$F$205,DP$4)*INDEX(Undirviðmið!$E$6:$E$205,DP$4)*KVARDI,2),""))</f>
        <v/>
      </c>
      <c r="DR16" s="23"/>
      <c r="DS16" s="40" t="str">
        <f aca="false">IF(OR(DR$4=0,DR16=""),"",IFERROR(ROUND(DR16/INDEX(Undirviðmið!$F$6:$F$205,DR$4)*INDEX(Undirviðmið!$E$6:$E$205,DR$4)*KVARDI,2),""))</f>
        <v/>
      </c>
      <c r="DT16" s="23"/>
      <c r="DU16" s="40" t="str">
        <f aca="false">IF(OR(DT$4=0,DT16=""),"",IFERROR(ROUND(DT16/INDEX(Undirviðmið!$F$6:$F$205,DT$4)*INDEX(Undirviðmið!$E$6:$E$205,DT$4)*KVARDI,2),""))</f>
        <v/>
      </c>
      <c r="DV16" s="23"/>
      <c r="DW16" s="40" t="str">
        <f aca="false">IF(OR(DV$4=0,DV16=""),"",IFERROR(ROUND(DV16/INDEX(Undirviðmið!$F$6:$F$205,DV$4)*INDEX(Undirviðmið!$E$6:$E$205,DV$4)*KVARDI,2),""))</f>
        <v/>
      </c>
      <c r="DX16" s="23"/>
      <c r="DY16" s="40" t="str">
        <f aca="false">IF(OR(DX$4=0,DX16=""),"",IFERROR(ROUND(DX16/INDEX(Undirviðmið!$F$6:$F$205,DX$4)*INDEX(Undirviðmið!$E$6:$E$205,DX$4)*KVARDI,2),""))</f>
        <v/>
      </c>
      <c r="DZ16" s="23"/>
      <c r="EA16" s="40" t="str">
        <f aca="false">IF(OR(DZ$4=0,DZ16=""),"",IFERROR(ROUND(DZ16/INDEX(Undirviðmið!$F$6:$F$205,DZ$4)*INDEX(Undirviðmið!$E$6:$E$205,DZ$4)*KVARDI,2),""))</f>
        <v/>
      </c>
      <c r="EB16" s="23"/>
      <c r="EC16" s="40" t="str">
        <f aca="false">IF(OR(EB$4=0,EB16=""),"",IFERROR(ROUND(EB16/INDEX(Undirviðmið!$F$6:$F$205,EB$4)*INDEX(Undirviðmið!$E$6:$E$205,EB$4)*KVARDI,2),""))</f>
        <v/>
      </c>
      <c r="ED16" s="23"/>
      <c r="EE16" s="40" t="str">
        <f aca="false">IF(OR(ED$4=0,ED16=""),"",IFERROR(ROUND(ED16/INDEX(Undirviðmið!$F$6:$F$205,ED$4)*INDEX(Undirviðmið!$E$6:$E$205,ED$4)*KVARDI,2),""))</f>
        <v/>
      </c>
      <c r="EF16" s="23"/>
      <c r="EG16" s="40" t="str">
        <f aca="false">IF(OR(EF$4=0,EF16=""),"",IFERROR(ROUND(EF16/INDEX(Undirviðmið!$F$6:$F$205,EF$4)*INDEX(Undirviðmið!$E$6:$E$205,EF$4)*KVARDI,2),""))</f>
        <v/>
      </c>
      <c r="EH16" s="23"/>
      <c r="EI16" s="40" t="str">
        <f aca="false">IF(OR(EH$4=0,EH16=""),"",IFERROR(ROUND(EH16/INDEX(Undirviðmið!$F$6:$F$205,EH$4)*INDEX(Undirviðmið!$E$6:$E$205,EH$4)*KVARDI,2),""))</f>
        <v/>
      </c>
      <c r="EJ16" s="23"/>
      <c r="EK16" s="40" t="str">
        <f aca="false">IF(OR(EJ$4=0,EJ16=""),"",IFERROR(ROUND(EJ16/INDEX(Undirviðmið!$F$6:$F$205,EJ$4)*INDEX(Undirviðmið!$E$6:$E$205,EJ$4)*KVARDI,2),""))</f>
        <v/>
      </c>
      <c r="EL16" s="23"/>
      <c r="EM16" s="40" t="str">
        <f aca="false">IF(OR(EL$4=0,EL16=""),"",IFERROR(ROUND(EL16/INDEX(Undirviðmið!$F$6:$F$205,EL$4)*INDEX(Undirviðmið!$E$6:$E$205,EL$4)*KVARDI,2),""))</f>
        <v/>
      </c>
      <c r="EN16" s="23"/>
      <c r="EO16" s="40" t="str">
        <f aca="false">IF(OR(EN$4=0,EN16=""),"",IFERROR(ROUND(EN16/INDEX(Undirviðmið!$F$6:$F$205,EN$4)*INDEX(Undirviðmið!$E$6:$E$205,EN$4)*KVARDI,2),""))</f>
        <v/>
      </c>
      <c r="EP16" s="23"/>
      <c r="EQ16" s="40" t="str">
        <f aca="false">IF(OR(EP$4=0,EP16=""),"",IFERROR(ROUND(EP16/INDEX(Undirviðmið!$F$6:$F$205,EP$4)*INDEX(Undirviðmið!$E$6:$E$205,EP$4)*KVARDI,2),""))</f>
        <v/>
      </c>
      <c r="ER16" s="23"/>
      <c r="ES16" s="40" t="str">
        <f aca="false">IF(OR(ER$4=0,ER16=""),"",IFERROR(ROUND(ER16/INDEX(Undirviðmið!$F$6:$F$205,ER$4)*INDEX(Undirviðmið!$E$6:$E$205,ER$4)*KVARDI,2),""))</f>
        <v/>
      </c>
      <c r="ET16" s="23"/>
      <c r="EU16" s="40" t="str">
        <f aca="false">IF(OR(ET$4=0,ET16=""),"",IFERROR(ROUND(ET16/INDEX(Undirviðmið!$F$6:$F$205,ET$4)*INDEX(Undirviðmið!$E$6:$E$205,ET$4)*KVARDI,2),""))</f>
        <v/>
      </c>
      <c r="EV16" s="23"/>
      <c r="EW16" s="40" t="str">
        <f aca="false">IF(OR(EV$4=0,EV16=""),"",IFERROR(ROUND(EV16/INDEX(Undirviðmið!$F$6:$F$205,EV$4)*INDEX(Undirviðmið!$E$6:$E$205,EV$4)*KVARDI,2),""))</f>
        <v/>
      </c>
      <c r="EX16" s="23"/>
      <c r="EY16" s="40" t="str">
        <f aca="false">IF(OR(EX$4=0,EX16=""),"",IFERROR(ROUND(EX16/INDEX(Undirviðmið!$F$6:$F$205,EX$4)*INDEX(Undirviðmið!$E$6:$E$205,EX$4)*KVARDI,2),""))</f>
        <v/>
      </c>
      <c r="EZ16" s="23"/>
      <c r="FA16" s="40" t="str">
        <f aca="false">IF(OR(EZ$4=0,EZ16=""),"",IFERROR(ROUND(EZ16/INDEX(Undirviðmið!$F$6:$F$205,EZ$4)*INDEX(Undirviðmið!$E$6:$E$205,EZ$4)*KVARDI,2),""))</f>
        <v/>
      </c>
      <c r="FB16" s="23"/>
      <c r="FC16" s="40" t="str">
        <f aca="false">IF(OR(FB$4=0,FB16=""),"",IFERROR(ROUND(FB16/INDEX(Undirviðmið!$F$6:$F$205,FB$4)*INDEX(Undirviðmið!$E$6:$E$205,FB$4)*KVARDI,2),""))</f>
        <v/>
      </c>
      <c r="FD16" s="23"/>
      <c r="FE16" s="40" t="str">
        <f aca="false">IF(OR(FD$4=0,FD16=""),"",IFERROR(ROUND(FD16/INDEX(Undirviðmið!$F$6:$F$205,FD$4)*INDEX(Undirviðmið!$E$6:$E$205,FD$4)*KVARDI,2),""))</f>
        <v/>
      </c>
      <c r="FF16" s="23"/>
      <c r="FG16" s="40" t="str">
        <f aca="false">IF(OR(FF$4=0,FF16=""),"",IFERROR(ROUND(FF16/INDEX(Undirviðmið!$F$6:$F$205,FF$4)*INDEX(Undirviðmið!$E$6:$E$205,FF$4)*KVARDI,2),""))</f>
        <v/>
      </c>
      <c r="FH16" s="23"/>
      <c r="FI16" s="40" t="str">
        <f aca="false">IF(OR(FH$4=0,FH16=""),"",IFERROR(ROUND(FH16/INDEX(Undirviðmið!$F$6:$F$205,FH$4)*INDEX(Undirviðmið!$E$6:$E$205,FH$4)*KVARDI,2),""))</f>
        <v/>
      </c>
      <c r="FJ16" s="23"/>
      <c r="FK16" s="40" t="str">
        <f aca="false">IF(OR(FJ$4=0,FJ16=""),"",IFERROR(ROUND(FJ16/INDEX(Undirviðmið!$F$6:$F$205,FJ$4)*INDEX(Undirviðmið!$E$6:$E$205,FJ$4)*KVARDI,2),""))</f>
        <v/>
      </c>
      <c r="FL16" s="23"/>
      <c r="FM16" s="40" t="str">
        <f aca="false">IF(OR(FL$4=0,FL16=""),"",IFERROR(ROUND(FL16/INDEX(Undirviðmið!$F$6:$F$205,FL$4)*INDEX(Undirviðmið!$E$6:$E$205,FL$4)*KVARDI,2),""))</f>
        <v/>
      </c>
      <c r="FN16" s="23"/>
      <c r="FO16" s="40" t="str">
        <f aca="false">IF(OR(FN$4=0,FN16=""),"",IFERROR(ROUND(FN16/INDEX(Undirviðmið!$F$6:$F$205,FN$4)*INDEX(Undirviðmið!$E$6:$E$205,FN$4)*KVARDI,2),""))</f>
        <v/>
      </c>
      <c r="FP16" s="23"/>
      <c r="FQ16" s="40" t="str">
        <f aca="false">IF(OR(FP$4=0,FP16=""),"",IFERROR(ROUND(FP16/INDEX(Undirviðmið!$F$6:$F$205,FP$4)*INDEX(Undirviðmið!$E$6:$E$205,FP$4)*KVARDI,2),""))</f>
        <v/>
      </c>
      <c r="FR16" s="23"/>
      <c r="FS16" s="40" t="str">
        <f aca="false">IF(OR(FR$4=0,FR16=""),"",IFERROR(ROUND(FR16/INDEX(Undirviðmið!$F$6:$F$205,FR$4)*INDEX(Undirviðmið!$E$6:$E$205,FR$4)*KVARDI,2),""))</f>
        <v/>
      </c>
      <c r="FT16" s="23"/>
      <c r="FU16" s="40" t="str">
        <f aca="false">IF(OR(FT$4=0,FT16=""),"",IFERROR(ROUND(FT16/INDEX(Undirviðmið!$F$6:$F$205,FT$4)*INDEX(Undirviðmið!$E$6:$E$205,FT$4)*KVARDI,2),""))</f>
        <v/>
      </c>
      <c r="FV16" s="23"/>
      <c r="FW16" s="40" t="str">
        <f aca="false">IF(OR(FV$4=0,FV16=""),"",IFERROR(ROUND(FV16/INDEX(Undirviðmið!$F$6:$F$205,FV$4)*INDEX(Undirviðmið!$E$6:$E$205,FV$4)*KVARDI,2),""))</f>
        <v/>
      </c>
      <c r="FX16" s="23"/>
      <c r="FY16" s="40" t="str">
        <f aca="false">IF(OR(FX$4=0,FX16=""),"",IFERROR(ROUND(FX16/INDEX(Undirviðmið!$F$6:$F$205,FX$4)*INDEX(Undirviðmið!$E$6:$E$205,FX$4)*KVARDI,2),""))</f>
        <v/>
      </c>
      <c r="FZ16" s="23"/>
      <c r="GA16" s="40" t="str">
        <f aca="false">IF(OR(FZ$4=0,FZ16=""),"",IFERROR(ROUND(FZ16/INDEX(Undirviðmið!$F$6:$F$205,FZ$4)*INDEX(Undirviðmið!$E$6:$E$205,FZ$4)*KVARDI,2),""))</f>
        <v/>
      </c>
      <c r="GB16" s="23"/>
      <c r="GC16" s="40" t="str">
        <f aca="false">IF(OR(GB$4=0,GB16=""),"",IFERROR(ROUND(GB16/INDEX(Undirviðmið!$F$6:$F$205,GB$4)*INDEX(Undirviðmið!$E$6:$E$205,GB$4)*KVARDI,2),""))</f>
        <v/>
      </c>
      <c r="GD16" s="23"/>
      <c r="GE16" s="40" t="str">
        <f aca="false">IF(OR(GD$4=0,GD16=""),"",IFERROR(ROUND(GD16/INDEX(Undirviðmið!$F$6:$F$205,GD$4)*INDEX(Undirviðmið!$E$6:$E$205,GD$4)*KVARDI,2),""))</f>
        <v/>
      </c>
      <c r="GF16" s="23"/>
      <c r="GG16" s="40" t="str">
        <f aca="false">IF(OR(GF$4=0,GF16=""),"",IFERROR(ROUND(GF16/INDEX(Undirviðmið!$F$6:$F$205,GF$4)*INDEX(Undirviðmið!$E$6:$E$205,GF$4)*KVARDI,2),""))</f>
        <v/>
      </c>
      <c r="GH16" s="23"/>
      <c r="GI16" s="40" t="str">
        <f aca="false">IF(OR(GH$4=0,GH16=""),"",IFERROR(ROUND(GH16/INDEX(Undirviðmið!$F$6:$F$205,GH$4)*INDEX(Undirviðmið!$E$6:$E$205,GH$4)*KVARDI,2),""))</f>
        <v/>
      </c>
      <c r="GJ16" s="23"/>
      <c r="GK16" s="40" t="str">
        <f aca="false">IF(OR(GJ$4=0,GJ16=""),"",IFERROR(ROUND(GJ16/INDEX(Undirviðmið!$F$6:$F$205,GJ$4)*INDEX(Undirviðmið!$E$6:$E$205,GJ$4)*KVARDI,2),""))</f>
        <v/>
      </c>
      <c r="GL16" s="23"/>
      <c r="GM16" s="40" t="str">
        <f aca="false">IF(OR(GL$4=0,GL16=""),"",IFERROR(ROUND(GL16/INDEX(Undirviðmið!$F$6:$F$205,GL$4)*INDEX(Undirviðmið!$E$6:$E$205,GL$4)*KVARDI,2),""))</f>
        <v/>
      </c>
      <c r="GN16" s="23"/>
      <c r="GO16" s="40" t="str">
        <f aca="false">IF(OR(GN$4=0,GN16=""),"",IFERROR(ROUND(GN16/INDEX(Undirviðmið!$F$6:$F$205,GN$4)*INDEX(Undirviðmið!$E$6:$E$205,GN$4)*KVARDI,2),""))</f>
        <v/>
      </c>
      <c r="GP16" s="23"/>
      <c r="GQ16" s="40" t="str">
        <f aca="false">IF(OR(GP$4=0,GP16=""),"",IFERROR(ROUND(GP16/INDEX(Undirviðmið!$F$6:$F$205,GP$4)*INDEX(Undirviðmið!$E$6:$E$205,GP$4)*KVARDI,2),""))</f>
        <v/>
      </c>
      <c r="GR16" s="23"/>
      <c r="GS16" s="40" t="str">
        <f aca="false">IF(OR(GR$4=0,GR16=""),"",IFERROR(ROUND(GR16/INDEX(Undirviðmið!$F$6:$F$205,GR$4)*INDEX(Undirviðmið!$E$6:$E$205,GR$4)*KVARDI,2),""))</f>
        <v/>
      </c>
      <c r="GT16" s="23"/>
      <c r="GU16" s="40" t="str">
        <f aca="false">IF(OR(GT$4=0,GT16=""),"",IFERROR(ROUND(GT16/INDEX(Undirviðmið!$F$6:$F$205,GT$4)*INDEX(Undirviðmið!$E$6:$E$205,GT$4)*KVARDI,2),""))</f>
        <v/>
      </c>
      <c r="GV16" s="44" t="n">
        <f aca="false">IFERROR(SUMIF($D$6:GU$6,"Stig",$D16:GU16),0)</f>
        <v>0</v>
      </c>
    </row>
    <row r="17" customFormat="false" ht="15" hidden="false" customHeight="true" outlineLevel="0" collapsed="false">
      <c r="A17" s="22" t="n">
        <f aca="false">ROW()-6</f>
        <v>11</v>
      </c>
      <c r="B17" s="24" t="str">
        <f aca="false">IF(INDEX(Starfsmenn!$B$6:$B$10005,ROW()-6)="","",INDEX(Starfsmenn!$B$6:$B$10005,ROW()-6))</f>
        <v/>
      </c>
      <c r="C17" s="24" t="str">
        <f aca="false">IF(INDEX(Starfsmenn!$C$6:$C$10005,ROW()-6)="","",INDEX(Starfsmenn!$C$6:$C$10005,ROW()-6))</f>
        <v/>
      </c>
      <c r="D17" s="23"/>
      <c r="E17" s="40" t="str">
        <f aca="false">IF(OR(D$4=0,D17=""),"",IFERROR(ROUND(D17/INDEX(Undirviðmið!$F$6:$F$205,D$4)*INDEX(Undirviðmið!$E$6:$E$205,D$4)*KVARDI,2),""))</f>
        <v/>
      </c>
      <c r="F17" s="23"/>
      <c r="G17" s="40" t="str">
        <f aca="false">IF(OR(F$4=0,F17=""),"",IFERROR(ROUND(F17/INDEX(Undirviðmið!$F$6:$F$205,F$4)*INDEX(Undirviðmið!$E$6:$E$205,F$4)*KVARDI,2),""))</f>
        <v/>
      </c>
      <c r="H17" s="23"/>
      <c r="I17" s="40" t="str">
        <f aca="false">IF(OR(H$4=0,H17=""),"",IFERROR(ROUND(H17/INDEX(Undirviðmið!$F$6:$F$205,H$4)*INDEX(Undirviðmið!$E$6:$E$205,H$4)*KVARDI,2),""))</f>
        <v/>
      </c>
      <c r="J17" s="23"/>
      <c r="K17" s="40" t="str">
        <f aca="false">IF(OR(J$4=0,J17=""),"",IFERROR(ROUND(J17/INDEX(Undirviðmið!$F$6:$F$205,J$4)*INDEX(Undirviðmið!$E$6:$E$205,J$4)*KVARDI,2),""))</f>
        <v/>
      </c>
      <c r="L17" s="23"/>
      <c r="M17" s="40" t="str">
        <f aca="false">IF(OR(L$4=0,L17=""),"",IFERROR(ROUND(L17/INDEX(Undirviðmið!$F$6:$F$205,L$4)*INDEX(Undirviðmið!$E$6:$E$205,L$4)*KVARDI,2),""))</f>
        <v/>
      </c>
      <c r="N17" s="23"/>
      <c r="O17" s="40" t="str">
        <f aca="false">IF(OR(N$4=0,N17=""),"",IFERROR(ROUND(N17/INDEX(Undirviðmið!$F$6:$F$205,N$4)*INDEX(Undirviðmið!$E$6:$E$205,N$4)*KVARDI,2),""))</f>
        <v/>
      </c>
      <c r="P17" s="23"/>
      <c r="Q17" s="40" t="str">
        <f aca="false">IF(OR(P$4=0,P17=""),"",IFERROR(ROUND(P17/INDEX(Undirviðmið!$F$6:$F$205,P$4)*INDEX(Undirviðmið!$E$6:$E$205,P$4)*KVARDI,2),""))</f>
        <v/>
      </c>
      <c r="R17" s="23"/>
      <c r="S17" s="40" t="str">
        <f aca="false">IF(OR(R$4=0,R17=""),"",IFERROR(ROUND(R17/INDEX(Undirviðmið!$F$6:$F$205,R$4)*INDEX(Undirviðmið!$E$6:$E$205,R$4)*KVARDI,2),""))</f>
        <v/>
      </c>
      <c r="T17" s="23"/>
      <c r="U17" s="40" t="str">
        <f aca="false">IF(OR(T$4=0,T17=""),"",IFERROR(ROUND(T17/INDEX(Undirviðmið!$F$6:$F$205,T$4)*INDEX(Undirviðmið!$E$6:$E$205,T$4)*KVARDI,2),""))</f>
        <v/>
      </c>
      <c r="V17" s="23"/>
      <c r="W17" s="40" t="str">
        <f aca="false">IF(OR(V$4=0,V17=""),"",IFERROR(ROUND(V17/INDEX(Undirviðmið!$F$6:$F$205,V$4)*INDEX(Undirviðmið!$E$6:$E$205,V$4)*KVARDI,2),""))</f>
        <v/>
      </c>
      <c r="X17" s="23"/>
      <c r="Y17" s="40" t="str">
        <f aca="false">IF(OR(X$4=0,X17=""),"",IFERROR(ROUND(X17/INDEX(Undirviðmið!$F$6:$F$205,X$4)*INDEX(Undirviðmið!$E$6:$E$205,X$4)*KVARDI,2),""))</f>
        <v/>
      </c>
      <c r="Z17" s="23"/>
      <c r="AA17" s="40" t="str">
        <f aca="false">IF(OR(Z$4=0,Z17=""),"",IFERROR(ROUND(Z17/INDEX(Undirviðmið!$F$6:$F$205,Z$4)*INDEX(Undirviðmið!$E$6:$E$205,Z$4)*KVARDI,2),""))</f>
        <v/>
      </c>
      <c r="AB17" s="23"/>
      <c r="AC17" s="40" t="str">
        <f aca="false">IF(OR(AB$4=0,AB17=""),"",IFERROR(ROUND(AB17/INDEX(Undirviðmið!$F$6:$F$205,AB$4)*INDEX(Undirviðmið!$E$6:$E$205,AB$4)*KVARDI,2),""))</f>
        <v/>
      </c>
      <c r="AD17" s="23"/>
      <c r="AE17" s="40" t="str">
        <f aca="false">IF(OR(AD$4=0,AD17=""),"",IFERROR(ROUND(AD17/INDEX(Undirviðmið!$F$6:$F$205,AD$4)*INDEX(Undirviðmið!$E$6:$E$205,AD$4)*KVARDI,2),""))</f>
        <v/>
      </c>
      <c r="AF17" s="23"/>
      <c r="AG17" s="40" t="str">
        <f aca="false">IF(OR(AF$4=0,AF17=""),"",IFERROR(ROUND(AF17/INDEX(Undirviðmið!$F$6:$F$205,AF$4)*INDEX(Undirviðmið!$E$6:$E$205,AF$4)*KVARDI,2),""))</f>
        <v/>
      </c>
      <c r="AH17" s="23"/>
      <c r="AI17" s="40" t="str">
        <f aca="false">IF(OR(AH$4=0,AH17=""),"",IFERROR(ROUND(AH17/INDEX(Undirviðmið!$F$6:$F$205,AH$4)*INDEX(Undirviðmið!$E$6:$E$205,AH$4)*KVARDI,2),""))</f>
        <v/>
      </c>
      <c r="AJ17" s="23"/>
      <c r="AK17" s="40" t="str">
        <f aca="false">IF(OR(AJ$4=0,AJ17=""),"",IFERROR(ROUND(AJ17/INDEX(Undirviðmið!$F$6:$F$205,AJ$4)*INDEX(Undirviðmið!$E$6:$E$205,AJ$4)*KVARDI,2),""))</f>
        <v/>
      </c>
      <c r="AL17" s="23"/>
      <c r="AM17" s="40" t="str">
        <f aca="false">IF(OR(AL$4=0,AL17=""),"",IFERROR(ROUND(AL17/INDEX(Undirviðmið!$F$6:$F$205,AL$4)*INDEX(Undirviðmið!$E$6:$E$205,AL$4)*KVARDI,2),""))</f>
        <v/>
      </c>
      <c r="AN17" s="23"/>
      <c r="AO17" s="40" t="str">
        <f aca="false">IF(OR(AN$4=0,AN17=""),"",IFERROR(ROUND(AN17/INDEX(Undirviðmið!$F$6:$F$205,AN$4)*INDEX(Undirviðmið!$E$6:$E$205,AN$4)*KVARDI,2),""))</f>
        <v/>
      </c>
      <c r="AP17" s="23"/>
      <c r="AQ17" s="40" t="str">
        <f aca="false">IF(OR(AP$4=0,AP17=""),"",IFERROR(ROUND(AP17/INDEX(Undirviðmið!$F$6:$F$205,AP$4)*INDEX(Undirviðmið!$E$6:$E$205,AP$4)*KVARDI,2),""))</f>
        <v/>
      </c>
      <c r="AR17" s="23"/>
      <c r="AS17" s="40" t="str">
        <f aca="false">IF(OR(AR$4=0,AR17=""),"",IFERROR(ROUND(AR17/INDEX(Undirviðmið!$F$6:$F$205,AR$4)*INDEX(Undirviðmið!$E$6:$E$205,AR$4)*KVARDI,2),""))</f>
        <v/>
      </c>
      <c r="AT17" s="23"/>
      <c r="AU17" s="40" t="str">
        <f aca="false">IF(OR(AT$4=0,AT17=""),"",IFERROR(ROUND(AT17/INDEX(Undirviðmið!$F$6:$F$205,AT$4)*INDEX(Undirviðmið!$E$6:$E$205,AT$4)*KVARDI,2),""))</f>
        <v/>
      </c>
      <c r="AV17" s="23"/>
      <c r="AW17" s="40" t="str">
        <f aca="false">IF(OR(AV$4=0,AV17=""),"",IFERROR(ROUND(AV17/INDEX(Undirviðmið!$F$6:$F$205,AV$4)*INDEX(Undirviðmið!$E$6:$E$205,AV$4)*KVARDI,2),""))</f>
        <v/>
      </c>
      <c r="AX17" s="23"/>
      <c r="AY17" s="40" t="str">
        <f aca="false">IF(OR(AX$4=0,AX17=""),"",IFERROR(ROUND(AX17/INDEX(Undirviðmið!$F$6:$F$205,AX$4)*INDEX(Undirviðmið!$E$6:$E$205,AX$4)*KVARDI,2),""))</f>
        <v/>
      </c>
      <c r="AZ17" s="23"/>
      <c r="BA17" s="40" t="str">
        <f aca="false">IF(OR(AZ$4=0,AZ17=""),"",IFERROR(ROUND(AZ17/INDEX(Undirviðmið!$F$6:$F$205,AZ$4)*INDEX(Undirviðmið!$E$6:$E$205,AZ$4)*KVARDI,2),""))</f>
        <v/>
      </c>
      <c r="BB17" s="23"/>
      <c r="BC17" s="40" t="str">
        <f aca="false">IF(OR(BB$4=0,BB17=""),"",IFERROR(ROUND(BB17/INDEX(Undirviðmið!$F$6:$F$205,BB$4)*INDEX(Undirviðmið!$E$6:$E$205,BB$4)*KVARDI,2),""))</f>
        <v/>
      </c>
      <c r="BD17" s="23"/>
      <c r="BE17" s="40" t="str">
        <f aca="false">IF(OR(BD$4=0,BD17=""),"",IFERROR(ROUND(BD17/INDEX(Undirviðmið!$F$6:$F$205,BD$4)*INDEX(Undirviðmið!$E$6:$E$205,BD$4)*KVARDI,2),""))</f>
        <v/>
      </c>
      <c r="BF17" s="23"/>
      <c r="BG17" s="40" t="str">
        <f aca="false">IF(OR(BF$4=0,BF17=""),"",IFERROR(ROUND(BF17/INDEX(Undirviðmið!$F$6:$F$205,BF$4)*INDEX(Undirviðmið!$E$6:$E$205,BF$4)*KVARDI,2),""))</f>
        <v/>
      </c>
      <c r="BH17" s="23"/>
      <c r="BI17" s="40" t="str">
        <f aca="false">IF(OR(BH$4=0,BH17=""),"",IFERROR(ROUND(BH17/INDEX(Undirviðmið!$F$6:$F$205,BH$4)*INDEX(Undirviðmið!$E$6:$E$205,BH$4)*KVARDI,2),""))</f>
        <v/>
      </c>
      <c r="BJ17" s="23"/>
      <c r="BK17" s="40" t="str">
        <f aca="false">IF(OR(BJ$4=0,BJ17=""),"",IFERROR(ROUND(BJ17/INDEX(Undirviðmið!$F$6:$F$205,BJ$4)*INDEX(Undirviðmið!$E$6:$E$205,BJ$4)*KVARDI,2),""))</f>
        <v/>
      </c>
      <c r="BL17" s="23"/>
      <c r="BM17" s="40" t="str">
        <f aca="false">IF(OR(BL$4=0,BL17=""),"",IFERROR(ROUND(BL17/INDEX(Undirviðmið!$F$6:$F$205,BL$4)*INDEX(Undirviðmið!$E$6:$E$205,BL$4)*KVARDI,2),""))</f>
        <v/>
      </c>
      <c r="BN17" s="23"/>
      <c r="BO17" s="40" t="str">
        <f aca="false">IF(OR(BN$4=0,BN17=""),"",IFERROR(ROUND(BN17/INDEX(Undirviðmið!$F$6:$F$205,BN$4)*INDEX(Undirviðmið!$E$6:$E$205,BN$4)*KVARDI,2),""))</f>
        <v/>
      </c>
      <c r="BP17" s="23"/>
      <c r="BQ17" s="40" t="str">
        <f aca="false">IF(OR(BP$4=0,BP17=""),"",IFERROR(ROUND(BP17/INDEX(Undirviðmið!$F$6:$F$205,BP$4)*INDEX(Undirviðmið!$E$6:$E$205,BP$4)*KVARDI,2),""))</f>
        <v/>
      </c>
      <c r="BR17" s="23"/>
      <c r="BS17" s="40" t="str">
        <f aca="false">IF(OR(BR$4=0,BR17=""),"",IFERROR(ROUND(BR17/INDEX(Undirviðmið!$F$6:$F$205,BR$4)*INDEX(Undirviðmið!$E$6:$E$205,BR$4)*KVARDI,2),""))</f>
        <v/>
      </c>
      <c r="BT17" s="23"/>
      <c r="BU17" s="40" t="str">
        <f aca="false">IF(OR(BT$4=0,BT17=""),"",IFERROR(ROUND(BT17/INDEX(Undirviðmið!$F$6:$F$205,BT$4)*INDEX(Undirviðmið!$E$6:$E$205,BT$4)*KVARDI,2),""))</f>
        <v/>
      </c>
      <c r="BV17" s="23"/>
      <c r="BW17" s="40" t="str">
        <f aca="false">IF(OR(BV$4=0,BV17=""),"",IFERROR(ROUND(BV17/INDEX(Undirviðmið!$F$6:$F$205,BV$4)*INDEX(Undirviðmið!$E$6:$E$205,BV$4)*KVARDI,2),""))</f>
        <v/>
      </c>
      <c r="BX17" s="23"/>
      <c r="BY17" s="40" t="str">
        <f aca="false">IF(OR(BX$4=0,BX17=""),"",IFERROR(ROUND(BX17/INDEX(Undirviðmið!$F$6:$F$205,BX$4)*INDEX(Undirviðmið!$E$6:$E$205,BX$4)*KVARDI,2),""))</f>
        <v/>
      </c>
      <c r="BZ17" s="23"/>
      <c r="CA17" s="40" t="str">
        <f aca="false">IF(OR(BZ$4=0,BZ17=""),"",IFERROR(ROUND(BZ17/INDEX(Undirviðmið!$F$6:$F$205,BZ$4)*INDEX(Undirviðmið!$E$6:$E$205,BZ$4)*KVARDI,2),""))</f>
        <v/>
      </c>
      <c r="CB17" s="23"/>
      <c r="CC17" s="40" t="str">
        <f aca="false">IF(OR(CB$4=0,CB17=""),"",IFERROR(ROUND(CB17/INDEX(Undirviðmið!$F$6:$F$205,CB$4)*INDEX(Undirviðmið!$E$6:$E$205,CB$4)*KVARDI,2),""))</f>
        <v/>
      </c>
      <c r="CD17" s="23"/>
      <c r="CE17" s="40" t="str">
        <f aca="false">IF(OR(CD$4=0,CD17=""),"",IFERROR(ROUND(CD17/INDEX(Undirviðmið!$F$6:$F$205,CD$4)*INDEX(Undirviðmið!$E$6:$E$205,CD$4)*KVARDI,2),""))</f>
        <v/>
      </c>
      <c r="CF17" s="23"/>
      <c r="CG17" s="40" t="str">
        <f aca="false">IF(OR(CF$4=0,CF17=""),"",IFERROR(ROUND(CF17/INDEX(Undirviðmið!$F$6:$F$205,CF$4)*INDEX(Undirviðmið!$E$6:$E$205,CF$4)*KVARDI,2),""))</f>
        <v/>
      </c>
      <c r="CH17" s="23"/>
      <c r="CI17" s="40" t="str">
        <f aca="false">IF(OR(CH$4=0,CH17=""),"",IFERROR(ROUND(CH17/INDEX(Undirviðmið!$F$6:$F$205,CH$4)*INDEX(Undirviðmið!$E$6:$E$205,CH$4)*KVARDI,2),""))</f>
        <v/>
      </c>
      <c r="CJ17" s="23"/>
      <c r="CK17" s="40" t="str">
        <f aca="false">IF(OR(CJ$4=0,CJ17=""),"",IFERROR(ROUND(CJ17/INDEX(Undirviðmið!$F$6:$F$205,CJ$4)*INDEX(Undirviðmið!$E$6:$E$205,CJ$4)*KVARDI,2),""))</f>
        <v/>
      </c>
      <c r="CL17" s="23"/>
      <c r="CM17" s="40" t="str">
        <f aca="false">IF(OR(CL$4=0,CL17=""),"",IFERROR(ROUND(CL17/INDEX(Undirviðmið!$F$6:$F$205,CL$4)*INDEX(Undirviðmið!$E$6:$E$205,CL$4)*KVARDI,2),""))</f>
        <v/>
      </c>
      <c r="CN17" s="23"/>
      <c r="CO17" s="40" t="str">
        <f aca="false">IF(OR(CN$4=0,CN17=""),"",IFERROR(ROUND(CN17/INDEX(Undirviðmið!$F$6:$F$205,CN$4)*INDEX(Undirviðmið!$E$6:$E$205,CN$4)*KVARDI,2),""))</f>
        <v/>
      </c>
      <c r="CP17" s="23"/>
      <c r="CQ17" s="40" t="str">
        <f aca="false">IF(OR(CP$4=0,CP17=""),"",IFERROR(ROUND(CP17/INDEX(Undirviðmið!$F$6:$F$205,CP$4)*INDEX(Undirviðmið!$E$6:$E$205,CP$4)*KVARDI,2),""))</f>
        <v/>
      </c>
      <c r="CR17" s="23"/>
      <c r="CS17" s="40" t="str">
        <f aca="false">IF(OR(CR$4=0,CR17=""),"",IFERROR(ROUND(CR17/INDEX(Undirviðmið!$F$6:$F$205,CR$4)*INDEX(Undirviðmið!$E$6:$E$205,CR$4)*KVARDI,2),""))</f>
        <v/>
      </c>
      <c r="CT17" s="23"/>
      <c r="CU17" s="40" t="str">
        <f aca="false">IF(OR(CT$4=0,CT17=""),"",IFERROR(ROUND(CT17/INDEX(Undirviðmið!$F$6:$F$205,CT$4)*INDEX(Undirviðmið!$E$6:$E$205,CT$4)*KVARDI,2),""))</f>
        <v/>
      </c>
      <c r="CV17" s="23"/>
      <c r="CW17" s="40" t="str">
        <f aca="false">IF(OR(CV$4=0,CV17=""),"",IFERROR(ROUND(CV17/INDEX(Undirviðmið!$F$6:$F$205,CV$4)*INDEX(Undirviðmið!$E$6:$E$205,CV$4)*KVARDI,2),""))</f>
        <v/>
      </c>
      <c r="CX17" s="23"/>
      <c r="CY17" s="40" t="str">
        <f aca="false">IF(OR(CX$4=0,CX17=""),"",IFERROR(ROUND(CX17/INDEX(Undirviðmið!$F$6:$F$205,CX$4)*INDEX(Undirviðmið!$E$6:$E$205,CX$4)*KVARDI,2),""))</f>
        <v/>
      </c>
      <c r="CZ17" s="23"/>
      <c r="DA17" s="40" t="str">
        <f aca="false">IF(OR(CZ$4=0,CZ17=""),"",IFERROR(ROUND(CZ17/INDEX(Undirviðmið!$F$6:$F$205,CZ$4)*INDEX(Undirviðmið!$E$6:$E$205,CZ$4)*KVARDI,2),""))</f>
        <v/>
      </c>
      <c r="DB17" s="23"/>
      <c r="DC17" s="40" t="str">
        <f aca="false">IF(OR(DB$4=0,DB17=""),"",IFERROR(ROUND(DB17/INDEX(Undirviðmið!$F$6:$F$205,DB$4)*INDEX(Undirviðmið!$E$6:$E$205,DB$4)*KVARDI,2),""))</f>
        <v/>
      </c>
      <c r="DD17" s="23"/>
      <c r="DE17" s="40" t="str">
        <f aca="false">IF(OR(DD$4=0,DD17=""),"",IFERROR(ROUND(DD17/INDEX(Undirviðmið!$F$6:$F$205,DD$4)*INDEX(Undirviðmið!$E$6:$E$205,DD$4)*KVARDI,2),""))</f>
        <v/>
      </c>
      <c r="DF17" s="23"/>
      <c r="DG17" s="40" t="str">
        <f aca="false">IF(OR(DF$4=0,DF17=""),"",IFERROR(ROUND(DF17/INDEX(Undirviðmið!$F$6:$F$205,DF$4)*INDEX(Undirviðmið!$E$6:$E$205,DF$4)*KVARDI,2),""))</f>
        <v/>
      </c>
      <c r="DH17" s="23"/>
      <c r="DI17" s="40" t="str">
        <f aca="false">IF(OR(DH$4=0,DH17=""),"",IFERROR(ROUND(DH17/INDEX(Undirviðmið!$F$6:$F$205,DH$4)*INDEX(Undirviðmið!$E$6:$E$205,DH$4)*KVARDI,2),""))</f>
        <v/>
      </c>
      <c r="DJ17" s="23"/>
      <c r="DK17" s="40" t="str">
        <f aca="false">IF(OR(DJ$4=0,DJ17=""),"",IFERROR(ROUND(DJ17/INDEX(Undirviðmið!$F$6:$F$205,DJ$4)*INDEX(Undirviðmið!$E$6:$E$205,DJ$4)*KVARDI,2),""))</f>
        <v/>
      </c>
      <c r="DL17" s="23"/>
      <c r="DM17" s="40" t="str">
        <f aca="false">IF(OR(DL$4=0,DL17=""),"",IFERROR(ROUND(DL17/INDEX(Undirviðmið!$F$6:$F$205,DL$4)*INDEX(Undirviðmið!$E$6:$E$205,DL$4)*KVARDI,2),""))</f>
        <v/>
      </c>
      <c r="DN17" s="23"/>
      <c r="DO17" s="40" t="str">
        <f aca="false">IF(OR(DN$4=0,DN17=""),"",IFERROR(ROUND(DN17/INDEX(Undirviðmið!$F$6:$F$205,DN$4)*INDEX(Undirviðmið!$E$6:$E$205,DN$4)*KVARDI,2),""))</f>
        <v/>
      </c>
      <c r="DP17" s="23"/>
      <c r="DQ17" s="40" t="str">
        <f aca="false">IF(OR(DP$4=0,DP17=""),"",IFERROR(ROUND(DP17/INDEX(Undirviðmið!$F$6:$F$205,DP$4)*INDEX(Undirviðmið!$E$6:$E$205,DP$4)*KVARDI,2),""))</f>
        <v/>
      </c>
      <c r="DR17" s="23"/>
      <c r="DS17" s="40" t="str">
        <f aca="false">IF(OR(DR$4=0,DR17=""),"",IFERROR(ROUND(DR17/INDEX(Undirviðmið!$F$6:$F$205,DR$4)*INDEX(Undirviðmið!$E$6:$E$205,DR$4)*KVARDI,2),""))</f>
        <v/>
      </c>
      <c r="DT17" s="23"/>
      <c r="DU17" s="40" t="str">
        <f aca="false">IF(OR(DT$4=0,DT17=""),"",IFERROR(ROUND(DT17/INDEX(Undirviðmið!$F$6:$F$205,DT$4)*INDEX(Undirviðmið!$E$6:$E$205,DT$4)*KVARDI,2),""))</f>
        <v/>
      </c>
      <c r="DV17" s="23"/>
      <c r="DW17" s="40" t="str">
        <f aca="false">IF(OR(DV$4=0,DV17=""),"",IFERROR(ROUND(DV17/INDEX(Undirviðmið!$F$6:$F$205,DV$4)*INDEX(Undirviðmið!$E$6:$E$205,DV$4)*KVARDI,2),""))</f>
        <v/>
      </c>
      <c r="DX17" s="23"/>
      <c r="DY17" s="40" t="str">
        <f aca="false">IF(OR(DX$4=0,DX17=""),"",IFERROR(ROUND(DX17/INDEX(Undirviðmið!$F$6:$F$205,DX$4)*INDEX(Undirviðmið!$E$6:$E$205,DX$4)*KVARDI,2),""))</f>
        <v/>
      </c>
      <c r="DZ17" s="23"/>
      <c r="EA17" s="40" t="str">
        <f aca="false">IF(OR(DZ$4=0,DZ17=""),"",IFERROR(ROUND(DZ17/INDEX(Undirviðmið!$F$6:$F$205,DZ$4)*INDEX(Undirviðmið!$E$6:$E$205,DZ$4)*KVARDI,2),""))</f>
        <v/>
      </c>
      <c r="EB17" s="23"/>
      <c r="EC17" s="40" t="str">
        <f aca="false">IF(OR(EB$4=0,EB17=""),"",IFERROR(ROUND(EB17/INDEX(Undirviðmið!$F$6:$F$205,EB$4)*INDEX(Undirviðmið!$E$6:$E$205,EB$4)*KVARDI,2),""))</f>
        <v/>
      </c>
      <c r="ED17" s="23"/>
      <c r="EE17" s="40" t="str">
        <f aca="false">IF(OR(ED$4=0,ED17=""),"",IFERROR(ROUND(ED17/INDEX(Undirviðmið!$F$6:$F$205,ED$4)*INDEX(Undirviðmið!$E$6:$E$205,ED$4)*KVARDI,2),""))</f>
        <v/>
      </c>
      <c r="EF17" s="23"/>
      <c r="EG17" s="40" t="str">
        <f aca="false">IF(OR(EF$4=0,EF17=""),"",IFERROR(ROUND(EF17/INDEX(Undirviðmið!$F$6:$F$205,EF$4)*INDEX(Undirviðmið!$E$6:$E$205,EF$4)*KVARDI,2),""))</f>
        <v/>
      </c>
      <c r="EH17" s="23"/>
      <c r="EI17" s="40" t="str">
        <f aca="false">IF(OR(EH$4=0,EH17=""),"",IFERROR(ROUND(EH17/INDEX(Undirviðmið!$F$6:$F$205,EH$4)*INDEX(Undirviðmið!$E$6:$E$205,EH$4)*KVARDI,2),""))</f>
        <v/>
      </c>
      <c r="EJ17" s="23"/>
      <c r="EK17" s="40" t="str">
        <f aca="false">IF(OR(EJ$4=0,EJ17=""),"",IFERROR(ROUND(EJ17/INDEX(Undirviðmið!$F$6:$F$205,EJ$4)*INDEX(Undirviðmið!$E$6:$E$205,EJ$4)*KVARDI,2),""))</f>
        <v/>
      </c>
      <c r="EL17" s="23"/>
      <c r="EM17" s="40" t="str">
        <f aca="false">IF(OR(EL$4=0,EL17=""),"",IFERROR(ROUND(EL17/INDEX(Undirviðmið!$F$6:$F$205,EL$4)*INDEX(Undirviðmið!$E$6:$E$205,EL$4)*KVARDI,2),""))</f>
        <v/>
      </c>
      <c r="EN17" s="23"/>
      <c r="EO17" s="40" t="str">
        <f aca="false">IF(OR(EN$4=0,EN17=""),"",IFERROR(ROUND(EN17/INDEX(Undirviðmið!$F$6:$F$205,EN$4)*INDEX(Undirviðmið!$E$6:$E$205,EN$4)*KVARDI,2),""))</f>
        <v/>
      </c>
      <c r="EP17" s="23"/>
      <c r="EQ17" s="40" t="str">
        <f aca="false">IF(OR(EP$4=0,EP17=""),"",IFERROR(ROUND(EP17/INDEX(Undirviðmið!$F$6:$F$205,EP$4)*INDEX(Undirviðmið!$E$6:$E$205,EP$4)*KVARDI,2),""))</f>
        <v/>
      </c>
      <c r="ER17" s="23"/>
      <c r="ES17" s="40" t="str">
        <f aca="false">IF(OR(ER$4=0,ER17=""),"",IFERROR(ROUND(ER17/INDEX(Undirviðmið!$F$6:$F$205,ER$4)*INDEX(Undirviðmið!$E$6:$E$205,ER$4)*KVARDI,2),""))</f>
        <v/>
      </c>
      <c r="ET17" s="23"/>
      <c r="EU17" s="40" t="str">
        <f aca="false">IF(OR(ET$4=0,ET17=""),"",IFERROR(ROUND(ET17/INDEX(Undirviðmið!$F$6:$F$205,ET$4)*INDEX(Undirviðmið!$E$6:$E$205,ET$4)*KVARDI,2),""))</f>
        <v/>
      </c>
      <c r="EV17" s="23"/>
      <c r="EW17" s="40" t="str">
        <f aca="false">IF(OR(EV$4=0,EV17=""),"",IFERROR(ROUND(EV17/INDEX(Undirviðmið!$F$6:$F$205,EV$4)*INDEX(Undirviðmið!$E$6:$E$205,EV$4)*KVARDI,2),""))</f>
        <v/>
      </c>
      <c r="EX17" s="23"/>
      <c r="EY17" s="40" t="str">
        <f aca="false">IF(OR(EX$4=0,EX17=""),"",IFERROR(ROUND(EX17/INDEX(Undirviðmið!$F$6:$F$205,EX$4)*INDEX(Undirviðmið!$E$6:$E$205,EX$4)*KVARDI,2),""))</f>
        <v/>
      </c>
      <c r="EZ17" s="23"/>
      <c r="FA17" s="40" t="str">
        <f aca="false">IF(OR(EZ$4=0,EZ17=""),"",IFERROR(ROUND(EZ17/INDEX(Undirviðmið!$F$6:$F$205,EZ$4)*INDEX(Undirviðmið!$E$6:$E$205,EZ$4)*KVARDI,2),""))</f>
        <v/>
      </c>
      <c r="FB17" s="23"/>
      <c r="FC17" s="40" t="str">
        <f aca="false">IF(OR(FB$4=0,FB17=""),"",IFERROR(ROUND(FB17/INDEX(Undirviðmið!$F$6:$F$205,FB$4)*INDEX(Undirviðmið!$E$6:$E$205,FB$4)*KVARDI,2),""))</f>
        <v/>
      </c>
      <c r="FD17" s="23"/>
      <c r="FE17" s="40" t="str">
        <f aca="false">IF(OR(FD$4=0,FD17=""),"",IFERROR(ROUND(FD17/INDEX(Undirviðmið!$F$6:$F$205,FD$4)*INDEX(Undirviðmið!$E$6:$E$205,FD$4)*KVARDI,2),""))</f>
        <v/>
      </c>
      <c r="FF17" s="23"/>
      <c r="FG17" s="40" t="str">
        <f aca="false">IF(OR(FF$4=0,FF17=""),"",IFERROR(ROUND(FF17/INDEX(Undirviðmið!$F$6:$F$205,FF$4)*INDEX(Undirviðmið!$E$6:$E$205,FF$4)*KVARDI,2),""))</f>
        <v/>
      </c>
      <c r="FH17" s="23"/>
      <c r="FI17" s="40" t="str">
        <f aca="false">IF(OR(FH$4=0,FH17=""),"",IFERROR(ROUND(FH17/INDEX(Undirviðmið!$F$6:$F$205,FH$4)*INDEX(Undirviðmið!$E$6:$E$205,FH$4)*KVARDI,2),""))</f>
        <v/>
      </c>
      <c r="FJ17" s="23"/>
      <c r="FK17" s="40" t="str">
        <f aca="false">IF(OR(FJ$4=0,FJ17=""),"",IFERROR(ROUND(FJ17/INDEX(Undirviðmið!$F$6:$F$205,FJ$4)*INDEX(Undirviðmið!$E$6:$E$205,FJ$4)*KVARDI,2),""))</f>
        <v/>
      </c>
      <c r="FL17" s="23"/>
      <c r="FM17" s="40" t="str">
        <f aca="false">IF(OR(FL$4=0,FL17=""),"",IFERROR(ROUND(FL17/INDEX(Undirviðmið!$F$6:$F$205,FL$4)*INDEX(Undirviðmið!$E$6:$E$205,FL$4)*KVARDI,2),""))</f>
        <v/>
      </c>
      <c r="FN17" s="23"/>
      <c r="FO17" s="40" t="str">
        <f aca="false">IF(OR(FN$4=0,FN17=""),"",IFERROR(ROUND(FN17/INDEX(Undirviðmið!$F$6:$F$205,FN$4)*INDEX(Undirviðmið!$E$6:$E$205,FN$4)*KVARDI,2),""))</f>
        <v/>
      </c>
      <c r="FP17" s="23"/>
      <c r="FQ17" s="40" t="str">
        <f aca="false">IF(OR(FP$4=0,FP17=""),"",IFERROR(ROUND(FP17/INDEX(Undirviðmið!$F$6:$F$205,FP$4)*INDEX(Undirviðmið!$E$6:$E$205,FP$4)*KVARDI,2),""))</f>
        <v/>
      </c>
      <c r="FR17" s="23"/>
      <c r="FS17" s="40" t="str">
        <f aca="false">IF(OR(FR$4=0,FR17=""),"",IFERROR(ROUND(FR17/INDEX(Undirviðmið!$F$6:$F$205,FR$4)*INDEX(Undirviðmið!$E$6:$E$205,FR$4)*KVARDI,2),""))</f>
        <v/>
      </c>
      <c r="FT17" s="23"/>
      <c r="FU17" s="40" t="str">
        <f aca="false">IF(OR(FT$4=0,FT17=""),"",IFERROR(ROUND(FT17/INDEX(Undirviðmið!$F$6:$F$205,FT$4)*INDEX(Undirviðmið!$E$6:$E$205,FT$4)*KVARDI,2),""))</f>
        <v/>
      </c>
      <c r="FV17" s="23"/>
      <c r="FW17" s="40" t="str">
        <f aca="false">IF(OR(FV$4=0,FV17=""),"",IFERROR(ROUND(FV17/INDEX(Undirviðmið!$F$6:$F$205,FV$4)*INDEX(Undirviðmið!$E$6:$E$205,FV$4)*KVARDI,2),""))</f>
        <v/>
      </c>
      <c r="FX17" s="23"/>
      <c r="FY17" s="40" t="str">
        <f aca="false">IF(OR(FX$4=0,FX17=""),"",IFERROR(ROUND(FX17/INDEX(Undirviðmið!$F$6:$F$205,FX$4)*INDEX(Undirviðmið!$E$6:$E$205,FX$4)*KVARDI,2),""))</f>
        <v/>
      </c>
      <c r="FZ17" s="23"/>
      <c r="GA17" s="40" t="str">
        <f aca="false">IF(OR(FZ$4=0,FZ17=""),"",IFERROR(ROUND(FZ17/INDEX(Undirviðmið!$F$6:$F$205,FZ$4)*INDEX(Undirviðmið!$E$6:$E$205,FZ$4)*KVARDI,2),""))</f>
        <v/>
      </c>
      <c r="GB17" s="23"/>
      <c r="GC17" s="40" t="str">
        <f aca="false">IF(OR(GB$4=0,GB17=""),"",IFERROR(ROUND(GB17/INDEX(Undirviðmið!$F$6:$F$205,GB$4)*INDEX(Undirviðmið!$E$6:$E$205,GB$4)*KVARDI,2),""))</f>
        <v/>
      </c>
      <c r="GD17" s="23"/>
      <c r="GE17" s="40" t="str">
        <f aca="false">IF(OR(GD$4=0,GD17=""),"",IFERROR(ROUND(GD17/INDEX(Undirviðmið!$F$6:$F$205,GD$4)*INDEX(Undirviðmið!$E$6:$E$205,GD$4)*KVARDI,2),""))</f>
        <v/>
      </c>
      <c r="GF17" s="23"/>
      <c r="GG17" s="40" t="str">
        <f aca="false">IF(OR(GF$4=0,GF17=""),"",IFERROR(ROUND(GF17/INDEX(Undirviðmið!$F$6:$F$205,GF$4)*INDEX(Undirviðmið!$E$6:$E$205,GF$4)*KVARDI,2),""))</f>
        <v/>
      </c>
      <c r="GH17" s="23"/>
      <c r="GI17" s="40" t="str">
        <f aca="false">IF(OR(GH$4=0,GH17=""),"",IFERROR(ROUND(GH17/INDEX(Undirviðmið!$F$6:$F$205,GH$4)*INDEX(Undirviðmið!$E$6:$E$205,GH$4)*KVARDI,2),""))</f>
        <v/>
      </c>
      <c r="GJ17" s="23"/>
      <c r="GK17" s="40" t="str">
        <f aca="false">IF(OR(GJ$4=0,GJ17=""),"",IFERROR(ROUND(GJ17/INDEX(Undirviðmið!$F$6:$F$205,GJ$4)*INDEX(Undirviðmið!$E$6:$E$205,GJ$4)*KVARDI,2),""))</f>
        <v/>
      </c>
      <c r="GL17" s="23"/>
      <c r="GM17" s="40" t="str">
        <f aca="false">IF(OR(GL$4=0,GL17=""),"",IFERROR(ROUND(GL17/INDEX(Undirviðmið!$F$6:$F$205,GL$4)*INDEX(Undirviðmið!$E$6:$E$205,GL$4)*KVARDI,2),""))</f>
        <v/>
      </c>
      <c r="GN17" s="23"/>
      <c r="GO17" s="40" t="str">
        <f aca="false">IF(OR(GN$4=0,GN17=""),"",IFERROR(ROUND(GN17/INDEX(Undirviðmið!$F$6:$F$205,GN$4)*INDEX(Undirviðmið!$E$6:$E$205,GN$4)*KVARDI,2),""))</f>
        <v/>
      </c>
      <c r="GP17" s="23"/>
      <c r="GQ17" s="40" t="str">
        <f aca="false">IF(OR(GP$4=0,GP17=""),"",IFERROR(ROUND(GP17/INDEX(Undirviðmið!$F$6:$F$205,GP$4)*INDEX(Undirviðmið!$E$6:$E$205,GP$4)*KVARDI,2),""))</f>
        <v/>
      </c>
      <c r="GR17" s="23"/>
      <c r="GS17" s="40" t="str">
        <f aca="false">IF(OR(GR$4=0,GR17=""),"",IFERROR(ROUND(GR17/INDEX(Undirviðmið!$F$6:$F$205,GR$4)*INDEX(Undirviðmið!$E$6:$E$205,GR$4)*KVARDI,2),""))</f>
        <v/>
      </c>
      <c r="GT17" s="23"/>
      <c r="GU17" s="40" t="str">
        <f aca="false">IF(OR(GT$4=0,GT17=""),"",IFERROR(ROUND(GT17/INDEX(Undirviðmið!$F$6:$F$205,GT$4)*INDEX(Undirviðmið!$E$6:$E$205,GT$4)*KVARDI,2),""))</f>
        <v/>
      </c>
      <c r="GV17" s="44" t="n">
        <f aca="false">IFERROR(SUMIF($D$6:GU$6,"Stig",$D17:GU17),0)</f>
        <v>0</v>
      </c>
    </row>
    <row r="18" customFormat="false" ht="15" hidden="false" customHeight="true" outlineLevel="0" collapsed="false">
      <c r="A18" s="22" t="n">
        <f aca="false">ROW()-6</f>
        <v>12</v>
      </c>
      <c r="B18" s="24" t="str">
        <f aca="false">IF(INDEX(Starfsmenn!$B$6:$B$10005,ROW()-6)="","",INDEX(Starfsmenn!$B$6:$B$10005,ROW()-6))</f>
        <v/>
      </c>
      <c r="C18" s="24" t="str">
        <f aca="false">IF(INDEX(Starfsmenn!$C$6:$C$10005,ROW()-6)="","",INDEX(Starfsmenn!$C$6:$C$10005,ROW()-6))</f>
        <v/>
      </c>
      <c r="D18" s="23"/>
      <c r="E18" s="40" t="str">
        <f aca="false">IF(OR(D$4=0,D18=""),"",IFERROR(ROUND(D18/INDEX(Undirviðmið!$F$6:$F$205,D$4)*INDEX(Undirviðmið!$E$6:$E$205,D$4)*KVARDI,2),""))</f>
        <v/>
      </c>
      <c r="F18" s="23"/>
      <c r="G18" s="40" t="str">
        <f aca="false">IF(OR(F$4=0,F18=""),"",IFERROR(ROUND(F18/INDEX(Undirviðmið!$F$6:$F$205,F$4)*INDEX(Undirviðmið!$E$6:$E$205,F$4)*KVARDI,2),""))</f>
        <v/>
      </c>
      <c r="H18" s="23"/>
      <c r="I18" s="40" t="str">
        <f aca="false">IF(OR(H$4=0,H18=""),"",IFERROR(ROUND(H18/INDEX(Undirviðmið!$F$6:$F$205,H$4)*INDEX(Undirviðmið!$E$6:$E$205,H$4)*KVARDI,2),""))</f>
        <v/>
      </c>
      <c r="J18" s="23"/>
      <c r="K18" s="40" t="str">
        <f aca="false">IF(OR(J$4=0,J18=""),"",IFERROR(ROUND(J18/INDEX(Undirviðmið!$F$6:$F$205,J$4)*INDEX(Undirviðmið!$E$6:$E$205,J$4)*KVARDI,2),""))</f>
        <v/>
      </c>
      <c r="L18" s="23"/>
      <c r="M18" s="40" t="str">
        <f aca="false">IF(OR(L$4=0,L18=""),"",IFERROR(ROUND(L18/INDEX(Undirviðmið!$F$6:$F$205,L$4)*INDEX(Undirviðmið!$E$6:$E$205,L$4)*KVARDI,2),""))</f>
        <v/>
      </c>
      <c r="N18" s="23"/>
      <c r="O18" s="40" t="str">
        <f aca="false">IF(OR(N$4=0,N18=""),"",IFERROR(ROUND(N18/INDEX(Undirviðmið!$F$6:$F$205,N$4)*INDEX(Undirviðmið!$E$6:$E$205,N$4)*KVARDI,2),""))</f>
        <v/>
      </c>
      <c r="P18" s="23"/>
      <c r="Q18" s="40" t="str">
        <f aca="false">IF(OR(P$4=0,P18=""),"",IFERROR(ROUND(P18/INDEX(Undirviðmið!$F$6:$F$205,P$4)*INDEX(Undirviðmið!$E$6:$E$205,P$4)*KVARDI,2),""))</f>
        <v/>
      </c>
      <c r="R18" s="23"/>
      <c r="S18" s="40" t="str">
        <f aca="false">IF(OR(R$4=0,R18=""),"",IFERROR(ROUND(R18/INDEX(Undirviðmið!$F$6:$F$205,R$4)*INDEX(Undirviðmið!$E$6:$E$205,R$4)*KVARDI,2),""))</f>
        <v/>
      </c>
      <c r="T18" s="23"/>
      <c r="U18" s="40" t="str">
        <f aca="false">IF(OR(T$4=0,T18=""),"",IFERROR(ROUND(T18/INDEX(Undirviðmið!$F$6:$F$205,T$4)*INDEX(Undirviðmið!$E$6:$E$205,T$4)*KVARDI,2),""))</f>
        <v/>
      </c>
      <c r="V18" s="23"/>
      <c r="W18" s="40" t="str">
        <f aca="false">IF(OR(V$4=0,V18=""),"",IFERROR(ROUND(V18/INDEX(Undirviðmið!$F$6:$F$205,V$4)*INDEX(Undirviðmið!$E$6:$E$205,V$4)*KVARDI,2),""))</f>
        <v/>
      </c>
      <c r="X18" s="23"/>
      <c r="Y18" s="40" t="str">
        <f aca="false">IF(OR(X$4=0,X18=""),"",IFERROR(ROUND(X18/INDEX(Undirviðmið!$F$6:$F$205,X$4)*INDEX(Undirviðmið!$E$6:$E$205,X$4)*KVARDI,2),""))</f>
        <v/>
      </c>
      <c r="Z18" s="23"/>
      <c r="AA18" s="40" t="str">
        <f aca="false">IF(OR(Z$4=0,Z18=""),"",IFERROR(ROUND(Z18/INDEX(Undirviðmið!$F$6:$F$205,Z$4)*INDEX(Undirviðmið!$E$6:$E$205,Z$4)*KVARDI,2),""))</f>
        <v/>
      </c>
      <c r="AB18" s="23"/>
      <c r="AC18" s="40" t="str">
        <f aca="false">IF(OR(AB$4=0,AB18=""),"",IFERROR(ROUND(AB18/INDEX(Undirviðmið!$F$6:$F$205,AB$4)*INDEX(Undirviðmið!$E$6:$E$205,AB$4)*KVARDI,2),""))</f>
        <v/>
      </c>
      <c r="AD18" s="23"/>
      <c r="AE18" s="40" t="str">
        <f aca="false">IF(OR(AD$4=0,AD18=""),"",IFERROR(ROUND(AD18/INDEX(Undirviðmið!$F$6:$F$205,AD$4)*INDEX(Undirviðmið!$E$6:$E$205,AD$4)*KVARDI,2),""))</f>
        <v/>
      </c>
      <c r="AF18" s="23"/>
      <c r="AG18" s="40" t="str">
        <f aca="false">IF(OR(AF$4=0,AF18=""),"",IFERROR(ROUND(AF18/INDEX(Undirviðmið!$F$6:$F$205,AF$4)*INDEX(Undirviðmið!$E$6:$E$205,AF$4)*KVARDI,2),""))</f>
        <v/>
      </c>
      <c r="AH18" s="23"/>
      <c r="AI18" s="40" t="str">
        <f aca="false">IF(OR(AH$4=0,AH18=""),"",IFERROR(ROUND(AH18/INDEX(Undirviðmið!$F$6:$F$205,AH$4)*INDEX(Undirviðmið!$E$6:$E$205,AH$4)*KVARDI,2),""))</f>
        <v/>
      </c>
      <c r="AJ18" s="23"/>
      <c r="AK18" s="40" t="str">
        <f aca="false">IF(OR(AJ$4=0,AJ18=""),"",IFERROR(ROUND(AJ18/INDEX(Undirviðmið!$F$6:$F$205,AJ$4)*INDEX(Undirviðmið!$E$6:$E$205,AJ$4)*KVARDI,2),""))</f>
        <v/>
      </c>
      <c r="AL18" s="23"/>
      <c r="AM18" s="40" t="str">
        <f aca="false">IF(OR(AL$4=0,AL18=""),"",IFERROR(ROUND(AL18/INDEX(Undirviðmið!$F$6:$F$205,AL$4)*INDEX(Undirviðmið!$E$6:$E$205,AL$4)*KVARDI,2),""))</f>
        <v/>
      </c>
      <c r="AN18" s="23"/>
      <c r="AO18" s="40" t="str">
        <f aca="false">IF(OR(AN$4=0,AN18=""),"",IFERROR(ROUND(AN18/INDEX(Undirviðmið!$F$6:$F$205,AN$4)*INDEX(Undirviðmið!$E$6:$E$205,AN$4)*KVARDI,2),""))</f>
        <v/>
      </c>
      <c r="AP18" s="23"/>
      <c r="AQ18" s="40" t="str">
        <f aca="false">IF(OR(AP$4=0,AP18=""),"",IFERROR(ROUND(AP18/INDEX(Undirviðmið!$F$6:$F$205,AP$4)*INDEX(Undirviðmið!$E$6:$E$205,AP$4)*KVARDI,2),""))</f>
        <v/>
      </c>
      <c r="AR18" s="23"/>
      <c r="AS18" s="40" t="str">
        <f aca="false">IF(OR(AR$4=0,AR18=""),"",IFERROR(ROUND(AR18/INDEX(Undirviðmið!$F$6:$F$205,AR$4)*INDEX(Undirviðmið!$E$6:$E$205,AR$4)*KVARDI,2),""))</f>
        <v/>
      </c>
      <c r="AT18" s="23"/>
      <c r="AU18" s="40" t="str">
        <f aca="false">IF(OR(AT$4=0,AT18=""),"",IFERROR(ROUND(AT18/INDEX(Undirviðmið!$F$6:$F$205,AT$4)*INDEX(Undirviðmið!$E$6:$E$205,AT$4)*KVARDI,2),""))</f>
        <v/>
      </c>
      <c r="AV18" s="23"/>
      <c r="AW18" s="40" t="str">
        <f aca="false">IF(OR(AV$4=0,AV18=""),"",IFERROR(ROUND(AV18/INDEX(Undirviðmið!$F$6:$F$205,AV$4)*INDEX(Undirviðmið!$E$6:$E$205,AV$4)*KVARDI,2),""))</f>
        <v/>
      </c>
      <c r="AX18" s="23"/>
      <c r="AY18" s="40" t="str">
        <f aca="false">IF(OR(AX$4=0,AX18=""),"",IFERROR(ROUND(AX18/INDEX(Undirviðmið!$F$6:$F$205,AX$4)*INDEX(Undirviðmið!$E$6:$E$205,AX$4)*KVARDI,2),""))</f>
        <v/>
      </c>
      <c r="AZ18" s="23"/>
      <c r="BA18" s="40" t="str">
        <f aca="false">IF(OR(AZ$4=0,AZ18=""),"",IFERROR(ROUND(AZ18/INDEX(Undirviðmið!$F$6:$F$205,AZ$4)*INDEX(Undirviðmið!$E$6:$E$205,AZ$4)*KVARDI,2),""))</f>
        <v/>
      </c>
      <c r="BB18" s="23"/>
      <c r="BC18" s="40" t="str">
        <f aca="false">IF(OR(BB$4=0,BB18=""),"",IFERROR(ROUND(BB18/INDEX(Undirviðmið!$F$6:$F$205,BB$4)*INDEX(Undirviðmið!$E$6:$E$205,BB$4)*KVARDI,2),""))</f>
        <v/>
      </c>
      <c r="BD18" s="23"/>
      <c r="BE18" s="40" t="str">
        <f aca="false">IF(OR(BD$4=0,BD18=""),"",IFERROR(ROUND(BD18/INDEX(Undirviðmið!$F$6:$F$205,BD$4)*INDEX(Undirviðmið!$E$6:$E$205,BD$4)*KVARDI,2),""))</f>
        <v/>
      </c>
      <c r="BF18" s="23"/>
      <c r="BG18" s="40" t="str">
        <f aca="false">IF(OR(BF$4=0,BF18=""),"",IFERROR(ROUND(BF18/INDEX(Undirviðmið!$F$6:$F$205,BF$4)*INDEX(Undirviðmið!$E$6:$E$205,BF$4)*KVARDI,2),""))</f>
        <v/>
      </c>
      <c r="BH18" s="23"/>
      <c r="BI18" s="40" t="str">
        <f aca="false">IF(OR(BH$4=0,BH18=""),"",IFERROR(ROUND(BH18/INDEX(Undirviðmið!$F$6:$F$205,BH$4)*INDEX(Undirviðmið!$E$6:$E$205,BH$4)*KVARDI,2),""))</f>
        <v/>
      </c>
      <c r="BJ18" s="23"/>
      <c r="BK18" s="40" t="str">
        <f aca="false">IF(OR(BJ$4=0,BJ18=""),"",IFERROR(ROUND(BJ18/INDEX(Undirviðmið!$F$6:$F$205,BJ$4)*INDEX(Undirviðmið!$E$6:$E$205,BJ$4)*KVARDI,2),""))</f>
        <v/>
      </c>
      <c r="BL18" s="23"/>
      <c r="BM18" s="40" t="str">
        <f aca="false">IF(OR(BL$4=0,BL18=""),"",IFERROR(ROUND(BL18/INDEX(Undirviðmið!$F$6:$F$205,BL$4)*INDEX(Undirviðmið!$E$6:$E$205,BL$4)*KVARDI,2),""))</f>
        <v/>
      </c>
      <c r="BN18" s="23"/>
      <c r="BO18" s="40" t="str">
        <f aca="false">IF(OR(BN$4=0,BN18=""),"",IFERROR(ROUND(BN18/INDEX(Undirviðmið!$F$6:$F$205,BN$4)*INDEX(Undirviðmið!$E$6:$E$205,BN$4)*KVARDI,2),""))</f>
        <v/>
      </c>
      <c r="BP18" s="23"/>
      <c r="BQ18" s="40" t="str">
        <f aca="false">IF(OR(BP$4=0,BP18=""),"",IFERROR(ROUND(BP18/INDEX(Undirviðmið!$F$6:$F$205,BP$4)*INDEX(Undirviðmið!$E$6:$E$205,BP$4)*KVARDI,2),""))</f>
        <v/>
      </c>
      <c r="BR18" s="23"/>
      <c r="BS18" s="40" t="str">
        <f aca="false">IF(OR(BR$4=0,BR18=""),"",IFERROR(ROUND(BR18/INDEX(Undirviðmið!$F$6:$F$205,BR$4)*INDEX(Undirviðmið!$E$6:$E$205,BR$4)*KVARDI,2),""))</f>
        <v/>
      </c>
      <c r="BT18" s="23"/>
      <c r="BU18" s="40" t="str">
        <f aca="false">IF(OR(BT$4=0,BT18=""),"",IFERROR(ROUND(BT18/INDEX(Undirviðmið!$F$6:$F$205,BT$4)*INDEX(Undirviðmið!$E$6:$E$205,BT$4)*KVARDI,2),""))</f>
        <v/>
      </c>
      <c r="BV18" s="23"/>
      <c r="BW18" s="40" t="str">
        <f aca="false">IF(OR(BV$4=0,BV18=""),"",IFERROR(ROUND(BV18/INDEX(Undirviðmið!$F$6:$F$205,BV$4)*INDEX(Undirviðmið!$E$6:$E$205,BV$4)*KVARDI,2),""))</f>
        <v/>
      </c>
      <c r="BX18" s="23"/>
      <c r="BY18" s="40" t="str">
        <f aca="false">IF(OR(BX$4=0,BX18=""),"",IFERROR(ROUND(BX18/INDEX(Undirviðmið!$F$6:$F$205,BX$4)*INDEX(Undirviðmið!$E$6:$E$205,BX$4)*KVARDI,2),""))</f>
        <v/>
      </c>
      <c r="BZ18" s="23"/>
      <c r="CA18" s="40" t="str">
        <f aca="false">IF(OR(BZ$4=0,BZ18=""),"",IFERROR(ROUND(BZ18/INDEX(Undirviðmið!$F$6:$F$205,BZ$4)*INDEX(Undirviðmið!$E$6:$E$205,BZ$4)*KVARDI,2),""))</f>
        <v/>
      </c>
      <c r="CB18" s="23"/>
      <c r="CC18" s="40" t="str">
        <f aca="false">IF(OR(CB$4=0,CB18=""),"",IFERROR(ROUND(CB18/INDEX(Undirviðmið!$F$6:$F$205,CB$4)*INDEX(Undirviðmið!$E$6:$E$205,CB$4)*KVARDI,2),""))</f>
        <v/>
      </c>
      <c r="CD18" s="23"/>
      <c r="CE18" s="40" t="str">
        <f aca="false">IF(OR(CD$4=0,CD18=""),"",IFERROR(ROUND(CD18/INDEX(Undirviðmið!$F$6:$F$205,CD$4)*INDEX(Undirviðmið!$E$6:$E$205,CD$4)*KVARDI,2),""))</f>
        <v/>
      </c>
      <c r="CF18" s="23"/>
      <c r="CG18" s="40" t="str">
        <f aca="false">IF(OR(CF$4=0,CF18=""),"",IFERROR(ROUND(CF18/INDEX(Undirviðmið!$F$6:$F$205,CF$4)*INDEX(Undirviðmið!$E$6:$E$205,CF$4)*KVARDI,2),""))</f>
        <v/>
      </c>
      <c r="CH18" s="23"/>
      <c r="CI18" s="40" t="str">
        <f aca="false">IF(OR(CH$4=0,CH18=""),"",IFERROR(ROUND(CH18/INDEX(Undirviðmið!$F$6:$F$205,CH$4)*INDEX(Undirviðmið!$E$6:$E$205,CH$4)*KVARDI,2),""))</f>
        <v/>
      </c>
      <c r="CJ18" s="23"/>
      <c r="CK18" s="40" t="str">
        <f aca="false">IF(OR(CJ$4=0,CJ18=""),"",IFERROR(ROUND(CJ18/INDEX(Undirviðmið!$F$6:$F$205,CJ$4)*INDEX(Undirviðmið!$E$6:$E$205,CJ$4)*KVARDI,2),""))</f>
        <v/>
      </c>
      <c r="CL18" s="23"/>
      <c r="CM18" s="40" t="str">
        <f aca="false">IF(OR(CL$4=0,CL18=""),"",IFERROR(ROUND(CL18/INDEX(Undirviðmið!$F$6:$F$205,CL$4)*INDEX(Undirviðmið!$E$6:$E$205,CL$4)*KVARDI,2),""))</f>
        <v/>
      </c>
      <c r="CN18" s="23"/>
      <c r="CO18" s="40" t="str">
        <f aca="false">IF(OR(CN$4=0,CN18=""),"",IFERROR(ROUND(CN18/INDEX(Undirviðmið!$F$6:$F$205,CN$4)*INDEX(Undirviðmið!$E$6:$E$205,CN$4)*KVARDI,2),""))</f>
        <v/>
      </c>
      <c r="CP18" s="23"/>
      <c r="CQ18" s="40" t="str">
        <f aca="false">IF(OR(CP$4=0,CP18=""),"",IFERROR(ROUND(CP18/INDEX(Undirviðmið!$F$6:$F$205,CP$4)*INDEX(Undirviðmið!$E$6:$E$205,CP$4)*KVARDI,2),""))</f>
        <v/>
      </c>
      <c r="CR18" s="23"/>
      <c r="CS18" s="40" t="str">
        <f aca="false">IF(OR(CR$4=0,CR18=""),"",IFERROR(ROUND(CR18/INDEX(Undirviðmið!$F$6:$F$205,CR$4)*INDEX(Undirviðmið!$E$6:$E$205,CR$4)*KVARDI,2),""))</f>
        <v/>
      </c>
      <c r="CT18" s="23"/>
      <c r="CU18" s="40" t="str">
        <f aca="false">IF(OR(CT$4=0,CT18=""),"",IFERROR(ROUND(CT18/INDEX(Undirviðmið!$F$6:$F$205,CT$4)*INDEX(Undirviðmið!$E$6:$E$205,CT$4)*KVARDI,2),""))</f>
        <v/>
      </c>
      <c r="CV18" s="23"/>
      <c r="CW18" s="40" t="str">
        <f aca="false">IF(OR(CV$4=0,CV18=""),"",IFERROR(ROUND(CV18/INDEX(Undirviðmið!$F$6:$F$205,CV$4)*INDEX(Undirviðmið!$E$6:$E$205,CV$4)*KVARDI,2),""))</f>
        <v/>
      </c>
      <c r="CX18" s="23"/>
      <c r="CY18" s="40" t="str">
        <f aca="false">IF(OR(CX$4=0,CX18=""),"",IFERROR(ROUND(CX18/INDEX(Undirviðmið!$F$6:$F$205,CX$4)*INDEX(Undirviðmið!$E$6:$E$205,CX$4)*KVARDI,2),""))</f>
        <v/>
      </c>
      <c r="CZ18" s="23"/>
      <c r="DA18" s="40" t="str">
        <f aca="false">IF(OR(CZ$4=0,CZ18=""),"",IFERROR(ROUND(CZ18/INDEX(Undirviðmið!$F$6:$F$205,CZ$4)*INDEX(Undirviðmið!$E$6:$E$205,CZ$4)*KVARDI,2),""))</f>
        <v/>
      </c>
      <c r="DB18" s="23"/>
      <c r="DC18" s="40" t="str">
        <f aca="false">IF(OR(DB$4=0,DB18=""),"",IFERROR(ROUND(DB18/INDEX(Undirviðmið!$F$6:$F$205,DB$4)*INDEX(Undirviðmið!$E$6:$E$205,DB$4)*KVARDI,2),""))</f>
        <v/>
      </c>
      <c r="DD18" s="23"/>
      <c r="DE18" s="40" t="str">
        <f aca="false">IF(OR(DD$4=0,DD18=""),"",IFERROR(ROUND(DD18/INDEX(Undirviðmið!$F$6:$F$205,DD$4)*INDEX(Undirviðmið!$E$6:$E$205,DD$4)*KVARDI,2),""))</f>
        <v/>
      </c>
      <c r="DF18" s="23"/>
      <c r="DG18" s="40" t="str">
        <f aca="false">IF(OR(DF$4=0,DF18=""),"",IFERROR(ROUND(DF18/INDEX(Undirviðmið!$F$6:$F$205,DF$4)*INDEX(Undirviðmið!$E$6:$E$205,DF$4)*KVARDI,2),""))</f>
        <v/>
      </c>
      <c r="DH18" s="23"/>
      <c r="DI18" s="40" t="str">
        <f aca="false">IF(OR(DH$4=0,DH18=""),"",IFERROR(ROUND(DH18/INDEX(Undirviðmið!$F$6:$F$205,DH$4)*INDEX(Undirviðmið!$E$6:$E$205,DH$4)*KVARDI,2),""))</f>
        <v/>
      </c>
      <c r="DJ18" s="23"/>
      <c r="DK18" s="40" t="str">
        <f aca="false">IF(OR(DJ$4=0,DJ18=""),"",IFERROR(ROUND(DJ18/INDEX(Undirviðmið!$F$6:$F$205,DJ$4)*INDEX(Undirviðmið!$E$6:$E$205,DJ$4)*KVARDI,2),""))</f>
        <v/>
      </c>
      <c r="DL18" s="23"/>
      <c r="DM18" s="40" t="str">
        <f aca="false">IF(OR(DL$4=0,DL18=""),"",IFERROR(ROUND(DL18/INDEX(Undirviðmið!$F$6:$F$205,DL$4)*INDEX(Undirviðmið!$E$6:$E$205,DL$4)*KVARDI,2),""))</f>
        <v/>
      </c>
      <c r="DN18" s="23"/>
      <c r="DO18" s="40" t="str">
        <f aca="false">IF(OR(DN$4=0,DN18=""),"",IFERROR(ROUND(DN18/INDEX(Undirviðmið!$F$6:$F$205,DN$4)*INDEX(Undirviðmið!$E$6:$E$205,DN$4)*KVARDI,2),""))</f>
        <v/>
      </c>
      <c r="DP18" s="23"/>
      <c r="DQ18" s="40" t="str">
        <f aca="false">IF(OR(DP$4=0,DP18=""),"",IFERROR(ROUND(DP18/INDEX(Undirviðmið!$F$6:$F$205,DP$4)*INDEX(Undirviðmið!$E$6:$E$205,DP$4)*KVARDI,2),""))</f>
        <v/>
      </c>
      <c r="DR18" s="23"/>
      <c r="DS18" s="40" t="str">
        <f aca="false">IF(OR(DR$4=0,DR18=""),"",IFERROR(ROUND(DR18/INDEX(Undirviðmið!$F$6:$F$205,DR$4)*INDEX(Undirviðmið!$E$6:$E$205,DR$4)*KVARDI,2),""))</f>
        <v/>
      </c>
      <c r="DT18" s="23"/>
      <c r="DU18" s="40" t="str">
        <f aca="false">IF(OR(DT$4=0,DT18=""),"",IFERROR(ROUND(DT18/INDEX(Undirviðmið!$F$6:$F$205,DT$4)*INDEX(Undirviðmið!$E$6:$E$205,DT$4)*KVARDI,2),""))</f>
        <v/>
      </c>
      <c r="DV18" s="23"/>
      <c r="DW18" s="40" t="str">
        <f aca="false">IF(OR(DV$4=0,DV18=""),"",IFERROR(ROUND(DV18/INDEX(Undirviðmið!$F$6:$F$205,DV$4)*INDEX(Undirviðmið!$E$6:$E$205,DV$4)*KVARDI,2),""))</f>
        <v/>
      </c>
      <c r="DX18" s="23"/>
      <c r="DY18" s="40" t="str">
        <f aca="false">IF(OR(DX$4=0,DX18=""),"",IFERROR(ROUND(DX18/INDEX(Undirviðmið!$F$6:$F$205,DX$4)*INDEX(Undirviðmið!$E$6:$E$205,DX$4)*KVARDI,2),""))</f>
        <v/>
      </c>
      <c r="DZ18" s="23"/>
      <c r="EA18" s="40" t="str">
        <f aca="false">IF(OR(DZ$4=0,DZ18=""),"",IFERROR(ROUND(DZ18/INDEX(Undirviðmið!$F$6:$F$205,DZ$4)*INDEX(Undirviðmið!$E$6:$E$205,DZ$4)*KVARDI,2),""))</f>
        <v/>
      </c>
      <c r="EB18" s="23"/>
      <c r="EC18" s="40" t="str">
        <f aca="false">IF(OR(EB$4=0,EB18=""),"",IFERROR(ROUND(EB18/INDEX(Undirviðmið!$F$6:$F$205,EB$4)*INDEX(Undirviðmið!$E$6:$E$205,EB$4)*KVARDI,2),""))</f>
        <v/>
      </c>
      <c r="ED18" s="23"/>
      <c r="EE18" s="40" t="str">
        <f aca="false">IF(OR(ED$4=0,ED18=""),"",IFERROR(ROUND(ED18/INDEX(Undirviðmið!$F$6:$F$205,ED$4)*INDEX(Undirviðmið!$E$6:$E$205,ED$4)*KVARDI,2),""))</f>
        <v/>
      </c>
      <c r="EF18" s="23"/>
      <c r="EG18" s="40" t="str">
        <f aca="false">IF(OR(EF$4=0,EF18=""),"",IFERROR(ROUND(EF18/INDEX(Undirviðmið!$F$6:$F$205,EF$4)*INDEX(Undirviðmið!$E$6:$E$205,EF$4)*KVARDI,2),""))</f>
        <v/>
      </c>
      <c r="EH18" s="23"/>
      <c r="EI18" s="40" t="str">
        <f aca="false">IF(OR(EH$4=0,EH18=""),"",IFERROR(ROUND(EH18/INDEX(Undirviðmið!$F$6:$F$205,EH$4)*INDEX(Undirviðmið!$E$6:$E$205,EH$4)*KVARDI,2),""))</f>
        <v/>
      </c>
      <c r="EJ18" s="23"/>
      <c r="EK18" s="40" t="str">
        <f aca="false">IF(OR(EJ$4=0,EJ18=""),"",IFERROR(ROUND(EJ18/INDEX(Undirviðmið!$F$6:$F$205,EJ$4)*INDEX(Undirviðmið!$E$6:$E$205,EJ$4)*KVARDI,2),""))</f>
        <v/>
      </c>
      <c r="EL18" s="23"/>
      <c r="EM18" s="40" t="str">
        <f aca="false">IF(OR(EL$4=0,EL18=""),"",IFERROR(ROUND(EL18/INDEX(Undirviðmið!$F$6:$F$205,EL$4)*INDEX(Undirviðmið!$E$6:$E$205,EL$4)*KVARDI,2),""))</f>
        <v/>
      </c>
      <c r="EN18" s="23"/>
      <c r="EO18" s="40" t="str">
        <f aca="false">IF(OR(EN$4=0,EN18=""),"",IFERROR(ROUND(EN18/INDEX(Undirviðmið!$F$6:$F$205,EN$4)*INDEX(Undirviðmið!$E$6:$E$205,EN$4)*KVARDI,2),""))</f>
        <v/>
      </c>
      <c r="EP18" s="23"/>
      <c r="EQ18" s="40" t="str">
        <f aca="false">IF(OR(EP$4=0,EP18=""),"",IFERROR(ROUND(EP18/INDEX(Undirviðmið!$F$6:$F$205,EP$4)*INDEX(Undirviðmið!$E$6:$E$205,EP$4)*KVARDI,2),""))</f>
        <v/>
      </c>
      <c r="ER18" s="23"/>
      <c r="ES18" s="40" t="str">
        <f aca="false">IF(OR(ER$4=0,ER18=""),"",IFERROR(ROUND(ER18/INDEX(Undirviðmið!$F$6:$F$205,ER$4)*INDEX(Undirviðmið!$E$6:$E$205,ER$4)*KVARDI,2),""))</f>
        <v/>
      </c>
      <c r="ET18" s="23"/>
      <c r="EU18" s="40" t="str">
        <f aca="false">IF(OR(ET$4=0,ET18=""),"",IFERROR(ROUND(ET18/INDEX(Undirviðmið!$F$6:$F$205,ET$4)*INDEX(Undirviðmið!$E$6:$E$205,ET$4)*KVARDI,2),""))</f>
        <v/>
      </c>
      <c r="EV18" s="23"/>
      <c r="EW18" s="40" t="str">
        <f aca="false">IF(OR(EV$4=0,EV18=""),"",IFERROR(ROUND(EV18/INDEX(Undirviðmið!$F$6:$F$205,EV$4)*INDEX(Undirviðmið!$E$6:$E$205,EV$4)*KVARDI,2),""))</f>
        <v/>
      </c>
      <c r="EX18" s="23"/>
      <c r="EY18" s="40" t="str">
        <f aca="false">IF(OR(EX$4=0,EX18=""),"",IFERROR(ROUND(EX18/INDEX(Undirviðmið!$F$6:$F$205,EX$4)*INDEX(Undirviðmið!$E$6:$E$205,EX$4)*KVARDI,2),""))</f>
        <v/>
      </c>
      <c r="EZ18" s="23"/>
      <c r="FA18" s="40" t="str">
        <f aca="false">IF(OR(EZ$4=0,EZ18=""),"",IFERROR(ROUND(EZ18/INDEX(Undirviðmið!$F$6:$F$205,EZ$4)*INDEX(Undirviðmið!$E$6:$E$205,EZ$4)*KVARDI,2),""))</f>
        <v/>
      </c>
      <c r="FB18" s="23"/>
      <c r="FC18" s="40" t="str">
        <f aca="false">IF(OR(FB$4=0,FB18=""),"",IFERROR(ROUND(FB18/INDEX(Undirviðmið!$F$6:$F$205,FB$4)*INDEX(Undirviðmið!$E$6:$E$205,FB$4)*KVARDI,2),""))</f>
        <v/>
      </c>
      <c r="FD18" s="23"/>
      <c r="FE18" s="40" t="str">
        <f aca="false">IF(OR(FD$4=0,FD18=""),"",IFERROR(ROUND(FD18/INDEX(Undirviðmið!$F$6:$F$205,FD$4)*INDEX(Undirviðmið!$E$6:$E$205,FD$4)*KVARDI,2),""))</f>
        <v/>
      </c>
      <c r="FF18" s="23"/>
      <c r="FG18" s="40" t="str">
        <f aca="false">IF(OR(FF$4=0,FF18=""),"",IFERROR(ROUND(FF18/INDEX(Undirviðmið!$F$6:$F$205,FF$4)*INDEX(Undirviðmið!$E$6:$E$205,FF$4)*KVARDI,2),""))</f>
        <v/>
      </c>
      <c r="FH18" s="23"/>
      <c r="FI18" s="40" t="str">
        <f aca="false">IF(OR(FH$4=0,FH18=""),"",IFERROR(ROUND(FH18/INDEX(Undirviðmið!$F$6:$F$205,FH$4)*INDEX(Undirviðmið!$E$6:$E$205,FH$4)*KVARDI,2),""))</f>
        <v/>
      </c>
      <c r="FJ18" s="23"/>
      <c r="FK18" s="40" t="str">
        <f aca="false">IF(OR(FJ$4=0,FJ18=""),"",IFERROR(ROUND(FJ18/INDEX(Undirviðmið!$F$6:$F$205,FJ$4)*INDEX(Undirviðmið!$E$6:$E$205,FJ$4)*KVARDI,2),""))</f>
        <v/>
      </c>
      <c r="FL18" s="23"/>
      <c r="FM18" s="40" t="str">
        <f aca="false">IF(OR(FL$4=0,FL18=""),"",IFERROR(ROUND(FL18/INDEX(Undirviðmið!$F$6:$F$205,FL$4)*INDEX(Undirviðmið!$E$6:$E$205,FL$4)*KVARDI,2),""))</f>
        <v/>
      </c>
      <c r="FN18" s="23"/>
      <c r="FO18" s="40" t="str">
        <f aca="false">IF(OR(FN$4=0,FN18=""),"",IFERROR(ROUND(FN18/INDEX(Undirviðmið!$F$6:$F$205,FN$4)*INDEX(Undirviðmið!$E$6:$E$205,FN$4)*KVARDI,2),""))</f>
        <v/>
      </c>
      <c r="FP18" s="23"/>
      <c r="FQ18" s="40" t="str">
        <f aca="false">IF(OR(FP$4=0,FP18=""),"",IFERROR(ROUND(FP18/INDEX(Undirviðmið!$F$6:$F$205,FP$4)*INDEX(Undirviðmið!$E$6:$E$205,FP$4)*KVARDI,2),""))</f>
        <v/>
      </c>
      <c r="FR18" s="23"/>
      <c r="FS18" s="40" t="str">
        <f aca="false">IF(OR(FR$4=0,FR18=""),"",IFERROR(ROUND(FR18/INDEX(Undirviðmið!$F$6:$F$205,FR$4)*INDEX(Undirviðmið!$E$6:$E$205,FR$4)*KVARDI,2),""))</f>
        <v/>
      </c>
      <c r="FT18" s="23"/>
      <c r="FU18" s="40" t="str">
        <f aca="false">IF(OR(FT$4=0,FT18=""),"",IFERROR(ROUND(FT18/INDEX(Undirviðmið!$F$6:$F$205,FT$4)*INDEX(Undirviðmið!$E$6:$E$205,FT$4)*KVARDI,2),""))</f>
        <v/>
      </c>
      <c r="FV18" s="23"/>
      <c r="FW18" s="40" t="str">
        <f aca="false">IF(OR(FV$4=0,FV18=""),"",IFERROR(ROUND(FV18/INDEX(Undirviðmið!$F$6:$F$205,FV$4)*INDEX(Undirviðmið!$E$6:$E$205,FV$4)*KVARDI,2),""))</f>
        <v/>
      </c>
      <c r="FX18" s="23"/>
      <c r="FY18" s="40" t="str">
        <f aca="false">IF(OR(FX$4=0,FX18=""),"",IFERROR(ROUND(FX18/INDEX(Undirviðmið!$F$6:$F$205,FX$4)*INDEX(Undirviðmið!$E$6:$E$205,FX$4)*KVARDI,2),""))</f>
        <v/>
      </c>
      <c r="FZ18" s="23"/>
      <c r="GA18" s="40" t="str">
        <f aca="false">IF(OR(FZ$4=0,FZ18=""),"",IFERROR(ROUND(FZ18/INDEX(Undirviðmið!$F$6:$F$205,FZ$4)*INDEX(Undirviðmið!$E$6:$E$205,FZ$4)*KVARDI,2),""))</f>
        <v/>
      </c>
      <c r="GB18" s="23"/>
      <c r="GC18" s="40" t="str">
        <f aca="false">IF(OR(GB$4=0,GB18=""),"",IFERROR(ROUND(GB18/INDEX(Undirviðmið!$F$6:$F$205,GB$4)*INDEX(Undirviðmið!$E$6:$E$205,GB$4)*KVARDI,2),""))</f>
        <v/>
      </c>
      <c r="GD18" s="23"/>
      <c r="GE18" s="40" t="str">
        <f aca="false">IF(OR(GD$4=0,GD18=""),"",IFERROR(ROUND(GD18/INDEX(Undirviðmið!$F$6:$F$205,GD$4)*INDEX(Undirviðmið!$E$6:$E$205,GD$4)*KVARDI,2),""))</f>
        <v/>
      </c>
      <c r="GF18" s="23"/>
      <c r="GG18" s="40" t="str">
        <f aca="false">IF(OR(GF$4=0,GF18=""),"",IFERROR(ROUND(GF18/INDEX(Undirviðmið!$F$6:$F$205,GF$4)*INDEX(Undirviðmið!$E$6:$E$205,GF$4)*KVARDI,2),""))</f>
        <v/>
      </c>
      <c r="GH18" s="23"/>
      <c r="GI18" s="40" t="str">
        <f aca="false">IF(OR(GH$4=0,GH18=""),"",IFERROR(ROUND(GH18/INDEX(Undirviðmið!$F$6:$F$205,GH$4)*INDEX(Undirviðmið!$E$6:$E$205,GH$4)*KVARDI,2),""))</f>
        <v/>
      </c>
      <c r="GJ18" s="23"/>
      <c r="GK18" s="40" t="str">
        <f aca="false">IF(OR(GJ$4=0,GJ18=""),"",IFERROR(ROUND(GJ18/INDEX(Undirviðmið!$F$6:$F$205,GJ$4)*INDEX(Undirviðmið!$E$6:$E$205,GJ$4)*KVARDI,2),""))</f>
        <v/>
      </c>
      <c r="GL18" s="23"/>
      <c r="GM18" s="40" t="str">
        <f aca="false">IF(OR(GL$4=0,GL18=""),"",IFERROR(ROUND(GL18/INDEX(Undirviðmið!$F$6:$F$205,GL$4)*INDEX(Undirviðmið!$E$6:$E$205,GL$4)*KVARDI,2),""))</f>
        <v/>
      </c>
      <c r="GN18" s="23"/>
      <c r="GO18" s="40" t="str">
        <f aca="false">IF(OR(GN$4=0,GN18=""),"",IFERROR(ROUND(GN18/INDEX(Undirviðmið!$F$6:$F$205,GN$4)*INDEX(Undirviðmið!$E$6:$E$205,GN$4)*KVARDI,2),""))</f>
        <v/>
      </c>
      <c r="GP18" s="23"/>
      <c r="GQ18" s="40" t="str">
        <f aca="false">IF(OR(GP$4=0,GP18=""),"",IFERROR(ROUND(GP18/INDEX(Undirviðmið!$F$6:$F$205,GP$4)*INDEX(Undirviðmið!$E$6:$E$205,GP$4)*KVARDI,2),""))</f>
        <v/>
      </c>
      <c r="GR18" s="23"/>
      <c r="GS18" s="40" t="str">
        <f aca="false">IF(OR(GR$4=0,GR18=""),"",IFERROR(ROUND(GR18/INDEX(Undirviðmið!$F$6:$F$205,GR$4)*INDEX(Undirviðmið!$E$6:$E$205,GR$4)*KVARDI,2),""))</f>
        <v/>
      </c>
      <c r="GT18" s="23"/>
      <c r="GU18" s="40" t="str">
        <f aca="false">IF(OR(GT$4=0,GT18=""),"",IFERROR(ROUND(GT18/INDEX(Undirviðmið!$F$6:$F$205,GT$4)*INDEX(Undirviðmið!$E$6:$E$205,GT$4)*KVARDI,2),""))</f>
        <v/>
      </c>
      <c r="GV18" s="44" t="n">
        <f aca="false">IFERROR(SUMIF($D$6:GU$6,"Stig",$D18:GU18),0)</f>
        <v>0</v>
      </c>
    </row>
    <row r="19" customFormat="false" ht="15" hidden="false" customHeight="true" outlineLevel="0" collapsed="false">
      <c r="A19" s="22" t="n">
        <f aca="false">ROW()-6</f>
        <v>13</v>
      </c>
      <c r="B19" s="24" t="str">
        <f aca="false">IF(INDEX(Starfsmenn!$B$6:$B$10005,ROW()-6)="","",INDEX(Starfsmenn!$B$6:$B$10005,ROW()-6))</f>
        <v/>
      </c>
      <c r="C19" s="24" t="str">
        <f aca="false">IF(INDEX(Starfsmenn!$C$6:$C$10005,ROW()-6)="","",INDEX(Starfsmenn!$C$6:$C$10005,ROW()-6))</f>
        <v/>
      </c>
      <c r="D19" s="23"/>
      <c r="E19" s="40" t="str">
        <f aca="false">IF(OR(D$4=0,D19=""),"",IFERROR(ROUND(D19/INDEX(Undirviðmið!$F$6:$F$205,D$4)*INDEX(Undirviðmið!$E$6:$E$205,D$4)*KVARDI,2),""))</f>
        <v/>
      </c>
      <c r="F19" s="23"/>
      <c r="G19" s="40" t="str">
        <f aca="false">IF(OR(F$4=0,F19=""),"",IFERROR(ROUND(F19/INDEX(Undirviðmið!$F$6:$F$205,F$4)*INDEX(Undirviðmið!$E$6:$E$205,F$4)*KVARDI,2),""))</f>
        <v/>
      </c>
      <c r="H19" s="23"/>
      <c r="I19" s="40" t="str">
        <f aca="false">IF(OR(H$4=0,H19=""),"",IFERROR(ROUND(H19/INDEX(Undirviðmið!$F$6:$F$205,H$4)*INDEX(Undirviðmið!$E$6:$E$205,H$4)*KVARDI,2),""))</f>
        <v/>
      </c>
      <c r="J19" s="23"/>
      <c r="K19" s="40" t="str">
        <f aca="false">IF(OR(J$4=0,J19=""),"",IFERROR(ROUND(J19/INDEX(Undirviðmið!$F$6:$F$205,J$4)*INDEX(Undirviðmið!$E$6:$E$205,J$4)*KVARDI,2),""))</f>
        <v/>
      </c>
      <c r="L19" s="23"/>
      <c r="M19" s="40" t="str">
        <f aca="false">IF(OR(L$4=0,L19=""),"",IFERROR(ROUND(L19/INDEX(Undirviðmið!$F$6:$F$205,L$4)*INDEX(Undirviðmið!$E$6:$E$205,L$4)*KVARDI,2),""))</f>
        <v/>
      </c>
      <c r="N19" s="23"/>
      <c r="O19" s="40" t="str">
        <f aca="false">IF(OR(N$4=0,N19=""),"",IFERROR(ROUND(N19/INDEX(Undirviðmið!$F$6:$F$205,N$4)*INDEX(Undirviðmið!$E$6:$E$205,N$4)*KVARDI,2),""))</f>
        <v/>
      </c>
      <c r="P19" s="23"/>
      <c r="Q19" s="40" t="str">
        <f aca="false">IF(OR(P$4=0,P19=""),"",IFERROR(ROUND(P19/INDEX(Undirviðmið!$F$6:$F$205,P$4)*INDEX(Undirviðmið!$E$6:$E$205,P$4)*KVARDI,2),""))</f>
        <v/>
      </c>
      <c r="R19" s="23"/>
      <c r="S19" s="40" t="str">
        <f aca="false">IF(OR(R$4=0,R19=""),"",IFERROR(ROUND(R19/INDEX(Undirviðmið!$F$6:$F$205,R$4)*INDEX(Undirviðmið!$E$6:$E$205,R$4)*KVARDI,2),""))</f>
        <v/>
      </c>
      <c r="T19" s="23"/>
      <c r="U19" s="40" t="str">
        <f aca="false">IF(OR(T$4=0,T19=""),"",IFERROR(ROUND(T19/INDEX(Undirviðmið!$F$6:$F$205,T$4)*INDEX(Undirviðmið!$E$6:$E$205,T$4)*KVARDI,2),""))</f>
        <v/>
      </c>
      <c r="V19" s="23"/>
      <c r="W19" s="40" t="str">
        <f aca="false">IF(OR(V$4=0,V19=""),"",IFERROR(ROUND(V19/INDEX(Undirviðmið!$F$6:$F$205,V$4)*INDEX(Undirviðmið!$E$6:$E$205,V$4)*KVARDI,2),""))</f>
        <v/>
      </c>
      <c r="X19" s="23"/>
      <c r="Y19" s="40" t="str">
        <f aca="false">IF(OR(X$4=0,X19=""),"",IFERROR(ROUND(X19/INDEX(Undirviðmið!$F$6:$F$205,X$4)*INDEX(Undirviðmið!$E$6:$E$205,X$4)*KVARDI,2),""))</f>
        <v/>
      </c>
      <c r="Z19" s="23"/>
      <c r="AA19" s="40" t="str">
        <f aca="false">IF(OR(Z$4=0,Z19=""),"",IFERROR(ROUND(Z19/INDEX(Undirviðmið!$F$6:$F$205,Z$4)*INDEX(Undirviðmið!$E$6:$E$205,Z$4)*KVARDI,2),""))</f>
        <v/>
      </c>
      <c r="AB19" s="23"/>
      <c r="AC19" s="40" t="str">
        <f aca="false">IF(OR(AB$4=0,AB19=""),"",IFERROR(ROUND(AB19/INDEX(Undirviðmið!$F$6:$F$205,AB$4)*INDEX(Undirviðmið!$E$6:$E$205,AB$4)*KVARDI,2),""))</f>
        <v/>
      </c>
      <c r="AD19" s="23"/>
      <c r="AE19" s="40" t="str">
        <f aca="false">IF(OR(AD$4=0,AD19=""),"",IFERROR(ROUND(AD19/INDEX(Undirviðmið!$F$6:$F$205,AD$4)*INDEX(Undirviðmið!$E$6:$E$205,AD$4)*KVARDI,2),""))</f>
        <v/>
      </c>
      <c r="AF19" s="23"/>
      <c r="AG19" s="40" t="str">
        <f aca="false">IF(OR(AF$4=0,AF19=""),"",IFERROR(ROUND(AF19/INDEX(Undirviðmið!$F$6:$F$205,AF$4)*INDEX(Undirviðmið!$E$6:$E$205,AF$4)*KVARDI,2),""))</f>
        <v/>
      </c>
      <c r="AH19" s="23"/>
      <c r="AI19" s="40" t="str">
        <f aca="false">IF(OR(AH$4=0,AH19=""),"",IFERROR(ROUND(AH19/INDEX(Undirviðmið!$F$6:$F$205,AH$4)*INDEX(Undirviðmið!$E$6:$E$205,AH$4)*KVARDI,2),""))</f>
        <v/>
      </c>
      <c r="AJ19" s="23"/>
      <c r="AK19" s="40" t="str">
        <f aca="false">IF(OR(AJ$4=0,AJ19=""),"",IFERROR(ROUND(AJ19/INDEX(Undirviðmið!$F$6:$F$205,AJ$4)*INDEX(Undirviðmið!$E$6:$E$205,AJ$4)*KVARDI,2),""))</f>
        <v/>
      </c>
      <c r="AL19" s="23"/>
      <c r="AM19" s="40" t="str">
        <f aca="false">IF(OR(AL$4=0,AL19=""),"",IFERROR(ROUND(AL19/INDEX(Undirviðmið!$F$6:$F$205,AL$4)*INDEX(Undirviðmið!$E$6:$E$205,AL$4)*KVARDI,2),""))</f>
        <v/>
      </c>
      <c r="AN19" s="23"/>
      <c r="AO19" s="40" t="str">
        <f aca="false">IF(OR(AN$4=0,AN19=""),"",IFERROR(ROUND(AN19/INDEX(Undirviðmið!$F$6:$F$205,AN$4)*INDEX(Undirviðmið!$E$6:$E$205,AN$4)*KVARDI,2),""))</f>
        <v/>
      </c>
      <c r="AP19" s="23"/>
      <c r="AQ19" s="40" t="str">
        <f aca="false">IF(OR(AP$4=0,AP19=""),"",IFERROR(ROUND(AP19/INDEX(Undirviðmið!$F$6:$F$205,AP$4)*INDEX(Undirviðmið!$E$6:$E$205,AP$4)*KVARDI,2),""))</f>
        <v/>
      </c>
      <c r="AR19" s="23"/>
      <c r="AS19" s="40" t="str">
        <f aca="false">IF(OR(AR$4=0,AR19=""),"",IFERROR(ROUND(AR19/INDEX(Undirviðmið!$F$6:$F$205,AR$4)*INDEX(Undirviðmið!$E$6:$E$205,AR$4)*KVARDI,2),""))</f>
        <v/>
      </c>
      <c r="AT19" s="23"/>
      <c r="AU19" s="40" t="str">
        <f aca="false">IF(OR(AT$4=0,AT19=""),"",IFERROR(ROUND(AT19/INDEX(Undirviðmið!$F$6:$F$205,AT$4)*INDEX(Undirviðmið!$E$6:$E$205,AT$4)*KVARDI,2),""))</f>
        <v/>
      </c>
      <c r="AV19" s="23"/>
      <c r="AW19" s="40" t="str">
        <f aca="false">IF(OR(AV$4=0,AV19=""),"",IFERROR(ROUND(AV19/INDEX(Undirviðmið!$F$6:$F$205,AV$4)*INDEX(Undirviðmið!$E$6:$E$205,AV$4)*KVARDI,2),""))</f>
        <v/>
      </c>
      <c r="AX19" s="23"/>
      <c r="AY19" s="40" t="str">
        <f aca="false">IF(OR(AX$4=0,AX19=""),"",IFERROR(ROUND(AX19/INDEX(Undirviðmið!$F$6:$F$205,AX$4)*INDEX(Undirviðmið!$E$6:$E$205,AX$4)*KVARDI,2),""))</f>
        <v/>
      </c>
      <c r="AZ19" s="23"/>
      <c r="BA19" s="40" t="str">
        <f aca="false">IF(OR(AZ$4=0,AZ19=""),"",IFERROR(ROUND(AZ19/INDEX(Undirviðmið!$F$6:$F$205,AZ$4)*INDEX(Undirviðmið!$E$6:$E$205,AZ$4)*KVARDI,2),""))</f>
        <v/>
      </c>
      <c r="BB19" s="23"/>
      <c r="BC19" s="40" t="str">
        <f aca="false">IF(OR(BB$4=0,BB19=""),"",IFERROR(ROUND(BB19/INDEX(Undirviðmið!$F$6:$F$205,BB$4)*INDEX(Undirviðmið!$E$6:$E$205,BB$4)*KVARDI,2),""))</f>
        <v/>
      </c>
      <c r="BD19" s="23"/>
      <c r="BE19" s="40" t="str">
        <f aca="false">IF(OR(BD$4=0,BD19=""),"",IFERROR(ROUND(BD19/INDEX(Undirviðmið!$F$6:$F$205,BD$4)*INDEX(Undirviðmið!$E$6:$E$205,BD$4)*KVARDI,2),""))</f>
        <v/>
      </c>
      <c r="BF19" s="23"/>
      <c r="BG19" s="40" t="str">
        <f aca="false">IF(OR(BF$4=0,BF19=""),"",IFERROR(ROUND(BF19/INDEX(Undirviðmið!$F$6:$F$205,BF$4)*INDEX(Undirviðmið!$E$6:$E$205,BF$4)*KVARDI,2),""))</f>
        <v/>
      </c>
      <c r="BH19" s="23"/>
      <c r="BI19" s="40" t="str">
        <f aca="false">IF(OR(BH$4=0,BH19=""),"",IFERROR(ROUND(BH19/INDEX(Undirviðmið!$F$6:$F$205,BH$4)*INDEX(Undirviðmið!$E$6:$E$205,BH$4)*KVARDI,2),""))</f>
        <v/>
      </c>
      <c r="BJ19" s="23"/>
      <c r="BK19" s="40" t="str">
        <f aca="false">IF(OR(BJ$4=0,BJ19=""),"",IFERROR(ROUND(BJ19/INDEX(Undirviðmið!$F$6:$F$205,BJ$4)*INDEX(Undirviðmið!$E$6:$E$205,BJ$4)*KVARDI,2),""))</f>
        <v/>
      </c>
      <c r="BL19" s="23"/>
      <c r="BM19" s="40" t="str">
        <f aca="false">IF(OR(BL$4=0,BL19=""),"",IFERROR(ROUND(BL19/INDEX(Undirviðmið!$F$6:$F$205,BL$4)*INDEX(Undirviðmið!$E$6:$E$205,BL$4)*KVARDI,2),""))</f>
        <v/>
      </c>
      <c r="BN19" s="23"/>
      <c r="BO19" s="40" t="str">
        <f aca="false">IF(OR(BN$4=0,BN19=""),"",IFERROR(ROUND(BN19/INDEX(Undirviðmið!$F$6:$F$205,BN$4)*INDEX(Undirviðmið!$E$6:$E$205,BN$4)*KVARDI,2),""))</f>
        <v/>
      </c>
      <c r="BP19" s="23"/>
      <c r="BQ19" s="40" t="str">
        <f aca="false">IF(OR(BP$4=0,BP19=""),"",IFERROR(ROUND(BP19/INDEX(Undirviðmið!$F$6:$F$205,BP$4)*INDEX(Undirviðmið!$E$6:$E$205,BP$4)*KVARDI,2),""))</f>
        <v/>
      </c>
      <c r="BR19" s="23"/>
      <c r="BS19" s="40" t="str">
        <f aca="false">IF(OR(BR$4=0,BR19=""),"",IFERROR(ROUND(BR19/INDEX(Undirviðmið!$F$6:$F$205,BR$4)*INDEX(Undirviðmið!$E$6:$E$205,BR$4)*KVARDI,2),""))</f>
        <v/>
      </c>
      <c r="BT19" s="23"/>
      <c r="BU19" s="40" t="str">
        <f aca="false">IF(OR(BT$4=0,BT19=""),"",IFERROR(ROUND(BT19/INDEX(Undirviðmið!$F$6:$F$205,BT$4)*INDEX(Undirviðmið!$E$6:$E$205,BT$4)*KVARDI,2),""))</f>
        <v/>
      </c>
      <c r="BV19" s="23"/>
      <c r="BW19" s="40" t="str">
        <f aca="false">IF(OR(BV$4=0,BV19=""),"",IFERROR(ROUND(BV19/INDEX(Undirviðmið!$F$6:$F$205,BV$4)*INDEX(Undirviðmið!$E$6:$E$205,BV$4)*KVARDI,2),""))</f>
        <v/>
      </c>
      <c r="BX19" s="23"/>
      <c r="BY19" s="40" t="str">
        <f aca="false">IF(OR(BX$4=0,BX19=""),"",IFERROR(ROUND(BX19/INDEX(Undirviðmið!$F$6:$F$205,BX$4)*INDEX(Undirviðmið!$E$6:$E$205,BX$4)*KVARDI,2),""))</f>
        <v/>
      </c>
      <c r="BZ19" s="23"/>
      <c r="CA19" s="40" t="str">
        <f aca="false">IF(OR(BZ$4=0,BZ19=""),"",IFERROR(ROUND(BZ19/INDEX(Undirviðmið!$F$6:$F$205,BZ$4)*INDEX(Undirviðmið!$E$6:$E$205,BZ$4)*KVARDI,2),""))</f>
        <v/>
      </c>
      <c r="CB19" s="23"/>
      <c r="CC19" s="40" t="str">
        <f aca="false">IF(OR(CB$4=0,CB19=""),"",IFERROR(ROUND(CB19/INDEX(Undirviðmið!$F$6:$F$205,CB$4)*INDEX(Undirviðmið!$E$6:$E$205,CB$4)*KVARDI,2),""))</f>
        <v/>
      </c>
      <c r="CD19" s="23"/>
      <c r="CE19" s="40" t="str">
        <f aca="false">IF(OR(CD$4=0,CD19=""),"",IFERROR(ROUND(CD19/INDEX(Undirviðmið!$F$6:$F$205,CD$4)*INDEX(Undirviðmið!$E$6:$E$205,CD$4)*KVARDI,2),""))</f>
        <v/>
      </c>
      <c r="CF19" s="23"/>
      <c r="CG19" s="40" t="str">
        <f aca="false">IF(OR(CF$4=0,CF19=""),"",IFERROR(ROUND(CF19/INDEX(Undirviðmið!$F$6:$F$205,CF$4)*INDEX(Undirviðmið!$E$6:$E$205,CF$4)*KVARDI,2),""))</f>
        <v/>
      </c>
      <c r="CH19" s="23"/>
      <c r="CI19" s="40" t="str">
        <f aca="false">IF(OR(CH$4=0,CH19=""),"",IFERROR(ROUND(CH19/INDEX(Undirviðmið!$F$6:$F$205,CH$4)*INDEX(Undirviðmið!$E$6:$E$205,CH$4)*KVARDI,2),""))</f>
        <v/>
      </c>
      <c r="CJ19" s="23"/>
      <c r="CK19" s="40" t="str">
        <f aca="false">IF(OR(CJ$4=0,CJ19=""),"",IFERROR(ROUND(CJ19/INDEX(Undirviðmið!$F$6:$F$205,CJ$4)*INDEX(Undirviðmið!$E$6:$E$205,CJ$4)*KVARDI,2),""))</f>
        <v/>
      </c>
      <c r="CL19" s="23"/>
      <c r="CM19" s="40" t="str">
        <f aca="false">IF(OR(CL$4=0,CL19=""),"",IFERROR(ROUND(CL19/INDEX(Undirviðmið!$F$6:$F$205,CL$4)*INDEX(Undirviðmið!$E$6:$E$205,CL$4)*KVARDI,2),""))</f>
        <v/>
      </c>
      <c r="CN19" s="23"/>
      <c r="CO19" s="40" t="str">
        <f aca="false">IF(OR(CN$4=0,CN19=""),"",IFERROR(ROUND(CN19/INDEX(Undirviðmið!$F$6:$F$205,CN$4)*INDEX(Undirviðmið!$E$6:$E$205,CN$4)*KVARDI,2),""))</f>
        <v/>
      </c>
      <c r="CP19" s="23"/>
      <c r="CQ19" s="40" t="str">
        <f aca="false">IF(OR(CP$4=0,CP19=""),"",IFERROR(ROUND(CP19/INDEX(Undirviðmið!$F$6:$F$205,CP$4)*INDEX(Undirviðmið!$E$6:$E$205,CP$4)*KVARDI,2),""))</f>
        <v/>
      </c>
      <c r="CR19" s="23"/>
      <c r="CS19" s="40" t="str">
        <f aca="false">IF(OR(CR$4=0,CR19=""),"",IFERROR(ROUND(CR19/INDEX(Undirviðmið!$F$6:$F$205,CR$4)*INDEX(Undirviðmið!$E$6:$E$205,CR$4)*KVARDI,2),""))</f>
        <v/>
      </c>
      <c r="CT19" s="23"/>
      <c r="CU19" s="40" t="str">
        <f aca="false">IF(OR(CT$4=0,CT19=""),"",IFERROR(ROUND(CT19/INDEX(Undirviðmið!$F$6:$F$205,CT$4)*INDEX(Undirviðmið!$E$6:$E$205,CT$4)*KVARDI,2),""))</f>
        <v/>
      </c>
      <c r="CV19" s="23"/>
      <c r="CW19" s="40" t="str">
        <f aca="false">IF(OR(CV$4=0,CV19=""),"",IFERROR(ROUND(CV19/INDEX(Undirviðmið!$F$6:$F$205,CV$4)*INDEX(Undirviðmið!$E$6:$E$205,CV$4)*KVARDI,2),""))</f>
        <v/>
      </c>
      <c r="CX19" s="23"/>
      <c r="CY19" s="40" t="str">
        <f aca="false">IF(OR(CX$4=0,CX19=""),"",IFERROR(ROUND(CX19/INDEX(Undirviðmið!$F$6:$F$205,CX$4)*INDEX(Undirviðmið!$E$6:$E$205,CX$4)*KVARDI,2),""))</f>
        <v/>
      </c>
      <c r="CZ19" s="23"/>
      <c r="DA19" s="40" t="str">
        <f aca="false">IF(OR(CZ$4=0,CZ19=""),"",IFERROR(ROUND(CZ19/INDEX(Undirviðmið!$F$6:$F$205,CZ$4)*INDEX(Undirviðmið!$E$6:$E$205,CZ$4)*KVARDI,2),""))</f>
        <v/>
      </c>
      <c r="DB19" s="23"/>
      <c r="DC19" s="40" t="str">
        <f aca="false">IF(OR(DB$4=0,DB19=""),"",IFERROR(ROUND(DB19/INDEX(Undirviðmið!$F$6:$F$205,DB$4)*INDEX(Undirviðmið!$E$6:$E$205,DB$4)*KVARDI,2),""))</f>
        <v/>
      </c>
      <c r="DD19" s="23"/>
      <c r="DE19" s="40" t="str">
        <f aca="false">IF(OR(DD$4=0,DD19=""),"",IFERROR(ROUND(DD19/INDEX(Undirviðmið!$F$6:$F$205,DD$4)*INDEX(Undirviðmið!$E$6:$E$205,DD$4)*KVARDI,2),""))</f>
        <v/>
      </c>
      <c r="DF19" s="23"/>
      <c r="DG19" s="40" t="str">
        <f aca="false">IF(OR(DF$4=0,DF19=""),"",IFERROR(ROUND(DF19/INDEX(Undirviðmið!$F$6:$F$205,DF$4)*INDEX(Undirviðmið!$E$6:$E$205,DF$4)*KVARDI,2),""))</f>
        <v/>
      </c>
      <c r="DH19" s="23"/>
      <c r="DI19" s="40" t="str">
        <f aca="false">IF(OR(DH$4=0,DH19=""),"",IFERROR(ROUND(DH19/INDEX(Undirviðmið!$F$6:$F$205,DH$4)*INDEX(Undirviðmið!$E$6:$E$205,DH$4)*KVARDI,2),""))</f>
        <v/>
      </c>
      <c r="DJ19" s="23"/>
      <c r="DK19" s="40" t="str">
        <f aca="false">IF(OR(DJ$4=0,DJ19=""),"",IFERROR(ROUND(DJ19/INDEX(Undirviðmið!$F$6:$F$205,DJ$4)*INDEX(Undirviðmið!$E$6:$E$205,DJ$4)*KVARDI,2),""))</f>
        <v/>
      </c>
      <c r="DL19" s="23"/>
      <c r="DM19" s="40" t="str">
        <f aca="false">IF(OR(DL$4=0,DL19=""),"",IFERROR(ROUND(DL19/INDEX(Undirviðmið!$F$6:$F$205,DL$4)*INDEX(Undirviðmið!$E$6:$E$205,DL$4)*KVARDI,2),""))</f>
        <v/>
      </c>
      <c r="DN19" s="23"/>
      <c r="DO19" s="40" t="str">
        <f aca="false">IF(OR(DN$4=0,DN19=""),"",IFERROR(ROUND(DN19/INDEX(Undirviðmið!$F$6:$F$205,DN$4)*INDEX(Undirviðmið!$E$6:$E$205,DN$4)*KVARDI,2),""))</f>
        <v/>
      </c>
      <c r="DP19" s="23"/>
      <c r="DQ19" s="40" t="str">
        <f aca="false">IF(OR(DP$4=0,DP19=""),"",IFERROR(ROUND(DP19/INDEX(Undirviðmið!$F$6:$F$205,DP$4)*INDEX(Undirviðmið!$E$6:$E$205,DP$4)*KVARDI,2),""))</f>
        <v/>
      </c>
      <c r="DR19" s="23"/>
      <c r="DS19" s="40" t="str">
        <f aca="false">IF(OR(DR$4=0,DR19=""),"",IFERROR(ROUND(DR19/INDEX(Undirviðmið!$F$6:$F$205,DR$4)*INDEX(Undirviðmið!$E$6:$E$205,DR$4)*KVARDI,2),""))</f>
        <v/>
      </c>
      <c r="DT19" s="23"/>
      <c r="DU19" s="40" t="str">
        <f aca="false">IF(OR(DT$4=0,DT19=""),"",IFERROR(ROUND(DT19/INDEX(Undirviðmið!$F$6:$F$205,DT$4)*INDEX(Undirviðmið!$E$6:$E$205,DT$4)*KVARDI,2),""))</f>
        <v/>
      </c>
      <c r="DV19" s="23"/>
      <c r="DW19" s="40" t="str">
        <f aca="false">IF(OR(DV$4=0,DV19=""),"",IFERROR(ROUND(DV19/INDEX(Undirviðmið!$F$6:$F$205,DV$4)*INDEX(Undirviðmið!$E$6:$E$205,DV$4)*KVARDI,2),""))</f>
        <v/>
      </c>
      <c r="DX19" s="23"/>
      <c r="DY19" s="40" t="str">
        <f aca="false">IF(OR(DX$4=0,DX19=""),"",IFERROR(ROUND(DX19/INDEX(Undirviðmið!$F$6:$F$205,DX$4)*INDEX(Undirviðmið!$E$6:$E$205,DX$4)*KVARDI,2),""))</f>
        <v/>
      </c>
      <c r="DZ19" s="23"/>
      <c r="EA19" s="40" t="str">
        <f aca="false">IF(OR(DZ$4=0,DZ19=""),"",IFERROR(ROUND(DZ19/INDEX(Undirviðmið!$F$6:$F$205,DZ$4)*INDEX(Undirviðmið!$E$6:$E$205,DZ$4)*KVARDI,2),""))</f>
        <v/>
      </c>
      <c r="EB19" s="23"/>
      <c r="EC19" s="40" t="str">
        <f aca="false">IF(OR(EB$4=0,EB19=""),"",IFERROR(ROUND(EB19/INDEX(Undirviðmið!$F$6:$F$205,EB$4)*INDEX(Undirviðmið!$E$6:$E$205,EB$4)*KVARDI,2),""))</f>
        <v/>
      </c>
      <c r="ED19" s="23"/>
      <c r="EE19" s="40" t="str">
        <f aca="false">IF(OR(ED$4=0,ED19=""),"",IFERROR(ROUND(ED19/INDEX(Undirviðmið!$F$6:$F$205,ED$4)*INDEX(Undirviðmið!$E$6:$E$205,ED$4)*KVARDI,2),""))</f>
        <v/>
      </c>
      <c r="EF19" s="23"/>
      <c r="EG19" s="40" t="str">
        <f aca="false">IF(OR(EF$4=0,EF19=""),"",IFERROR(ROUND(EF19/INDEX(Undirviðmið!$F$6:$F$205,EF$4)*INDEX(Undirviðmið!$E$6:$E$205,EF$4)*KVARDI,2),""))</f>
        <v/>
      </c>
      <c r="EH19" s="23"/>
      <c r="EI19" s="40" t="str">
        <f aca="false">IF(OR(EH$4=0,EH19=""),"",IFERROR(ROUND(EH19/INDEX(Undirviðmið!$F$6:$F$205,EH$4)*INDEX(Undirviðmið!$E$6:$E$205,EH$4)*KVARDI,2),""))</f>
        <v/>
      </c>
      <c r="EJ19" s="23"/>
      <c r="EK19" s="40" t="str">
        <f aca="false">IF(OR(EJ$4=0,EJ19=""),"",IFERROR(ROUND(EJ19/INDEX(Undirviðmið!$F$6:$F$205,EJ$4)*INDEX(Undirviðmið!$E$6:$E$205,EJ$4)*KVARDI,2),""))</f>
        <v/>
      </c>
      <c r="EL19" s="23"/>
      <c r="EM19" s="40" t="str">
        <f aca="false">IF(OR(EL$4=0,EL19=""),"",IFERROR(ROUND(EL19/INDEX(Undirviðmið!$F$6:$F$205,EL$4)*INDEX(Undirviðmið!$E$6:$E$205,EL$4)*KVARDI,2),""))</f>
        <v/>
      </c>
      <c r="EN19" s="23"/>
      <c r="EO19" s="40" t="str">
        <f aca="false">IF(OR(EN$4=0,EN19=""),"",IFERROR(ROUND(EN19/INDEX(Undirviðmið!$F$6:$F$205,EN$4)*INDEX(Undirviðmið!$E$6:$E$205,EN$4)*KVARDI,2),""))</f>
        <v/>
      </c>
      <c r="EP19" s="23"/>
      <c r="EQ19" s="40" t="str">
        <f aca="false">IF(OR(EP$4=0,EP19=""),"",IFERROR(ROUND(EP19/INDEX(Undirviðmið!$F$6:$F$205,EP$4)*INDEX(Undirviðmið!$E$6:$E$205,EP$4)*KVARDI,2),""))</f>
        <v/>
      </c>
      <c r="ER19" s="23"/>
      <c r="ES19" s="40" t="str">
        <f aca="false">IF(OR(ER$4=0,ER19=""),"",IFERROR(ROUND(ER19/INDEX(Undirviðmið!$F$6:$F$205,ER$4)*INDEX(Undirviðmið!$E$6:$E$205,ER$4)*KVARDI,2),""))</f>
        <v/>
      </c>
      <c r="ET19" s="23"/>
      <c r="EU19" s="40" t="str">
        <f aca="false">IF(OR(ET$4=0,ET19=""),"",IFERROR(ROUND(ET19/INDEX(Undirviðmið!$F$6:$F$205,ET$4)*INDEX(Undirviðmið!$E$6:$E$205,ET$4)*KVARDI,2),""))</f>
        <v/>
      </c>
      <c r="EV19" s="23"/>
      <c r="EW19" s="40" t="str">
        <f aca="false">IF(OR(EV$4=0,EV19=""),"",IFERROR(ROUND(EV19/INDEX(Undirviðmið!$F$6:$F$205,EV$4)*INDEX(Undirviðmið!$E$6:$E$205,EV$4)*KVARDI,2),""))</f>
        <v/>
      </c>
      <c r="EX19" s="23"/>
      <c r="EY19" s="40" t="str">
        <f aca="false">IF(OR(EX$4=0,EX19=""),"",IFERROR(ROUND(EX19/INDEX(Undirviðmið!$F$6:$F$205,EX$4)*INDEX(Undirviðmið!$E$6:$E$205,EX$4)*KVARDI,2),""))</f>
        <v/>
      </c>
      <c r="EZ19" s="23"/>
      <c r="FA19" s="40" t="str">
        <f aca="false">IF(OR(EZ$4=0,EZ19=""),"",IFERROR(ROUND(EZ19/INDEX(Undirviðmið!$F$6:$F$205,EZ$4)*INDEX(Undirviðmið!$E$6:$E$205,EZ$4)*KVARDI,2),""))</f>
        <v/>
      </c>
      <c r="FB19" s="23"/>
      <c r="FC19" s="40" t="str">
        <f aca="false">IF(OR(FB$4=0,FB19=""),"",IFERROR(ROUND(FB19/INDEX(Undirviðmið!$F$6:$F$205,FB$4)*INDEX(Undirviðmið!$E$6:$E$205,FB$4)*KVARDI,2),""))</f>
        <v/>
      </c>
      <c r="FD19" s="23"/>
      <c r="FE19" s="40" t="str">
        <f aca="false">IF(OR(FD$4=0,FD19=""),"",IFERROR(ROUND(FD19/INDEX(Undirviðmið!$F$6:$F$205,FD$4)*INDEX(Undirviðmið!$E$6:$E$205,FD$4)*KVARDI,2),""))</f>
        <v/>
      </c>
      <c r="FF19" s="23"/>
      <c r="FG19" s="40" t="str">
        <f aca="false">IF(OR(FF$4=0,FF19=""),"",IFERROR(ROUND(FF19/INDEX(Undirviðmið!$F$6:$F$205,FF$4)*INDEX(Undirviðmið!$E$6:$E$205,FF$4)*KVARDI,2),""))</f>
        <v/>
      </c>
      <c r="FH19" s="23"/>
      <c r="FI19" s="40" t="str">
        <f aca="false">IF(OR(FH$4=0,FH19=""),"",IFERROR(ROUND(FH19/INDEX(Undirviðmið!$F$6:$F$205,FH$4)*INDEX(Undirviðmið!$E$6:$E$205,FH$4)*KVARDI,2),""))</f>
        <v/>
      </c>
      <c r="FJ19" s="23"/>
      <c r="FK19" s="40" t="str">
        <f aca="false">IF(OR(FJ$4=0,FJ19=""),"",IFERROR(ROUND(FJ19/INDEX(Undirviðmið!$F$6:$F$205,FJ$4)*INDEX(Undirviðmið!$E$6:$E$205,FJ$4)*KVARDI,2),""))</f>
        <v/>
      </c>
      <c r="FL19" s="23"/>
      <c r="FM19" s="40" t="str">
        <f aca="false">IF(OR(FL$4=0,FL19=""),"",IFERROR(ROUND(FL19/INDEX(Undirviðmið!$F$6:$F$205,FL$4)*INDEX(Undirviðmið!$E$6:$E$205,FL$4)*KVARDI,2),""))</f>
        <v/>
      </c>
      <c r="FN19" s="23"/>
      <c r="FO19" s="40" t="str">
        <f aca="false">IF(OR(FN$4=0,FN19=""),"",IFERROR(ROUND(FN19/INDEX(Undirviðmið!$F$6:$F$205,FN$4)*INDEX(Undirviðmið!$E$6:$E$205,FN$4)*KVARDI,2),""))</f>
        <v/>
      </c>
      <c r="FP19" s="23"/>
      <c r="FQ19" s="40" t="str">
        <f aca="false">IF(OR(FP$4=0,FP19=""),"",IFERROR(ROUND(FP19/INDEX(Undirviðmið!$F$6:$F$205,FP$4)*INDEX(Undirviðmið!$E$6:$E$205,FP$4)*KVARDI,2),""))</f>
        <v/>
      </c>
      <c r="FR19" s="23"/>
      <c r="FS19" s="40" t="str">
        <f aca="false">IF(OR(FR$4=0,FR19=""),"",IFERROR(ROUND(FR19/INDEX(Undirviðmið!$F$6:$F$205,FR$4)*INDEX(Undirviðmið!$E$6:$E$205,FR$4)*KVARDI,2),""))</f>
        <v/>
      </c>
      <c r="FT19" s="23"/>
      <c r="FU19" s="40" t="str">
        <f aca="false">IF(OR(FT$4=0,FT19=""),"",IFERROR(ROUND(FT19/INDEX(Undirviðmið!$F$6:$F$205,FT$4)*INDEX(Undirviðmið!$E$6:$E$205,FT$4)*KVARDI,2),""))</f>
        <v/>
      </c>
      <c r="FV19" s="23"/>
      <c r="FW19" s="40" t="str">
        <f aca="false">IF(OR(FV$4=0,FV19=""),"",IFERROR(ROUND(FV19/INDEX(Undirviðmið!$F$6:$F$205,FV$4)*INDEX(Undirviðmið!$E$6:$E$205,FV$4)*KVARDI,2),""))</f>
        <v/>
      </c>
      <c r="FX19" s="23"/>
      <c r="FY19" s="40" t="str">
        <f aca="false">IF(OR(FX$4=0,FX19=""),"",IFERROR(ROUND(FX19/INDEX(Undirviðmið!$F$6:$F$205,FX$4)*INDEX(Undirviðmið!$E$6:$E$205,FX$4)*KVARDI,2),""))</f>
        <v/>
      </c>
      <c r="FZ19" s="23"/>
      <c r="GA19" s="40" t="str">
        <f aca="false">IF(OR(FZ$4=0,FZ19=""),"",IFERROR(ROUND(FZ19/INDEX(Undirviðmið!$F$6:$F$205,FZ$4)*INDEX(Undirviðmið!$E$6:$E$205,FZ$4)*KVARDI,2),""))</f>
        <v/>
      </c>
      <c r="GB19" s="23"/>
      <c r="GC19" s="40" t="str">
        <f aca="false">IF(OR(GB$4=0,GB19=""),"",IFERROR(ROUND(GB19/INDEX(Undirviðmið!$F$6:$F$205,GB$4)*INDEX(Undirviðmið!$E$6:$E$205,GB$4)*KVARDI,2),""))</f>
        <v/>
      </c>
      <c r="GD19" s="23"/>
      <c r="GE19" s="40" t="str">
        <f aca="false">IF(OR(GD$4=0,GD19=""),"",IFERROR(ROUND(GD19/INDEX(Undirviðmið!$F$6:$F$205,GD$4)*INDEX(Undirviðmið!$E$6:$E$205,GD$4)*KVARDI,2),""))</f>
        <v/>
      </c>
      <c r="GF19" s="23"/>
      <c r="GG19" s="40" t="str">
        <f aca="false">IF(OR(GF$4=0,GF19=""),"",IFERROR(ROUND(GF19/INDEX(Undirviðmið!$F$6:$F$205,GF$4)*INDEX(Undirviðmið!$E$6:$E$205,GF$4)*KVARDI,2),""))</f>
        <v/>
      </c>
      <c r="GH19" s="23"/>
      <c r="GI19" s="40" t="str">
        <f aca="false">IF(OR(GH$4=0,GH19=""),"",IFERROR(ROUND(GH19/INDEX(Undirviðmið!$F$6:$F$205,GH$4)*INDEX(Undirviðmið!$E$6:$E$205,GH$4)*KVARDI,2),""))</f>
        <v/>
      </c>
      <c r="GJ19" s="23"/>
      <c r="GK19" s="40" t="str">
        <f aca="false">IF(OR(GJ$4=0,GJ19=""),"",IFERROR(ROUND(GJ19/INDEX(Undirviðmið!$F$6:$F$205,GJ$4)*INDEX(Undirviðmið!$E$6:$E$205,GJ$4)*KVARDI,2),""))</f>
        <v/>
      </c>
      <c r="GL19" s="23"/>
      <c r="GM19" s="40" t="str">
        <f aca="false">IF(OR(GL$4=0,GL19=""),"",IFERROR(ROUND(GL19/INDEX(Undirviðmið!$F$6:$F$205,GL$4)*INDEX(Undirviðmið!$E$6:$E$205,GL$4)*KVARDI,2),""))</f>
        <v/>
      </c>
      <c r="GN19" s="23"/>
      <c r="GO19" s="40" t="str">
        <f aca="false">IF(OR(GN$4=0,GN19=""),"",IFERROR(ROUND(GN19/INDEX(Undirviðmið!$F$6:$F$205,GN$4)*INDEX(Undirviðmið!$E$6:$E$205,GN$4)*KVARDI,2),""))</f>
        <v/>
      </c>
      <c r="GP19" s="23"/>
      <c r="GQ19" s="40" t="str">
        <f aca="false">IF(OR(GP$4=0,GP19=""),"",IFERROR(ROUND(GP19/INDEX(Undirviðmið!$F$6:$F$205,GP$4)*INDEX(Undirviðmið!$E$6:$E$205,GP$4)*KVARDI,2),""))</f>
        <v/>
      </c>
      <c r="GR19" s="23"/>
      <c r="GS19" s="40" t="str">
        <f aca="false">IF(OR(GR$4=0,GR19=""),"",IFERROR(ROUND(GR19/INDEX(Undirviðmið!$F$6:$F$205,GR$4)*INDEX(Undirviðmið!$E$6:$E$205,GR$4)*KVARDI,2),""))</f>
        <v/>
      </c>
      <c r="GT19" s="23"/>
      <c r="GU19" s="40" t="str">
        <f aca="false">IF(OR(GT$4=0,GT19=""),"",IFERROR(ROUND(GT19/INDEX(Undirviðmið!$F$6:$F$205,GT$4)*INDEX(Undirviðmið!$E$6:$E$205,GT$4)*KVARDI,2),""))</f>
        <v/>
      </c>
      <c r="GV19" s="44" t="n">
        <f aca="false">IFERROR(SUMIF($D$6:GU$6,"Stig",$D19:GU19),0)</f>
        <v>0</v>
      </c>
    </row>
    <row r="20" customFormat="false" ht="15" hidden="false" customHeight="true" outlineLevel="0" collapsed="false">
      <c r="A20" s="22" t="n">
        <f aca="false">ROW()-6</f>
        <v>14</v>
      </c>
      <c r="B20" s="24" t="str">
        <f aca="false">IF(INDEX(Starfsmenn!$B$6:$B$10005,ROW()-6)="","",INDEX(Starfsmenn!$B$6:$B$10005,ROW()-6))</f>
        <v/>
      </c>
      <c r="C20" s="24" t="str">
        <f aca="false">IF(INDEX(Starfsmenn!$C$6:$C$10005,ROW()-6)="","",INDEX(Starfsmenn!$C$6:$C$10005,ROW()-6))</f>
        <v/>
      </c>
      <c r="D20" s="23"/>
      <c r="E20" s="40" t="str">
        <f aca="false">IF(OR(D$4=0,D20=""),"",IFERROR(ROUND(D20/INDEX(Undirviðmið!$F$6:$F$205,D$4)*INDEX(Undirviðmið!$E$6:$E$205,D$4)*KVARDI,2),""))</f>
        <v/>
      </c>
      <c r="F20" s="23"/>
      <c r="G20" s="40" t="str">
        <f aca="false">IF(OR(F$4=0,F20=""),"",IFERROR(ROUND(F20/INDEX(Undirviðmið!$F$6:$F$205,F$4)*INDEX(Undirviðmið!$E$6:$E$205,F$4)*KVARDI,2),""))</f>
        <v/>
      </c>
      <c r="H20" s="23"/>
      <c r="I20" s="40" t="str">
        <f aca="false">IF(OR(H$4=0,H20=""),"",IFERROR(ROUND(H20/INDEX(Undirviðmið!$F$6:$F$205,H$4)*INDEX(Undirviðmið!$E$6:$E$205,H$4)*KVARDI,2),""))</f>
        <v/>
      </c>
      <c r="J20" s="23"/>
      <c r="K20" s="40" t="str">
        <f aca="false">IF(OR(J$4=0,J20=""),"",IFERROR(ROUND(J20/INDEX(Undirviðmið!$F$6:$F$205,J$4)*INDEX(Undirviðmið!$E$6:$E$205,J$4)*KVARDI,2),""))</f>
        <v/>
      </c>
      <c r="L20" s="23"/>
      <c r="M20" s="40" t="str">
        <f aca="false">IF(OR(L$4=0,L20=""),"",IFERROR(ROUND(L20/INDEX(Undirviðmið!$F$6:$F$205,L$4)*INDEX(Undirviðmið!$E$6:$E$205,L$4)*KVARDI,2),""))</f>
        <v/>
      </c>
      <c r="N20" s="23"/>
      <c r="O20" s="40" t="str">
        <f aca="false">IF(OR(N$4=0,N20=""),"",IFERROR(ROUND(N20/INDEX(Undirviðmið!$F$6:$F$205,N$4)*INDEX(Undirviðmið!$E$6:$E$205,N$4)*KVARDI,2),""))</f>
        <v/>
      </c>
      <c r="P20" s="23"/>
      <c r="Q20" s="40" t="str">
        <f aca="false">IF(OR(P$4=0,P20=""),"",IFERROR(ROUND(P20/INDEX(Undirviðmið!$F$6:$F$205,P$4)*INDEX(Undirviðmið!$E$6:$E$205,P$4)*KVARDI,2),""))</f>
        <v/>
      </c>
      <c r="R20" s="23"/>
      <c r="S20" s="40" t="str">
        <f aca="false">IF(OR(R$4=0,R20=""),"",IFERROR(ROUND(R20/INDEX(Undirviðmið!$F$6:$F$205,R$4)*INDEX(Undirviðmið!$E$6:$E$205,R$4)*KVARDI,2),""))</f>
        <v/>
      </c>
      <c r="T20" s="23"/>
      <c r="U20" s="40" t="str">
        <f aca="false">IF(OR(T$4=0,T20=""),"",IFERROR(ROUND(T20/INDEX(Undirviðmið!$F$6:$F$205,T$4)*INDEX(Undirviðmið!$E$6:$E$205,T$4)*KVARDI,2),""))</f>
        <v/>
      </c>
      <c r="V20" s="23"/>
      <c r="W20" s="40" t="str">
        <f aca="false">IF(OR(V$4=0,V20=""),"",IFERROR(ROUND(V20/INDEX(Undirviðmið!$F$6:$F$205,V$4)*INDEX(Undirviðmið!$E$6:$E$205,V$4)*KVARDI,2),""))</f>
        <v/>
      </c>
      <c r="X20" s="23"/>
      <c r="Y20" s="40" t="str">
        <f aca="false">IF(OR(X$4=0,X20=""),"",IFERROR(ROUND(X20/INDEX(Undirviðmið!$F$6:$F$205,X$4)*INDEX(Undirviðmið!$E$6:$E$205,X$4)*KVARDI,2),""))</f>
        <v/>
      </c>
      <c r="Z20" s="23"/>
      <c r="AA20" s="40" t="str">
        <f aca="false">IF(OR(Z$4=0,Z20=""),"",IFERROR(ROUND(Z20/INDEX(Undirviðmið!$F$6:$F$205,Z$4)*INDEX(Undirviðmið!$E$6:$E$205,Z$4)*KVARDI,2),""))</f>
        <v/>
      </c>
      <c r="AB20" s="23"/>
      <c r="AC20" s="40" t="str">
        <f aca="false">IF(OR(AB$4=0,AB20=""),"",IFERROR(ROUND(AB20/INDEX(Undirviðmið!$F$6:$F$205,AB$4)*INDEX(Undirviðmið!$E$6:$E$205,AB$4)*KVARDI,2),""))</f>
        <v/>
      </c>
      <c r="AD20" s="23"/>
      <c r="AE20" s="40" t="str">
        <f aca="false">IF(OR(AD$4=0,AD20=""),"",IFERROR(ROUND(AD20/INDEX(Undirviðmið!$F$6:$F$205,AD$4)*INDEX(Undirviðmið!$E$6:$E$205,AD$4)*KVARDI,2),""))</f>
        <v/>
      </c>
      <c r="AF20" s="23"/>
      <c r="AG20" s="40" t="str">
        <f aca="false">IF(OR(AF$4=0,AF20=""),"",IFERROR(ROUND(AF20/INDEX(Undirviðmið!$F$6:$F$205,AF$4)*INDEX(Undirviðmið!$E$6:$E$205,AF$4)*KVARDI,2),""))</f>
        <v/>
      </c>
      <c r="AH20" s="23"/>
      <c r="AI20" s="40" t="str">
        <f aca="false">IF(OR(AH$4=0,AH20=""),"",IFERROR(ROUND(AH20/INDEX(Undirviðmið!$F$6:$F$205,AH$4)*INDEX(Undirviðmið!$E$6:$E$205,AH$4)*KVARDI,2),""))</f>
        <v/>
      </c>
      <c r="AJ20" s="23"/>
      <c r="AK20" s="40" t="str">
        <f aca="false">IF(OR(AJ$4=0,AJ20=""),"",IFERROR(ROUND(AJ20/INDEX(Undirviðmið!$F$6:$F$205,AJ$4)*INDEX(Undirviðmið!$E$6:$E$205,AJ$4)*KVARDI,2),""))</f>
        <v/>
      </c>
      <c r="AL20" s="23"/>
      <c r="AM20" s="40" t="str">
        <f aca="false">IF(OR(AL$4=0,AL20=""),"",IFERROR(ROUND(AL20/INDEX(Undirviðmið!$F$6:$F$205,AL$4)*INDEX(Undirviðmið!$E$6:$E$205,AL$4)*KVARDI,2),""))</f>
        <v/>
      </c>
      <c r="AN20" s="23"/>
      <c r="AO20" s="40" t="str">
        <f aca="false">IF(OR(AN$4=0,AN20=""),"",IFERROR(ROUND(AN20/INDEX(Undirviðmið!$F$6:$F$205,AN$4)*INDEX(Undirviðmið!$E$6:$E$205,AN$4)*KVARDI,2),""))</f>
        <v/>
      </c>
      <c r="AP20" s="23"/>
      <c r="AQ20" s="40" t="str">
        <f aca="false">IF(OR(AP$4=0,AP20=""),"",IFERROR(ROUND(AP20/INDEX(Undirviðmið!$F$6:$F$205,AP$4)*INDEX(Undirviðmið!$E$6:$E$205,AP$4)*KVARDI,2),""))</f>
        <v/>
      </c>
      <c r="AR20" s="23"/>
      <c r="AS20" s="40" t="str">
        <f aca="false">IF(OR(AR$4=0,AR20=""),"",IFERROR(ROUND(AR20/INDEX(Undirviðmið!$F$6:$F$205,AR$4)*INDEX(Undirviðmið!$E$6:$E$205,AR$4)*KVARDI,2),""))</f>
        <v/>
      </c>
      <c r="AT20" s="23"/>
      <c r="AU20" s="40" t="str">
        <f aca="false">IF(OR(AT$4=0,AT20=""),"",IFERROR(ROUND(AT20/INDEX(Undirviðmið!$F$6:$F$205,AT$4)*INDEX(Undirviðmið!$E$6:$E$205,AT$4)*KVARDI,2),""))</f>
        <v/>
      </c>
      <c r="AV20" s="23"/>
      <c r="AW20" s="40" t="str">
        <f aca="false">IF(OR(AV$4=0,AV20=""),"",IFERROR(ROUND(AV20/INDEX(Undirviðmið!$F$6:$F$205,AV$4)*INDEX(Undirviðmið!$E$6:$E$205,AV$4)*KVARDI,2),""))</f>
        <v/>
      </c>
      <c r="AX20" s="23"/>
      <c r="AY20" s="40" t="str">
        <f aca="false">IF(OR(AX$4=0,AX20=""),"",IFERROR(ROUND(AX20/INDEX(Undirviðmið!$F$6:$F$205,AX$4)*INDEX(Undirviðmið!$E$6:$E$205,AX$4)*KVARDI,2),""))</f>
        <v/>
      </c>
      <c r="AZ20" s="23"/>
      <c r="BA20" s="40" t="str">
        <f aca="false">IF(OR(AZ$4=0,AZ20=""),"",IFERROR(ROUND(AZ20/INDEX(Undirviðmið!$F$6:$F$205,AZ$4)*INDEX(Undirviðmið!$E$6:$E$205,AZ$4)*KVARDI,2),""))</f>
        <v/>
      </c>
      <c r="BB20" s="23"/>
      <c r="BC20" s="40" t="str">
        <f aca="false">IF(OR(BB$4=0,BB20=""),"",IFERROR(ROUND(BB20/INDEX(Undirviðmið!$F$6:$F$205,BB$4)*INDEX(Undirviðmið!$E$6:$E$205,BB$4)*KVARDI,2),""))</f>
        <v/>
      </c>
      <c r="BD20" s="23"/>
      <c r="BE20" s="40" t="str">
        <f aca="false">IF(OR(BD$4=0,BD20=""),"",IFERROR(ROUND(BD20/INDEX(Undirviðmið!$F$6:$F$205,BD$4)*INDEX(Undirviðmið!$E$6:$E$205,BD$4)*KVARDI,2),""))</f>
        <v/>
      </c>
      <c r="BF20" s="23"/>
      <c r="BG20" s="40" t="str">
        <f aca="false">IF(OR(BF$4=0,BF20=""),"",IFERROR(ROUND(BF20/INDEX(Undirviðmið!$F$6:$F$205,BF$4)*INDEX(Undirviðmið!$E$6:$E$205,BF$4)*KVARDI,2),""))</f>
        <v/>
      </c>
      <c r="BH20" s="23"/>
      <c r="BI20" s="40" t="str">
        <f aca="false">IF(OR(BH$4=0,BH20=""),"",IFERROR(ROUND(BH20/INDEX(Undirviðmið!$F$6:$F$205,BH$4)*INDEX(Undirviðmið!$E$6:$E$205,BH$4)*KVARDI,2),""))</f>
        <v/>
      </c>
      <c r="BJ20" s="23"/>
      <c r="BK20" s="40" t="str">
        <f aca="false">IF(OR(BJ$4=0,BJ20=""),"",IFERROR(ROUND(BJ20/INDEX(Undirviðmið!$F$6:$F$205,BJ$4)*INDEX(Undirviðmið!$E$6:$E$205,BJ$4)*KVARDI,2),""))</f>
        <v/>
      </c>
      <c r="BL20" s="23"/>
      <c r="BM20" s="40" t="str">
        <f aca="false">IF(OR(BL$4=0,BL20=""),"",IFERROR(ROUND(BL20/INDEX(Undirviðmið!$F$6:$F$205,BL$4)*INDEX(Undirviðmið!$E$6:$E$205,BL$4)*KVARDI,2),""))</f>
        <v/>
      </c>
      <c r="BN20" s="23"/>
      <c r="BO20" s="40" t="str">
        <f aca="false">IF(OR(BN$4=0,BN20=""),"",IFERROR(ROUND(BN20/INDEX(Undirviðmið!$F$6:$F$205,BN$4)*INDEX(Undirviðmið!$E$6:$E$205,BN$4)*KVARDI,2),""))</f>
        <v/>
      </c>
      <c r="BP20" s="23"/>
      <c r="BQ20" s="40" t="str">
        <f aca="false">IF(OR(BP$4=0,BP20=""),"",IFERROR(ROUND(BP20/INDEX(Undirviðmið!$F$6:$F$205,BP$4)*INDEX(Undirviðmið!$E$6:$E$205,BP$4)*KVARDI,2),""))</f>
        <v/>
      </c>
      <c r="BR20" s="23"/>
      <c r="BS20" s="40" t="str">
        <f aca="false">IF(OR(BR$4=0,BR20=""),"",IFERROR(ROUND(BR20/INDEX(Undirviðmið!$F$6:$F$205,BR$4)*INDEX(Undirviðmið!$E$6:$E$205,BR$4)*KVARDI,2),""))</f>
        <v/>
      </c>
      <c r="BT20" s="23"/>
      <c r="BU20" s="40" t="str">
        <f aca="false">IF(OR(BT$4=0,BT20=""),"",IFERROR(ROUND(BT20/INDEX(Undirviðmið!$F$6:$F$205,BT$4)*INDEX(Undirviðmið!$E$6:$E$205,BT$4)*KVARDI,2),""))</f>
        <v/>
      </c>
      <c r="BV20" s="23"/>
      <c r="BW20" s="40" t="str">
        <f aca="false">IF(OR(BV$4=0,BV20=""),"",IFERROR(ROUND(BV20/INDEX(Undirviðmið!$F$6:$F$205,BV$4)*INDEX(Undirviðmið!$E$6:$E$205,BV$4)*KVARDI,2),""))</f>
        <v/>
      </c>
      <c r="BX20" s="23"/>
      <c r="BY20" s="40" t="str">
        <f aca="false">IF(OR(BX$4=0,BX20=""),"",IFERROR(ROUND(BX20/INDEX(Undirviðmið!$F$6:$F$205,BX$4)*INDEX(Undirviðmið!$E$6:$E$205,BX$4)*KVARDI,2),""))</f>
        <v/>
      </c>
      <c r="BZ20" s="23"/>
      <c r="CA20" s="40" t="str">
        <f aca="false">IF(OR(BZ$4=0,BZ20=""),"",IFERROR(ROUND(BZ20/INDEX(Undirviðmið!$F$6:$F$205,BZ$4)*INDEX(Undirviðmið!$E$6:$E$205,BZ$4)*KVARDI,2),""))</f>
        <v/>
      </c>
      <c r="CB20" s="23"/>
      <c r="CC20" s="40" t="str">
        <f aca="false">IF(OR(CB$4=0,CB20=""),"",IFERROR(ROUND(CB20/INDEX(Undirviðmið!$F$6:$F$205,CB$4)*INDEX(Undirviðmið!$E$6:$E$205,CB$4)*KVARDI,2),""))</f>
        <v/>
      </c>
      <c r="CD20" s="23"/>
      <c r="CE20" s="40" t="str">
        <f aca="false">IF(OR(CD$4=0,CD20=""),"",IFERROR(ROUND(CD20/INDEX(Undirviðmið!$F$6:$F$205,CD$4)*INDEX(Undirviðmið!$E$6:$E$205,CD$4)*KVARDI,2),""))</f>
        <v/>
      </c>
      <c r="CF20" s="23"/>
      <c r="CG20" s="40" t="str">
        <f aca="false">IF(OR(CF$4=0,CF20=""),"",IFERROR(ROUND(CF20/INDEX(Undirviðmið!$F$6:$F$205,CF$4)*INDEX(Undirviðmið!$E$6:$E$205,CF$4)*KVARDI,2),""))</f>
        <v/>
      </c>
      <c r="CH20" s="23"/>
      <c r="CI20" s="40" t="str">
        <f aca="false">IF(OR(CH$4=0,CH20=""),"",IFERROR(ROUND(CH20/INDEX(Undirviðmið!$F$6:$F$205,CH$4)*INDEX(Undirviðmið!$E$6:$E$205,CH$4)*KVARDI,2),""))</f>
        <v/>
      </c>
      <c r="CJ20" s="23"/>
      <c r="CK20" s="40" t="str">
        <f aca="false">IF(OR(CJ$4=0,CJ20=""),"",IFERROR(ROUND(CJ20/INDEX(Undirviðmið!$F$6:$F$205,CJ$4)*INDEX(Undirviðmið!$E$6:$E$205,CJ$4)*KVARDI,2),""))</f>
        <v/>
      </c>
      <c r="CL20" s="23"/>
      <c r="CM20" s="40" t="str">
        <f aca="false">IF(OR(CL$4=0,CL20=""),"",IFERROR(ROUND(CL20/INDEX(Undirviðmið!$F$6:$F$205,CL$4)*INDEX(Undirviðmið!$E$6:$E$205,CL$4)*KVARDI,2),""))</f>
        <v/>
      </c>
      <c r="CN20" s="23"/>
      <c r="CO20" s="40" t="str">
        <f aca="false">IF(OR(CN$4=0,CN20=""),"",IFERROR(ROUND(CN20/INDEX(Undirviðmið!$F$6:$F$205,CN$4)*INDEX(Undirviðmið!$E$6:$E$205,CN$4)*KVARDI,2),""))</f>
        <v/>
      </c>
      <c r="CP20" s="23"/>
      <c r="CQ20" s="40" t="str">
        <f aca="false">IF(OR(CP$4=0,CP20=""),"",IFERROR(ROUND(CP20/INDEX(Undirviðmið!$F$6:$F$205,CP$4)*INDEX(Undirviðmið!$E$6:$E$205,CP$4)*KVARDI,2),""))</f>
        <v/>
      </c>
      <c r="CR20" s="23"/>
      <c r="CS20" s="40" t="str">
        <f aca="false">IF(OR(CR$4=0,CR20=""),"",IFERROR(ROUND(CR20/INDEX(Undirviðmið!$F$6:$F$205,CR$4)*INDEX(Undirviðmið!$E$6:$E$205,CR$4)*KVARDI,2),""))</f>
        <v/>
      </c>
      <c r="CT20" s="23"/>
      <c r="CU20" s="40" t="str">
        <f aca="false">IF(OR(CT$4=0,CT20=""),"",IFERROR(ROUND(CT20/INDEX(Undirviðmið!$F$6:$F$205,CT$4)*INDEX(Undirviðmið!$E$6:$E$205,CT$4)*KVARDI,2),""))</f>
        <v/>
      </c>
      <c r="CV20" s="23"/>
      <c r="CW20" s="40" t="str">
        <f aca="false">IF(OR(CV$4=0,CV20=""),"",IFERROR(ROUND(CV20/INDEX(Undirviðmið!$F$6:$F$205,CV$4)*INDEX(Undirviðmið!$E$6:$E$205,CV$4)*KVARDI,2),""))</f>
        <v/>
      </c>
      <c r="CX20" s="23"/>
      <c r="CY20" s="40" t="str">
        <f aca="false">IF(OR(CX$4=0,CX20=""),"",IFERROR(ROUND(CX20/INDEX(Undirviðmið!$F$6:$F$205,CX$4)*INDEX(Undirviðmið!$E$6:$E$205,CX$4)*KVARDI,2),""))</f>
        <v/>
      </c>
      <c r="CZ20" s="23"/>
      <c r="DA20" s="40" t="str">
        <f aca="false">IF(OR(CZ$4=0,CZ20=""),"",IFERROR(ROUND(CZ20/INDEX(Undirviðmið!$F$6:$F$205,CZ$4)*INDEX(Undirviðmið!$E$6:$E$205,CZ$4)*KVARDI,2),""))</f>
        <v/>
      </c>
      <c r="DB20" s="23"/>
      <c r="DC20" s="40" t="str">
        <f aca="false">IF(OR(DB$4=0,DB20=""),"",IFERROR(ROUND(DB20/INDEX(Undirviðmið!$F$6:$F$205,DB$4)*INDEX(Undirviðmið!$E$6:$E$205,DB$4)*KVARDI,2),""))</f>
        <v/>
      </c>
      <c r="DD20" s="23"/>
      <c r="DE20" s="40" t="str">
        <f aca="false">IF(OR(DD$4=0,DD20=""),"",IFERROR(ROUND(DD20/INDEX(Undirviðmið!$F$6:$F$205,DD$4)*INDEX(Undirviðmið!$E$6:$E$205,DD$4)*KVARDI,2),""))</f>
        <v/>
      </c>
      <c r="DF20" s="23"/>
      <c r="DG20" s="40" t="str">
        <f aca="false">IF(OR(DF$4=0,DF20=""),"",IFERROR(ROUND(DF20/INDEX(Undirviðmið!$F$6:$F$205,DF$4)*INDEX(Undirviðmið!$E$6:$E$205,DF$4)*KVARDI,2),""))</f>
        <v/>
      </c>
      <c r="DH20" s="23"/>
      <c r="DI20" s="40" t="str">
        <f aca="false">IF(OR(DH$4=0,DH20=""),"",IFERROR(ROUND(DH20/INDEX(Undirviðmið!$F$6:$F$205,DH$4)*INDEX(Undirviðmið!$E$6:$E$205,DH$4)*KVARDI,2),""))</f>
        <v/>
      </c>
      <c r="DJ20" s="23"/>
      <c r="DK20" s="40" t="str">
        <f aca="false">IF(OR(DJ$4=0,DJ20=""),"",IFERROR(ROUND(DJ20/INDEX(Undirviðmið!$F$6:$F$205,DJ$4)*INDEX(Undirviðmið!$E$6:$E$205,DJ$4)*KVARDI,2),""))</f>
        <v/>
      </c>
      <c r="DL20" s="23"/>
      <c r="DM20" s="40" t="str">
        <f aca="false">IF(OR(DL$4=0,DL20=""),"",IFERROR(ROUND(DL20/INDEX(Undirviðmið!$F$6:$F$205,DL$4)*INDEX(Undirviðmið!$E$6:$E$205,DL$4)*KVARDI,2),""))</f>
        <v/>
      </c>
      <c r="DN20" s="23"/>
      <c r="DO20" s="40" t="str">
        <f aca="false">IF(OR(DN$4=0,DN20=""),"",IFERROR(ROUND(DN20/INDEX(Undirviðmið!$F$6:$F$205,DN$4)*INDEX(Undirviðmið!$E$6:$E$205,DN$4)*KVARDI,2),""))</f>
        <v/>
      </c>
      <c r="DP20" s="23"/>
      <c r="DQ20" s="40" t="str">
        <f aca="false">IF(OR(DP$4=0,DP20=""),"",IFERROR(ROUND(DP20/INDEX(Undirviðmið!$F$6:$F$205,DP$4)*INDEX(Undirviðmið!$E$6:$E$205,DP$4)*KVARDI,2),""))</f>
        <v/>
      </c>
      <c r="DR20" s="23"/>
      <c r="DS20" s="40" t="str">
        <f aca="false">IF(OR(DR$4=0,DR20=""),"",IFERROR(ROUND(DR20/INDEX(Undirviðmið!$F$6:$F$205,DR$4)*INDEX(Undirviðmið!$E$6:$E$205,DR$4)*KVARDI,2),""))</f>
        <v/>
      </c>
      <c r="DT20" s="23"/>
      <c r="DU20" s="40" t="str">
        <f aca="false">IF(OR(DT$4=0,DT20=""),"",IFERROR(ROUND(DT20/INDEX(Undirviðmið!$F$6:$F$205,DT$4)*INDEX(Undirviðmið!$E$6:$E$205,DT$4)*KVARDI,2),""))</f>
        <v/>
      </c>
      <c r="DV20" s="23"/>
      <c r="DW20" s="40" t="str">
        <f aca="false">IF(OR(DV$4=0,DV20=""),"",IFERROR(ROUND(DV20/INDEX(Undirviðmið!$F$6:$F$205,DV$4)*INDEX(Undirviðmið!$E$6:$E$205,DV$4)*KVARDI,2),""))</f>
        <v/>
      </c>
      <c r="DX20" s="23"/>
      <c r="DY20" s="40" t="str">
        <f aca="false">IF(OR(DX$4=0,DX20=""),"",IFERROR(ROUND(DX20/INDEX(Undirviðmið!$F$6:$F$205,DX$4)*INDEX(Undirviðmið!$E$6:$E$205,DX$4)*KVARDI,2),""))</f>
        <v/>
      </c>
      <c r="DZ20" s="23"/>
      <c r="EA20" s="40" t="str">
        <f aca="false">IF(OR(DZ$4=0,DZ20=""),"",IFERROR(ROUND(DZ20/INDEX(Undirviðmið!$F$6:$F$205,DZ$4)*INDEX(Undirviðmið!$E$6:$E$205,DZ$4)*KVARDI,2),""))</f>
        <v/>
      </c>
      <c r="EB20" s="23"/>
      <c r="EC20" s="40" t="str">
        <f aca="false">IF(OR(EB$4=0,EB20=""),"",IFERROR(ROUND(EB20/INDEX(Undirviðmið!$F$6:$F$205,EB$4)*INDEX(Undirviðmið!$E$6:$E$205,EB$4)*KVARDI,2),""))</f>
        <v/>
      </c>
      <c r="ED20" s="23"/>
      <c r="EE20" s="40" t="str">
        <f aca="false">IF(OR(ED$4=0,ED20=""),"",IFERROR(ROUND(ED20/INDEX(Undirviðmið!$F$6:$F$205,ED$4)*INDEX(Undirviðmið!$E$6:$E$205,ED$4)*KVARDI,2),""))</f>
        <v/>
      </c>
      <c r="EF20" s="23"/>
      <c r="EG20" s="40" t="str">
        <f aca="false">IF(OR(EF$4=0,EF20=""),"",IFERROR(ROUND(EF20/INDEX(Undirviðmið!$F$6:$F$205,EF$4)*INDEX(Undirviðmið!$E$6:$E$205,EF$4)*KVARDI,2),""))</f>
        <v/>
      </c>
      <c r="EH20" s="23"/>
      <c r="EI20" s="40" t="str">
        <f aca="false">IF(OR(EH$4=0,EH20=""),"",IFERROR(ROUND(EH20/INDEX(Undirviðmið!$F$6:$F$205,EH$4)*INDEX(Undirviðmið!$E$6:$E$205,EH$4)*KVARDI,2),""))</f>
        <v/>
      </c>
      <c r="EJ20" s="23"/>
      <c r="EK20" s="40" t="str">
        <f aca="false">IF(OR(EJ$4=0,EJ20=""),"",IFERROR(ROUND(EJ20/INDEX(Undirviðmið!$F$6:$F$205,EJ$4)*INDEX(Undirviðmið!$E$6:$E$205,EJ$4)*KVARDI,2),""))</f>
        <v/>
      </c>
      <c r="EL20" s="23"/>
      <c r="EM20" s="40" t="str">
        <f aca="false">IF(OR(EL$4=0,EL20=""),"",IFERROR(ROUND(EL20/INDEX(Undirviðmið!$F$6:$F$205,EL$4)*INDEX(Undirviðmið!$E$6:$E$205,EL$4)*KVARDI,2),""))</f>
        <v/>
      </c>
      <c r="EN20" s="23"/>
      <c r="EO20" s="40" t="str">
        <f aca="false">IF(OR(EN$4=0,EN20=""),"",IFERROR(ROUND(EN20/INDEX(Undirviðmið!$F$6:$F$205,EN$4)*INDEX(Undirviðmið!$E$6:$E$205,EN$4)*KVARDI,2),""))</f>
        <v/>
      </c>
      <c r="EP20" s="23"/>
      <c r="EQ20" s="40" t="str">
        <f aca="false">IF(OR(EP$4=0,EP20=""),"",IFERROR(ROUND(EP20/INDEX(Undirviðmið!$F$6:$F$205,EP$4)*INDEX(Undirviðmið!$E$6:$E$205,EP$4)*KVARDI,2),""))</f>
        <v/>
      </c>
      <c r="ER20" s="23"/>
      <c r="ES20" s="40" t="str">
        <f aca="false">IF(OR(ER$4=0,ER20=""),"",IFERROR(ROUND(ER20/INDEX(Undirviðmið!$F$6:$F$205,ER$4)*INDEX(Undirviðmið!$E$6:$E$205,ER$4)*KVARDI,2),""))</f>
        <v/>
      </c>
      <c r="ET20" s="23"/>
      <c r="EU20" s="40" t="str">
        <f aca="false">IF(OR(ET$4=0,ET20=""),"",IFERROR(ROUND(ET20/INDEX(Undirviðmið!$F$6:$F$205,ET$4)*INDEX(Undirviðmið!$E$6:$E$205,ET$4)*KVARDI,2),""))</f>
        <v/>
      </c>
      <c r="EV20" s="23"/>
      <c r="EW20" s="40" t="str">
        <f aca="false">IF(OR(EV$4=0,EV20=""),"",IFERROR(ROUND(EV20/INDEX(Undirviðmið!$F$6:$F$205,EV$4)*INDEX(Undirviðmið!$E$6:$E$205,EV$4)*KVARDI,2),""))</f>
        <v/>
      </c>
      <c r="EX20" s="23"/>
      <c r="EY20" s="40" t="str">
        <f aca="false">IF(OR(EX$4=0,EX20=""),"",IFERROR(ROUND(EX20/INDEX(Undirviðmið!$F$6:$F$205,EX$4)*INDEX(Undirviðmið!$E$6:$E$205,EX$4)*KVARDI,2),""))</f>
        <v/>
      </c>
      <c r="EZ20" s="23"/>
      <c r="FA20" s="40" t="str">
        <f aca="false">IF(OR(EZ$4=0,EZ20=""),"",IFERROR(ROUND(EZ20/INDEX(Undirviðmið!$F$6:$F$205,EZ$4)*INDEX(Undirviðmið!$E$6:$E$205,EZ$4)*KVARDI,2),""))</f>
        <v/>
      </c>
      <c r="FB20" s="23"/>
      <c r="FC20" s="40" t="str">
        <f aca="false">IF(OR(FB$4=0,FB20=""),"",IFERROR(ROUND(FB20/INDEX(Undirviðmið!$F$6:$F$205,FB$4)*INDEX(Undirviðmið!$E$6:$E$205,FB$4)*KVARDI,2),""))</f>
        <v/>
      </c>
      <c r="FD20" s="23"/>
      <c r="FE20" s="40" t="str">
        <f aca="false">IF(OR(FD$4=0,FD20=""),"",IFERROR(ROUND(FD20/INDEX(Undirviðmið!$F$6:$F$205,FD$4)*INDEX(Undirviðmið!$E$6:$E$205,FD$4)*KVARDI,2),""))</f>
        <v/>
      </c>
      <c r="FF20" s="23"/>
      <c r="FG20" s="40" t="str">
        <f aca="false">IF(OR(FF$4=0,FF20=""),"",IFERROR(ROUND(FF20/INDEX(Undirviðmið!$F$6:$F$205,FF$4)*INDEX(Undirviðmið!$E$6:$E$205,FF$4)*KVARDI,2),""))</f>
        <v/>
      </c>
      <c r="FH20" s="23"/>
      <c r="FI20" s="40" t="str">
        <f aca="false">IF(OR(FH$4=0,FH20=""),"",IFERROR(ROUND(FH20/INDEX(Undirviðmið!$F$6:$F$205,FH$4)*INDEX(Undirviðmið!$E$6:$E$205,FH$4)*KVARDI,2),""))</f>
        <v/>
      </c>
      <c r="FJ20" s="23"/>
      <c r="FK20" s="40" t="str">
        <f aca="false">IF(OR(FJ$4=0,FJ20=""),"",IFERROR(ROUND(FJ20/INDEX(Undirviðmið!$F$6:$F$205,FJ$4)*INDEX(Undirviðmið!$E$6:$E$205,FJ$4)*KVARDI,2),""))</f>
        <v/>
      </c>
      <c r="FL20" s="23"/>
      <c r="FM20" s="40" t="str">
        <f aca="false">IF(OR(FL$4=0,FL20=""),"",IFERROR(ROUND(FL20/INDEX(Undirviðmið!$F$6:$F$205,FL$4)*INDEX(Undirviðmið!$E$6:$E$205,FL$4)*KVARDI,2),""))</f>
        <v/>
      </c>
      <c r="FN20" s="23"/>
      <c r="FO20" s="40" t="str">
        <f aca="false">IF(OR(FN$4=0,FN20=""),"",IFERROR(ROUND(FN20/INDEX(Undirviðmið!$F$6:$F$205,FN$4)*INDEX(Undirviðmið!$E$6:$E$205,FN$4)*KVARDI,2),""))</f>
        <v/>
      </c>
      <c r="FP20" s="23"/>
      <c r="FQ20" s="40" t="str">
        <f aca="false">IF(OR(FP$4=0,FP20=""),"",IFERROR(ROUND(FP20/INDEX(Undirviðmið!$F$6:$F$205,FP$4)*INDEX(Undirviðmið!$E$6:$E$205,FP$4)*KVARDI,2),""))</f>
        <v/>
      </c>
      <c r="FR20" s="23"/>
      <c r="FS20" s="40" t="str">
        <f aca="false">IF(OR(FR$4=0,FR20=""),"",IFERROR(ROUND(FR20/INDEX(Undirviðmið!$F$6:$F$205,FR$4)*INDEX(Undirviðmið!$E$6:$E$205,FR$4)*KVARDI,2),""))</f>
        <v/>
      </c>
      <c r="FT20" s="23"/>
      <c r="FU20" s="40" t="str">
        <f aca="false">IF(OR(FT$4=0,FT20=""),"",IFERROR(ROUND(FT20/INDEX(Undirviðmið!$F$6:$F$205,FT$4)*INDEX(Undirviðmið!$E$6:$E$205,FT$4)*KVARDI,2),""))</f>
        <v/>
      </c>
      <c r="FV20" s="23"/>
      <c r="FW20" s="40" t="str">
        <f aca="false">IF(OR(FV$4=0,FV20=""),"",IFERROR(ROUND(FV20/INDEX(Undirviðmið!$F$6:$F$205,FV$4)*INDEX(Undirviðmið!$E$6:$E$205,FV$4)*KVARDI,2),""))</f>
        <v/>
      </c>
      <c r="FX20" s="23"/>
      <c r="FY20" s="40" t="str">
        <f aca="false">IF(OR(FX$4=0,FX20=""),"",IFERROR(ROUND(FX20/INDEX(Undirviðmið!$F$6:$F$205,FX$4)*INDEX(Undirviðmið!$E$6:$E$205,FX$4)*KVARDI,2),""))</f>
        <v/>
      </c>
      <c r="FZ20" s="23"/>
      <c r="GA20" s="40" t="str">
        <f aca="false">IF(OR(FZ$4=0,FZ20=""),"",IFERROR(ROUND(FZ20/INDEX(Undirviðmið!$F$6:$F$205,FZ$4)*INDEX(Undirviðmið!$E$6:$E$205,FZ$4)*KVARDI,2),""))</f>
        <v/>
      </c>
      <c r="GB20" s="23"/>
      <c r="GC20" s="40" t="str">
        <f aca="false">IF(OR(GB$4=0,GB20=""),"",IFERROR(ROUND(GB20/INDEX(Undirviðmið!$F$6:$F$205,GB$4)*INDEX(Undirviðmið!$E$6:$E$205,GB$4)*KVARDI,2),""))</f>
        <v/>
      </c>
      <c r="GD20" s="23"/>
      <c r="GE20" s="40" t="str">
        <f aca="false">IF(OR(GD$4=0,GD20=""),"",IFERROR(ROUND(GD20/INDEX(Undirviðmið!$F$6:$F$205,GD$4)*INDEX(Undirviðmið!$E$6:$E$205,GD$4)*KVARDI,2),""))</f>
        <v/>
      </c>
      <c r="GF20" s="23"/>
      <c r="GG20" s="40" t="str">
        <f aca="false">IF(OR(GF$4=0,GF20=""),"",IFERROR(ROUND(GF20/INDEX(Undirviðmið!$F$6:$F$205,GF$4)*INDEX(Undirviðmið!$E$6:$E$205,GF$4)*KVARDI,2),""))</f>
        <v/>
      </c>
      <c r="GH20" s="23"/>
      <c r="GI20" s="40" t="str">
        <f aca="false">IF(OR(GH$4=0,GH20=""),"",IFERROR(ROUND(GH20/INDEX(Undirviðmið!$F$6:$F$205,GH$4)*INDEX(Undirviðmið!$E$6:$E$205,GH$4)*KVARDI,2),""))</f>
        <v/>
      </c>
      <c r="GJ20" s="23"/>
      <c r="GK20" s="40" t="str">
        <f aca="false">IF(OR(GJ$4=0,GJ20=""),"",IFERROR(ROUND(GJ20/INDEX(Undirviðmið!$F$6:$F$205,GJ$4)*INDEX(Undirviðmið!$E$6:$E$205,GJ$4)*KVARDI,2),""))</f>
        <v/>
      </c>
      <c r="GL20" s="23"/>
      <c r="GM20" s="40" t="str">
        <f aca="false">IF(OR(GL$4=0,GL20=""),"",IFERROR(ROUND(GL20/INDEX(Undirviðmið!$F$6:$F$205,GL$4)*INDEX(Undirviðmið!$E$6:$E$205,GL$4)*KVARDI,2),""))</f>
        <v/>
      </c>
      <c r="GN20" s="23"/>
      <c r="GO20" s="40" t="str">
        <f aca="false">IF(OR(GN$4=0,GN20=""),"",IFERROR(ROUND(GN20/INDEX(Undirviðmið!$F$6:$F$205,GN$4)*INDEX(Undirviðmið!$E$6:$E$205,GN$4)*KVARDI,2),""))</f>
        <v/>
      </c>
      <c r="GP20" s="23"/>
      <c r="GQ20" s="40" t="str">
        <f aca="false">IF(OR(GP$4=0,GP20=""),"",IFERROR(ROUND(GP20/INDEX(Undirviðmið!$F$6:$F$205,GP$4)*INDEX(Undirviðmið!$E$6:$E$205,GP$4)*KVARDI,2),""))</f>
        <v/>
      </c>
      <c r="GR20" s="23"/>
      <c r="GS20" s="40" t="str">
        <f aca="false">IF(OR(GR$4=0,GR20=""),"",IFERROR(ROUND(GR20/INDEX(Undirviðmið!$F$6:$F$205,GR$4)*INDEX(Undirviðmið!$E$6:$E$205,GR$4)*KVARDI,2),""))</f>
        <v/>
      </c>
      <c r="GT20" s="23"/>
      <c r="GU20" s="40" t="str">
        <f aca="false">IF(OR(GT$4=0,GT20=""),"",IFERROR(ROUND(GT20/INDEX(Undirviðmið!$F$6:$F$205,GT$4)*INDEX(Undirviðmið!$E$6:$E$205,GT$4)*KVARDI,2),""))</f>
        <v/>
      </c>
      <c r="GV20" s="44" t="n">
        <f aca="false">IFERROR(SUMIF($D$6:GU$6,"Stig",$D20:GU20),0)</f>
        <v>0</v>
      </c>
    </row>
    <row r="21" customFormat="false" ht="15" hidden="false" customHeight="true" outlineLevel="0" collapsed="false">
      <c r="A21" s="22" t="n">
        <f aca="false">ROW()-6</f>
        <v>15</v>
      </c>
      <c r="B21" s="24" t="str">
        <f aca="false">IF(INDEX(Starfsmenn!$B$6:$B$10005,ROW()-6)="","",INDEX(Starfsmenn!$B$6:$B$10005,ROW()-6))</f>
        <v/>
      </c>
      <c r="C21" s="24" t="str">
        <f aca="false">IF(INDEX(Starfsmenn!$C$6:$C$10005,ROW()-6)="","",INDEX(Starfsmenn!$C$6:$C$10005,ROW()-6))</f>
        <v/>
      </c>
      <c r="D21" s="23"/>
      <c r="E21" s="40" t="str">
        <f aca="false">IF(OR(D$4=0,D21=""),"",IFERROR(ROUND(D21/INDEX(Undirviðmið!$F$6:$F$205,D$4)*INDEX(Undirviðmið!$E$6:$E$205,D$4)*KVARDI,2),""))</f>
        <v/>
      </c>
      <c r="F21" s="23"/>
      <c r="G21" s="40" t="str">
        <f aca="false">IF(OR(F$4=0,F21=""),"",IFERROR(ROUND(F21/INDEX(Undirviðmið!$F$6:$F$205,F$4)*INDEX(Undirviðmið!$E$6:$E$205,F$4)*KVARDI,2),""))</f>
        <v/>
      </c>
      <c r="H21" s="23"/>
      <c r="I21" s="40" t="str">
        <f aca="false">IF(OR(H$4=0,H21=""),"",IFERROR(ROUND(H21/INDEX(Undirviðmið!$F$6:$F$205,H$4)*INDEX(Undirviðmið!$E$6:$E$205,H$4)*KVARDI,2),""))</f>
        <v/>
      </c>
      <c r="J21" s="23"/>
      <c r="K21" s="40" t="str">
        <f aca="false">IF(OR(J$4=0,J21=""),"",IFERROR(ROUND(J21/INDEX(Undirviðmið!$F$6:$F$205,J$4)*INDEX(Undirviðmið!$E$6:$E$205,J$4)*KVARDI,2),""))</f>
        <v/>
      </c>
      <c r="L21" s="23"/>
      <c r="M21" s="40" t="str">
        <f aca="false">IF(OR(L$4=0,L21=""),"",IFERROR(ROUND(L21/INDEX(Undirviðmið!$F$6:$F$205,L$4)*INDEX(Undirviðmið!$E$6:$E$205,L$4)*KVARDI,2),""))</f>
        <v/>
      </c>
      <c r="N21" s="23"/>
      <c r="O21" s="40" t="str">
        <f aca="false">IF(OR(N$4=0,N21=""),"",IFERROR(ROUND(N21/INDEX(Undirviðmið!$F$6:$F$205,N$4)*INDEX(Undirviðmið!$E$6:$E$205,N$4)*KVARDI,2),""))</f>
        <v/>
      </c>
      <c r="P21" s="23"/>
      <c r="Q21" s="40" t="str">
        <f aca="false">IF(OR(P$4=0,P21=""),"",IFERROR(ROUND(P21/INDEX(Undirviðmið!$F$6:$F$205,P$4)*INDEX(Undirviðmið!$E$6:$E$205,P$4)*KVARDI,2),""))</f>
        <v/>
      </c>
      <c r="R21" s="23"/>
      <c r="S21" s="40" t="str">
        <f aca="false">IF(OR(R$4=0,R21=""),"",IFERROR(ROUND(R21/INDEX(Undirviðmið!$F$6:$F$205,R$4)*INDEX(Undirviðmið!$E$6:$E$205,R$4)*KVARDI,2),""))</f>
        <v/>
      </c>
      <c r="T21" s="23"/>
      <c r="U21" s="40" t="str">
        <f aca="false">IF(OR(T$4=0,T21=""),"",IFERROR(ROUND(T21/INDEX(Undirviðmið!$F$6:$F$205,T$4)*INDEX(Undirviðmið!$E$6:$E$205,T$4)*KVARDI,2),""))</f>
        <v/>
      </c>
      <c r="V21" s="23"/>
      <c r="W21" s="40" t="str">
        <f aca="false">IF(OR(V$4=0,V21=""),"",IFERROR(ROUND(V21/INDEX(Undirviðmið!$F$6:$F$205,V$4)*INDEX(Undirviðmið!$E$6:$E$205,V$4)*KVARDI,2),""))</f>
        <v/>
      </c>
      <c r="X21" s="23"/>
      <c r="Y21" s="40" t="str">
        <f aca="false">IF(OR(X$4=0,X21=""),"",IFERROR(ROUND(X21/INDEX(Undirviðmið!$F$6:$F$205,X$4)*INDEX(Undirviðmið!$E$6:$E$205,X$4)*KVARDI,2),""))</f>
        <v/>
      </c>
      <c r="Z21" s="23"/>
      <c r="AA21" s="40" t="str">
        <f aca="false">IF(OR(Z$4=0,Z21=""),"",IFERROR(ROUND(Z21/INDEX(Undirviðmið!$F$6:$F$205,Z$4)*INDEX(Undirviðmið!$E$6:$E$205,Z$4)*KVARDI,2),""))</f>
        <v/>
      </c>
      <c r="AB21" s="23"/>
      <c r="AC21" s="40" t="str">
        <f aca="false">IF(OR(AB$4=0,AB21=""),"",IFERROR(ROUND(AB21/INDEX(Undirviðmið!$F$6:$F$205,AB$4)*INDEX(Undirviðmið!$E$6:$E$205,AB$4)*KVARDI,2),""))</f>
        <v/>
      </c>
      <c r="AD21" s="23"/>
      <c r="AE21" s="40" t="str">
        <f aca="false">IF(OR(AD$4=0,AD21=""),"",IFERROR(ROUND(AD21/INDEX(Undirviðmið!$F$6:$F$205,AD$4)*INDEX(Undirviðmið!$E$6:$E$205,AD$4)*KVARDI,2),""))</f>
        <v/>
      </c>
      <c r="AF21" s="23"/>
      <c r="AG21" s="40" t="str">
        <f aca="false">IF(OR(AF$4=0,AF21=""),"",IFERROR(ROUND(AF21/INDEX(Undirviðmið!$F$6:$F$205,AF$4)*INDEX(Undirviðmið!$E$6:$E$205,AF$4)*KVARDI,2),""))</f>
        <v/>
      </c>
      <c r="AH21" s="23"/>
      <c r="AI21" s="40" t="str">
        <f aca="false">IF(OR(AH$4=0,AH21=""),"",IFERROR(ROUND(AH21/INDEX(Undirviðmið!$F$6:$F$205,AH$4)*INDEX(Undirviðmið!$E$6:$E$205,AH$4)*KVARDI,2),""))</f>
        <v/>
      </c>
      <c r="AJ21" s="23"/>
      <c r="AK21" s="40" t="str">
        <f aca="false">IF(OR(AJ$4=0,AJ21=""),"",IFERROR(ROUND(AJ21/INDEX(Undirviðmið!$F$6:$F$205,AJ$4)*INDEX(Undirviðmið!$E$6:$E$205,AJ$4)*KVARDI,2),""))</f>
        <v/>
      </c>
      <c r="AL21" s="23"/>
      <c r="AM21" s="40" t="str">
        <f aca="false">IF(OR(AL$4=0,AL21=""),"",IFERROR(ROUND(AL21/INDEX(Undirviðmið!$F$6:$F$205,AL$4)*INDEX(Undirviðmið!$E$6:$E$205,AL$4)*KVARDI,2),""))</f>
        <v/>
      </c>
      <c r="AN21" s="23"/>
      <c r="AO21" s="40" t="str">
        <f aca="false">IF(OR(AN$4=0,AN21=""),"",IFERROR(ROUND(AN21/INDEX(Undirviðmið!$F$6:$F$205,AN$4)*INDEX(Undirviðmið!$E$6:$E$205,AN$4)*KVARDI,2),""))</f>
        <v/>
      </c>
      <c r="AP21" s="23"/>
      <c r="AQ21" s="40" t="str">
        <f aca="false">IF(OR(AP$4=0,AP21=""),"",IFERROR(ROUND(AP21/INDEX(Undirviðmið!$F$6:$F$205,AP$4)*INDEX(Undirviðmið!$E$6:$E$205,AP$4)*KVARDI,2),""))</f>
        <v/>
      </c>
      <c r="AR21" s="23"/>
      <c r="AS21" s="40" t="str">
        <f aca="false">IF(OR(AR$4=0,AR21=""),"",IFERROR(ROUND(AR21/INDEX(Undirviðmið!$F$6:$F$205,AR$4)*INDEX(Undirviðmið!$E$6:$E$205,AR$4)*KVARDI,2),""))</f>
        <v/>
      </c>
      <c r="AT21" s="23"/>
      <c r="AU21" s="40" t="str">
        <f aca="false">IF(OR(AT$4=0,AT21=""),"",IFERROR(ROUND(AT21/INDEX(Undirviðmið!$F$6:$F$205,AT$4)*INDEX(Undirviðmið!$E$6:$E$205,AT$4)*KVARDI,2),""))</f>
        <v/>
      </c>
      <c r="AV21" s="23"/>
      <c r="AW21" s="40" t="str">
        <f aca="false">IF(OR(AV$4=0,AV21=""),"",IFERROR(ROUND(AV21/INDEX(Undirviðmið!$F$6:$F$205,AV$4)*INDEX(Undirviðmið!$E$6:$E$205,AV$4)*KVARDI,2),""))</f>
        <v/>
      </c>
      <c r="AX21" s="23"/>
      <c r="AY21" s="40" t="str">
        <f aca="false">IF(OR(AX$4=0,AX21=""),"",IFERROR(ROUND(AX21/INDEX(Undirviðmið!$F$6:$F$205,AX$4)*INDEX(Undirviðmið!$E$6:$E$205,AX$4)*KVARDI,2),""))</f>
        <v/>
      </c>
      <c r="AZ21" s="23"/>
      <c r="BA21" s="40" t="str">
        <f aca="false">IF(OR(AZ$4=0,AZ21=""),"",IFERROR(ROUND(AZ21/INDEX(Undirviðmið!$F$6:$F$205,AZ$4)*INDEX(Undirviðmið!$E$6:$E$205,AZ$4)*KVARDI,2),""))</f>
        <v/>
      </c>
      <c r="BB21" s="23"/>
      <c r="BC21" s="40" t="str">
        <f aca="false">IF(OR(BB$4=0,BB21=""),"",IFERROR(ROUND(BB21/INDEX(Undirviðmið!$F$6:$F$205,BB$4)*INDEX(Undirviðmið!$E$6:$E$205,BB$4)*KVARDI,2),""))</f>
        <v/>
      </c>
      <c r="BD21" s="23"/>
      <c r="BE21" s="40" t="str">
        <f aca="false">IF(OR(BD$4=0,BD21=""),"",IFERROR(ROUND(BD21/INDEX(Undirviðmið!$F$6:$F$205,BD$4)*INDEX(Undirviðmið!$E$6:$E$205,BD$4)*KVARDI,2),""))</f>
        <v/>
      </c>
      <c r="BF21" s="23"/>
      <c r="BG21" s="40" t="str">
        <f aca="false">IF(OR(BF$4=0,BF21=""),"",IFERROR(ROUND(BF21/INDEX(Undirviðmið!$F$6:$F$205,BF$4)*INDEX(Undirviðmið!$E$6:$E$205,BF$4)*KVARDI,2),""))</f>
        <v/>
      </c>
      <c r="BH21" s="23"/>
      <c r="BI21" s="40" t="str">
        <f aca="false">IF(OR(BH$4=0,BH21=""),"",IFERROR(ROUND(BH21/INDEX(Undirviðmið!$F$6:$F$205,BH$4)*INDEX(Undirviðmið!$E$6:$E$205,BH$4)*KVARDI,2),""))</f>
        <v/>
      </c>
      <c r="BJ21" s="23"/>
      <c r="BK21" s="40" t="str">
        <f aca="false">IF(OR(BJ$4=0,BJ21=""),"",IFERROR(ROUND(BJ21/INDEX(Undirviðmið!$F$6:$F$205,BJ$4)*INDEX(Undirviðmið!$E$6:$E$205,BJ$4)*KVARDI,2),""))</f>
        <v/>
      </c>
      <c r="BL21" s="23"/>
      <c r="BM21" s="40" t="str">
        <f aca="false">IF(OR(BL$4=0,BL21=""),"",IFERROR(ROUND(BL21/INDEX(Undirviðmið!$F$6:$F$205,BL$4)*INDEX(Undirviðmið!$E$6:$E$205,BL$4)*KVARDI,2),""))</f>
        <v/>
      </c>
      <c r="BN21" s="23"/>
      <c r="BO21" s="40" t="str">
        <f aca="false">IF(OR(BN$4=0,BN21=""),"",IFERROR(ROUND(BN21/INDEX(Undirviðmið!$F$6:$F$205,BN$4)*INDEX(Undirviðmið!$E$6:$E$205,BN$4)*KVARDI,2),""))</f>
        <v/>
      </c>
      <c r="BP21" s="23"/>
      <c r="BQ21" s="40" t="str">
        <f aca="false">IF(OR(BP$4=0,BP21=""),"",IFERROR(ROUND(BP21/INDEX(Undirviðmið!$F$6:$F$205,BP$4)*INDEX(Undirviðmið!$E$6:$E$205,BP$4)*KVARDI,2),""))</f>
        <v/>
      </c>
      <c r="BR21" s="23"/>
      <c r="BS21" s="40" t="str">
        <f aca="false">IF(OR(BR$4=0,BR21=""),"",IFERROR(ROUND(BR21/INDEX(Undirviðmið!$F$6:$F$205,BR$4)*INDEX(Undirviðmið!$E$6:$E$205,BR$4)*KVARDI,2),""))</f>
        <v/>
      </c>
      <c r="BT21" s="23"/>
      <c r="BU21" s="40" t="str">
        <f aca="false">IF(OR(BT$4=0,BT21=""),"",IFERROR(ROUND(BT21/INDEX(Undirviðmið!$F$6:$F$205,BT$4)*INDEX(Undirviðmið!$E$6:$E$205,BT$4)*KVARDI,2),""))</f>
        <v/>
      </c>
      <c r="BV21" s="23"/>
      <c r="BW21" s="40" t="str">
        <f aca="false">IF(OR(BV$4=0,BV21=""),"",IFERROR(ROUND(BV21/INDEX(Undirviðmið!$F$6:$F$205,BV$4)*INDEX(Undirviðmið!$E$6:$E$205,BV$4)*KVARDI,2),""))</f>
        <v/>
      </c>
      <c r="BX21" s="23"/>
      <c r="BY21" s="40" t="str">
        <f aca="false">IF(OR(BX$4=0,BX21=""),"",IFERROR(ROUND(BX21/INDEX(Undirviðmið!$F$6:$F$205,BX$4)*INDEX(Undirviðmið!$E$6:$E$205,BX$4)*KVARDI,2),""))</f>
        <v/>
      </c>
      <c r="BZ21" s="23"/>
      <c r="CA21" s="40" t="str">
        <f aca="false">IF(OR(BZ$4=0,BZ21=""),"",IFERROR(ROUND(BZ21/INDEX(Undirviðmið!$F$6:$F$205,BZ$4)*INDEX(Undirviðmið!$E$6:$E$205,BZ$4)*KVARDI,2),""))</f>
        <v/>
      </c>
      <c r="CB21" s="23"/>
      <c r="CC21" s="40" t="str">
        <f aca="false">IF(OR(CB$4=0,CB21=""),"",IFERROR(ROUND(CB21/INDEX(Undirviðmið!$F$6:$F$205,CB$4)*INDEX(Undirviðmið!$E$6:$E$205,CB$4)*KVARDI,2),""))</f>
        <v/>
      </c>
      <c r="CD21" s="23"/>
      <c r="CE21" s="40" t="str">
        <f aca="false">IF(OR(CD$4=0,CD21=""),"",IFERROR(ROUND(CD21/INDEX(Undirviðmið!$F$6:$F$205,CD$4)*INDEX(Undirviðmið!$E$6:$E$205,CD$4)*KVARDI,2),""))</f>
        <v/>
      </c>
      <c r="CF21" s="23"/>
      <c r="CG21" s="40" t="str">
        <f aca="false">IF(OR(CF$4=0,CF21=""),"",IFERROR(ROUND(CF21/INDEX(Undirviðmið!$F$6:$F$205,CF$4)*INDEX(Undirviðmið!$E$6:$E$205,CF$4)*KVARDI,2),""))</f>
        <v/>
      </c>
      <c r="CH21" s="23"/>
      <c r="CI21" s="40" t="str">
        <f aca="false">IF(OR(CH$4=0,CH21=""),"",IFERROR(ROUND(CH21/INDEX(Undirviðmið!$F$6:$F$205,CH$4)*INDEX(Undirviðmið!$E$6:$E$205,CH$4)*KVARDI,2),""))</f>
        <v/>
      </c>
      <c r="CJ21" s="23"/>
      <c r="CK21" s="40" t="str">
        <f aca="false">IF(OR(CJ$4=0,CJ21=""),"",IFERROR(ROUND(CJ21/INDEX(Undirviðmið!$F$6:$F$205,CJ$4)*INDEX(Undirviðmið!$E$6:$E$205,CJ$4)*KVARDI,2),""))</f>
        <v/>
      </c>
      <c r="CL21" s="23"/>
      <c r="CM21" s="40" t="str">
        <f aca="false">IF(OR(CL$4=0,CL21=""),"",IFERROR(ROUND(CL21/INDEX(Undirviðmið!$F$6:$F$205,CL$4)*INDEX(Undirviðmið!$E$6:$E$205,CL$4)*KVARDI,2),""))</f>
        <v/>
      </c>
      <c r="CN21" s="23"/>
      <c r="CO21" s="40" t="str">
        <f aca="false">IF(OR(CN$4=0,CN21=""),"",IFERROR(ROUND(CN21/INDEX(Undirviðmið!$F$6:$F$205,CN$4)*INDEX(Undirviðmið!$E$6:$E$205,CN$4)*KVARDI,2),""))</f>
        <v/>
      </c>
      <c r="CP21" s="23"/>
      <c r="CQ21" s="40" t="str">
        <f aca="false">IF(OR(CP$4=0,CP21=""),"",IFERROR(ROUND(CP21/INDEX(Undirviðmið!$F$6:$F$205,CP$4)*INDEX(Undirviðmið!$E$6:$E$205,CP$4)*KVARDI,2),""))</f>
        <v/>
      </c>
      <c r="CR21" s="23"/>
      <c r="CS21" s="40" t="str">
        <f aca="false">IF(OR(CR$4=0,CR21=""),"",IFERROR(ROUND(CR21/INDEX(Undirviðmið!$F$6:$F$205,CR$4)*INDEX(Undirviðmið!$E$6:$E$205,CR$4)*KVARDI,2),""))</f>
        <v/>
      </c>
      <c r="CT21" s="23"/>
      <c r="CU21" s="40" t="str">
        <f aca="false">IF(OR(CT$4=0,CT21=""),"",IFERROR(ROUND(CT21/INDEX(Undirviðmið!$F$6:$F$205,CT$4)*INDEX(Undirviðmið!$E$6:$E$205,CT$4)*KVARDI,2),""))</f>
        <v/>
      </c>
      <c r="CV21" s="23"/>
      <c r="CW21" s="40" t="str">
        <f aca="false">IF(OR(CV$4=0,CV21=""),"",IFERROR(ROUND(CV21/INDEX(Undirviðmið!$F$6:$F$205,CV$4)*INDEX(Undirviðmið!$E$6:$E$205,CV$4)*KVARDI,2),""))</f>
        <v/>
      </c>
      <c r="CX21" s="23"/>
      <c r="CY21" s="40" t="str">
        <f aca="false">IF(OR(CX$4=0,CX21=""),"",IFERROR(ROUND(CX21/INDEX(Undirviðmið!$F$6:$F$205,CX$4)*INDEX(Undirviðmið!$E$6:$E$205,CX$4)*KVARDI,2),""))</f>
        <v/>
      </c>
      <c r="CZ21" s="23"/>
      <c r="DA21" s="40" t="str">
        <f aca="false">IF(OR(CZ$4=0,CZ21=""),"",IFERROR(ROUND(CZ21/INDEX(Undirviðmið!$F$6:$F$205,CZ$4)*INDEX(Undirviðmið!$E$6:$E$205,CZ$4)*KVARDI,2),""))</f>
        <v/>
      </c>
      <c r="DB21" s="23"/>
      <c r="DC21" s="40" t="str">
        <f aca="false">IF(OR(DB$4=0,DB21=""),"",IFERROR(ROUND(DB21/INDEX(Undirviðmið!$F$6:$F$205,DB$4)*INDEX(Undirviðmið!$E$6:$E$205,DB$4)*KVARDI,2),""))</f>
        <v/>
      </c>
      <c r="DD21" s="23"/>
      <c r="DE21" s="40" t="str">
        <f aca="false">IF(OR(DD$4=0,DD21=""),"",IFERROR(ROUND(DD21/INDEX(Undirviðmið!$F$6:$F$205,DD$4)*INDEX(Undirviðmið!$E$6:$E$205,DD$4)*KVARDI,2),""))</f>
        <v/>
      </c>
      <c r="DF21" s="23"/>
      <c r="DG21" s="40" t="str">
        <f aca="false">IF(OR(DF$4=0,DF21=""),"",IFERROR(ROUND(DF21/INDEX(Undirviðmið!$F$6:$F$205,DF$4)*INDEX(Undirviðmið!$E$6:$E$205,DF$4)*KVARDI,2),""))</f>
        <v/>
      </c>
      <c r="DH21" s="23"/>
      <c r="DI21" s="40" t="str">
        <f aca="false">IF(OR(DH$4=0,DH21=""),"",IFERROR(ROUND(DH21/INDEX(Undirviðmið!$F$6:$F$205,DH$4)*INDEX(Undirviðmið!$E$6:$E$205,DH$4)*KVARDI,2),""))</f>
        <v/>
      </c>
      <c r="DJ21" s="23"/>
      <c r="DK21" s="40" t="str">
        <f aca="false">IF(OR(DJ$4=0,DJ21=""),"",IFERROR(ROUND(DJ21/INDEX(Undirviðmið!$F$6:$F$205,DJ$4)*INDEX(Undirviðmið!$E$6:$E$205,DJ$4)*KVARDI,2),""))</f>
        <v/>
      </c>
      <c r="DL21" s="23"/>
      <c r="DM21" s="40" t="str">
        <f aca="false">IF(OR(DL$4=0,DL21=""),"",IFERROR(ROUND(DL21/INDEX(Undirviðmið!$F$6:$F$205,DL$4)*INDEX(Undirviðmið!$E$6:$E$205,DL$4)*KVARDI,2),""))</f>
        <v/>
      </c>
      <c r="DN21" s="23"/>
      <c r="DO21" s="40" t="str">
        <f aca="false">IF(OR(DN$4=0,DN21=""),"",IFERROR(ROUND(DN21/INDEX(Undirviðmið!$F$6:$F$205,DN$4)*INDEX(Undirviðmið!$E$6:$E$205,DN$4)*KVARDI,2),""))</f>
        <v/>
      </c>
      <c r="DP21" s="23"/>
      <c r="DQ21" s="40" t="str">
        <f aca="false">IF(OR(DP$4=0,DP21=""),"",IFERROR(ROUND(DP21/INDEX(Undirviðmið!$F$6:$F$205,DP$4)*INDEX(Undirviðmið!$E$6:$E$205,DP$4)*KVARDI,2),""))</f>
        <v/>
      </c>
      <c r="DR21" s="23"/>
      <c r="DS21" s="40" t="str">
        <f aca="false">IF(OR(DR$4=0,DR21=""),"",IFERROR(ROUND(DR21/INDEX(Undirviðmið!$F$6:$F$205,DR$4)*INDEX(Undirviðmið!$E$6:$E$205,DR$4)*KVARDI,2),""))</f>
        <v/>
      </c>
      <c r="DT21" s="23"/>
      <c r="DU21" s="40" t="str">
        <f aca="false">IF(OR(DT$4=0,DT21=""),"",IFERROR(ROUND(DT21/INDEX(Undirviðmið!$F$6:$F$205,DT$4)*INDEX(Undirviðmið!$E$6:$E$205,DT$4)*KVARDI,2),""))</f>
        <v/>
      </c>
      <c r="DV21" s="23"/>
      <c r="DW21" s="40" t="str">
        <f aca="false">IF(OR(DV$4=0,DV21=""),"",IFERROR(ROUND(DV21/INDEX(Undirviðmið!$F$6:$F$205,DV$4)*INDEX(Undirviðmið!$E$6:$E$205,DV$4)*KVARDI,2),""))</f>
        <v/>
      </c>
      <c r="DX21" s="23"/>
      <c r="DY21" s="40" t="str">
        <f aca="false">IF(OR(DX$4=0,DX21=""),"",IFERROR(ROUND(DX21/INDEX(Undirviðmið!$F$6:$F$205,DX$4)*INDEX(Undirviðmið!$E$6:$E$205,DX$4)*KVARDI,2),""))</f>
        <v/>
      </c>
      <c r="DZ21" s="23"/>
      <c r="EA21" s="40" t="str">
        <f aca="false">IF(OR(DZ$4=0,DZ21=""),"",IFERROR(ROUND(DZ21/INDEX(Undirviðmið!$F$6:$F$205,DZ$4)*INDEX(Undirviðmið!$E$6:$E$205,DZ$4)*KVARDI,2),""))</f>
        <v/>
      </c>
      <c r="EB21" s="23"/>
      <c r="EC21" s="40" t="str">
        <f aca="false">IF(OR(EB$4=0,EB21=""),"",IFERROR(ROUND(EB21/INDEX(Undirviðmið!$F$6:$F$205,EB$4)*INDEX(Undirviðmið!$E$6:$E$205,EB$4)*KVARDI,2),""))</f>
        <v/>
      </c>
      <c r="ED21" s="23"/>
      <c r="EE21" s="40" t="str">
        <f aca="false">IF(OR(ED$4=0,ED21=""),"",IFERROR(ROUND(ED21/INDEX(Undirviðmið!$F$6:$F$205,ED$4)*INDEX(Undirviðmið!$E$6:$E$205,ED$4)*KVARDI,2),""))</f>
        <v/>
      </c>
      <c r="EF21" s="23"/>
      <c r="EG21" s="40" t="str">
        <f aca="false">IF(OR(EF$4=0,EF21=""),"",IFERROR(ROUND(EF21/INDEX(Undirviðmið!$F$6:$F$205,EF$4)*INDEX(Undirviðmið!$E$6:$E$205,EF$4)*KVARDI,2),""))</f>
        <v/>
      </c>
      <c r="EH21" s="23"/>
      <c r="EI21" s="40" t="str">
        <f aca="false">IF(OR(EH$4=0,EH21=""),"",IFERROR(ROUND(EH21/INDEX(Undirviðmið!$F$6:$F$205,EH$4)*INDEX(Undirviðmið!$E$6:$E$205,EH$4)*KVARDI,2),""))</f>
        <v/>
      </c>
      <c r="EJ21" s="23"/>
      <c r="EK21" s="40" t="str">
        <f aca="false">IF(OR(EJ$4=0,EJ21=""),"",IFERROR(ROUND(EJ21/INDEX(Undirviðmið!$F$6:$F$205,EJ$4)*INDEX(Undirviðmið!$E$6:$E$205,EJ$4)*KVARDI,2),""))</f>
        <v/>
      </c>
      <c r="EL21" s="23"/>
      <c r="EM21" s="40" t="str">
        <f aca="false">IF(OR(EL$4=0,EL21=""),"",IFERROR(ROUND(EL21/INDEX(Undirviðmið!$F$6:$F$205,EL$4)*INDEX(Undirviðmið!$E$6:$E$205,EL$4)*KVARDI,2),""))</f>
        <v/>
      </c>
      <c r="EN21" s="23"/>
      <c r="EO21" s="40" t="str">
        <f aca="false">IF(OR(EN$4=0,EN21=""),"",IFERROR(ROUND(EN21/INDEX(Undirviðmið!$F$6:$F$205,EN$4)*INDEX(Undirviðmið!$E$6:$E$205,EN$4)*KVARDI,2),""))</f>
        <v/>
      </c>
      <c r="EP21" s="23"/>
      <c r="EQ21" s="40" t="str">
        <f aca="false">IF(OR(EP$4=0,EP21=""),"",IFERROR(ROUND(EP21/INDEX(Undirviðmið!$F$6:$F$205,EP$4)*INDEX(Undirviðmið!$E$6:$E$205,EP$4)*KVARDI,2),""))</f>
        <v/>
      </c>
      <c r="ER21" s="23"/>
      <c r="ES21" s="40" t="str">
        <f aca="false">IF(OR(ER$4=0,ER21=""),"",IFERROR(ROUND(ER21/INDEX(Undirviðmið!$F$6:$F$205,ER$4)*INDEX(Undirviðmið!$E$6:$E$205,ER$4)*KVARDI,2),""))</f>
        <v/>
      </c>
      <c r="ET21" s="23"/>
      <c r="EU21" s="40" t="str">
        <f aca="false">IF(OR(ET$4=0,ET21=""),"",IFERROR(ROUND(ET21/INDEX(Undirviðmið!$F$6:$F$205,ET$4)*INDEX(Undirviðmið!$E$6:$E$205,ET$4)*KVARDI,2),""))</f>
        <v/>
      </c>
      <c r="EV21" s="23"/>
      <c r="EW21" s="40" t="str">
        <f aca="false">IF(OR(EV$4=0,EV21=""),"",IFERROR(ROUND(EV21/INDEX(Undirviðmið!$F$6:$F$205,EV$4)*INDEX(Undirviðmið!$E$6:$E$205,EV$4)*KVARDI,2),""))</f>
        <v/>
      </c>
      <c r="EX21" s="23"/>
      <c r="EY21" s="40" t="str">
        <f aca="false">IF(OR(EX$4=0,EX21=""),"",IFERROR(ROUND(EX21/INDEX(Undirviðmið!$F$6:$F$205,EX$4)*INDEX(Undirviðmið!$E$6:$E$205,EX$4)*KVARDI,2),""))</f>
        <v/>
      </c>
      <c r="EZ21" s="23"/>
      <c r="FA21" s="40" t="str">
        <f aca="false">IF(OR(EZ$4=0,EZ21=""),"",IFERROR(ROUND(EZ21/INDEX(Undirviðmið!$F$6:$F$205,EZ$4)*INDEX(Undirviðmið!$E$6:$E$205,EZ$4)*KVARDI,2),""))</f>
        <v/>
      </c>
      <c r="FB21" s="23"/>
      <c r="FC21" s="40" t="str">
        <f aca="false">IF(OR(FB$4=0,FB21=""),"",IFERROR(ROUND(FB21/INDEX(Undirviðmið!$F$6:$F$205,FB$4)*INDEX(Undirviðmið!$E$6:$E$205,FB$4)*KVARDI,2),""))</f>
        <v/>
      </c>
      <c r="FD21" s="23"/>
      <c r="FE21" s="40" t="str">
        <f aca="false">IF(OR(FD$4=0,FD21=""),"",IFERROR(ROUND(FD21/INDEX(Undirviðmið!$F$6:$F$205,FD$4)*INDEX(Undirviðmið!$E$6:$E$205,FD$4)*KVARDI,2),""))</f>
        <v/>
      </c>
      <c r="FF21" s="23"/>
      <c r="FG21" s="40" t="str">
        <f aca="false">IF(OR(FF$4=0,FF21=""),"",IFERROR(ROUND(FF21/INDEX(Undirviðmið!$F$6:$F$205,FF$4)*INDEX(Undirviðmið!$E$6:$E$205,FF$4)*KVARDI,2),""))</f>
        <v/>
      </c>
      <c r="FH21" s="23"/>
      <c r="FI21" s="40" t="str">
        <f aca="false">IF(OR(FH$4=0,FH21=""),"",IFERROR(ROUND(FH21/INDEX(Undirviðmið!$F$6:$F$205,FH$4)*INDEX(Undirviðmið!$E$6:$E$205,FH$4)*KVARDI,2),""))</f>
        <v/>
      </c>
      <c r="FJ21" s="23"/>
      <c r="FK21" s="40" t="str">
        <f aca="false">IF(OR(FJ$4=0,FJ21=""),"",IFERROR(ROUND(FJ21/INDEX(Undirviðmið!$F$6:$F$205,FJ$4)*INDEX(Undirviðmið!$E$6:$E$205,FJ$4)*KVARDI,2),""))</f>
        <v/>
      </c>
      <c r="FL21" s="23"/>
      <c r="FM21" s="40" t="str">
        <f aca="false">IF(OR(FL$4=0,FL21=""),"",IFERROR(ROUND(FL21/INDEX(Undirviðmið!$F$6:$F$205,FL$4)*INDEX(Undirviðmið!$E$6:$E$205,FL$4)*KVARDI,2),""))</f>
        <v/>
      </c>
      <c r="FN21" s="23"/>
      <c r="FO21" s="40" t="str">
        <f aca="false">IF(OR(FN$4=0,FN21=""),"",IFERROR(ROUND(FN21/INDEX(Undirviðmið!$F$6:$F$205,FN$4)*INDEX(Undirviðmið!$E$6:$E$205,FN$4)*KVARDI,2),""))</f>
        <v/>
      </c>
      <c r="FP21" s="23"/>
      <c r="FQ21" s="40" t="str">
        <f aca="false">IF(OR(FP$4=0,FP21=""),"",IFERROR(ROUND(FP21/INDEX(Undirviðmið!$F$6:$F$205,FP$4)*INDEX(Undirviðmið!$E$6:$E$205,FP$4)*KVARDI,2),""))</f>
        <v/>
      </c>
      <c r="FR21" s="23"/>
      <c r="FS21" s="40" t="str">
        <f aca="false">IF(OR(FR$4=0,FR21=""),"",IFERROR(ROUND(FR21/INDEX(Undirviðmið!$F$6:$F$205,FR$4)*INDEX(Undirviðmið!$E$6:$E$205,FR$4)*KVARDI,2),""))</f>
        <v/>
      </c>
      <c r="FT21" s="23"/>
      <c r="FU21" s="40" t="str">
        <f aca="false">IF(OR(FT$4=0,FT21=""),"",IFERROR(ROUND(FT21/INDEX(Undirviðmið!$F$6:$F$205,FT$4)*INDEX(Undirviðmið!$E$6:$E$205,FT$4)*KVARDI,2),""))</f>
        <v/>
      </c>
      <c r="FV21" s="23"/>
      <c r="FW21" s="40" t="str">
        <f aca="false">IF(OR(FV$4=0,FV21=""),"",IFERROR(ROUND(FV21/INDEX(Undirviðmið!$F$6:$F$205,FV$4)*INDEX(Undirviðmið!$E$6:$E$205,FV$4)*KVARDI,2),""))</f>
        <v/>
      </c>
      <c r="FX21" s="23"/>
      <c r="FY21" s="40" t="str">
        <f aca="false">IF(OR(FX$4=0,FX21=""),"",IFERROR(ROUND(FX21/INDEX(Undirviðmið!$F$6:$F$205,FX$4)*INDEX(Undirviðmið!$E$6:$E$205,FX$4)*KVARDI,2),""))</f>
        <v/>
      </c>
      <c r="FZ21" s="23"/>
      <c r="GA21" s="40" t="str">
        <f aca="false">IF(OR(FZ$4=0,FZ21=""),"",IFERROR(ROUND(FZ21/INDEX(Undirviðmið!$F$6:$F$205,FZ$4)*INDEX(Undirviðmið!$E$6:$E$205,FZ$4)*KVARDI,2),""))</f>
        <v/>
      </c>
      <c r="GB21" s="23"/>
      <c r="GC21" s="40" t="str">
        <f aca="false">IF(OR(GB$4=0,GB21=""),"",IFERROR(ROUND(GB21/INDEX(Undirviðmið!$F$6:$F$205,GB$4)*INDEX(Undirviðmið!$E$6:$E$205,GB$4)*KVARDI,2),""))</f>
        <v/>
      </c>
      <c r="GD21" s="23"/>
      <c r="GE21" s="40" t="str">
        <f aca="false">IF(OR(GD$4=0,GD21=""),"",IFERROR(ROUND(GD21/INDEX(Undirviðmið!$F$6:$F$205,GD$4)*INDEX(Undirviðmið!$E$6:$E$205,GD$4)*KVARDI,2),""))</f>
        <v/>
      </c>
      <c r="GF21" s="23"/>
      <c r="GG21" s="40" t="str">
        <f aca="false">IF(OR(GF$4=0,GF21=""),"",IFERROR(ROUND(GF21/INDEX(Undirviðmið!$F$6:$F$205,GF$4)*INDEX(Undirviðmið!$E$6:$E$205,GF$4)*KVARDI,2),""))</f>
        <v/>
      </c>
      <c r="GH21" s="23"/>
      <c r="GI21" s="40" t="str">
        <f aca="false">IF(OR(GH$4=0,GH21=""),"",IFERROR(ROUND(GH21/INDEX(Undirviðmið!$F$6:$F$205,GH$4)*INDEX(Undirviðmið!$E$6:$E$205,GH$4)*KVARDI,2),""))</f>
        <v/>
      </c>
      <c r="GJ21" s="23"/>
      <c r="GK21" s="40" t="str">
        <f aca="false">IF(OR(GJ$4=0,GJ21=""),"",IFERROR(ROUND(GJ21/INDEX(Undirviðmið!$F$6:$F$205,GJ$4)*INDEX(Undirviðmið!$E$6:$E$205,GJ$4)*KVARDI,2),""))</f>
        <v/>
      </c>
      <c r="GL21" s="23"/>
      <c r="GM21" s="40" t="str">
        <f aca="false">IF(OR(GL$4=0,GL21=""),"",IFERROR(ROUND(GL21/INDEX(Undirviðmið!$F$6:$F$205,GL$4)*INDEX(Undirviðmið!$E$6:$E$205,GL$4)*KVARDI,2),""))</f>
        <v/>
      </c>
      <c r="GN21" s="23"/>
      <c r="GO21" s="40" t="str">
        <f aca="false">IF(OR(GN$4=0,GN21=""),"",IFERROR(ROUND(GN21/INDEX(Undirviðmið!$F$6:$F$205,GN$4)*INDEX(Undirviðmið!$E$6:$E$205,GN$4)*KVARDI,2),""))</f>
        <v/>
      </c>
      <c r="GP21" s="23"/>
      <c r="GQ21" s="40" t="str">
        <f aca="false">IF(OR(GP$4=0,GP21=""),"",IFERROR(ROUND(GP21/INDEX(Undirviðmið!$F$6:$F$205,GP$4)*INDEX(Undirviðmið!$E$6:$E$205,GP$4)*KVARDI,2),""))</f>
        <v/>
      </c>
      <c r="GR21" s="23"/>
      <c r="GS21" s="40" t="str">
        <f aca="false">IF(OR(GR$4=0,GR21=""),"",IFERROR(ROUND(GR21/INDEX(Undirviðmið!$F$6:$F$205,GR$4)*INDEX(Undirviðmið!$E$6:$E$205,GR$4)*KVARDI,2),""))</f>
        <v/>
      </c>
      <c r="GT21" s="23"/>
      <c r="GU21" s="40" t="str">
        <f aca="false">IF(OR(GT$4=0,GT21=""),"",IFERROR(ROUND(GT21/INDEX(Undirviðmið!$F$6:$F$205,GT$4)*INDEX(Undirviðmið!$E$6:$E$205,GT$4)*KVARDI,2),""))</f>
        <v/>
      </c>
      <c r="GV21" s="44" t="n">
        <f aca="false">IFERROR(SUMIF($D$6:GU$6,"Stig",$D21:GU21),0)</f>
        <v>0</v>
      </c>
    </row>
    <row r="22" customFormat="false" ht="15" hidden="false" customHeight="true" outlineLevel="0" collapsed="false">
      <c r="A22" s="22" t="n">
        <f aca="false">ROW()-6</f>
        <v>16</v>
      </c>
      <c r="B22" s="24" t="str">
        <f aca="false">IF(INDEX(Starfsmenn!$B$6:$B$10005,ROW()-6)="","",INDEX(Starfsmenn!$B$6:$B$10005,ROW()-6))</f>
        <v/>
      </c>
      <c r="C22" s="24" t="str">
        <f aca="false">IF(INDEX(Starfsmenn!$C$6:$C$10005,ROW()-6)="","",INDEX(Starfsmenn!$C$6:$C$10005,ROW()-6))</f>
        <v/>
      </c>
      <c r="D22" s="23"/>
      <c r="E22" s="40" t="str">
        <f aca="false">IF(OR(D$4=0,D22=""),"",IFERROR(ROUND(D22/INDEX(Undirviðmið!$F$6:$F$205,D$4)*INDEX(Undirviðmið!$E$6:$E$205,D$4)*KVARDI,2),""))</f>
        <v/>
      </c>
      <c r="F22" s="23"/>
      <c r="G22" s="40" t="str">
        <f aca="false">IF(OR(F$4=0,F22=""),"",IFERROR(ROUND(F22/INDEX(Undirviðmið!$F$6:$F$205,F$4)*INDEX(Undirviðmið!$E$6:$E$205,F$4)*KVARDI,2),""))</f>
        <v/>
      </c>
      <c r="H22" s="23"/>
      <c r="I22" s="40" t="str">
        <f aca="false">IF(OR(H$4=0,H22=""),"",IFERROR(ROUND(H22/INDEX(Undirviðmið!$F$6:$F$205,H$4)*INDEX(Undirviðmið!$E$6:$E$205,H$4)*KVARDI,2),""))</f>
        <v/>
      </c>
      <c r="J22" s="23"/>
      <c r="K22" s="40" t="str">
        <f aca="false">IF(OR(J$4=0,J22=""),"",IFERROR(ROUND(J22/INDEX(Undirviðmið!$F$6:$F$205,J$4)*INDEX(Undirviðmið!$E$6:$E$205,J$4)*KVARDI,2),""))</f>
        <v/>
      </c>
      <c r="L22" s="23"/>
      <c r="M22" s="40" t="str">
        <f aca="false">IF(OR(L$4=0,L22=""),"",IFERROR(ROUND(L22/INDEX(Undirviðmið!$F$6:$F$205,L$4)*INDEX(Undirviðmið!$E$6:$E$205,L$4)*KVARDI,2),""))</f>
        <v/>
      </c>
      <c r="N22" s="23"/>
      <c r="O22" s="40" t="str">
        <f aca="false">IF(OR(N$4=0,N22=""),"",IFERROR(ROUND(N22/INDEX(Undirviðmið!$F$6:$F$205,N$4)*INDEX(Undirviðmið!$E$6:$E$205,N$4)*KVARDI,2),""))</f>
        <v/>
      </c>
      <c r="P22" s="23"/>
      <c r="Q22" s="40" t="str">
        <f aca="false">IF(OR(P$4=0,P22=""),"",IFERROR(ROUND(P22/INDEX(Undirviðmið!$F$6:$F$205,P$4)*INDEX(Undirviðmið!$E$6:$E$205,P$4)*KVARDI,2),""))</f>
        <v/>
      </c>
      <c r="R22" s="23"/>
      <c r="S22" s="40" t="str">
        <f aca="false">IF(OR(R$4=0,R22=""),"",IFERROR(ROUND(R22/INDEX(Undirviðmið!$F$6:$F$205,R$4)*INDEX(Undirviðmið!$E$6:$E$205,R$4)*KVARDI,2),""))</f>
        <v/>
      </c>
      <c r="T22" s="23"/>
      <c r="U22" s="40" t="str">
        <f aca="false">IF(OR(T$4=0,T22=""),"",IFERROR(ROUND(T22/INDEX(Undirviðmið!$F$6:$F$205,T$4)*INDEX(Undirviðmið!$E$6:$E$205,T$4)*KVARDI,2),""))</f>
        <v/>
      </c>
      <c r="V22" s="23"/>
      <c r="W22" s="40" t="str">
        <f aca="false">IF(OR(V$4=0,V22=""),"",IFERROR(ROUND(V22/INDEX(Undirviðmið!$F$6:$F$205,V$4)*INDEX(Undirviðmið!$E$6:$E$205,V$4)*KVARDI,2),""))</f>
        <v/>
      </c>
      <c r="X22" s="23"/>
      <c r="Y22" s="40" t="str">
        <f aca="false">IF(OR(X$4=0,X22=""),"",IFERROR(ROUND(X22/INDEX(Undirviðmið!$F$6:$F$205,X$4)*INDEX(Undirviðmið!$E$6:$E$205,X$4)*KVARDI,2),""))</f>
        <v/>
      </c>
      <c r="Z22" s="23"/>
      <c r="AA22" s="40" t="str">
        <f aca="false">IF(OR(Z$4=0,Z22=""),"",IFERROR(ROUND(Z22/INDEX(Undirviðmið!$F$6:$F$205,Z$4)*INDEX(Undirviðmið!$E$6:$E$205,Z$4)*KVARDI,2),""))</f>
        <v/>
      </c>
      <c r="AB22" s="23"/>
      <c r="AC22" s="40" t="str">
        <f aca="false">IF(OR(AB$4=0,AB22=""),"",IFERROR(ROUND(AB22/INDEX(Undirviðmið!$F$6:$F$205,AB$4)*INDEX(Undirviðmið!$E$6:$E$205,AB$4)*KVARDI,2),""))</f>
        <v/>
      </c>
      <c r="AD22" s="23"/>
      <c r="AE22" s="40" t="str">
        <f aca="false">IF(OR(AD$4=0,AD22=""),"",IFERROR(ROUND(AD22/INDEX(Undirviðmið!$F$6:$F$205,AD$4)*INDEX(Undirviðmið!$E$6:$E$205,AD$4)*KVARDI,2),""))</f>
        <v/>
      </c>
      <c r="AF22" s="23"/>
      <c r="AG22" s="40" t="str">
        <f aca="false">IF(OR(AF$4=0,AF22=""),"",IFERROR(ROUND(AF22/INDEX(Undirviðmið!$F$6:$F$205,AF$4)*INDEX(Undirviðmið!$E$6:$E$205,AF$4)*KVARDI,2),""))</f>
        <v/>
      </c>
      <c r="AH22" s="23"/>
      <c r="AI22" s="40" t="str">
        <f aca="false">IF(OR(AH$4=0,AH22=""),"",IFERROR(ROUND(AH22/INDEX(Undirviðmið!$F$6:$F$205,AH$4)*INDEX(Undirviðmið!$E$6:$E$205,AH$4)*KVARDI,2),""))</f>
        <v/>
      </c>
      <c r="AJ22" s="23"/>
      <c r="AK22" s="40" t="str">
        <f aca="false">IF(OR(AJ$4=0,AJ22=""),"",IFERROR(ROUND(AJ22/INDEX(Undirviðmið!$F$6:$F$205,AJ$4)*INDEX(Undirviðmið!$E$6:$E$205,AJ$4)*KVARDI,2),""))</f>
        <v/>
      </c>
      <c r="AL22" s="23"/>
      <c r="AM22" s="40" t="str">
        <f aca="false">IF(OR(AL$4=0,AL22=""),"",IFERROR(ROUND(AL22/INDEX(Undirviðmið!$F$6:$F$205,AL$4)*INDEX(Undirviðmið!$E$6:$E$205,AL$4)*KVARDI,2),""))</f>
        <v/>
      </c>
      <c r="AN22" s="23"/>
      <c r="AO22" s="40" t="str">
        <f aca="false">IF(OR(AN$4=0,AN22=""),"",IFERROR(ROUND(AN22/INDEX(Undirviðmið!$F$6:$F$205,AN$4)*INDEX(Undirviðmið!$E$6:$E$205,AN$4)*KVARDI,2),""))</f>
        <v/>
      </c>
      <c r="AP22" s="23"/>
      <c r="AQ22" s="40" t="str">
        <f aca="false">IF(OR(AP$4=0,AP22=""),"",IFERROR(ROUND(AP22/INDEX(Undirviðmið!$F$6:$F$205,AP$4)*INDEX(Undirviðmið!$E$6:$E$205,AP$4)*KVARDI,2),""))</f>
        <v/>
      </c>
      <c r="AR22" s="23"/>
      <c r="AS22" s="40" t="str">
        <f aca="false">IF(OR(AR$4=0,AR22=""),"",IFERROR(ROUND(AR22/INDEX(Undirviðmið!$F$6:$F$205,AR$4)*INDEX(Undirviðmið!$E$6:$E$205,AR$4)*KVARDI,2),""))</f>
        <v/>
      </c>
      <c r="AT22" s="23"/>
      <c r="AU22" s="40" t="str">
        <f aca="false">IF(OR(AT$4=0,AT22=""),"",IFERROR(ROUND(AT22/INDEX(Undirviðmið!$F$6:$F$205,AT$4)*INDEX(Undirviðmið!$E$6:$E$205,AT$4)*KVARDI,2),""))</f>
        <v/>
      </c>
      <c r="AV22" s="23"/>
      <c r="AW22" s="40" t="str">
        <f aca="false">IF(OR(AV$4=0,AV22=""),"",IFERROR(ROUND(AV22/INDEX(Undirviðmið!$F$6:$F$205,AV$4)*INDEX(Undirviðmið!$E$6:$E$205,AV$4)*KVARDI,2),""))</f>
        <v/>
      </c>
      <c r="AX22" s="23"/>
      <c r="AY22" s="40" t="str">
        <f aca="false">IF(OR(AX$4=0,AX22=""),"",IFERROR(ROUND(AX22/INDEX(Undirviðmið!$F$6:$F$205,AX$4)*INDEX(Undirviðmið!$E$6:$E$205,AX$4)*KVARDI,2),""))</f>
        <v/>
      </c>
      <c r="AZ22" s="23"/>
      <c r="BA22" s="40" t="str">
        <f aca="false">IF(OR(AZ$4=0,AZ22=""),"",IFERROR(ROUND(AZ22/INDEX(Undirviðmið!$F$6:$F$205,AZ$4)*INDEX(Undirviðmið!$E$6:$E$205,AZ$4)*KVARDI,2),""))</f>
        <v/>
      </c>
      <c r="BB22" s="23"/>
      <c r="BC22" s="40" t="str">
        <f aca="false">IF(OR(BB$4=0,BB22=""),"",IFERROR(ROUND(BB22/INDEX(Undirviðmið!$F$6:$F$205,BB$4)*INDEX(Undirviðmið!$E$6:$E$205,BB$4)*KVARDI,2),""))</f>
        <v/>
      </c>
      <c r="BD22" s="23"/>
      <c r="BE22" s="40" t="str">
        <f aca="false">IF(OR(BD$4=0,BD22=""),"",IFERROR(ROUND(BD22/INDEX(Undirviðmið!$F$6:$F$205,BD$4)*INDEX(Undirviðmið!$E$6:$E$205,BD$4)*KVARDI,2),""))</f>
        <v/>
      </c>
      <c r="BF22" s="23"/>
      <c r="BG22" s="40" t="str">
        <f aca="false">IF(OR(BF$4=0,BF22=""),"",IFERROR(ROUND(BF22/INDEX(Undirviðmið!$F$6:$F$205,BF$4)*INDEX(Undirviðmið!$E$6:$E$205,BF$4)*KVARDI,2),""))</f>
        <v/>
      </c>
      <c r="BH22" s="23"/>
      <c r="BI22" s="40" t="str">
        <f aca="false">IF(OR(BH$4=0,BH22=""),"",IFERROR(ROUND(BH22/INDEX(Undirviðmið!$F$6:$F$205,BH$4)*INDEX(Undirviðmið!$E$6:$E$205,BH$4)*KVARDI,2),""))</f>
        <v/>
      </c>
      <c r="BJ22" s="23"/>
      <c r="BK22" s="40" t="str">
        <f aca="false">IF(OR(BJ$4=0,BJ22=""),"",IFERROR(ROUND(BJ22/INDEX(Undirviðmið!$F$6:$F$205,BJ$4)*INDEX(Undirviðmið!$E$6:$E$205,BJ$4)*KVARDI,2),""))</f>
        <v/>
      </c>
      <c r="BL22" s="23"/>
      <c r="BM22" s="40" t="str">
        <f aca="false">IF(OR(BL$4=0,BL22=""),"",IFERROR(ROUND(BL22/INDEX(Undirviðmið!$F$6:$F$205,BL$4)*INDEX(Undirviðmið!$E$6:$E$205,BL$4)*KVARDI,2),""))</f>
        <v/>
      </c>
      <c r="BN22" s="23"/>
      <c r="BO22" s="40" t="str">
        <f aca="false">IF(OR(BN$4=0,BN22=""),"",IFERROR(ROUND(BN22/INDEX(Undirviðmið!$F$6:$F$205,BN$4)*INDEX(Undirviðmið!$E$6:$E$205,BN$4)*KVARDI,2),""))</f>
        <v/>
      </c>
      <c r="BP22" s="23"/>
      <c r="BQ22" s="40" t="str">
        <f aca="false">IF(OR(BP$4=0,BP22=""),"",IFERROR(ROUND(BP22/INDEX(Undirviðmið!$F$6:$F$205,BP$4)*INDEX(Undirviðmið!$E$6:$E$205,BP$4)*KVARDI,2),""))</f>
        <v/>
      </c>
      <c r="BR22" s="23"/>
      <c r="BS22" s="40" t="str">
        <f aca="false">IF(OR(BR$4=0,BR22=""),"",IFERROR(ROUND(BR22/INDEX(Undirviðmið!$F$6:$F$205,BR$4)*INDEX(Undirviðmið!$E$6:$E$205,BR$4)*KVARDI,2),""))</f>
        <v/>
      </c>
      <c r="BT22" s="23"/>
      <c r="BU22" s="40" t="str">
        <f aca="false">IF(OR(BT$4=0,BT22=""),"",IFERROR(ROUND(BT22/INDEX(Undirviðmið!$F$6:$F$205,BT$4)*INDEX(Undirviðmið!$E$6:$E$205,BT$4)*KVARDI,2),""))</f>
        <v/>
      </c>
      <c r="BV22" s="23"/>
      <c r="BW22" s="40" t="str">
        <f aca="false">IF(OR(BV$4=0,BV22=""),"",IFERROR(ROUND(BV22/INDEX(Undirviðmið!$F$6:$F$205,BV$4)*INDEX(Undirviðmið!$E$6:$E$205,BV$4)*KVARDI,2),""))</f>
        <v/>
      </c>
      <c r="BX22" s="23"/>
      <c r="BY22" s="40" t="str">
        <f aca="false">IF(OR(BX$4=0,BX22=""),"",IFERROR(ROUND(BX22/INDEX(Undirviðmið!$F$6:$F$205,BX$4)*INDEX(Undirviðmið!$E$6:$E$205,BX$4)*KVARDI,2),""))</f>
        <v/>
      </c>
      <c r="BZ22" s="23"/>
      <c r="CA22" s="40" t="str">
        <f aca="false">IF(OR(BZ$4=0,BZ22=""),"",IFERROR(ROUND(BZ22/INDEX(Undirviðmið!$F$6:$F$205,BZ$4)*INDEX(Undirviðmið!$E$6:$E$205,BZ$4)*KVARDI,2),""))</f>
        <v/>
      </c>
      <c r="CB22" s="23"/>
      <c r="CC22" s="40" t="str">
        <f aca="false">IF(OR(CB$4=0,CB22=""),"",IFERROR(ROUND(CB22/INDEX(Undirviðmið!$F$6:$F$205,CB$4)*INDEX(Undirviðmið!$E$6:$E$205,CB$4)*KVARDI,2),""))</f>
        <v/>
      </c>
      <c r="CD22" s="23"/>
      <c r="CE22" s="40" t="str">
        <f aca="false">IF(OR(CD$4=0,CD22=""),"",IFERROR(ROUND(CD22/INDEX(Undirviðmið!$F$6:$F$205,CD$4)*INDEX(Undirviðmið!$E$6:$E$205,CD$4)*KVARDI,2),""))</f>
        <v/>
      </c>
      <c r="CF22" s="23"/>
      <c r="CG22" s="40" t="str">
        <f aca="false">IF(OR(CF$4=0,CF22=""),"",IFERROR(ROUND(CF22/INDEX(Undirviðmið!$F$6:$F$205,CF$4)*INDEX(Undirviðmið!$E$6:$E$205,CF$4)*KVARDI,2),""))</f>
        <v/>
      </c>
      <c r="CH22" s="23"/>
      <c r="CI22" s="40" t="str">
        <f aca="false">IF(OR(CH$4=0,CH22=""),"",IFERROR(ROUND(CH22/INDEX(Undirviðmið!$F$6:$F$205,CH$4)*INDEX(Undirviðmið!$E$6:$E$205,CH$4)*KVARDI,2),""))</f>
        <v/>
      </c>
      <c r="CJ22" s="23"/>
      <c r="CK22" s="40" t="str">
        <f aca="false">IF(OR(CJ$4=0,CJ22=""),"",IFERROR(ROUND(CJ22/INDEX(Undirviðmið!$F$6:$F$205,CJ$4)*INDEX(Undirviðmið!$E$6:$E$205,CJ$4)*KVARDI,2),""))</f>
        <v/>
      </c>
      <c r="CL22" s="23"/>
      <c r="CM22" s="40" t="str">
        <f aca="false">IF(OR(CL$4=0,CL22=""),"",IFERROR(ROUND(CL22/INDEX(Undirviðmið!$F$6:$F$205,CL$4)*INDEX(Undirviðmið!$E$6:$E$205,CL$4)*KVARDI,2),""))</f>
        <v/>
      </c>
      <c r="CN22" s="23"/>
      <c r="CO22" s="40" t="str">
        <f aca="false">IF(OR(CN$4=0,CN22=""),"",IFERROR(ROUND(CN22/INDEX(Undirviðmið!$F$6:$F$205,CN$4)*INDEX(Undirviðmið!$E$6:$E$205,CN$4)*KVARDI,2),""))</f>
        <v/>
      </c>
      <c r="CP22" s="23"/>
      <c r="CQ22" s="40" t="str">
        <f aca="false">IF(OR(CP$4=0,CP22=""),"",IFERROR(ROUND(CP22/INDEX(Undirviðmið!$F$6:$F$205,CP$4)*INDEX(Undirviðmið!$E$6:$E$205,CP$4)*KVARDI,2),""))</f>
        <v/>
      </c>
      <c r="CR22" s="23"/>
      <c r="CS22" s="40" t="str">
        <f aca="false">IF(OR(CR$4=0,CR22=""),"",IFERROR(ROUND(CR22/INDEX(Undirviðmið!$F$6:$F$205,CR$4)*INDEX(Undirviðmið!$E$6:$E$205,CR$4)*KVARDI,2),""))</f>
        <v/>
      </c>
      <c r="CT22" s="23"/>
      <c r="CU22" s="40" t="str">
        <f aca="false">IF(OR(CT$4=0,CT22=""),"",IFERROR(ROUND(CT22/INDEX(Undirviðmið!$F$6:$F$205,CT$4)*INDEX(Undirviðmið!$E$6:$E$205,CT$4)*KVARDI,2),""))</f>
        <v/>
      </c>
      <c r="CV22" s="23"/>
      <c r="CW22" s="40" t="str">
        <f aca="false">IF(OR(CV$4=0,CV22=""),"",IFERROR(ROUND(CV22/INDEX(Undirviðmið!$F$6:$F$205,CV$4)*INDEX(Undirviðmið!$E$6:$E$205,CV$4)*KVARDI,2),""))</f>
        <v/>
      </c>
      <c r="CX22" s="23"/>
      <c r="CY22" s="40" t="str">
        <f aca="false">IF(OR(CX$4=0,CX22=""),"",IFERROR(ROUND(CX22/INDEX(Undirviðmið!$F$6:$F$205,CX$4)*INDEX(Undirviðmið!$E$6:$E$205,CX$4)*KVARDI,2),""))</f>
        <v/>
      </c>
      <c r="CZ22" s="23"/>
      <c r="DA22" s="40" t="str">
        <f aca="false">IF(OR(CZ$4=0,CZ22=""),"",IFERROR(ROUND(CZ22/INDEX(Undirviðmið!$F$6:$F$205,CZ$4)*INDEX(Undirviðmið!$E$6:$E$205,CZ$4)*KVARDI,2),""))</f>
        <v/>
      </c>
      <c r="DB22" s="23"/>
      <c r="DC22" s="40" t="str">
        <f aca="false">IF(OR(DB$4=0,DB22=""),"",IFERROR(ROUND(DB22/INDEX(Undirviðmið!$F$6:$F$205,DB$4)*INDEX(Undirviðmið!$E$6:$E$205,DB$4)*KVARDI,2),""))</f>
        <v/>
      </c>
      <c r="DD22" s="23"/>
      <c r="DE22" s="40" t="str">
        <f aca="false">IF(OR(DD$4=0,DD22=""),"",IFERROR(ROUND(DD22/INDEX(Undirviðmið!$F$6:$F$205,DD$4)*INDEX(Undirviðmið!$E$6:$E$205,DD$4)*KVARDI,2),""))</f>
        <v/>
      </c>
      <c r="DF22" s="23"/>
      <c r="DG22" s="40" t="str">
        <f aca="false">IF(OR(DF$4=0,DF22=""),"",IFERROR(ROUND(DF22/INDEX(Undirviðmið!$F$6:$F$205,DF$4)*INDEX(Undirviðmið!$E$6:$E$205,DF$4)*KVARDI,2),""))</f>
        <v/>
      </c>
      <c r="DH22" s="23"/>
      <c r="DI22" s="40" t="str">
        <f aca="false">IF(OR(DH$4=0,DH22=""),"",IFERROR(ROUND(DH22/INDEX(Undirviðmið!$F$6:$F$205,DH$4)*INDEX(Undirviðmið!$E$6:$E$205,DH$4)*KVARDI,2),""))</f>
        <v/>
      </c>
      <c r="DJ22" s="23"/>
      <c r="DK22" s="40" t="str">
        <f aca="false">IF(OR(DJ$4=0,DJ22=""),"",IFERROR(ROUND(DJ22/INDEX(Undirviðmið!$F$6:$F$205,DJ$4)*INDEX(Undirviðmið!$E$6:$E$205,DJ$4)*KVARDI,2),""))</f>
        <v/>
      </c>
      <c r="DL22" s="23"/>
      <c r="DM22" s="40" t="str">
        <f aca="false">IF(OR(DL$4=0,DL22=""),"",IFERROR(ROUND(DL22/INDEX(Undirviðmið!$F$6:$F$205,DL$4)*INDEX(Undirviðmið!$E$6:$E$205,DL$4)*KVARDI,2),""))</f>
        <v/>
      </c>
      <c r="DN22" s="23"/>
      <c r="DO22" s="40" t="str">
        <f aca="false">IF(OR(DN$4=0,DN22=""),"",IFERROR(ROUND(DN22/INDEX(Undirviðmið!$F$6:$F$205,DN$4)*INDEX(Undirviðmið!$E$6:$E$205,DN$4)*KVARDI,2),""))</f>
        <v/>
      </c>
      <c r="DP22" s="23"/>
      <c r="DQ22" s="40" t="str">
        <f aca="false">IF(OR(DP$4=0,DP22=""),"",IFERROR(ROUND(DP22/INDEX(Undirviðmið!$F$6:$F$205,DP$4)*INDEX(Undirviðmið!$E$6:$E$205,DP$4)*KVARDI,2),""))</f>
        <v/>
      </c>
      <c r="DR22" s="23"/>
      <c r="DS22" s="40" t="str">
        <f aca="false">IF(OR(DR$4=0,DR22=""),"",IFERROR(ROUND(DR22/INDEX(Undirviðmið!$F$6:$F$205,DR$4)*INDEX(Undirviðmið!$E$6:$E$205,DR$4)*KVARDI,2),""))</f>
        <v/>
      </c>
      <c r="DT22" s="23"/>
      <c r="DU22" s="40" t="str">
        <f aca="false">IF(OR(DT$4=0,DT22=""),"",IFERROR(ROUND(DT22/INDEX(Undirviðmið!$F$6:$F$205,DT$4)*INDEX(Undirviðmið!$E$6:$E$205,DT$4)*KVARDI,2),""))</f>
        <v/>
      </c>
      <c r="DV22" s="23"/>
      <c r="DW22" s="40" t="str">
        <f aca="false">IF(OR(DV$4=0,DV22=""),"",IFERROR(ROUND(DV22/INDEX(Undirviðmið!$F$6:$F$205,DV$4)*INDEX(Undirviðmið!$E$6:$E$205,DV$4)*KVARDI,2),""))</f>
        <v/>
      </c>
      <c r="DX22" s="23"/>
      <c r="DY22" s="40" t="str">
        <f aca="false">IF(OR(DX$4=0,DX22=""),"",IFERROR(ROUND(DX22/INDEX(Undirviðmið!$F$6:$F$205,DX$4)*INDEX(Undirviðmið!$E$6:$E$205,DX$4)*KVARDI,2),""))</f>
        <v/>
      </c>
      <c r="DZ22" s="23"/>
      <c r="EA22" s="40" t="str">
        <f aca="false">IF(OR(DZ$4=0,DZ22=""),"",IFERROR(ROUND(DZ22/INDEX(Undirviðmið!$F$6:$F$205,DZ$4)*INDEX(Undirviðmið!$E$6:$E$205,DZ$4)*KVARDI,2),""))</f>
        <v/>
      </c>
      <c r="EB22" s="23"/>
      <c r="EC22" s="40" t="str">
        <f aca="false">IF(OR(EB$4=0,EB22=""),"",IFERROR(ROUND(EB22/INDEX(Undirviðmið!$F$6:$F$205,EB$4)*INDEX(Undirviðmið!$E$6:$E$205,EB$4)*KVARDI,2),""))</f>
        <v/>
      </c>
      <c r="ED22" s="23"/>
      <c r="EE22" s="40" t="str">
        <f aca="false">IF(OR(ED$4=0,ED22=""),"",IFERROR(ROUND(ED22/INDEX(Undirviðmið!$F$6:$F$205,ED$4)*INDEX(Undirviðmið!$E$6:$E$205,ED$4)*KVARDI,2),""))</f>
        <v/>
      </c>
      <c r="EF22" s="23"/>
      <c r="EG22" s="40" t="str">
        <f aca="false">IF(OR(EF$4=0,EF22=""),"",IFERROR(ROUND(EF22/INDEX(Undirviðmið!$F$6:$F$205,EF$4)*INDEX(Undirviðmið!$E$6:$E$205,EF$4)*KVARDI,2),""))</f>
        <v/>
      </c>
      <c r="EH22" s="23"/>
      <c r="EI22" s="40" t="str">
        <f aca="false">IF(OR(EH$4=0,EH22=""),"",IFERROR(ROUND(EH22/INDEX(Undirviðmið!$F$6:$F$205,EH$4)*INDEX(Undirviðmið!$E$6:$E$205,EH$4)*KVARDI,2),""))</f>
        <v/>
      </c>
      <c r="EJ22" s="23"/>
      <c r="EK22" s="40" t="str">
        <f aca="false">IF(OR(EJ$4=0,EJ22=""),"",IFERROR(ROUND(EJ22/INDEX(Undirviðmið!$F$6:$F$205,EJ$4)*INDEX(Undirviðmið!$E$6:$E$205,EJ$4)*KVARDI,2),""))</f>
        <v/>
      </c>
      <c r="EL22" s="23"/>
      <c r="EM22" s="40" t="str">
        <f aca="false">IF(OR(EL$4=0,EL22=""),"",IFERROR(ROUND(EL22/INDEX(Undirviðmið!$F$6:$F$205,EL$4)*INDEX(Undirviðmið!$E$6:$E$205,EL$4)*KVARDI,2),""))</f>
        <v/>
      </c>
      <c r="EN22" s="23"/>
      <c r="EO22" s="40" t="str">
        <f aca="false">IF(OR(EN$4=0,EN22=""),"",IFERROR(ROUND(EN22/INDEX(Undirviðmið!$F$6:$F$205,EN$4)*INDEX(Undirviðmið!$E$6:$E$205,EN$4)*KVARDI,2),""))</f>
        <v/>
      </c>
      <c r="EP22" s="23"/>
      <c r="EQ22" s="40" t="str">
        <f aca="false">IF(OR(EP$4=0,EP22=""),"",IFERROR(ROUND(EP22/INDEX(Undirviðmið!$F$6:$F$205,EP$4)*INDEX(Undirviðmið!$E$6:$E$205,EP$4)*KVARDI,2),""))</f>
        <v/>
      </c>
      <c r="ER22" s="23"/>
      <c r="ES22" s="40" t="str">
        <f aca="false">IF(OR(ER$4=0,ER22=""),"",IFERROR(ROUND(ER22/INDEX(Undirviðmið!$F$6:$F$205,ER$4)*INDEX(Undirviðmið!$E$6:$E$205,ER$4)*KVARDI,2),""))</f>
        <v/>
      </c>
      <c r="ET22" s="23"/>
      <c r="EU22" s="40" t="str">
        <f aca="false">IF(OR(ET$4=0,ET22=""),"",IFERROR(ROUND(ET22/INDEX(Undirviðmið!$F$6:$F$205,ET$4)*INDEX(Undirviðmið!$E$6:$E$205,ET$4)*KVARDI,2),""))</f>
        <v/>
      </c>
      <c r="EV22" s="23"/>
      <c r="EW22" s="40" t="str">
        <f aca="false">IF(OR(EV$4=0,EV22=""),"",IFERROR(ROUND(EV22/INDEX(Undirviðmið!$F$6:$F$205,EV$4)*INDEX(Undirviðmið!$E$6:$E$205,EV$4)*KVARDI,2),""))</f>
        <v/>
      </c>
      <c r="EX22" s="23"/>
      <c r="EY22" s="40" t="str">
        <f aca="false">IF(OR(EX$4=0,EX22=""),"",IFERROR(ROUND(EX22/INDEX(Undirviðmið!$F$6:$F$205,EX$4)*INDEX(Undirviðmið!$E$6:$E$205,EX$4)*KVARDI,2),""))</f>
        <v/>
      </c>
      <c r="EZ22" s="23"/>
      <c r="FA22" s="40" t="str">
        <f aca="false">IF(OR(EZ$4=0,EZ22=""),"",IFERROR(ROUND(EZ22/INDEX(Undirviðmið!$F$6:$F$205,EZ$4)*INDEX(Undirviðmið!$E$6:$E$205,EZ$4)*KVARDI,2),""))</f>
        <v/>
      </c>
      <c r="FB22" s="23"/>
      <c r="FC22" s="40" t="str">
        <f aca="false">IF(OR(FB$4=0,FB22=""),"",IFERROR(ROUND(FB22/INDEX(Undirviðmið!$F$6:$F$205,FB$4)*INDEX(Undirviðmið!$E$6:$E$205,FB$4)*KVARDI,2),""))</f>
        <v/>
      </c>
      <c r="FD22" s="23"/>
      <c r="FE22" s="40" t="str">
        <f aca="false">IF(OR(FD$4=0,FD22=""),"",IFERROR(ROUND(FD22/INDEX(Undirviðmið!$F$6:$F$205,FD$4)*INDEX(Undirviðmið!$E$6:$E$205,FD$4)*KVARDI,2),""))</f>
        <v/>
      </c>
      <c r="FF22" s="23"/>
      <c r="FG22" s="40" t="str">
        <f aca="false">IF(OR(FF$4=0,FF22=""),"",IFERROR(ROUND(FF22/INDEX(Undirviðmið!$F$6:$F$205,FF$4)*INDEX(Undirviðmið!$E$6:$E$205,FF$4)*KVARDI,2),""))</f>
        <v/>
      </c>
      <c r="FH22" s="23"/>
      <c r="FI22" s="40" t="str">
        <f aca="false">IF(OR(FH$4=0,FH22=""),"",IFERROR(ROUND(FH22/INDEX(Undirviðmið!$F$6:$F$205,FH$4)*INDEX(Undirviðmið!$E$6:$E$205,FH$4)*KVARDI,2),""))</f>
        <v/>
      </c>
      <c r="FJ22" s="23"/>
      <c r="FK22" s="40" t="str">
        <f aca="false">IF(OR(FJ$4=0,FJ22=""),"",IFERROR(ROUND(FJ22/INDEX(Undirviðmið!$F$6:$F$205,FJ$4)*INDEX(Undirviðmið!$E$6:$E$205,FJ$4)*KVARDI,2),""))</f>
        <v/>
      </c>
      <c r="FL22" s="23"/>
      <c r="FM22" s="40" t="str">
        <f aca="false">IF(OR(FL$4=0,FL22=""),"",IFERROR(ROUND(FL22/INDEX(Undirviðmið!$F$6:$F$205,FL$4)*INDEX(Undirviðmið!$E$6:$E$205,FL$4)*KVARDI,2),""))</f>
        <v/>
      </c>
      <c r="FN22" s="23"/>
      <c r="FO22" s="40" t="str">
        <f aca="false">IF(OR(FN$4=0,FN22=""),"",IFERROR(ROUND(FN22/INDEX(Undirviðmið!$F$6:$F$205,FN$4)*INDEX(Undirviðmið!$E$6:$E$205,FN$4)*KVARDI,2),""))</f>
        <v/>
      </c>
      <c r="FP22" s="23"/>
      <c r="FQ22" s="40" t="str">
        <f aca="false">IF(OR(FP$4=0,FP22=""),"",IFERROR(ROUND(FP22/INDEX(Undirviðmið!$F$6:$F$205,FP$4)*INDEX(Undirviðmið!$E$6:$E$205,FP$4)*KVARDI,2),""))</f>
        <v/>
      </c>
      <c r="FR22" s="23"/>
      <c r="FS22" s="40" t="str">
        <f aca="false">IF(OR(FR$4=0,FR22=""),"",IFERROR(ROUND(FR22/INDEX(Undirviðmið!$F$6:$F$205,FR$4)*INDEX(Undirviðmið!$E$6:$E$205,FR$4)*KVARDI,2),""))</f>
        <v/>
      </c>
      <c r="FT22" s="23"/>
      <c r="FU22" s="40" t="str">
        <f aca="false">IF(OR(FT$4=0,FT22=""),"",IFERROR(ROUND(FT22/INDEX(Undirviðmið!$F$6:$F$205,FT$4)*INDEX(Undirviðmið!$E$6:$E$205,FT$4)*KVARDI,2),""))</f>
        <v/>
      </c>
      <c r="FV22" s="23"/>
      <c r="FW22" s="40" t="str">
        <f aca="false">IF(OR(FV$4=0,FV22=""),"",IFERROR(ROUND(FV22/INDEX(Undirviðmið!$F$6:$F$205,FV$4)*INDEX(Undirviðmið!$E$6:$E$205,FV$4)*KVARDI,2),""))</f>
        <v/>
      </c>
      <c r="FX22" s="23"/>
      <c r="FY22" s="40" t="str">
        <f aca="false">IF(OR(FX$4=0,FX22=""),"",IFERROR(ROUND(FX22/INDEX(Undirviðmið!$F$6:$F$205,FX$4)*INDEX(Undirviðmið!$E$6:$E$205,FX$4)*KVARDI,2),""))</f>
        <v/>
      </c>
      <c r="FZ22" s="23"/>
      <c r="GA22" s="40" t="str">
        <f aca="false">IF(OR(FZ$4=0,FZ22=""),"",IFERROR(ROUND(FZ22/INDEX(Undirviðmið!$F$6:$F$205,FZ$4)*INDEX(Undirviðmið!$E$6:$E$205,FZ$4)*KVARDI,2),""))</f>
        <v/>
      </c>
      <c r="GB22" s="23"/>
      <c r="GC22" s="40" t="str">
        <f aca="false">IF(OR(GB$4=0,GB22=""),"",IFERROR(ROUND(GB22/INDEX(Undirviðmið!$F$6:$F$205,GB$4)*INDEX(Undirviðmið!$E$6:$E$205,GB$4)*KVARDI,2),""))</f>
        <v/>
      </c>
      <c r="GD22" s="23"/>
      <c r="GE22" s="40" t="str">
        <f aca="false">IF(OR(GD$4=0,GD22=""),"",IFERROR(ROUND(GD22/INDEX(Undirviðmið!$F$6:$F$205,GD$4)*INDEX(Undirviðmið!$E$6:$E$205,GD$4)*KVARDI,2),""))</f>
        <v/>
      </c>
      <c r="GF22" s="23"/>
      <c r="GG22" s="40" t="str">
        <f aca="false">IF(OR(GF$4=0,GF22=""),"",IFERROR(ROUND(GF22/INDEX(Undirviðmið!$F$6:$F$205,GF$4)*INDEX(Undirviðmið!$E$6:$E$205,GF$4)*KVARDI,2),""))</f>
        <v/>
      </c>
      <c r="GH22" s="23"/>
      <c r="GI22" s="40" t="str">
        <f aca="false">IF(OR(GH$4=0,GH22=""),"",IFERROR(ROUND(GH22/INDEX(Undirviðmið!$F$6:$F$205,GH$4)*INDEX(Undirviðmið!$E$6:$E$205,GH$4)*KVARDI,2),""))</f>
        <v/>
      </c>
      <c r="GJ22" s="23"/>
      <c r="GK22" s="40" t="str">
        <f aca="false">IF(OR(GJ$4=0,GJ22=""),"",IFERROR(ROUND(GJ22/INDEX(Undirviðmið!$F$6:$F$205,GJ$4)*INDEX(Undirviðmið!$E$6:$E$205,GJ$4)*KVARDI,2),""))</f>
        <v/>
      </c>
      <c r="GL22" s="23"/>
      <c r="GM22" s="40" t="str">
        <f aca="false">IF(OR(GL$4=0,GL22=""),"",IFERROR(ROUND(GL22/INDEX(Undirviðmið!$F$6:$F$205,GL$4)*INDEX(Undirviðmið!$E$6:$E$205,GL$4)*KVARDI,2),""))</f>
        <v/>
      </c>
      <c r="GN22" s="23"/>
      <c r="GO22" s="40" t="str">
        <f aca="false">IF(OR(GN$4=0,GN22=""),"",IFERROR(ROUND(GN22/INDEX(Undirviðmið!$F$6:$F$205,GN$4)*INDEX(Undirviðmið!$E$6:$E$205,GN$4)*KVARDI,2),""))</f>
        <v/>
      </c>
      <c r="GP22" s="23"/>
      <c r="GQ22" s="40" t="str">
        <f aca="false">IF(OR(GP$4=0,GP22=""),"",IFERROR(ROUND(GP22/INDEX(Undirviðmið!$F$6:$F$205,GP$4)*INDEX(Undirviðmið!$E$6:$E$205,GP$4)*KVARDI,2),""))</f>
        <v/>
      </c>
      <c r="GR22" s="23"/>
      <c r="GS22" s="40" t="str">
        <f aca="false">IF(OR(GR$4=0,GR22=""),"",IFERROR(ROUND(GR22/INDEX(Undirviðmið!$F$6:$F$205,GR$4)*INDEX(Undirviðmið!$E$6:$E$205,GR$4)*KVARDI,2),""))</f>
        <v/>
      </c>
      <c r="GT22" s="23"/>
      <c r="GU22" s="40" t="str">
        <f aca="false">IF(OR(GT$4=0,GT22=""),"",IFERROR(ROUND(GT22/INDEX(Undirviðmið!$F$6:$F$205,GT$4)*INDEX(Undirviðmið!$E$6:$E$205,GT$4)*KVARDI,2),""))</f>
        <v/>
      </c>
      <c r="GV22" s="44" t="n">
        <f aca="false">IFERROR(SUMIF($D$6:GU$6,"Stig",$D22:GU22),0)</f>
        <v>0</v>
      </c>
    </row>
    <row r="23" customFormat="false" ht="15" hidden="false" customHeight="true" outlineLevel="0" collapsed="false">
      <c r="A23" s="22" t="n">
        <f aca="false">ROW()-6</f>
        <v>17</v>
      </c>
      <c r="B23" s="24" t="str">
        <f aca="false">IF(INDEX(Starfsmenn!$B$6:$B$10005,ROW()-6)="","",INDEX(Starfsmenn!$B$6:$B$10005,ROW()-6))</f>
        <v/>
      </c>
      <c r="C23" s="24" t="str">
        <f aca="false">IF(INDEX(Starfsmenn!$C$6:$C$10005,ROW()-6)="","",INDEX(Starfsmenn!$C$6:$C$10005,ROW()-6))</f>
        <v/>
      </c>
      <c r="D23" s="23"/>
      <c r="E23" s="40" t="str">
        <f aca="false">IF(OR(D$4=0,D23=""),"",IFERROR(ROUND(D23/INDEX(Undirviðmið!$F$6:$F$205,D$4)*INDEX(Undirviðmið!$E$6:$E$205,D$4)*KVARDI,2),""))</f>
        <v/>
      </c>
      <c r="F23" s="23"/>
      <c r="G23" s="40" t="str">
        <f aca="false">IF(OR(F$4=0,F23=""),"",IFERROR(ROUND(F23/INDEX(Undirviðmið!$F$6:$F$205,F$4)*INDEX(Undirviðmið!$E$6:$E$205,F$4)*KVARDI,2),""))</f>
        <v/>
      </c>
      <c r="H23" s="23"/>
      <c r="I23" s="40" t="str">
        <f aca="false">IF(OR(H$4=0,H23=""),"",IFERROR(ROUND(H23/INDEX(Undirviðmið!$F$6:$F$205,H$4)*INDEX(Undirviðmið!$E$6:$E$205,H$4)*KVARDI,2),""))</f>
        <v/>
      </c>
      <c r="J23" s="23"/>
      <c r="K23" s="40" t="str">
        <f aca="false">IF(OR(J$4=0,J23=""),"",IFERROR(ROUND(J23/INDEX(Undirviðmið!$F$6:$F$205,J$4)*INDEX(Undirviðmið!$E$6:$E$205,J$4)*KVARDI,2),""))</f>
        <v/>
      </c>
      <c r="L23" s="23"/>
      <c r="M23" s="40" t="str">
        <f aca="false">IF(OR(L$4=0,L23=""),"",IFERROR(ROUND(L23/INDEX(Undirviðmið!$F$6:$F$205,L$4)*INDEX(Undirviðmið!$E$6:$E$205,L$4)*KVARDI,2),""))</f>
        <v/>
      </c>
      <c r="N23" s="23"/>
      <c r="O23" s="40" t="str">
        <f aca="false">IF(OR(N$4=0,N23=""),"",IFERROR(ROUND(N23/INDEX(Undirviðmið!$F$6:$F$205,N$4)*INDEX(Undirviðmið!$E$6:$E$205,N$4)*KVARDI,2),""))</f>
        <v/>
      </c>
      <c r="P23" s="23"/>
      <c r="Q23" s="40" t="str">
        <f aca="false">IF(OR(P$4=0,P23=""),"",IFERROR(ROUND(P23/INDEX(Undirviðmið!$F$6:$F$205,P$4)*INDEX(Undirviðmið!$E$6:$E$205,P$4)*KVARDI,2),""))</f>
        <v/>
      </c>
      <c r="R23" s="23"/>
      <c r="S23" s="40" t="str">
        <f aca="false">IF(OR(R$4=0,R23=""),"",IFERROR(ROUND(R23/INDEX(Undirviðmið!$F$6:$F$205,R$4)*INDEX(Undirviðmið!$E$6:$E$205,R$4)*KVARDI,2),""))</f>
        <v/>
      </c>
      <c r="T23" s="23"/>
      <c r="U23" s="40" t="str">
        <f aca="false">IF(OR(T$4=0,T23=""),"",IFERROR(ROUND(T23/INDEX(Undirviðmið!$F$6:$F$205,T$4)*INDEX(Undirviðmið!$E$6:$E$205,T$4)*KVARDI,2),""))</f>
        <v/>
      </c>
      <c r="V23" s="23"/>
      <c r="W23" s="40" t="str">
        <f aca="false">IF(OR(V$4=0,V23=""),"",IFERROR(ROUND(V23/INDEX(Undirviðmið!$F$6:$F$205,V$4)*INDEX(Undirviðmið!$E$6:$E$205,V$4)*KVARDI,2),""))</f>
        <v/>
      </c>
      <c r="X23" s="23"/>
      <c r="Y23" s="40" t="str">
        <f aca="false">IF(OR(X$4=0,X23=""),"",IFERROR(ROUND(X23/INDEX(Undirviðmið!$F$6:$F$205,X$4)*INDEX(Undirviðmið!$E$6:$E$205,X$4)*KVARDI,2),""))</f>
        <v/>
      </c>
      <c r="Z23" s="23"/>
      <c r="AA23" s="40" t="str">
        <f aca="false">IF(OR(Z$4=0,Z23=""),"",IFERROR(ROUND(Z23/INDEX(Undirviðmið!$F$6:$F$205,Z$4)*INDEX(Undirviðmið!$E$6:$E$205,Z$4)*KVARDI,2),""))</f>
        <v/>
      </c>
      <c r="AB23" s="23"/>
      <c r="AC23" s="40" t="str">
        <f aca="false">IF(OR(AB$4=0,AB23=""),"",IFERROR(ROUND(AB23/INDEX(Undirviðmið!$F$6:$F$205,AB$4)*INDEX(Undirviðmið!$E$6:$E$205,AB$4)*KVARDI,2),""))</f>
        <v/>
      </c>
      <c r="AD23" s="23"/>
      <c r="AE23" s="40" t="str">
        <f aca="false">IF(OR(AD$4=0,AD23=""),"",IFERROR(ROUND(AD23/INDEX(Undirviðmið!$F$6:$F$205,AD$4)*INDEX(Undirviðmið!$E$6:$E$205,AD$4)*KVARDI,2),""))</f>
        <v/>
      </c>
      <c r="AF23" s="23"/>
      <c r="AG23" s="40" t="str">
        <f aca="false">IF(OR(AF$4=0,AF23=""),"",IFERROR(ROUND(AF23/INDEX(Undirviðmið!$F$6:$F$205,AF$4)*INDEX(Undirviðmið!$E$6:$E$205,AF$4)*KVARDI,2),""))</f>
        <v/>
      </c>
      <c r="AH23" s="23"/>
      <c r="AI23" s="40" t="str">
        <f aca="false">IF(OR(AH$4=0,AH23=""),"",IFERROR(ROUND(AH23/INDEX(Undirviðmið!$F$6:$F$205,AH$4)*INDEX(Undirviðmið!$E$6:$E$205,AH$4)*KVARDI,2),""))</f>
        <v/>
      </c>
      <c r="AJ23" s="23"/>
      <c r="AK23" s="40" t="str">
        <f aca="false">IF(OR(AJ$4=0,AJ23=""),"",IFERROR(ROUND(AJ23/INDEX(Undirviðmið!$F$6:$F$205,AJ$4)*INDEX(Undirviðmið!$E$6:$E$205,AJ$4)*KVARDI,2),""))</f>
        <v/>
      </c>
      <c r="AL23" s="23"/>
      <c r="AM23" s="40" t="str">
        <f aca="false">IF(OR(AL$4=0,AL23=""),"",IFERROR(ROUND(AL23/INDEX(Undirviðmið!$F$6:$F$205,AL$4)*INDEX(Undirviðmið!$E$6:$E$205,AL$4)*KVARDI,2),""))</f>
        <v/>
      </c>
      <c r="AN23" s="23"/>
      <c r="AO23" s="40" t="str">
        <f aca="false">IF(OR(AN$4=0,AN23=""),"",IFERROR(ROUND(AN23/INDEX(Undirviðmið!$F$6:$F$205,AN$4)*INDEX(Undirviðmið!$E$6:$E$205,AN$4)*KVARDI,2),""))</f>
        <v/>
      </c>
      <c r="AP23" s="23"/>
      <c r="AQ23" s="40" t="str">
        <f aca="false">IF(OR(AP$4=0,AP23=""),"",IFERROR(ROUND(AP23/INDEX(Undirviðmið!$F$6:$F$205,AP$4)*INDEX(Undirviðmið!$E$6:$E$205,AP$4)*KVARDI,2),""))</f>
        <v/>
      </c>
      <c r="AR23" s="23"/>
      <c r="AS23" s="40" t="str">
        <f aca="false">IF(OR(AR$4=0,AR23=""),"",IFERROR(ROUND(AR23/INDEX(Undirviðmið!$F$6:$F$205,AR$4)*INDEX(Undirviðmið!$E$6:$E$205,AR$4)*KVARDI,2),""))</f>
        <v/>
      </c>
      <c r="AT23" s="23"/>
      <c r="AU23" s="40" t="str">
        <f aca="false">IF(OR(AT$4=0,AT23=""),"",IFERROR(ROUND(AT23/INDEX(Undirviðmið!$F$6:$F$205,AT$4)*INDEX(Undirviðmið!$E$6:$E$205,AT$4)*KVARDI,2),""))</f>
        <v/>
      </c>
      <c r="AV23" s="23"/>
      <c r="AW23" s="40" t="str">
        <f aca="false">IF(OR(AV$4=0,AV23=""),"",IFERROR(ROUND(AV23/INDEX(Undirviðmið!$F$6:$F$205,AV$4)*INDEX(Undirviðmið!$E$6:$E$205,AV$4)*KVARDI,2),""))</f>
        <v/>
      </c>
      <c r="AX23" s="23"/>
      <c r="AY23" s="40" t="str">
        <f aca="false">IF(OR(AX$4=0,AX23=""),"",IFERROR(ROUND(AX23/INDEX(Undirviðmið!$F$6:$F$205,AX$4)*INDEX(Undirviðmið!$E$6:$E$205,AX$4)*KVARDI,2),""))</f>
        <v/>
      </c>
      <c r="AZ23" s="23"/>
      <c r="BA23" s="40" t="str">
        <f aca="false">IF(OR(AZ$4=0,AZ23=""),"",IFERROR(ROUND(AZ23/INDEX(Undirviðmið!$F$6:$F$205,AZ$4)*INDEX(Undirviðmið!$E$6:$E$205,AZ$4)*KVARDI,2),""))</f>
        <v/>
      </c>
      <c r="BB23" s="23"/>
      <c r="BC23" s="40" t="str">
        <f aca="false">IF(OR(BB$4=0,BB23=""),"",IFERROR(ROUND(BB23/INDEX(Undirviðmið!$F$6:$F$205,BB$4)*INDEX(Undirviðmið!$E$6:$E$205,BB$4)*KVARDI,2),""))</f>
        <v/>
      </c>
      <c r="BD23" s="23"/>
      <c r="BE23" s="40" t="str">
        <f aca="false">IF(OR(BD$4=0,BD23=""),"",IFERROR(ROUND(BD23/INDEX(Undirviðmið!$F$6:$F$205,BD$4)*INDEX(Undirviðmið!$E$6:$E$205,BD$4)*KVARDI,2),""))</f>
        <v/>
      </c>
      <c r="BF23" s="23"/>
      <c r="BG23" s="40" t="str">
        <f aca="false">IF(OR(BF$4=0,BF23=""),"",IFERROR(ROUND(BF23/INDEX(Undirviðmið!$F$6:$F$205,BF$4)*INDEX(Undirviðmið!$E$6:$E$205,BF$4)*KVARDI,2),""))</f>
        <v/>
      </c>
      <c r="BH23" s="23"/>
      <c r="BI23" s="40" t="str">
        <f aca="false">IF(OR(BH$4=0,BH23=""),"",IFERROR(ROUND(BH23/INDEX(Undirviðmið!$F$6:$F$205,BH$4)*INDEX(Undirviðmið!$E$6:$E$205,BH$4)*KVARDI,2),""))</f>
        <v/>
      </c>
      <c r="BJ23" s="23"/>
      <c r="BK23" s="40" t="str">
        <f aca="false">IF(OR(BJ$4=0,BJ23=""),"",IFERROR(ROUND(BJ23/INDEX(Undirviðmið!$F$6:$F$205,BJ$4)*INDEX(Undirviðmið!$E$6:$E$205,BJ$4)*KVARDI,2),""))</f>
        <v/>
      </c>
      <c r="BL23" s="23"/>
      <c r="BM23" s="40" t="str">
        <f aca="false">IF(OR(BL$4=0,BL23=""),"",IFERROR(ROUND(BL23/INDEX(Undirviðmið!$F$6:$F$205,BL$4)*INDEX(Undirviðmið!$E$6:$E$205,BL$4)*KVARDI,2),""))</f>
        <v/>
      </c>
      <c r="BN23" s="23"/>
      <c r="BO23" s="40" t="str">
        <f aca="false">IF(OR(BN$4=0,BN23=""),"",IFERROR(ROUND(BN23/INDEX(Undirviðmið!$F$6:$F$205,BN$4)*INDEX(Undirviðmið!$E$6:$E$205,BN$4)*KVARDI,2),""))</f>
        <v/>
      </c>
      <c r="BP23" s="23"/>
      <c r="BQ23" s="40" t="str">
        <f aca="false">IF(OR(BP$4=0,BP23=""),"",IFERROR(ROUND(BP23/INDEX(Undirviðmið!$F$6:$F$205,BP$4)*INDEX(Undirviðmið!$E$6:$E$205,BP$4)*KVARDI,2),""))</f>
        <v/>
      </c>
      <c r="BR23" s="23"/>
      <c r="BS23" s="40" t="str">
        <f aca="false">IF(OR(BR$4=0,BR23=""),"",IFERROR(ROUND(BR23/INDEX(Undirviðmið!$F$6:$F$205,BR$4)*INDEX(Undirviðmið!$E$6:$E$205,BR$4)*KVARDI,2),""))</f>
        <v/>
      </c>
      <c r="BT23" s="23"/>
      <c r="BU23" s="40" t="str">
        <f aca="false">IF(OR(BT$4=0,BT23=""),"",IFERROR(ROUND(BT23/INDEX(Undirviðmið!$F$6:$F$205,BT$4)*INDEX(Undirviðmið!$E$6:$E$205,BT$4)*KVARDI,2),""))</f>
        <v/>
      </c>
      <c r="BV23" s="23"/>
      <c r="BW23" s="40" t="str">
        <f aca="false">IF(OR(BV$4=0,BV23=""),"",IFERROR(ROUND(BV23/INDEX(Undirviðmið!$F$6:$F$205,BV$4)*INDEX(Undirviðmið!$E$6:$E$205,BV$4)*KVARDI,2),""))</f>
        <v/>
      </c>
      <c r="BX23" s="23"/>
      <c r="BY23" s="40" t="str">
        <f aca="false">IF(OR(BX$4=0,BX23=""),"",IFERROR(ROUND(BX23/INDEX(Undirviðmið!$F$6:$F$205,BX$4)*INDEX(Undirviðmið!$E$6:$E$205,BX$4)*KVARDI,2),""))</f>
        <v/>
      </c>
      <c r="BZ23" s="23"/>
      <c r="CA23" s="40" t="str">
        <f aca="false">IF(OR(BZ$4=0,BZ23=""),"",IFERROR(ROUND(BZ23/INDEX(Undirviðmið!$F$6:$F$205,BZ$4)*INDEX(Undirviðmið!$E$6:$E$205,BZ$4)*KVARDI,2),""))</f>
        <v/>
      </c>
      <c r="CB23" s="23"/>
      <c r="CC23" s="40" t="str">
        <f aca="false">IF(OR(CB$4=0,CB23=""),"",IFERROR(ROUND(CB23/INDEX(Undirviðmið!$F$6:$F$205,CB$4)*INDEX(Undirviðmið!$E$6:$E$205,CB$4)*KVARDI,2),""))</f>
        <v/>
      </c>
      <c r="CD23" s="23"/>
      <c r="CE23" s="40" t="str">
        <f aca="false">IF(OR(CD$4=0,CD23=""),"",IFERROR(ROUND(CD23/INDEX(Undirviðmið!$F$6:$F$205,CD$4)*INDEX(Undirviðmið!$E$6:$E$205,CD$4)*KVARDI,2),""))</f>
        <v/>
      </c>
      <c r="CF23" s="23"/>
      <c r="CG23" s="40" t="str">
        <f aca="false">IF(OR(CF$4=0,CF23=""),"",IFERROR(ROUND(CF23/INDEX(Undirviðmið!$F$6:$F$205,CF$4)*INDEX(Undirviðmið!$E$6:$E$205,CF$4)*KVARDI,2),""))</f>
        <v/>
      </c>
      <c r="CH23" s="23"/>
      <c r="CI23" s="40" t="str">
        <f aca="false">IF(OR(CH$4=0,CH23=""),"",IFERROR(ROUND(CH23/INDEX(Undirviðmið!$F$6:$F$205,CH$4)*INDEX(Undirviðmið!$E$6:$E$205,CH$4)*KVARDI,2),""))</f>
        <v/>
      </c>
      <c r="CJ23" s="23"/>
      <c r="CK23" s="40" t="str">
        <f aca="false">IF(OR(CJ$4=0,CJ23=""),"",IFERROR(ROUND(CJ23/INDEX(Undirviðmið!$F$6:$F$205,CJ$4)*INDEX(Undirviðmið!$E$6:$E$205,CJ$4)*KVARDI,2),""))</f>
        <v/>
      </c>
      <c r="CL23" s="23"/>
      <c r="CM23" s="40" t="str">
        <f aca="false">IF(OR(CL$4=0,CL23=""),"",IFERROR(ROUND(CL23/INDEX(Undirviðmið!$F$6:$F$205,CL$4)*INDEX(Undirviðmið!$E$6:$E$205,CL$4)*KVARDI,2),""))</f>
        <v/>
      </c>
      <c r="CN23" s="23"/>
      <c r="CO23" s="40" t="str">
        <f aca="false">IF(OR(CN$4=0,CN23=""),"",IFERROR(ROUND(CN23/INDEX(Undirviðmið!$F$6:$F$205,CN$4)*INDEX(Undirviðmið!$E$6:$E$205,CN$4)*KVARDI,2),""))</f>
        <v/>
      </c>
      <c r="CP23" s="23"/>
      <c r="CQ23" s="40" t="str">
        <f aca="false">IF(OR(CP$4=0,CP23=""),"",IFERROR(ROUND(CP23/INDEX(Undirviðmið!$F$6:$F$205,CP$4)*INDEX(Undirviðmið!$E$6:$E$205,CP$4)*KVARDI,2),""))</f>
        <v/>
      </c>
      <c r="CR23" s="23"/>
      <c r="CS23" s="40" t="str">
        <f aca="false">IF(OR(CR$4=0,CR23=""),"",IFERROR(ROUND(CR23/INDEX(Undirviðmið!$F$6:$F$205,CR$4)*INDEX(Undirviðmið!$E$6:$E$205,CR$4)*KVARDI,2),""))</f>
        <v/>
      </c>
      <c r="CT23" s="23"/>
      <c r="CU23" s="40" t="str">
        <f aca="false">IF(OR(CT$4=0,CT23=""),"",IFERROR(ROUND(CT23/INDEX(Undirviðmið!$F$6:$F$205,CT$4)*INDEX(Undirviðmið!$E$6:$E$205,CT$4)*KVARDI,2),""))</f>
        <v/>
      </c>
      <c r="CV23" s="23"/>
      <c r="CW23" s="40" t="str">
        <f aca="false">IF(OR(CV$4=0,CV23=""),"",IFERROR(ROUND(CV23/INDEX(Undirviðmið!$F$6:$F$205,CV$4)*INDEX(Undirviðmið!$E$6:$E$205,CV$4)*KVARDI,2),""))</f>
        <v/>
      </c>
      <c r="CX23" s="23"/>
      <c r="CY23" s="40" t="str">
        <f aca="false">IF(OR(CX$4=0,CX23=""),"",IFERROR(ROUND(CX23/INDEX(Undirviðmið!$F$6:$F$205,CX$4)*INDEX(Undirviðmið!$E$6:$E$205,CX$4)*KVARDI,2),""))</f>
        <v/>
      </c>
      <c r="CZ23" s="23"/>
      <c r="DA23" s="40" t="str">
        <f aca="false">IF(OR(CZ$4=0,CZ23=""),"",IFERROR(ROUND(CZ23/INDEX(Undirviðmið!$F$6:$F$205,CZ$4)*INDEX(Undirviðmið!$E$6:$E$205,CZ$4)*KVARDI,2),""))</f>
        <v/>
      </c>
      <c r="DB23" s="23"/>
      <c r="DC23" s="40" t="str">
        <f aca="false">IF(OR(DB$4=0,DB23=""),"",IFERROR(ROUND(DB23/INDEX(Undirviðmið!$F$6:$F$205,DB$4)*INDEX(Undirviðmið!$E$6:$E$205,DB$4)*KVARDI,2),""))</f>
        <v/>
      </c>
      <c r="DD23" s="23"/>
      <c r="DE23" s="40" t="str">
        <f aca="false">IF(OR(DD$4=0,DD23=""),"",IFERROR(ROUND(DD23/INDEX(Undirviðmið!$F$6:$F$205,DD$4)*INDEX(Undirviðmið!$E$6:$E$205,DD$4)*KVARDI,2),""))</f>
        <v/>
      </c>
      <c r="DF23" s="23"/>
      <c r="DG23" s="40" t="str">
        <f aca="false">IF(OR(DF$4=0,DF23=""),"",IFERROR(ROUND(DF23/INDEX(Undirviðmið!$F$6:$F$205,DF$4)*INDEX(Undirviðmið!$E$6:$E$205,DF$4)*KVARDI,2),""))</f>
        <v/>
      </c>
      <c r="DH23" s="23"/>
      <c r="DI23" s="40" t="str">
        <f aca="false">IF(OR(DH$4=0,DH23=""),"",IFERROR(ROUND(DH23/INDEX(Undirviðmið!$F$6:$F$205,DH$4)*INDEX(Undirviðmið!$E$6:$E$205,DH$4)*KVARDI,2),""))</f>
        <v/>
      </c>
      <c r="DJ23" s="23"/>
      <c r="DK23" s="40" t="str">
        <f aca="false">IF(OR(DJ$4=0,DJ23=""),"",IFERROR(ROUND(DJ23/INDEX(Undirviðmið!$F$6:$F$205,DJ$4)*INDEX(Undirviðmið!$E$6:$E$205,DJ$4)*KVARDI,2),""))</f>
        <v/>
      </c>
      <c r="DL23" s="23"/>
      <c r="DM23" s="40" t="str">
        <f aca="false">IF(OR(DL$4=0,DL23=""),"",IFERROR(ROUND(DL23/INDEX(Undirviðmið!$F$6:$F$205,DL$4)*INDEX(Undirviðmið!$E$6:$E$205,DL$4)*KVARDI,2),""))</f>
        <v/>
      </c>
      <c r="DN23" s="23"/>
      <c r="DO23" s="40" t="str">
        <f aca="false">IF(OR(DN$4=0,DN23=""),"",IFERROR(ROUND(DN23/INDEX(Undirviðmið!$F$6:$F$205,DN$4)*INDEX(Undirviðmið!$E$6:$E$205,DN$4)*KVARDI,2),""))</f>
        <v/>
      </c>
      <c r="DP23" s="23"/>
      <c r="DQ23" s="40" t="str">
        <f aca="false">IF(OR(DP$4=0,DP23=""),"",IFERROR(ROUND(DP23/INDEX(Undirviðmið!$F$6:$F$205,DP$4)*INDEX(Undirviðmið!$E$6:$E$205,DP$4)*KVARDI,2),""))</f>
        <v/>
      </c>
      <c r="DR23" s="23"/>
      <c r="DS23" s="40" t="str">
        <f aca="false">IF(OR(DR$4=0,DR23=""),"",IFERROR(ROUND(DR23/INDEX(Undirviðmið!$F$6:$F$205,DR$4)*INDEX(Undirviðmið!$E$6:$E$205,DR$4)*KVARDI,2),""))</f>
        <v/>
      </c>
      <c r="DT23" s="23"/>
      <c r="DU23" s="40" t="str">
        <f aca="false">IF(OR(DT$4=0,DT23=""),"",IFERROR(ROUND(DT23/INDEX(Undirviðmið!$F$6:$F$205,DT$4)*INDEX(Undirviðmið!$E$6:$E$205,DT$4)*KVARDI,2),""))</f>
        <v/>
      </c>
      <c r="DV23" s="23"/>
      <c r="DW23" s="40" t="str">
        <f aca="false">IF(OR(DV$4=0,DV23=""),"",IFERROR(ROUND(DV23/INDEX(Undirviðmið!$F$6:$F$205,DV$4)*INDEX(Undirviðmið!$E$6:$E$205,DV$4)*KVARDI,2),""))</f>
        <v/>
      </c>
      <c r="DX23" s="23"/>
      <c r="DY23" s="40" t="str">
        <f aca="false">IF(OR(DX$4=0,DX23=""),"",IFERROR(ROUND(DX23/INDEX(Undirviðmið!$F$6:$F$205,DX$4)*INDEX(Undirviðmið!$E$6:$E$205,DX$4)*KVARDI,2),""))</f>
        <v/>
      </c>
      <c r="DZ23" s="23"/>
      <c r="EA23" s="40" t="str">
        <f aca="false">IF(OR(DZ$4=0,DZ23=""),"",IFERROR(ROUND(DZ23/INDEX(Undirviðmið!$F$6:$F$205,DZ$4)*INDEX(Undirviðmið!$E$6:$E$205,DZ$4)*KVARDI,2),""))</f>
        <v/>
      </c>
      <c r="EB23" s="23"/>
      <c r="EC23" s="40" t="str">
        <f aca="false">IF(OR(EB$4=0,EB23=""),"",IFERROR(ROUND(EB23/INDEX(Undirviðmið!$F$6:$F$205,EB$4)*INDEX(Undirviðmið!$E$6:$E$205,EB$4)*KVARDI,2),""))</f>
        <v/>
      </c>
      <c r="ED23" s="23"/>
      <c r="EE23" s="40" t="str">
        <f aca="false">IF(OR(ED$4=0,ED23=""),"",IFERROR(ROUND(ED23/INDEX(Undirviðmið!$F$6:$F$205,ED$4)*INDEX(Undirviðmið!$E$6:$E$205,ED$4)*KVARDI,2),""))</f>
        <v/>
      </c>
      <c r="EF23" s="23"/>
      <c r="EG23" s="40" t="str">
        <f aca="false">IF(OR(EF$4=0,EF23=""),"",IFERROR(ROUND(EF23/INDEX(Undirviðmið!$F$6:$F$205,EF$4)*INDEX(Undirviðmið!$E$6:$E$205,EF$4)*KVARDI,2),""))</f>
        <v/>
      </c>
      <c r="EH23" s="23"/>
      <c r="EI23" s="40" t="str">
        <f aca="false">IF(OR(EH$4=0,EH23=""),"",IFERROR(ROUND(EH23/INDEX(Undirviðmið!$F$6:$F$205,EH$4)*INDEX(Undirviðmið!$E$6:$E$205,EH$4)*KVARDI,2),""))</f>
        <v/>
      </c>
      <c r="EJ23" s="23"/>
      <c r="EK23" s="40" t="str">
        <f aca="false">IF(OR(EJ$4=0,EJ23=""),"",IFERROR(ROUND(EJ23/INDEX(Undirviðmið!$F$6:$F$205,EJ$4)*INDEX(Undirviðmið!$E$6:$E$205,EJ$4)*KVARDI,2),""))</f>
        <v/>
      </c>
      <c r="EL23" s="23"/>
      <c r="EM23" s="40" t="str">
        <f aca="false">IF(OR(EL$4=0,EL23=""),"",IFERROR(ROUND(EL23/INDEX(Undirviðmið!$F$6:$F$205,EL$4)*INDEX(Undirviðmið!$E$6:$E$205,EL$4)*KVARDI,2),""))</f>
        <v/>
      </c>
      <c r="EN23" s="23"/>
      <c r="EO23" s="40" t="str">
        <f aca="false">IF(OR(EN$4=0,EN23=""),"",IFERROR(ROUND(EN23/INDEX(Undirviðmið!$F$6:$F$205,EN$4)*INDEX(Undirviðmið!$E$6:$E$205,EN$4)*KVARDI,2),""))</f>
        <v/>
      </c>
      <c r="EP23" s="23"/>
      <c r="EQ23" s="40" t="str">
        <f aca="false">IF(OR(EP$4=0,EP23=""),"",IFERROR(ROUND(EP23/INDEX(Undirviðmið!$F$6:$F$205,EP$4)*INDEX(Undirviðmið!$E$6:$E$205,EP$4)*KVARDI,2),""))</f>
        <v/>
      </c>
      <c r="ER23" s="23"/>
      <c r="ES23" s="40" t="str">
        <f aca="false">IF(OR(ER$4=0,ER23=""),"",IFERROR(ROUND(ER23/INDEX(Undirviðmið!$F$6:$F$205,ER$4)*INDEX(Undirviðmið!$E$6:$E$205,ER$4)*KVARDI,2),""))</f>
        <v/>
      </c>
      <c r="ET23" s="23"/>
      <c r="EU23" s="40" t="str">
        <f aca="false">IF(OR(ET$4=0,ET23=""),"",IFERROR(ROUND(ET23/INDEX(Undirviðmið!$F$6:$F$205,ET$4)*INDEX(Undirviðmið!$E$6:$E$205,ET$4)*KVARDI,2),""))</f>
        <v/>
      </c>
      <c r="EV23" s="23"/>
      <c r="EW23" s="40" t="str">
        <f aca="false">IF(OR(EV$4=0,EV23=""),"",IFERROR(ROUND(EV23/INDEX(Undirviðmið!$F$6:$F$205,EV$4)*INDEX(Undirviðmið!$E$6:$E$205,EV$4)*KVARDI,2),""))</f>
        <v/>
      </c>
      <c r="EX23" s="23"/>
      <c r="EY23" s="40" t="str">
        <f aca="false">IF(OR(EX$4=0,EX23=""),"",IFERROR(ROUND(EX23/INDEX(Undirviðmið!$F$6:$F$205,EX$4)*INDEX(Undirviðmið!$E$6:$E$205,EX$4)*KVARDI,2),""))</f>
        <v/>
      </c>
      <c r="EZ23" s="23"/>
      <c r="FA23" s="40" t="str">
        <f aca="false">IF(OR(EZ$4=0,EZ23=""),"",IFERROR(ROUND(EZ23/INDEX(Undirviðmið!$F$6:$F$205,EZ$4)*INDEX(Undirviðmið!$E$6:$E$205,EZ$4)*KVARDI,2),""))</f>
        <v/>
      </c>
      <c r="FB23" s="23"/>
      <c r="FC23" s="40" t="str">
        <f aca="false">IF(OR(FB$4=0,FB23=""),"",IFERROR(ROUND(FB23/INDEX(Undirviðmið!$F$6:$F$205,FB$4)*INDEX(Undirviðmið!$E$6:$E$205,FB$4)*KVARDI,2),""))</f>
        <v/>
      </c>
      <c r="FD23" s="23"/>
      <c r="FE23" s="40" t="str">
        <f aca="false">IF(OR(FD$4=0,FD23=""),"",IFERROR(ROUND(FD23/INDEX(Undirviðmið!$F$6:$F$205,FD$4)*INDEX(Undirviðmið!$E$6:$E$205,FD$4)*KVARDI,2),""))</f>
        <v/>
      </c>
      <c r="FF23" s="23"/>
      <c r="FG23" s="40" t="str">
        <f aca="false">IF(OR(FF$4=0,FF23=""),"",IFERROR(ROUND(FF23/INDEX(Undirviðmið!$F$6:$F$205,FF$4)*INDEX(Undirviðmið!$E$6:$E$205,FF$4)*KVARDI,2),""))</f>
        <v/>
      </c>
      <c r="FH23" s="23"/>
      <c r="FI23" s="40" t="str">
        <f aca="false">IF(OR(FH$4=0,FH23=""),"",IFERROR(ROUND(FH23/INDEX(Undirviðmið!$F$6:$F$205,FH$4)*INDEX(Undirviðmið!$E$6:$E$205,FH$4)*KVARDI,2),""))</f>
        <v/>
      </c>
      <c r="FJ23" s="23"/>
      <c r="FK23" s="40" t="str">
        <f aca="false">IF(OR(FJ$4=0,FJ23=""),"",IFERROR(ROUND(FJ23/INDEX(Undirviðmið!$F$6:$F$205,FJ$4)*INDEX(Undirviðmið!$E$6:$E$205,FJ$4)*KVARDI,2),""))</f>
        <v/>
      </c>
      <c r="FL23" s="23"/>
      <c r="FM23" s="40" t="str">
        <f aca="false">IF(OR(FL$4=0,FL23=""),"",IFERROR(ROUND(FL23/INDEX(Undirviðmið!$F$6:$F$205,FL$4)*INDEX(Undirviðmið!$E$6:$E$205,FL$4)*KVARDI,2),""))</f>
        <v/>
      </c>
      <c r="FN23" s="23"/>
      <c r="FO23" s="40" t="str">
        <f aca="false">IF(OR(FN$4=0,FN23=""),"",IFERROR(ROUND(FN23/INDEX(Undirviðmið!$F$6:$F$205,FN$4)*INDEX(Undirviðmið!$E$6:$E$205,FN$4)*KVARDI,2),""))</f>
        <v/>
      </c>
      <c r="FP23" s="23"/>
      <c r="FQ23" s="40" t="str">
        <f aca="false">IF(OR(FP$4=0,FP23=""),"",IFERROR(ROUND(FP23/INDEX(Undirviðmið!$F$6:$F$205,FP$4)*INDEX(Undirviðmið!$E$6:$E$205,FP$4)*KVARDI,2),""))</f>
        <v/>
      </c>
      <c r="FR23" s="23"/>
      <c r="FS23" s="40" t="str">
        <f aca="false">IF(OR(FR$4=0,FR23=""),"",IFERROR(ROUND(FR23/INDEX(Undirviðmið!$F$6:$F$205,FR$4)*INDEX(Undirviðmið!$E$6:$E$205,FR$4)*KVARDI,2),""))</f>
        <v/>
      </c>
      <c r="FT23" s="23"/>
      <c r="FU23" s="40" t="str">
        <f aca="false">IF(OR(FT$4=0,FT23=""),"",IFERROR(ROUND(FT23/INDEX(Undirviðmið!$F$6:$F$205,FT$4)*INDEX(Undirviðmið!$E$6:$E$205,FT$4)*KVARDI,2),""))</f>
        <v/>
      </c>
      <c r="FV23" s="23"/>
      <c r="FW23" s="40" t="str">
        <f aca="false">IF(OR(FV$4=0,FV23=""),"",IFERROR(ROUND(FV23/INDEX(Undirviðmið!$F$6:$F$205,FV$4)*INDEX(Undirviðmið!$E$6:$E$205,FV$4)*KVARDI,2),""))</f>
        <v/>
      </c>
      <c r="FX23" s="23"/>
      <c r="FY23" s="40" t="str">
        <f aca="false">IF(OR(FX$4=0,FX23=""),"",IFERROR(ROUND(FX23/INDEX(Undirviðmið!$F$6:$F$205,FX$4)*INDEX(Undirviðmið!$E$6:$E$205,FX$4)*KVARDI,2),""))</f>
        <v/>
      </c>
      <c r="FZ23" s="23"/>
      <c r="GA23" s="40" t="str">
        <f aca="false">IF(OR(FZ$4=0,FZ23=""),"",IFERROR(ROUND(FZ23/INDEX(Undirviðmið!$F$6:$F$205,FZ$4)*INDEX(Undirviðmið!$E$6:$E$205,FZ$4)*KVARDI,2),""))</f>
        <v/>
      </c>
      <c r="GB23" s="23"/>
      <c r="GC23" s="40" t="str">
        <f aca="false">IF(OR(GB$4=0,GB23=""),"",IFERROR(ROUND(GB23/INDEX(Undirviðmið!$F$6:$F$205,GB$4)*INDEX(Undirviðmið!$E$6:$E$205,GB$4)*KVARDI,2),""))</f>
        <v/>
      </c>
      <c r="GD23" s="23"/>
      <c r="GE23" s="40" t="str">
        <f aca="false">IF(OR(GD$4=0,GD23=""),"",IFERROR(ROUND(GD23/INDEX(Undirviðmið!$F$6:$F$205,GD$4)*INDEX(Undirviðmið!$E$6:$E$205,GD$4)*KVARDI,2),""))</f>
        <v/>
      </c>
      <c r="GF23" s="23"/>
      <c r="GG23" s="40" t="str">
        <f aca="false">IF(OR(GF$4=0,GF23=""),"",IFERROR(ROUND(GF23/INDEX(Undirviðmið!$F$6:$F$205,GF$4)*INDEX(Undirviðmið!$E$6:$E$205,GF$4)*KVARDI,2),""))</f>
        <v/>
      </c>
      <c r="GH23" s="23"/>
      <c r="GI23" s="40" t="str">
        <f aca="false">IF(OR(GH$4=0,GH23=""),"",IFERROR(ROUND(GH23/INDEX(Undirviðmið!$F$6:$F$205,GH$4)*INDEX(Undirviðmið!$E$6:$E$205,GH$4)*KVARDI,2),""))</f>
        <v/>
      </c>
      <c r="GJ23" s="23"/>
      <c r="GK23" s="40" t="str">
        <f aca="false">IF(OR(GJ$4=0,GJ23=""),"",IFERROR(ROUND(GJ23/INDEX(Undirviðmið!$F$6:$F$205,GJ$4)*INDEX(Undirviðmið!$E$6:$E$205,GJ$4)*KVARDI,2),""))</f>
        <v/>
      </c>
      <c r="GL23" s="23"/>
      <c r="GM23" s="40" t="str">
        <f aca="false">IF(OR(GL$4=0,GL23=""),"",IFERROR(ROUND(GL23/INDEX(Undirviðmið!$F$6:$F$205,GL$4)*INDEX(Undirviðmið!$E$6:$E$205,GL$4)*KVARDI,2),""))</f>
        <v/>
      </c>
      <c r="GN23" s="23"/>
      <c r="GO23" s="40" t="str">
        <f aca="false">IF(OR(GN$4=0,GN23=""),"",IFERROR(ROUND(GN23/INDEX(Undirviðmið!$F$6:$F$205,GN$4)*INDEX(Undirviðmið!$E$6:$E$205,GN$4)*KVARDI,2),""))</f>
        <v/>
      </c>
      <c r="GP23" s="23"/>
      <c r="GQ23" s="40" t="str">
        <f aca="false">IF(OR(GP$4=0,GP23=""),"",IFERROR(ROUND(GP23/INDEX(Undirviðmið!$F$6:$F$205,GP$4)*INDEX(Undirviðmið!$E$6:$E$205,GP$4)*KVARDI,2),""))</f>
        <v/>
      </c>
      <c r="GR23" s="23"/>
      <c r="GS23" s="40" t="str">
        <f aca="false">IF(OR(GR$4=0,GR23=""),"",IFERROR(ROUND(GR23/INDEX(Undirviðmið!$F$6:$F$205,GR$4)*INDEX(Undirviðmið!$E$6:$E$205,GR$4)*KVARDI,2),""))</f>
        <v/>
      </c>
      <c r="GT23" s="23"/>
      <c r="GU23" s="40" t="str">
        <f aca="false">IF(OR(GT$4=0,GT23=""),"",IFERROR(ROUND(GT23/INDEX(Undirviðmið!$F$6:$F$205,GT$4)*INDEX(Undirviðmið!$E$6:$E$205,GT$4)*KVARDI,2),""))</f>
        <v/>
      </c>
      <c r="GV23" s="44" t="n">
        <f aca="false">IFERROR(SUMIF($D$6:GU$6,"Stig",$D23:GU23),0)</f>
        <v>0</v>
      </c>
    </row>
    <row r="24" customFormat="false" ht="15" hidden="false" customHeight="true" outlineLevel="0" collapsed="false">
      <c r="A24" s="22" t="n">
        <f aca="false">ROW()-6</f>
        <v>18</v>
      </c>
      <c r="B24" s="24" t="str">
        <f aca="false">IF(INDEX(Starfsmenn!$B$6:$B$10005,ROW()-6)="","",INDEX(Starfsmenn!$B$6:$B$10005,ROW()-6))</f>
        <v/>
      </c>
      <c r="C24" s="24" t="str">
        <f aca="false">IF(INDEX(Starfsmenn!$C$6:$C$10005,ROW()-6)="","",INDEX(Starfsmenn!$C$6:$C$10005,ROW()-6))</f>
        <v/>
      </c>
      <c r="D24" s="23"/>
      <c r="E24" s="40" t="str">
        <f aca="false">IF(OR(D$4=0,D24=""),"",IFERROR(ROUND(D24/INDEX(Undirviðmið!$F$6:$F$205,D$4)*INDEX(Undirviðmið!$E$6:$E$205,D$4)*KVARDI,2),""))</f>
        <v/>
      </c>
      <c r="F24" s="23"/>
      <c r="G24" s="40" t="str">
        <f aca="false">IF(OR(F$4=0,F24=""),"",IFERROR(ROUND(F24/INDEX(Undirviðmið!$F$6:$F$205,F$4)*INDEX(Undirviðmið!$E$6:$E$205,F$4)*KVARDI,2),""))</f>
        <v/>
      </c>
      <c r="H24" s="23"/>
      <c r="I24" s="40" t="str">
        <f aca="false">IF(OR(H$4=0,H24=""),"",IFERROR(ROUND(H24/INDEX(Undirviðmið!$F$6:$F$205,H$4)*INDEX(Undirviðmið!$E$6:$E$205,H$4)*KVARDI,2),""))</f>
        <v/>
      </c>
      <c r="J24" s="23"/>
      <c r="K24" s="40" t="str">
        <f aca="false">IF(OR(J$4=0,J24=""),"",IFERROR(ROUND(J24/INDEX(Undirviðmið!$F$6:$F$205,J$4)*INDEX(Undirviðmið!$E$6:$E$205,J$4)*KVARDI,2),""))</f>
        <v/>
      </c>
      <c r="L24" s="23"/>
      <c r="M24" s="40" t="str">
        <f aca="false">IF(OR(L$4=0,L24=""),"",IFERROR(ROUND(L24/INDEX(Undirviðmið!$F$6:$F$205,L$4)*INDEX(Undirviðmið!$E$6:$E$205,L$4)*KVARDI,2),""))</f>
        <v/>
      </c>
      <c r="N24" s="23"/>
      <c r="O24" s="40" t="str">
        <f aca="false">IF(OR(N$4=0,N24=""),"",IFERROR(ROUND(N24/INDEX(Undirviðmið!$F$6:$F$205,N$4)*INDEX(Undirviðmið!$E$6:$E$205,N$4)*KVARDI,2),""))</f>
        <v/>
      </c>
      <c r="P24" s="23"/>
      <c r="Q24" s="40" t="str">
        <f aca="false">IF(OR(P$4=0,P24=""),"",IFERROR(ROUND(P24/INDEX(Undirviðmið!$F$6:$F$205,P$4)*INDEX(Undirviðmið!$E$6:$E$205,P$4)*KVARDI,2),""))</f>
        <v/>
      </c>
      <c r="R24" s="23"/>
      <c r="S24" s="40" t="str">
        <f aca="false">IF(OR(R$4=0,R24=""),"",IFERROR(ROUND(R24/INDEX(Undirviðmið!$F$6:$F$205,R$4)*INDEX(Undirviðmið!$E$6:$E$205,R$4)*KVARDI,2),""))</f>
        <v/>
      </c>
      <c r="T24" s="23"/>
      <c r="U24" s="40" t="str">
        <f aca="false">IF(OR(T$4=0,T24=""),"",IFERROR(ROUND(T24/INDEX(Undirviðmið!$F$6:$F$205,T$4)*INDEX(Undirviðmið!$E$6:$E$205,T$4)*KVARDI,2),""))</f>
        <v/>
      </c>
      <c r="V24" s="23"/>
      <c r="W24" s="40" t="str">
        <f aca="false">IF(OR(V$4=0,V24=""),"",IFERROR(ROUND(V24/INDEX(Undirviðmið!$F$6:$F$205,V$4)*INDEX(Undirviðmið!$E$6:$E$205,V$4)*KVARDI,2),""))</f>
        <v/>
      </c>
      <c r="X24" s="23"/>
      <c r="Y24" s="40" t="str">
        <f aca="false">IF(OR(X$4=0,X24=""),"",IFERROR(ROUND(X24/INDEX(Undirviðmið!$F$6:$F$205,X$4)*INDEX(Undirviðmið!$E$6:$E$205,X$4)*KVARDI,2),""))</f>
        <v/>
      </c>
      <c r="Z24" s="23"/>
      <c r="AA24" s="40" t="str">
        <f aca="false">IF(OR(Z$4=0,Z24=""),"",IFERROR(ROUND(Z24/INDEX(Undirviðmið!$F$6:$F$205,Z$4)*INDEX(Undirviðmið!$E$6:$E$205,Z$4)*KVARDI,2),""))</f>
        <v/>
      </c>
      <c r="AB24" s="23"/>
      <c r="AC24" s="40" t="str">
        <f aca="false">IF(OR(AB$4=0,AB24=""),"",IFERROR(ROUND(AB24/INDEX(Undirviðmið!$F$6:$F$205,AB$4)*INDEX(Undirviðmið!$E$6:$E$205,AB$4)*KVARDI,2),""))</f>
        <v/>
      </c>
      <c r="AD24" s="23"/>
      <c r="AE24" s="40" t="str">
        <f aca="false">IF(OR(AD$4=0,AD24=""),"",IFERROR(ROUND(AD24/INDEX(Undirviðmið!$F$6:$F$205,AD$4)*INDEX(Undirviðmið!$E$6:$E$205,AD$4)*KVARDI,2),""))</f>
        <v/>
      </c>
      <c r="AF24" s="23"/>
      <c r="AG24" s="40" t="str">
        <f aca="false">IF(OR(AF$4=0,AF24=""),"",IFERROR(ROUND(AF24/INDEX(Undirviðmið!$F$6:$F$205,AF$4)*INDEX(Undirviðmið!$E$6:$E$205,AF$4)*KVARDI,2),""))</f>
        <v/>
      </c>
      <c r="AH24" s="23"/>
      <c r="AI24" s="40" t="str">
        <f aca="false">IF(OR(AH$4=0,AH24=""),"",IFERROR(ROUND(AH24/INDEX(Undirviðmið!$F$6:$F$205,AH$4)*INDEX(Undirviðmið!$E$6:$E$205,AH$4)*KVARDI,2),""))</f>
        <v/>
      </c>
      <c r="AJ24" s="23"/>
      <c r="AK24" s="40" t="str">
        <f aca="false">IF(OR(AJ$4=0,AJ24=""),"",IFERROR(ROUND(AJ24/INDEX(Undirviðmið!$F$6:$F$205,AJ$4)*INDEX(Undirviðmið!$E$6:$E$205,AJ$4)*KVARDI,2),""))</f>
        <v/>
      </c>
      <c r="AL24" s="23"/>
      <c r="AM24" s="40" t="str">
        <f aca="false">IF(OR(AL$4=0,AL24=""),"",IFERROR(ROUND(AL24/INDEX(Undirviðmið!$F$6:$F$205,AL$4)*INDEX(Undirviðmið!$E$6:$E$205,AL$4)*KVARDI,2),""))</f>
        <v/>
      </c>
      <c r="AN24" s="23"/>
      <c r="AO24" s="40" t="str">
        <f aca="false">IF(OR(AN$4=0,AN24=""),"",IFERROR(ROUND(AN24/INDEX(Undirviðmið!$F$6:$F$205,AN$4)*INDEX(Undirviðmið!$E$6:$E$205,AN$4)*KVARDI,2),""))</f>
        <v/>
      </c>
      <c r="AP24" s="23"/>
      <c r="AQ24" s="40" t="str">
        <f aca="false">IF(OR(AP$4=0,AP24=""),"",IFERROR(ROUND(AP24/INDEX(Undirviðmið!$F$6:$F$205,AP$4)*INDEX(Undirviðmið!$E$6:$E$205,AP$4)*KVARDI,2),""))</f>
        <v/>
      </c>
      <c r="AR24" s="23"/>
      <c r="AS24" s="40" t="str">
        <f aca="false">IF(OR(AR$4=0,AR24=""),"",IFERROR(ROUND(AR24/INDEX(Undirviðmið!$F$6:$F$205,AR$4)*INDEX(Undirviðmið!$E$6:$E$205,AR$4)*KVARDI,2),""))</f>
        <v/>
      </c>
      <c r="AT24" s="23"/>
      <c r="AU24" s="40" t="str">
        <f aca="false">IF(OR(AT$4=0,AT24=""),"",IFERROR(ROUND(AT24/INDEX(Undirviðmið!$F$6:$F$205,AT$4)*INDEX(Undirviðmið!$E$6:$E$205,AT$4)*KVARDI,2),""))</f>
        <v/>
      </c>
      <c r="AV24" s="23"/>
      <c r="AW24" s="40" t="str">
        <f aca="false">IF(OR(AV$4=0,AV24=""),"",IFERROR(ROUND(AV24/INDEX(Undirviðmið!$F$6:$F$205,AV$4)*INDEX(Undirviðmið!$E$6:$E$205,AV$4)*KVARDI,2),""))</f>
        <v/>
      </c>
      <c r="AX24" s="23"/>
      <c r="AY24" s="40" t="str">
        <f aca="false">IF(OR(AX$4=0,AX24=""),"",IFERROR(ROUND(AX24/INDEX(Undirviðmið!$F$6:$F$205,AX$4)*INDEX(Undirviðmið!$E$6:$E$205,AX$4)*KVARDI,2),""))</f>
        <v/>
      </c>
      <c r="AZ24" s="23"/>
      <c r="BA24" s="40" t="str">
        <f aca="false">IF(OR(AZ$4=0,AZ24=""),"",IFERROR(ROUND(AZ24/INDEX(Undirviðmið!$F$6:$F$205,AZ$4)*INDEX(Undirviðmið!$E$6:$E$205,AZ$4)*KVARDI,2),""))</f>
        <v/>
      </c>
      <c r="BB24" s="23"/>
      <c r="BC24" s="40" t="str">
        <f aca="false">IF(OR(BB$4=0,BB24=""),"",IFERROR(ROUND(BB24/INDEX(Undirviðmið!$F$6:$F$205,BB$4)*INDEX(Undirviðmið!$E$6:$E$205,BB$4)*KVARDI,2),""))</f>
        <v/>
      </c>
      <c r="BD24" s="23"/>
      <c r="BE24" s="40" t="str">
        <f aca="false">IF(OR(BD$4=0,BD24=""),"",IFERROR(ROUND(BD24/INDEX(Undirviðmið!$F$6:$F$205,BD$4)*INDEX(Undirviðmið!$E$6:$E$205,BD$4)*KVARDI,2),""))</f>
        <v/>
      </c>
      <c r="BF24" s="23"/>
      <c r="BG24" s="40" t="str">
        <f aca="false">IF(OR(BF$4=0,BF24=""),"",IFERROR(ROUND(BF24/INDEX(Undirviðmið!$F$6:$F$205,BF$4)*INDEX(Undirviðmið!$E$6:$E$205,BF$4)*KVARDI,2),""))</f>
        <v/>
      </c>
      <c r="BH24" s="23"/>
      <c r="BI24" s="40" t="str">
        <f aca="false">IF(OR(BH$4=0,BH24=""),"",IFERROR(ROUND(BH24/INDEX(Undirviðmið!$F$6:$F$205,BH$4)*INDEX(Undirviðmið!$E$6:$E$205,BH$4)*KVARDI,2),""))</f>
        <v/>
      </c>
      <c r="BJ24" s="23"/>
      <c r="BK24" s="40" t="str">
        <f aca="false">IF(OR(BJ$4=0,BJ24=""),"",IFERROR(ROUND(BJ24/INDEX(Undirviðmið!$F$6:$F$205,BJ$4)*INDEX(Undirviðmið!$E$6:$E$205,BJ$4)*KVARDI,2),""))</f>
        <v/>
      </c>
      <c r="BL24" s="23"/>
      <c r="BM24" s="40" t="str">
        <f aca="false">IF(OR(BL$4=0,BL24=""),"",IFERROR(ROUND(BL24/INDEX(Undirviðmið!$F$6:$F$205,BL$4)*INDEX(Undirviðmið!$E$6:$E$205,BL$4)*KVARDI,2),""))</f>
        <v/>
      </c>
      <c r="BN24" s="23"/>
      <c r="BO24" s="40" t="str">
        <f aca="false">IF(OR(BN$4=0,BN24=""),"",IFERROR(ROUND(BN24/INDEX(Undirviðmið!$F$6:$F$205,BN$4)*INDEX(Undirviðmið!$E$6:$E$205,BN$4)*KVARDI,2),""))</f>
        <v/>
      </c>
      <c r="BP24" s="23"/>
      <c r="BQ24" s="40" t="str">
        <f aca="false">IF(OR(BP$4=0,BP24=""),"",IFERROR(ROUND(BP24/INDEX(Undirviðmið!$F$6:$F$205,BP$4)*INDEX(Undirviðmið!$E$6:$E$205,BP$4)*KVARDI,2),""))</f>
        <v/>
      </c>
      <c r="BR24" s="23"/>
      <c r="BS24" s="40" t="str">
        <f aca="false">IF(OR(BR$4=0,BR24=""),"",IFERROR(ROUND(BR24/INDEX(Undirviðmið!$F$6:$F$205,BR$4)*INDEX(Undirviðmið!$E$6:$E$205,BR$4)*KVARDI,2),""))</f>
        <v/>
      </c>
      <c r="BT24" s="23"/>
      <c r="BU24" s="40" t="str">
        <f aca="false">IF(OR(BT$4=0,BT24=""),"",IFERROR(ROUND(BT24/INDEX(Undirviðmið!$F$6:$F$205,BT$4)*INDEX(Undirviðmið!$E$6:$E$205,BT$4)*KVARDI,2),""))</f>
        <v/>
      </c>
      <c r="BV24" s="23"/>
      <c r="BW24" s="40" t="str">
        <f aca="false">IF(OR(BV$4=0,BV24=""),"",IFERROR(ROUND(BV24/INDEX(Undirviðmið!$F$6:$F$205,BV$4)*INDEX(Undirviðmið!$E$6:$E$205,BV$4)*KVARDI,2),""))</f>
        <v/>
      </c>
      <c r="BX24" s="23"/>
      <c r="BY24" s="40" t="str">
        <f aca="false">IF(OR(BX$4=0,BX24=""),"",IFERROR(ROUND(BX24/INDEX(Undirviðmið!$F$6:$F$205,BX$4)*INDEX(Undirviðmið!$E$6:$E$205,BX$4)*KVARDI,2),""))</f>
        <v/>
      </c>
      <c r="BZ24" s="23"/>
      <c r="CA24" s="40" t="str">
        <f aca="false">IF(OR(BZ$4=0,BZ24=""),"",IFERROR(ROUND(BZ24/INDEX(Undirviðmið!$F$6:$F$205,BZ$4)*INDEX(Undirviðmið!$E$6:$E$205,BZ$4)*KVARDI,2),""))</f>
        <v/>
      </c>
      <c r="CB24" s="23"/>
      <c r="CC24" s="40" t="str">
        <f aca="false">IF(OR(CB$4=0,CB24=""),"",IFERROR(ROUND(CB24/INDEX(Undirviðmið!$F$6:$F$205,CB$4)*INDEX(Undirviðmið!$E$6:$E$205,CB$4)*KVARDI,2),""))</f>
        <v/>
      </c>
      <c r="CD24" s="23"/>
      <c r="CE24" s="40" t="str">
        <f aca="false">IF(OR(CD$4=0,CD24=""),"",IFERROR(ROUND(CD24/INDEX(Undirviðmið!$F$6:$F$205,CD$4)*INDEX(Undirviðmið!$E$6:$E$205,CD$4)*KVARDI,2),""))</f>
        <v/>
      </c>
      <c r="CF24" s="23"/>
      <c r="CG24" s="40" t="str">
        <f aca="false">IF(OR(CF$4=0,CF24=""),"",IFERROR(ROUND(CF24/INDEX(Undirviðmið!$F$6:$F$205,CF$4)*INDEX(Undirviðmið!$E$6:$E$205,CF$4)*KVARDI,2),""))</f>
        <v/>
      </c>
      <c r="CH24" s="23"/>
      <c r="CI24" s="40" t="str">
        <f aca="false">IF(OR(CH$4=0,CH24=""),"",IFERROR(ROUND(CH24/INDEX(Undirviðmið!$F$6:$F$205,CH$4)*INDEX(Undirviðmið!$E$6:$E$205,CH$4)*KVARDI,2),""))</f>
        <v/>
      </c>
      <c r="CJ24" s="23"/>
      <c r="CK24" s="40" t="str">
        <f aca="false">IF(OR(CJ$4=0,CJ24=""),"",IFERROR(ROUND(CJ24/INDEX(Undirviðmið!$F$6:$F$205,CJ$4)*INDEX(Undirviðmið!$E$6:$E$205,CJ$4)*KVARDI,2),""))</f>
        <v/>
      </c>
      <c r="CL24" s="23"/>
      <c r="CM24" s="40" t="str">
        <f aca="false">IF(OR(CL$4=0,CL24=""),"",IFERROR(ROUND(CL24/INDEX(Undirviðmið!$F$6:$F$205,CL$4)*INDEX(Undirviðmið!$E$6:$E$205,CL$4)*KVARDI,2),""))</f>
        <v/>
      </c>
      <c r="CN24" s="23"/>
      <c r="CO24" s="40" t="str">
        <f aca="false">IF(OR(CN$4=0,CN24=""),"",IFERROR(ROUND(CN24/INDEX(Undirviðmið!$F$6:$F$205,CN$4)*INDEX(Undirviðmið!$E$6:$E$205,CN$4)*KVARDI,2),""))</f>
        <v/>
      </c>
      <c r="CP24" s="23"/>
      <c r="CQ24" s="40" t="str">
        <f aca="false">IF(OR(CP$4=0,CP24=""),"",IFERROR(ROUND(CP24/INDEX(Undirviðmið!$F$6:$F$205,CP$4)*INDEX(Undirviðmið!$E$6:$E$205,CP$4)*KVARDI,2),""))</f>
        <v/>
      </c>
      <c r="CR24" s="23"/>
      <c r="CS24" s="40" t="str">
        <f aca="false">IF(OR(CR$4=0,CR24=""),"",IFERROR(ROUND(CR24/INDEX(Undirviðmið!$F$6:$F$205,CR$4)*INDEX(Undirviðmið!$E$6:$E$205,CR$4)*KVARDI,2),""))</f>
        <v/>
      </c>
      <c r="CT24" s="23"/>
      <c r="CU24" s="40" t="str">
        <f aca="false">IF(OR(CT$4=0,CT24=""),"",IFERROR(ROUND(CT24/INDEX(Undirviðmið!$F$6:$F$205,CT$4)*INDEX(Undirviðmið!$E$6:$E$205,CT$4)*KVARDI,2),""))</f>
        <v/>
      </c>
      <c r="CV24" s="23"/>
      <c r="CW24" s="40" t="str">
        <f aca="false">IF(OR(CV$4=0,CV24=""),"",IFERROR(ROUND(CV24/INDEX(Undirviðmið!$F$6:$F$205,CV$4)*INDEX(Undirviðmið!$E$6:$E$205,CV$4)*KVARDI,2),""))</f>
        <v/>
      </c>
      <c r="CX24" s="23"/>
      <c r="CY24" s="40" t="str">
        <f aca="false">IF(OR(CX$4=0,CX24=""),"",IFERROR(ROUND(CX24/INDEX(Undirviðmið!$F$6:$F$205,CX$4)*INDEX(Undirviðmið!$E$6:$E$205,CX$4)*KVARDI,2),""))</f>
        <v/>
      </c>
      <c r="CZ24" s="23"/>
      <c r="DA24" s="40" t="str">
        <f aca="false">IF(OR(CZ$4=0,CZ24=""),"",IFERROR(ROUND(CZ24/INDEX(Undirviðmið!$F$6:$F$205,CZ$4)*INDEX(Undirviðmið!$E$6:$E$205,CZ$4)*KVARDI,2),""))</f>
        <v/>
      </c>
      <c r="DB24" s="23"/>
      <c r="DC24" s="40" t="str">
        <f aca="false">IF(OR(DB$4=0,DB24=""),"",IFERROR(ROUND(DB24/INDEX(Undirviðmið!$F$6:$F$205,DB$4)*INDEX(Undirviðmið!$E$6:$E$205,DB$4)*KVARDI,2),""))</f>
        <v/>
      </c>
      <c r="DD24" s="23"/>
      <c r="DE24" s="40" t="str">
        <f aca="false">IF(OR(DD$4=0,DD24=""),"",IFERROR(ROUND(DD24/INDEX(Undirviðmið!$F$6:$F$205,DD$4)*INDEX(Undirviðmið!$E$6:$E$205,DD$4)*KVARDI,2),""))</f>
        <v/>
      </c>
      <c r="DF24" s="23"/>
      <c r="DG24" s="40" t="str">
        <f aca="false">IF(OR(DF$4=0,DF24=""),"",IFERROR(ROUND(DF24/INDEX(Undirviðmið!$F$6:$F$205,DF$4)*INDEX(Undirviðmið!$E$6:$E$205,DF$4)*KVARDI,2),""))</f>
        <v/>
      </c>
      <c r="DH24" s="23"/>
      <c r="DI24" s="40" t="str">
        <f aca="false">IF(OR(DH$4=0,DH24=""),"",IFERROR(ROUND(DH24/INDEX(Undirviðmið!$F$6:$F$205,DH$4)*INDEX(Undirviðmið!$E$6:$E$205,DH$4)*KVARDI,2),""))</f>
        <v/>
      </c>
      <c r="DJ24" s="23"/>
      <c r="DK24" s="40" t="str">
        <f aca="false">IF(OR(DJ$4=0,DJ24=""),"",IFERROR(ROUND(DJ24/INDEX(Undirviðmið!$F$6:$F$205,DJ$4)*INDEX(Undirviðmið!$E$6:$E$205,DJ$4)*KVARDI,2),""))</f>
        <v/>
      </c>
      <c r="DL24" s="23"/>
      <c r="DM24" s="40" t="str">
        <f aca="false">IF(OR(DL$4=0,DL24=""),"",IFERROR(ROUND(DL24/INDEX(Undirviðmið!$F$6:$F$205,DL$4)*INDEX(Undirviðmið!$E$6:$E$205,DL$4)*KVARDI,2),""))</f>
        <v/>
      </c>
      <c r="DN24" s="23"/>
      <c r="DO24" s="40" t="str">
        <f aca="false">IF(OR(DN$4=0,DN24=""),"",IFERROR(ROUND(DN24/INDEX(Undirviðmið!$F$6:$F$205,DN$4)*INDEX(Undirviðmið!$E$6:$E$205,DN$4)*KVARDI,2),""))</f>
        <v/>
      </c>
      <c r="DP24" s="23"/>
      <c r="DQ24" s="40" t="str">
        <f aca="false">IF(OR(DP$4=0,DP24=""),"",IFERROR(ROUND(DP24/INDEX(Undirviðmið!$F$6:$F$205,DP$4)*INDEX(Undirviðmið!$E$6:$E$205,DP$4)*KVARDI,2),""))</f>
        <v/>
      </c>
      <c r="DR24" s="23"/>
      <c r="DS24" s="40" t="str">
        <f aca="false">IF(OR(DR$4=0,DR24=""),"",IFERROR(ROUND(DR24/INDEX(Undirviðmið!$F$6:$F$205,DR$4)*INDEX(Undirviðmið!$E$6:$E$205,DR$4)*KVARDI,2),""))</f>
        <v/>
      </c>
      <c r="DT24" s="23"/>
      <c r="DU24" s="40" t="str">
        <f aca="false">IF(OR(DT$4=0,DT24=""),"",IFERROR(ROUND(DT24/INDEX(Undirviðmið!$F$6:$F$205,DT$4)*INDEX(Undirviðmið!$E$6:$E$205,DT$4)*KVARDI,2),""))</f>
        <v/>
      </c>
      <c r="DV24" s="23"/>
      <c r="DW24" s="40" t="str">
        <f aca="false">IF(OR(DV$4=0,DV24=""),"",IFERROR(ROUND(DV24/INDEX(Undirviðmið!$F$6:$F$205,DV$4)*INDEX(Undirviðmið!$E$6:$E$205,DV$4)*KVARDI,2),""))</f>
        <v/>
      </c>
      <c r="DX24" s="23"/>
      <c r="DY24" s="40" t="str">
        <f aca="false">IF(OR(DX$4=0,DX24=""),"",IFERROR(ROUND(DX24/INDEX(Undirviðmið!$F$6:$F$205,DX$4)*INDEX(Undirviðmið!$E$6:$E$205,DX$4)*KVARDI,2),""))</f>
        <v/>
      </c>
      <c r="DZ24" s="23"/>
      <c r="EA24" s="40" t="str">
        <f aca="false">IF(OR(DZ$4=0,DZ24=""),"",IFERROR(ROUND(DZ24/INDEX(Undirviðmið!$F$6:$F$205,DZ$4)*INDEX(Undirviðmið!$E$6:$E$205,DZ$4)*KVARDI,2),""))</f>
        <v/>
      </c>
      <c r="EB24" s="23"/>
      <c r="EC24" s="40" t="str">
        <f aca="false">IF(OR(EB$4=0,EB24=""),"",IFERROR(ROUND(EB24/INDEX(Undirviðmið!$F$6:$F$205,EB$4)*INDEX(Undirviðmið!$E$6:$E$205,EB$4)*KVARDI,2),""))</f>
        <v/>
      </c>
      <c r="ED24" s="23"/>
      <c r="EE24" s="40" t="str">
        <f aca="false">IF(OR(ED$4=0,ED24=""),"",IFERROR(ROUND(ED24/INDEX(Undirviðmið!$F$6:$F$205,ED$4)*INDEX(Undirviðmið!$E$6:$E$205,ED$4)*KVARDI,2),""))</f>
        <v/>
      </c>
      <c r="EF24" s="23"/>
      <c r="EG24" s="40" t="str">
        <f aca="false">IF(OR(EF$4=0,EF24=""),"",IFERROR(ROUND(EF24/INDEX(Undirviðmið!$F$6:$F$205,EF$4)*INDEX(Undirviðmið!$E$6:$E$205,EF$4)*KVARDI,2),""))</f>
        <v/>
      </c>
      <c r="EH24" s="23"/>
      <c r="EI24" s="40" t="str">
        <f aca="false">IF(OR(EH$4=0,EH24=""),"",IFERROR(ROUND(EH24/INDEX(Undirviðmið!$F$6:$F$205,EH$4)*INDEX(Undirviðmið!$E$6:$E$205,EH$4)*KVARDI,2),""))</f>
        <v/>
      </c>
      <c r="EJ24" s="23"/>
      <c r="EK24" s="40" t="str">
        <f aca="false">IF(OR(EJ$4=0,EJ24=""),"",IFERROR(ROUND(EJ24/INDEX(Undirviðmið!$F$6:$F$205,EJ$4)*INDEX(Undirviðmið!$E$6:$E$205,EJ$4)*KVARDI,2),""))</f>
        <v/>
      </c>
      <c r="EL24" s="23"/>
      <c r="EM24" s="40" t="str">
        <f aca="false">IF(OR(EL$4=0,EL24=""),"",IFERROR(ROUND(EL24/INDEX(Undirviðmið!$F$6:$F$205,EL$4)*INDEX(Undirviðmið!$E$6:$E$205,EL$4)*KVARDI,2),""))</f>
        <v/>
      </c>
      <c r="EN24" s="23"/>
      <c r="EO24" s="40" t="str">
        <f aca="false">IF(OR(EN$4=0,EN24=""),"",IFERROR(ROUND(EN24/INDEX(Undirviðmið!$F$6:$F$205,EN$4)*INDEX(Undirviðmið!$E$6:$E$205,EN$4)*KVARDI,2),""))</f>
        <v/>
      </c>
      <c r="EP24" s="23"/>
      <c r="EQ24" s="40" t="str">
        <f aca="false">IF(OR(EP$4=0,EP24=""),"",IFERROR(ROUND(EP24/INDEX(Undirviðmið!$F$6:$F$205,EP$4)*INDEX(Undirviðmið!$E$6:$E$205,EP$4)*KVARDI,2),""))</f>
        <v/>
      </c>
      <c r="ER24" s="23"/>
      <c r="ES24" s="40" t="str">
        <f aca="false">IF(OR(ER$4=0,ER24=""),"",IFERROR(ROUND(ER24/INDEX(Undirviðmið!$F$6:$F$205,ER$4)*INDEX(Undirviðmið!$E$6:$E$205,ER$4)*KVARDI,2),""))</f>
        <v/>
      </c>
      <c r="ET24" s="23"/>
      <c r="EU24" s="40" t="str">
        <f aca="false">IF(OR(ET$4=0,ET24=""),"",IFERROR(ROUND(ET24/INDEX(Undirviðmið!$F$6:$F$205,ET$4)*INDEX(Undirviðmið!$E$6:$E$205,ET$4)*KVARDI,2),""))</f>
        <v/>
      </c>
      <c r="EV24" s="23"/>
      <c r="EW24" s="40" t="str">
        <f aca="false">IF(OR(EV$4=0,EV24=""),"",IFERROR(ROUND(EV24/INDEX(Undirviðmið!$F$6:$F$205,EV$4)*INDEX(Undirviðmið!$E$6:$E$205,EV$4)*KVARDI,2),""))</f>
        <v/>
      </c>
      <c r="EX24" s="23"/>
      <c r="EY24" s="40" t="str">
        <f aca="false">IF(OR(EX$4=0,EX24=""),"",IFERROR(ROUND(EX24/INDEX(Undirviðmið!$F$6:$F$205,EX$4)*INDEX(Undirviðmið!$E$6:$E$205,EX$4)*KVARDI,2),""))</f>
        <v/>
      </c>
      <c r="EZ24" s="23"/>
      <c r="FA24" s="40" t="str">
        <f aca="false">IF(OR(EZ$4=0,EZ24=""),"",IFERROR(ROUND(EZ24/INDEX(Undirviðmið!$F$6:$F$205,EZ$4)*INDEX(Undirviðmið!$E$6:$E$205,EZ$4)*KVARDI,2),""))</f>
        <v/>
      </c>
      <c r="FB24" s="23"/>
      <c r="FC24" s="40" t="str">
        <f aca="false">IF(OR(FB$4=0,FB24=""),"",IFERROR(ROUND(FB24/INDEX(Undirviðmið!$F$6:$F$205,FB$4)*INDEX(Undirviðmið!$E$6:$E$205,FB$4)*KVARDI,2),""))</f>
        <v/>
      </c>
      <c r="FD24" s="23"/>
      <c r="FE24" s="40" t="str">
        <f aca="false">IF(OR(FD$4=0,FD24=""),"",IFERROR(ROUND(FD24/INDEX(Undirviðmið!$F$6:$F$205,FD$4)*INDEX(Undirviðmið!$E$6:$E$205,FD$4)*KVARDI,2),""))</f>
        <v/>
      </c>
      <c r="FF24" s="23"/>
      <c r="FG24" s="40" t="str">
        <f aca="false">IF(OR(FF$4=0,FF24=""),"",IFERROR(ROUND(FF24/INDEX(Undirviðmið!$F$6:$F$205,FF$4)*INDEX(Undirviðmið!$E$6:$E$205,FF$4)*KVARDI,2),""))</f>
        <v/>
      </c>
      <c r="FH24" s="23"/>
      <c r="FI24" s="40" t="str">
        <f aca="false">IF(OR(FH$4=0,FH24=""),"",IFERROR(ROUND(FH24/INDEX(Undirviðmið!$F$6:$F$205,FH$4)*INDEX(Undirviðmið!$E$6:$E$205,FH$4)*KVARDI,2),""))</f>
        <v/>
      </c>
      <c r="FJ24" s="23"/>
      <c r="FK24" s="40" t="str">
        <f aca="false">IF(OR(FJ$4=0,FJ24=""),"",IFERROR(ROUND(FJ24/INDEX(Undirviðmið!$F$6:$F$205,FJ$4)*INDEX(Undirviðmið!$E$6:$E$205,FJ$4)*KVARDI,2),""))</f>
        <v/>
      </c>
      <c r="FL24" s="23"/>
      <c r="FM24" s="40" t="str">
        <f aca="false">IF(OR(FL$4=0,FL24=""),"",IFERROR(ROUND(FL24/INDEX(Undirviðmið!$F$6:$F$205,FL$4)*INDEX(Undirviðmið!$E$6:$E$205,FL$4)*KVARDI,2),""))</f>
        <v/>
      </c>
      <c r="FN24" s="23"/>
      <c r="FO24" s="40" t="str">
        <f aca="false">IF(OR(FN$4=0,FN24=""),"",IFERROR(ROUND(FN24/INDEX(Undirviðmið!$F$6:$F$205,FN$4)*INDEX(Undirviðmið!$E$6:$E$205,FN$4)*KVARDI,2),""))</f>
        <v/>
      </c>
      <c r="FP24" s="23"/>
      <c r="FQ24" s="40" t="str">
        <f aca="false">IF(OR(FP$4=0,FP24=""),"",IFERROR(ROUND(FP24/INDEX(Undirviðmið!$F$6:$F$205,FP$4)*INDEX(Undirviðmið!$E$6:$E$205,FP$4)*KVARDI,2),""))</f>
        <v/>
      </c>
      <c r="FR24" s="23"/>
      <c r="FS24" s="40" t="str">
        <f aca="false">IF(OR(FR$4=0,FR24=""),"",IFERROR(ROUND(FR24/INDEX(Undirviðmið!$F$6:$F$205,FR$4)*INDEX(Undirviðmið!$E$6:$E$205,FR$4)*KVARDI,2),""))</f>
        <v/>
      </c>
      <c r="FT24" s="23"/>
      <c r="FU24" s="40" t="str">
        <f aca="false">IF(OR(FT$4=0,FT24=""),"",IFERROR(ROUND(FT24/INDEX(Undirviðmið!$F$6:$F$205,FT$4)*INDEX(Undirviðmið!$E$6:$E$205,FT$4)*KVARDI,2),""))</f>
        <v/>
      </c>
      <c r="FV24" s="23"/>
      <c r="FW24" s="40" t="str">
        <f aca="false">IF(OR(FV$4=0,FV24=""),"",IFERROR(ROUND(FV24/INDEX(Undirviðmið!$F$6:$F$205,FV$4)*INDEX(Undirviðmið!$E$6:$E$205,FV$4)*KVARDI,2),""))</f>
        <v/>
      </c>
      <c r="FX24" s="23"/>
      <c r="FY24" s="40" t="str">
        <f aca="false">IF(OR(FX$4=0,FX24=""),"",IFERROR(ROUND(FX24/INDEX(Undirviðmið!$F$6:$F$205,FX$4)*INDEX(Undirviðmið!$E$6:$E$205,FX$4)*KVARDI,2),""))</f>
        <v/>
      </c>
      <c r="FZ24" s="23"/>
      <c r="GA24" s="40" t="str">
        <f aca="false">IF(OR(FZ$4=0,FZ24=""),"",IFERROR(ROUND(FZ24/INDEX(Undirviðmið!$F$6:$F$205,FZ$4)*INDEX(Undirviðmið!$E$6:$E$205,FZ$4)*KVARDI,2),""))</f>
        <v/>
      </c>
      <c r="GB24" s="23"/>
      <c r="GC24" s="40" t="str">
        <f aca="false">IF(OR(GB$4=0,GB24=""),"",IFERROR(ROUND(GB24/INDEX(Undirviðmið!$F$6:$F$205,GB$4)*INDEX(Undirviðmið!$E$6:$E$205,GB$4)*KVARDI,2),""))</f>
        <v/>
      </c>
      <c r="GD24" s="23"/>
      <c r="GE24" s="40" t="str">
        <f aca="false">IF(OR(GD$4=0,GD24=""),"",IFERROR(ROUND(GD24/INDEX(Undirviðmið!$F$6:$F$205,GD$4)*INDEX(Undirviðmið!$E$6:$E$205,GD$4)*KVARDI,2),""))</f>
        <v/>
      </c>
      <c r="GF24" s="23"/>
      <c r="GG24" s="40" t="str">
        <f aca="false">IF(OR(GF$4=0,GF24=""),"",IFERROR(ROUND(GF24/INDEX(Undirviðmið!$F$6:$F$205,GF$4)*INDEX(Undirviðmið!$E$6:$E$205,GF$4)*KVARDI,2),""))</f>
        <v/>
      </c>
      <c r="GH24" s="23"/>
      <c r="GI24" s="40" t="str">
        <f aca="false">IF(OR(GH$4=0,GH24=""),"",IFERROR(ROUND(GH24/INDEX(Undirviðmið!$F$6:$F$205,GH$4)*INDEX(Undirviðmið!$E$6:$E$205,GH$4)*KVARDI,2),""))</f>
        <v/>
      </c>
      <c r="GJ24" s="23"/>
      <c r="GK24" s="40" t="str">
        <f aca="false">IF(OR(GJ$4=0,GJ24=""),"",IFERROR(ROUND(GJ24/INDEX(Undirviðmið!$F$6:$F$205,GJ$4)*INDEX(Undirviðmið!$E$6:$E$205,GJ$4)*KVARDI,2),""))</f>
        <v/>
      </c>
      <c r="GL24" s="23"/>
      <c r="GM24" s="40" t="str">
        <f aca="false">IF(OR(GL$4=0,GL24=""),"",IFERROR(ROUND(GL24/INDEX(Undirviðmið!$F$6:$F$205,GL$4)*INDEX(Undirviðmið!$E$6:$E$205,GL$4)*KVARDI,2),""))</f>
        <v/>
      </c>
      <c r="GN24" s="23"/>
      <c r="GO24" s="40" t="str">
        <f aca="false">IF(OR(GN$4=0,GN24=""),"",IFERROR(ROUND(GN24/INDEX(Undirviðmið!$F$6:$F$205,GN$4)*INDEX(Undirviðmið!$E$6:$E$205,GN$4)*KVARDI,2),""))</f>
        <v/>
      </c>
      <c r="GP24" s="23"/>
      <c r="GQ24" s="40" t="str">
        <f aca="false">IF(OR(GP$4=0,GP24=""),"",IFERROR(ROUND(GP24/INDEX(Undirviðmið!$F$6:$F$205,GP$4)*INDEX(Undirviðmið!$E$6:$E$205,GP$4)*KVARDI,2),""))</f>
        <v/>
      </c>
      <c r="GR24" s="23"/>
      <c r="GS24" s="40" t="str">
        <f aca="false">IF(OR(GR$4=0,GR24=""),"",IFERROR(ROUND(GR24/INDEX(Undirviðmið!$F$6:$F$205,GR$4)*INDEX(Undirviðmið!$E$6:$E$205,GR$4)*KVARDI,2),""))</f>
        <v/>
      </c>
      <c r="GT24" s="23"/>
      <c r="GU24" s="40" t="str">
        <f aca="false">IF(OR(GT$4=0,GT24=""),"",IFERROR(ROUND(GT24/INDEX(Undirviðmið!$F$6:$F$205,GT$4)*INDEX(Undirviðmið!$E$6:$E$205,GT$4)*KVARDI,2),""))</f>
        <v/>
      </c>
      <c r="GV24" s="44" t="n">
        <f aca="false">IFERROR(SUMIF($D$6:GU$6,"Stig",$D24:GU24),0)</f>
        <v>0</v>
      </c>
    </row>
    <row r="25" customFormat="false" ht="15" hidden="false" customHeight="true" outlineLevel="0" collapsed="false">
      <c r="A25" s="22" t="n">
        <f aca="false">ROW()-6</f>
        <v>19</v>
      </c>
      <c r="B25" s="24" t="str">
        <f aca="false">IF(INDEX(Starfsmenn!$B$6:$B$10005,ROW()-6)="","",INDEX(Starfsmenn!$B$6:$B$10005,ROW()-6))</f>
        <v/>
      </c>
      <c r="C25" s="24" t="str">
        <f aca="false">IF(INDEX(Starfsmenn!$C$6:$C$10005,ROW()-6)="","",INDEX(Starfsmenn!$C$6:$C$10005,ROW()-6))</f>
        <v/>
      </c>
      <c r="D25" s="23"/>
      <c r="E25" s="40" t="str">
        <f aca="false">IF(OR(D$4=0,D25=""),"",IFERROR(ROUND(D25/INDEX(Undirviðmið!$F$6:$F$205,D$4)*INDEX(Undirviðmið!$E$6:$E$205,D$4)*KVARDI,2),""))</f>
        <v/>
      </c>
      <c r="F25" s="23"/>
      <c r="G25" s="40" t="str">
        <f aca="false">IF(OR(F$4=0,F25=""),"",IFERROR(ROUND(F25/INDEX(Undirviðmið!$F$6:$F$205,F$4)*INDEX(Undirviðmið!$E$6:$E$205,F$4)*KVARDI,2),""))</f>
        <v/>
      </c>
      <c r="H25" s="23"/>
      <c r="I25" s="40" t="str">
        <f aca="false">IF(OR(H$4=0,H25=""),"",IFERROR(ROUND(H25/INDEX(Undirviðmið!$F$6:$F$205,H$4)*INDEX(Undirviðmið!$E$6:$E$205,H$4)*KVARDI,2),""))</f>
        <v/>
      </c>
      <c r="J25" s="23"/>
      <c r="K25" s="40" t="str">
        <f aca="false">IF(OR(J$4=0,J25=""),"",IFERROR(ROUND(J25/INDEX(Undirviðmið!$F$6:$F$205,J$4)*INDEX(Undirviðmið!$E$6:$E$205,J$4)*KVARDI,2),""))</f>
        <v/>
      </c>
      <c r="L25" s="23"/>
      <c r="M25" s="40" t="str">
        <f aca="false">IF(OR(L$4=0,L25=""),"",IFERROR(ROUND(L25/INDEX(Undirviðmið!$F$6:$F$205,L$4)*INDEX(Undirviðmið!$E$6:$E$205,L$4)*KVARDI,2),""))</f>
        <v/>
      </c>
      <c r="N25" s="23"/>
      <c r="O25" s="40" t="str">
        <f aca="false">IF(OR(N$4=0,N25=""),"",IFERROR(ROUND(N25/INDEX(Undirviðmið!$F$6:$F$205,N$4)*INDEX(Undirviðmið!$E$6:$E$205,N$4)*KVARDI,2),""))</f>
        <v/>
      </c>
      <c r="P25" s="23"/>
      <c r="Q25" s="40" t="str">
        <f aca="false">IF(OR(P$4=0,P25=""),"",IFERROR(ROUND(P25/INDEX(Undirviðmið!$F$6:$F$205,P$4)*INDEX(Undirviðmið!$E$6:$E$205,P$4)*KVARDI,2),""))</f>
        <v/>
      </c>
      <c r="R25" s="23"/>
      <c r="S25" s="40" t="str">
        <f aca="false">IF(OR(R$4=0,R25=""),"",IFERROR(ROUND(R25/INDEX(Undirviðmið!$F$6:$F$205,R$4)*INDEX(Undirviðmið!$E$6:$E$205,R$4)*KVARDI,2),""))</f>
        <v/>
      </c>
      <c r="T25" s="23"/>
      <c r="U25" s="40" t="str">
        <f aca="false">IF(OR(T$4=0,T25=""),"",IFERROR(ROUND(T25/INDEX(Undirviðmið!$F$6:$F$205,T$4)*INDEX(Undirviðmið!$E$6:$E$205,T$4)*KVARDI,2),""))</f>
        <v/>
      </c>
      <c r="V25" s="23"/>
      <c r="W25" s="40" t="str">
        <f aca="false">IF(OR(V$4=0,V25=""),"",IFERROR(ROUND(V25/INDEX(Undirviðmið!$F$6:$F$205,V$4)*INDEX(Undirviðmið!$E$6:$E$205,V$4)*KVARDI,2),""))</f>
        <v/>
      </c>
      <c r="X25" s="23"/>
      <c r="Y25" s="40" t="str">
        <f aca="false">IF(OR(X$4=0,X25=""),"",IFERROR(ROUND(X25/INDEX(Undirviðmið!$F$6:$F$205,X$4)*INDEX(Undirviðmið!$E$6:$E$205,X$4)*KVARDI,2),""))</f>
        <v/>
      </c>
      <c r="Z25" s="23"/>
      <c r="AA25" s="40" t="str">
        <f aca="false">IF(OR(Z$4=0,Z25=""),"",IFERROR(ROUND(Z25/INDEX(Undirviðmið!$F$6:$F$205,Z$4)*INDEX(Undirviðmið!$E$6:$E$205,Z$4)*KVARDI,2),""))</f>
        <v/>
      </c>
      <c r="AB25" s="23"/>
      <c r="AC25" s="40" t="str">
        <f aca="false">IF(OR(AB$4=0,AB25=""),"",IFERROR(ROUND(AB25/INDEX(Undirviðmið!$F$6:$F$205,AB$4)*INDEX(Undirviðmið!$E$6:$E$205,AB$4)*KVARDI,2),""))</f>
        <v/>
      </c>
      <c r="AD25" s="23"/>
      <c r="AE25" s="40" t="str">
        <f aca="false">IF(OR(AD$4=0,AD25=""),"",IFERROR(ROUND(AD25/INDEX(Undirviðmið!$F$6:$F$205,AD$4)*INDEX(Undirviðmið!$E$6:$E$205,AD$4)*KVARDI,2),""))</f>
        <v/>
      </c>
      <c r="AF25" s="23"/>
      <c r="AG25" s="40" t="str">
        <f aca="false">IF(OR(AF$4=0,AF25=""),"",IFERROR(ROUND(AF25/INDEX(Undirviðmið!$F$6:$F$205,AF$4)*INDEX(Undirviðmið!$E$6:$E$205,AF$4)*KVARDI,2),""))</f>
        <v/>
      </c>
      <c r="AH25" s="23"/>
      <c r="AI25" s="40" t="str">
        <f aca="false">IF(OR(AH$4=0,AH25=""),"",IFERROR(ROUND(AH25/INDEX(Undirviðmið!$F$6:$F$205,AH$4)*INDEX(Undirviðmið!$E$6:$E$205,AH$4)*KVARDI,2),""))</f>
        <v/>
      </c>
      <c r="AJ25" s="23"/>
      <c r="AK25" s="40" t="str">
        <f aca="false">IF(OR(AJ$4=0,AJ25=""),"",IFERROR(ROUND(AJ25/INDEX(Undirviðmið!$F$6:$F$205,AJ$4)*INDEX(Undirviðmið!$E$6:$E$205,AJ$4)*KVARDI,2),""))</f>
        <v/>
      </c>
      <c r="AL25" s="23"/>
      <c r="AM25" s="40" t="str">
        <f aca="false">IF(OR(AL$4=0,AL25=""),"",IFERROR(ROUND(AL25/INDEX(Undirviðmið!$F$6:$F$205,AL$4)*INDEX(Undirviðmið!$E$6:$E$205,AL$4)*KVARDI,2),""))</f>
        <v/>
      </c>
      <c r="AN25" s="23"/>
      <c r="AO25" s="40" t="str">
        <f aca="false">IF(OR(AN$4=0,AN25=""),"",IFERROR(ROUND(AN25/INDEX(Undirviðmið!$F$6:$F$205,AN$4)*INDEX(Undirviðmið!$E$6:$E$205,AN$4)*KVARDI,2),""))</f>
        <v/>
      </c>
      <c r="AP25" s="23"/>
      <c r="AQ25" s="40" t="str">
        <f aca="false">IF(OR(AP$4=0,AP25=""),"",IFERROR(ROUND(AP25/INDEX(Undirviðmið!$F$6:$F$205,AP$4)*INDEX(Undirviðmið!$E$6:$E$205,AP$4)*KVARDI,2),""))</f>
        <v/>
      </c>
      <c r="AR25" s="23"/>
      <c r="AS25" s="40" t="str">
        <f aca="false">IF(OR(AR$4=0,AR25=""),"",IFERROR(ROUND(AR25/INDEX(Undirviðmið!$F$6:$F$205,AR$4)*INDEX(Undirviðmið!$E$6:$E$205,AR$4)*KVARDI,2),""))</f>
        <v/>
      </c>
      <c r="AT25" s="23"/>
      <c r="AU25" s="40" t="str">
        <f aca="false">IF(OR(AT$4=0,AT25=""),"",IFERROR(ROUND(AT25/INDEX(Undirviðmið!$F$6:$F$205,AT$4)*INDEX(Undirviðmið!$E$6:$E$205,AT$4)*KVARDI,2),""))</f>
        <v/>
      </c>
      <c r="AV25" s="23"/>
      <c r="AW25" s="40" t="str">
        <f aca="false">IF(OR(AV$4=0,AV25=""),"",IFERROR(ROUND(AV25/INDEX(Undirviðmið!$F$6:$F$205,AV$4)*INDEX(Undirviðmið!$E$6:$E$205,AV$4)*KVARDI,2),""))</f>
        <v/>
      </c>
      <c r="AX25" s="23"/>
      <c r="AY25" s="40" t="str">
        <f aca="false">IF(OR(AX$4=0,AX25=""),"",IFERROR(ROUND(AX25/INDEX(Undirviðmið!$F$6:$F$205,AX$4)*INDEX(Undirviðmið!$E$6:$E$205,AX$4)*KVARDI,2),""))</f>
        <v/>
      </c>
      <c r="AZ25" s="23"/>
      <c r="BA25" s="40" t="str">
        <f aca="false">IF(OR(AZ$4=0,AZ25=""),"",IFERROR(ROUND(AZ25/INDEX(Undirviðmið!$F$6:$F$205,AZ$4)*INDEX(Undirviðmið!$E$6:$E$205,AZ$4)*KVARDI,2),""))</f>
        <v/>
      </c>
      <c r="BB25" s="23"/>
      <c r="BC25" s="40" t="str">
        <f aca="false">IF(OR(BB$4=0,BB25=""),"",IFERROR(ROUND(BB25/INDEX(Undirviðmið!$F$6:$F$205,BB$4)*INDEX(Undirviðmið!$E$6:$E$205,BB$4)*KVARDI,2),""))</f>
        <v/>
      </c>
      <c r="BD25" s="23"/>
      <c r="BE25" s="40" t="str">
        <f aca="false">IF(OR(BD$4=0,BD25=""),"",IFERROR(ROUND(BD25/INDEX(Undirviðmið!$F$6:$F$205,BD$4)*INDEX(Undirviðmið!$E$6:$E$205,BD$4)*KVARDI,2),""))</f>
        <v/>
      </c>
      <c r="BF25" s="23"/>
      <c r="BG25" s="40" t="str">
        <f aca="false">IF(OR(BF$4=0,BF25=""),"",IFERROR(ROUND(BF25/INDEX(Undirviðmið!$F$6:$F$205,BF$4)*INDEX(Undirviðmið!$E$6:$E$205,BF$4)*KVARDI,2),""))</f>
        <v/>
      </c>
      <c r="BH25" s="23"/>
      <c r="BI25" s="40" t="str">
        <f aca="false">IF(OR(BH$4=0,BH25=""),"",IFERROR(ROUND(BH25/INDEX(Undirviðmið!$F$6:$F$205,BH$4)*INDEX(Undirviðmið!$E$6:$E$205,BH$4)*KVARDI,2),""))</f>
        <v/>
      </c>
      <c r="BJ25" s="23"/>
      <c r="BK25" s="40" t="str">
        <f aca="false">IF(OR(BJ$4=0,BJ25=""),"",IFERROR(ROUND(BJ25/INDEX(Undirviðmið!$F$6:$F$205,BJ$4)*INDEX(Undirviðmið!$E$6:$E$205,BJ$4)*KVARDI,2),""))</f>
        <v/>
      </c>
      <c r="BL25" s="23"/>
      <c r="BM25" s="40" t="str">
        <f aca="false">IF(OR(BL$4=0,BL25=""),"",IFERROR(ROUND(BL25/INDEX(Undirviðmið!$F$6:$F$205,BL$4)*INDEX(Undirviðmið!$E$6:$E$205,BL$4)*KVARDI,2),""))</f>
        <v/>
      </c>
      <c r="BN25" s="23"/>
      <c r="BO25" s="40" t="str">
        <f aca="false">IF(OR(BN$4=0,BN25=""),"",IFERROR(ROUND(BN25/INDEX(Undirviðmið!$F$6:$F$205,BN$4)*INDEX(Undirviðmið!$E$6:$E$205,BN$4)*KVARDI,2),""))</f>
        <v/>
      </c>
      <c r="BP25" s="23"/>
      <c r="BQ25" s="40" t="str">
        <f aca="false">IF(OR(BP$4=0,BP25=""),"",IFERROR(ROUND(BP25/INDEX(Undirviðmið!$F$6:$F$205,BP$4)*INDEX(Undirviðmið!$E$6:$E$205,BP$4)*KVARDI,2),""))</f>
        <v/>
      </c>
      <c r="BR25" s="23"/>
      <c r="BS25" s="40" t="str">
        <f aca="false">IF(OR(BR$4=0,BR25=""),"",IFERROR(ROUND(BR25/INDEX(Undirviðmið!$F$6:$F$205,BR$4)*INDEX(Undirviðmið!$E$6:$E$205,BR$4)*KVARDI,2),""))</f>
        <v/>
      </c>
      <c r="BT25" s="23"/>
      <c r="BU25" s="40" t="str">
        <f aca="false">IF(OR(BT$4=0,BT25=""),"",IFERROR(ROUND(BT25/INDEX(Undirviðmið!$F$6:$F$205,BT$4)*INDEX(Undirviðmið!$E$6:$E$205,BT$4)*KVARDI,2),""))</f>
        <v/>
      </c>
      <c r="BV25" s="23"/>
      <c r="BW25" s="40" t="str">
        <f aca="false">IF(OR(BV$4=0,BV25=""),"",IFERROR(ROUND(BV25/INDEX(Undirviðmið!$F$6:$F$205,BV$4)*INDEX(Undirviðmið!$E$6:$E$205,BV$4)*KVARDI,2),""))</f>
        <v/>
      </c>
      <c r="BX25" s="23"/>
      <c r="BY25" s="40" t="str">
        <f aca="false">IF(OR(BX$4=0,BX25=""),"",IFERROR(ROUND(BX25/INDEX(Undirviðmið!$F$6:$F$205,BX$4)*INDEX(Undirviðmið!$E$6:$E$205,BX$4)*KVARDI,2),""))</f>
        <v/>
      </c>
      <c r="BZ25" s="23"/>
      <c r="CA25" s="40" t="str">
        <f aca="false">IF(OR(BZ$4=0,BZ25=""),"",IFERROR(ROUND(BZ25/INDEX(Undirviðmið!$F$6:$F$205,BZ$4)*INDEX(Undirviðmið!$E$6:$E$205,BZ$4)*KVARDI,2),""))</f>
        <v/>
      </c>
      <c r="CB25" s="23"/>
      <c r="CC25" s="40" t="str">
        <f aca="false">IF(OR(CB$4=0,CB25=""),"",IFERROR(ROUND(CB25/INDEX(Undirviðmið!$F$6:$F$205,CB$4)*INDEX(Undirviðmið!$E$6:$E$205,CB$4)*KVARDI,2),""))</f>
        <v/>
      </c>
      <c r="CD25" s="23"/>
      <c r="CE25" s="40" t="str">
        <f aca="false">IF(OR(CD$4=0,CD25=""),"",IFERROR(ROUND(CD25/INDEX(Undirviðmið!$F$6:$F$205,CD$4)*INDEX(Undirviðmið!$E$6:$E$205,CD$4)*KVARDI,2),""))</f>
        <v/>
      </c>
      <c r="CF25" s="23"/>
      <c r="CG25" s="40" t="str">
        <f aca="false">IF(OR(CF$4=0,CF25=""),"",IFERROR(ROUND(CF25/INDEX(Undirviðmið!$F$6:$F$205,CF$4)*INDEX(Undirviðmið!$E$6:$E$205,CF$4)*KVARDI,2),""))</f>
        <v/>
      </c>
      <c r="CH25" s="23"/>
      <c r="CI25" s="40" t="str">
        <f aca="false">IF(OR(CH$4=0,CH25=""),"",IFERROR(ROUND(CH25/INDEX(Undirviðmið!$F$6:$F$205,CH$4)*INDEX(Undirviðmið!$E$6:$E$205,CH$4)*KVARDI,2),""))</f>
        <v/>
      </c>
      <c r="CJ25" s="23"/>
      <c r="CK25" s="40" t="str">
        <f aca="false">IF(OR(CJ$4=0,CJ25=""),"",IFERROR(ROUND(CJ25/INDEX(Undirviðmið!$F$6:$F$205,CJ$4)*INDEX(Undirviðmið!$E$6:$E$205,CJ$4)*KVARDI,2),""))</f>
        <v/>
      </c>
      <c r="CL25" s="23"/>
      <c r="CM25" s="40" t="str">
        <f aca="false">IF(OR(CL$4=0,CL25=""),"",IFERROR(ROUND(CL25/INDEX(Undirviðmið!$F$6:$F$205,CL$4)*INDEX(Undirviðmið!$E$6:$E$205,CL$4)*KVARDI,2),""))</f>
        <v/>
      </c>
      <c r="CN25" s="23"/>
      <c r="CO25" s="40" t="str">
        <f aca="false">IF(OR(CN$4=0,CN25=""),"",IFERROR(ROUND(CN25/INDEX(Undirviðmið!$F$6:$F$205,CN$4)*INDEX(Undirviðmið!$E$6:$E$205,CN$4)*KVARDI,2),""))</f>
        <v/>
      </c>
      <c r="CP25" s="23"/>
      <c r="CQ25" s="40" t="str">
        <f aca="false">IF(OR(CP$4=0,CP25=""),"",IFERROR(ROUND(CP25/INDEX(Undirviðmið!$F$6:$F$205,CP$4)*INDEX(Undirviðmið!$E$6:$E$205,CP$4)*KVARDI,2),""))</f>
        <v/>
      </c>
      <c r="CR25" s="23"/>
      <c r="CS25" s="40" t="str">
        <f aca="false">IF(OR(CR$4=0,CR25=""),"",IFERROR(ROUND(CR25/INDEX(Undirviðmið!$F$6:$F$205,CR$4)*INDEX(Undirviðmið!$E$6:$E$205,CR$4)*KVARDI,2),""))</f>
        <v/>
      </c>
      <c r="CT25" s="23"/>
      <c r="CU25" s="40" t="str">
        <f aca="false">IF(OR(CT$4=0,CT25=""),"",IFERROR(ROUND(CT25/INDEX(Undirviðmið!$F$6:$F$205,CT$4)*INDEX(Undirviðmið!$E$6:$E$205,CT$4)*KVARDI,2),""))</f>
        <v/>
      </c>
      <c r="CV25" s="23"/>
      <c r="CW25" s="40" t="str">
        <f aca="false">IF(OR(CV$4=0,CV25=""),"",IFERROR(ROUND(CV25/INDEX(Undirviðmið!$F$6:$F$205,CV$4)*INDEX(Undirviðmið!$E$6:$E$205,CV$4)*KVARDI,2),""))</f>
        <v/>
      </c>
      <c r="CX25" s="23"/>
      <c r="CY25" s="40" t="str">
        <f aca="false">IF(OR(CX$4=0,CX25=""),"",IFERROR(ROUND(CX25/INDEX(Undirviðmið!$F$6:$F$205,CX$4)*INDEX(Undirviðmið!$E$6:$E$205,CX$4)*KVARDI,2),""))</f>
        <v/>
      </c>
      <c r="CZ25" s="23"/>
      <c r="DA25" s="40" t="str">
        <f aca="false">IF(OR(CZ$4=0,CZ25=""),"",IFERROR(ROUND(CZ25/INDEX(Undirviðmið!$F$6:$F$205,CZ$4)*INDEX(Undirviðmið!$E$6:$E$205,CZ$4)*KVARDI,2),""))</f>
        <v/>
      </c>
      <c r="DB25" s="23"/>
      <c r="DC25" s="40" t="str">
        <f aca="false">IF(OR(DB$4=0,DB25=""),"",IFERROR(ROUND(DB25/INDEX(Undirviðmið!$F$6:$F$205,DB$4)*INDEX(Undirviðmið!$E$6:$E$205,DB$4)*KVARDI,2),""))</f>
        <v/>
      </c>
      <c r="DD25" s="23"/>
      <c r="DE25" s="40" t="str">
        <f aca="false">IF(OR(DD$4=0,DD25=""),"",IFERROR(ROUND(DD25/INDEX(Undirviðmið!$F$6:$F$205,DD$4)*INDEX(Undirviðmið!$E$6:$E$205,DD$4)*KVARDI,2),""))</f>
        <v/>
      </c>
      <c r="DF25" s="23"/>
      <c r="DG25" s="40" t="str">
        <f aca="false">IF(OR(DF$4=0,DF25=""),"",IFERROR(ROUND(DF25/INDEX(Undirviðmið!$F$6:$F$205,DF$4)*INDEX(Undirviðmið!$E$6:$E$205,DF$4)*KVARDI,2),""))</f>
        <v/>
      </c>
      <c r="DH25" s="23"/>
      <c r="DI25" s="40" t="str">
        <f aca="false">IF(OR(DH$4=0,DH25=""),"",IFERROR(ROUND(DH25/INDEX(Undirviðmið!$F$6:$F$205,DH$4)*INDEX(Undirviðmið!$E$6:$E$205,DH$4)*KVARDI,2),""))</f>
        <v/>
      </c>
      <c r="DJ25" s="23"/>
      <c r="DK25" s="40" t="str">
        <f aca="false">IF(OR(DJ$4=0,DJ25=""),"",IFERROR(ROUND(DJ25/INDEX(Undirviðmið!$F$6:$F$205,DJ$4)*INDEX(Undirviðmið!$E$6:$E$205,DJ$4)*KVARDI,2),""))</f>
        <v/>
      </c>
      <c r="DL25" s="23"/>
      <c r="DM25" s="40" t="str">
        <f aca="false">IF(OR(DL$4=0,DL25=""),"",IFERROR(ROUND(DL25/INDEX(Undirviðmið!$F$6:$F$205,DL$4)*INDEX(Undirviðmið!$E$6:$E$205,DL$4)*KVARDI,2),""))</f>
        <v/>
      </c>
      <c r="DN25" s="23"/>
      <c r="DO25" s="40" t="str">
        <f aca="false">IF(OR(DN$4=0,DN25=""),"",IFERROR(ROUND(DN25/INDEX(Undirviðmið!$F$6:$F$205,DN$4)*INDEX(Undirviðmið!$E$6:$E$205,DN$4)*KVARDI,2),""))</f>
        <v/>
      </c>
      <c r="DP25" s="23"/>
      <c r="DQ25" s="40" t="str">
        <f aca="false">IF(OR(DP$4=0,DP25=""),"",IFERROR(ROUND(DP25/INDEX(Undirviðmið!$F$6:$F$205,DP$4)*INDEX(Undirviðmið!$E$6:$E$205,DP$4)*KVARDI,2),""))</f>
        <v/>
      </c>
      <c r="DR25" s="23"/>
      <c r="DS25" s="40" t="str">
        <f aca="false">IF(OR(DR$4=0,DR25=""),"",IFERROR(ROUND(DR25/INDEX(Undirviðmið!$F$6:$F$205,DR$4)*INDEX(Undirviðmið!$E$6:$E$205,DR$4)*KVARDI,2),""))</f>
        <v/>
      </c>
      <c r="DT25" s="23"/>
      <c r="DU25" s="40" t="str">
        <f aca="false">IF(OR(DT$4=0,DT25=""),"",IFERROR(ROUND(DT25/INDEX(Undirviðmið!$F$6:$F$205,DT$4)*INDEX(Undirviðmið!$E$6:$E$205,DT$4)*KVARDI,2),""))</f>
        <v/>
      </c>
      <c r="DV25" s="23"/>
      <c r="DW25" s="40" t="str">
        <f aca="false">IF(OR(DV$4=0,DV25=""),"",IFERROR(ROUND(DV25/INDEX(Undirviðmið!$F$6:$F$205,DV$4)*INDEX(Undirviðmið!$E$6:$E$205,DV$4)*KVARDI,2),""))</f>
        <v/>
      </c>
      <c r="DX25" s="23"/>
      <c r="DY25" s="40" t="str">
        <f aca="false">IF(OR(DX$4=0,DX25=""),"",IFERROR(ROUND(DX25/INDEX(Undirviðmið!$F$6:$F$205,DX$4)*INDEX(Undirviðmið!$E$6:$E$205,DX$4)*KVARDI,2),""))</f>
        <v/>
      </c>
      <c r="DZ25" s="23"/>
      <c r="EA25" s="40" t="str">
        <f aca="false">IF(OR(DZ$4=0,DZ25=""),"",IFERROR(ROUND(DZ25/INDEX(Undirviðmið!$F$6:$F$205,DZ$4)*INDEX(Undirviðmið!$E$6:$E$205,DZ$4)*KVARDI,2),""))</f>
        <v/>
      </c>
      <c r="EB25" s="23"/>
      <c r="EC25" s="40" t="str">
        <f aca="false">IF(OR(EB$4=0,EB25=""),"",IFERROR(ROUND(EB25/INDEX(Undirviðmið!$F$6:$F$205,EB$4)*INDEX(Undirviðmið!$E$6:$E$205,EB$4)*KVARDI,2),""))</f>
        <v/>
      </c>
      <c r="ED25" s="23"/>
      <c r="EE25" s="40" t="str">
        <f aca="false">IF(OR(ED$4=0,ED25=""),"",IFERROR(ROUND(ED25/INDEX(Undirviðmið!$F$6:$F$205,ED$4)*INDEX(Undirviðmið!$E$6:$E$205,ED$4)*KVARDI,2),""))</f>
        <v/>
      </c>
      <c r="EF25" s="23"/>
      <c r="EG25" s="40" t="str">
        <f aca="false">IF(OR(EF$4=0,EF25=""),"",IFERROR(ROUND(EF25/INDEX(Undirviðmið!$F$6:$F$205,EF$4)*INDEX(Undirviðmið!$E$6:$E$205,EF$4)*KVARDI,2),""))</f>
        <v/>
      </c>
      <c r="EH25" s="23"/>
      <c r="EI25" s="40" t="str">
        <f aca="false">IF(OR(EH$4=0,EH25=""),"",IFERROR(ROUND(EH25/INDEX(Undirviðmið!$F$6:$F$205,EH$4)*INDEX(Undirviðmið!$E$6:$E$205,EH$4)*KVARDI,2),""))</f>
        <v/>
      </c>
      <c r="EJ25" s="23"/>
      <c r="EK25" s="40" t="str">
        <f aca="false">IF(OR(EJ$4=0,EJ25=""),"",IFERROR(ROUND(EJ25/INDEX(Undirviðmið!$F$6:$F$205,EJ$4)*INDEX(Undirviðmið!$E$6:$E$205,EJ$4)*KVARDI,2),""))</f>
        <v/>
      </c>
      <c r="EL25" s="23"/>
      <c r="EM25" s="40" t="str">
        <f aca="false">IF(OR(EL$4=0,EL25=""),"",IFERROR(ROUND(EL25/INDEX(Undirviðmið!$F$6:$F$205,EL$4)*INDEX(Undirviðmið!$E$6:$E$205,EL$4)*KVARDI,2),""))</f>
        <v/>
      </c>
      <c r="EN25" s="23"/>
      <c r="EO25" s="40" t="str">
        <f aca="false">IF(OR(EN$4=0,EN25=""),"",IFERROR(ROUND(EN25/INDEX(Undirviðmið!$F$6:$F$205,EN$4)*INDEX(Undirviðmið!$E$6:$E$205,EN$4)*KVARDI,2),""))</f>
        <v/>
      </c>
      <c r="EP25" s="23"/>
      <c r="EQ25" s="40" t="str">
        <f aca="false">IF(OR(EP$4=0,EP25=""),"",IFERROR(ROUND(EP25/INDEX(Undirviðmið!$F$6:$F$205,EP$4)*INDEX(Undirviðmið!$E$6:$E$205,EP$4)*KVARDI,2),""))</f>
        <v/>
      </c>
      <c r="ER25" s="23"/>
      <c r="ES25" s="40" t="str">
        <f aca="false">IF(OR(ER$4=0,ER25=""),"",IFERROR(ROUND(ER25/INDEX(Undirviðmið!$F$6:$F$205,ER$4)*INDEX(Undirviðmið!$E$6:$E$205,ER$4)*KVARDI,2),""))</f>
        <v/>
      </c>
      <c r="ET25" s="23"/>
      <c r="EU25" s="40" t="str">
        <f aca="false">IF(OR(ET$4=0,ET25=""),"",IFERROR(ROUND(ET25/INDEX(Undirviðmið!$F$6:$F$205,ET$4)*INDEX(Undirviðmið!$E$6:$E$205,ET$4)*KVARDI,2),""))</f>
        <v/>
      </c>
      <c r="EV25" s="23"/>
      <c r="EW25" s="40" t="str">
        <f aca="false">IF(OR(EV$4=0,EV25=""),"",IFERROR(ROUND(EV25/INDEX(Undirviðmið!$F$6:$F$205,EV$4)*INDEX(Undirviðmið!$E$6:$E$205,EV$4)*KVARDI,2),""))</f>
        <v/>
      </c>
      <c r="EX25" s="23"/>
      <c r="EY25" s="40" t="str">
        <f aca="false">IF(OR(EX$4=0,EX25=""),"",IFERROR(ROUND(EX25/INDEX(Undirviðmið!$F$6:$F$205,EX$4)*INDEX(Undirviðmið!$E$6:$E$205,EX$4)*KVARDI,2),""))</f>
        <v/>
      </c>
      <c r="EZ25" s="23"/>
      <c r="FA25" s="40" t="str">
        <f aca="false">IF(OR(EZ$4=0,EZ25=""),"",IFERROR(ROUND(EZ25/INDEX(Undirviðmið!$F$6:$F$205,EZ$4)*INDEX(Undirviðmið!$E$6:$E$205,EZ$4)*KVARDI,2),""))</f>
        <v/>
      </c>
      <c r="FB25" s="23"/>
      <c r="FC25" s="40" t="str">
        <f aca="false">IF(OR(FB$4=0,FB25=""),"",IFERROR(ROUND(FB25/INDEX(Undirviðmið!$F$6:$F$205,FB$4)*INDEX(Undirviðmið!$E$6:$E$205,FB$4)*KVARDI,2),""))</f>
        <v/>
      </c>
      <c r="FD25" s="23"/>
      <c r="FE25" s="40" t="str">
        <f aca="false">IF(OR(FD$4=0,FD25=""),"",IFERROR(ROUND(FD25/INDEX(Undirviðmið!$F$6:$F$205,FD$4)*INDEX(Undirviðmið!$E$6:$E$205,FD$4)*KVARDI,2),""))</f>
        <v/>
      </c>
      <c r="FF25" s="23"/>
      <c r="FG25" s="40" t="str">
        <f aca="false">IF(OR(FF$4=0,FF25=""),"",IFERROR(ROUND(FF25/INDEX(Undirviðmið!$F$6:$F$205,FF$4)*INDEX(Undirviðmið!$E$6:$E$205,FF$4)*KVARDI,2),""))</f>
        <v/>
      </c>
      <c r="FH25" s="23"/>
      <c r="FI25" s="40" t="str">
        <f aca="false">IF(OR(FH$4=0,FH25=""),"",IFERROR(ROUND(FH25/INDEX(Undirviðmið!$F$6:$F$205,FH$4)*INDEX(Undirviðmið!$E$6:$E$205,FH$4)*KVARDI,2),""))</f>
        <v/>
      </c>
      <c r="FJ25" s="23"/>
      <c r="FK25" s="40" t="str">
        <f aca="false">IF(OR(FJ$4=0,FJ25=""),"",IFERROR(ROUND(FJ25/INDEX(Undirviðmið!$F$6:$F$205,FJ$4)*INDEX(Undirviðmið!$E$6:$E$205,FJ$4)*KVARDI,2),""))</f>
        <v/>
      </c>
      <c r="FL25" s="23"/>
      <c r="FM25" s="40" t="str">
        <f aca="false">IF(OR(FL$4=0,FL25=""),"",IFERROR(ROUND(FL25/INDEX(Undirviðmið!$F$6:$F$205,FL$4)*INDEX(Undirviðmið!$E$6:$E$205,FL$4)*KVARDI,2),""))</f>
        <v/>
      </c>
      <c r="FN25" s="23"/>
      <c r="FO25" s="40" t="str">
        <f aca="false">IF(OR(FN$4=0,FN25=""),"",IFERROR(ROUND(FN25/INDEX(Undirviðmið!$F$6:$F$205,FN$4)*INDEX(Undirviðmið!$E$6:$E$205,FN$4)*KVARDI,2),""))</f>
        <v/>
      </c>
      <c r="FP25" s="23"/>
      <c r="FQ25" s="40" t="str">
        <f aca="false">IF(OR(FP$4=0,FP25=""),"",IFERROR(ROUND(FP25/INDEX(Undirviðmið!$F$6:$F$205,FP$4)*INDEX(Undirviðmið!$E$6:$E$205,FP$4)*KVARDI,2),""))</f>
        <v/>
      </c>
      <c r="FR25" s="23"/>
      <c r="FS25" s="40" t="str">
        <f aca="false">IF(OR(FR$4=0,FR25=""),"",IFERROR(ROUND(FR25/INDEX(Undirviðmið!$F$6:$F$205,FR$4)*INDEX(Undirviðmið!$E$6:$E$205,FR$4)*KVARDI,2),""))</f>
        <v/>
      </c>
      <c r="FT25" s="23"/>
      <c r="FU25" s="40" t="str">
        <f aca="false">IF(OR(FT$4=0,FT25=""),"",IFERROR(ROUND(FT25/INDEX(Undirviðmið!$F$6:$F$205,FT$4)*INDEX(Undirviðmið!$E$6:$E$205,FT$4)*KVARDI,2),""))</f>
        <v/>
      </c>
      <c r="FV25" s="23"/>
      <c r="FW25" s="40" t="str">
        <f aca="false">IF(OR(FV$4=0,FV25=""),"",IFERROR(ROUND(FV25/INDEX(Undirviðmið!$F$6:$F$205,FV$4)*INDEX(Undirviðmið!$E$6:$E$205,FV$4)*KVARDI,2),""))</f>
        <v/>
      </c>
      <c r="FX25" s="23"/>
      <c r="FY25" s="40" t="str">
        <f aca="false">IF(OR(FX$4=0,FX25=""),"",IFERROR(ROUND(FX25/INDEX(Undirviðmið!$F$6:$F$205,FX$4)*INDEX(Undirviðmið!$E$6:$E$205,FX$4)*KVARDI,2),""))</f>
        <v/>
      </c>
      <c r="FZ25" s="23"/>
      <c r="GA25" s="40" t="str">
        <f aca="false">IF(OR(FZ$4=0,FZ25=""),"",IFERROR(ROUND(FZ25/INDEX(Undirviðmið!$F$6:$F$205,FZ$4)*INDEX(Undirviðmið!$E$6:$E$205,FZ$4)*KVARDI,2),""))</f>
        <v/>
      </c>
      <c r="GB25" s="23"/>
      <c r="GC25" s="40" t="str">
        <f aca="false">IF(OR(GB$4=0,GB25=""),"",IFERROR(ROUND(GB25/INDEX(Undirviðmið!$F$6:$F$205,GB$4)*INDEX(Undirviðmið!$E$6:$E$205,GB$4)*KVARDI,2),""))</f>
        <v/>
      </c>
      <c r="GD25" s="23"/>
      <c r="GE25" s="40" t="str">
        <f aca="false">IF(OR(GD$4=0,GD25=""),"",IFERROR(ROUND(GD25/INDEX(Undirviðmið!$F$6:$F$205,GD$4)*INDEX(Undirviðmið!$E$6:$E$205,GD$4)*KVARDI,2),""))</f>
        <v/>
      </c>
      <c r="GF25" s="23"/>
      <c r="GG25" s="40" t="str">
        <f aca="false">IF(OR(GF$4=0,GF25=""),"",IFERROR(ROUND(GF25/INDEX(Undirviðmið!$F$6:$F$205,GF$4)*INDEX(Undirviðmið!$E$6:$E$205,GF$4)*KVARDI,2),""))</f>
        <v/>
      </c>
      <c r="GH25" s="23"/>
      <c r="GI25" s="40" t="str">
        <f aca="false">IF(OR(GH$4=0,GH25=""),"",IFERROR(ROUND(GH25/INDEX(Undirviðmið!$F$6:$F$205,GH$4)*INDEX(Undirviðmið!$E$6:$E$205,GH$4)*KVARDI,2),""))</f>
        <v/>
      </c>
      <c r="GJ25" s="23"/>
      <c r="GK25" s="40" t="str">
        <f aca="false">IF(OR(GJ$4=0,GJ25=""),"",IFERROR(ROUND(GJ25/INDEX(Undirviðmið!$F$6:$F$205,GJ$4)*INDEX(Undirviðmið!$E$6:$E$205,GJ$4)*KVARDI,2),""))</f>
        <v/>
      </c>
      <c r="GL25" s="23"/>
      <c r="GM25" s="40" t="str">
        <f aca="false">IF(OR(GL$4=0,GL25=""),"",IFERROR(ROUND(GL25/INDEX(Undirviðmið!$F$6:$F$205,GL$4)*INDEX(Undirviðmið!$E$6:$E$205,GL$4)*KVARDI,2),""))</f>
        <v/>
      </c>
      <c r="GN25" s="23"/>
      <c r="GO25" s="40" t="str">
        <f aca="false">IF(OR(GN$4=0,GN25=""),"",IFERROR(ROUND(GN25/INDEX(Undirviðmið!$F$6:$F$205,GN$4)*INDEX(Undirviðmið!$E$6:$E$205,GN$4)*KVARDI,2),""))</f>
        <v/>
      </c>
      <c r="GP25" s="23"/>
      <c r="GQ25" s="40" t="str">
        <f aca="false">IF(OR(GP$4=0,GP25=""),"",IFERROR(ROUND(GP25/INDEX(Undirviðmið!$F$6:$F$205,GP$4)*INDEX(Undirviðmið!$E$6:$E$205,GP$4)*KVARDI,2),""))</f>
        <v/>
      </c>
      <c r="GR25" s="23"/>
      <c r="GS25" s="40" t="str">
        <f aca="false">IF(OR(GR$4=0,GR25=""),"",IFERROR(ROUND(GR25/INDEX(Undirviðmið!$F$6:$F$205,GR$4)*INDEX(Undirviðmið!$E$6:$E$205,GR$4)*KVARDI,2),""))</f>
        <v/>
      </c>
      <c r="GT25" s="23"/>
      <c r="GU25" s="40" t="str">
        <f aca="false">IF(OR(GT$4=0,GT25=""),"",IFERROR(ROUND(GT25/INDEX(Undirviðmið!$F$6:$F$205,GT$4)*INDEX(Undirviðmið!$E$6:$E$205,GT$4)*KVARDI,2),""))</f>
        <v/>
      </c>
      <c r="GV25" s="44" t="n">
        <f aca="false">IFERROR(SUMIF($D$6:GU$6,"Stig",$D25:GU25),0)</f>
        <v>0</v>
      </c>
    </row>
    <row r="26" customFormat="false" ht="15" hidden="false" customHeight="true" outlineLevel="0" collapsed="false">
      <c r="A26" s="22" t="n">
        <f aca="false">ROW()-6</f>
        <v>20</v>
      </c>
      <c r="B26" s="24" t="str">
        <f aca="false">IF(INDEX(Starfsmenn!$B$6:$B$10005,ROW()-6)="","",INDEX(Starfsmenn!$B$6:$B$10005,ROW()-6))</f>
        <v/>
      </c>
      <c r="C26" s="24" t="str">
        <f aca="false">IF(INDEX(Starfsmenn!$C$6:$C$10005,ROW()-6)="","",INDEX(Starfsmenn!$C$6:$C$10005,ROW()-6))</f>
        <v/>
      </c>
      <c r="D26" s="23"/>
      <c r="E26" s="40" t="str">
        <f aca="false">IF(OR(D$4=0,D26=""),"",IFERROR(ROUND(D26/INDEX(Undirviðmið!$F$6:$F$205,D$4)*INDEX(Undirviðmið!$E$6:$E$205,D$4)*KVARDI,2),""))</f>
        <v/>
      </c>
      <c r="F26" s="23"/>
      <c r="G26" s="40" t="str">
        <f aca="false">IF(OR(F$4=0,F26=""),"",IFERROR(ROUND(F26/INDEX(Undirviðmið!$F$6:$F$205,F$4)*INDEX(Undirviðmið!$E$6:$E$205,F$4)*KVARDI,2),""))</f>
        <v/>
      </c>
      <c r="H26" s="23"/>
      <c r="I26" s="40" t="str">
        <f aca="false">IF(OR(H$4=0,H26=""),"",IFERROR(ROUND(H26/INDEX(Undirviðmið!$F$6:$F$205,H$4)*INDEX(Undirviðmið!$E$6:$E$205,H$4)*KVARDI,2),""))</f>
        <v/>
      </c>
      <c r="J26" s="23"/>
      <c r="K26" s="40" t="str">
        <f aca="false">IF(OR(J$4=0,J26=""),"",IFERROR(ROUND(J26/INDEX(Undirviðmið!$F$6:$F$205,J$4)*INDEX(Undirviðmið!$E$6:$E$205,J$4)*KVARDI,2),""))</f>
        <v/>
      </c>
      <c r="L26" s="23"/>
      <c r="M26" s="40" t="str">
        <f aca="false">IF(OR(L$4=0,L26=""),"",IFERROR(ROUND(L26/INDEX(Undirviðmið!$F$6:$F$205,L$4)*INDEX(Undirviðmið!$E$6:$E$205,L$4)*KVARDI,2),""))</f>
        <v/>
      </c>
      <c r="N26" s="23"/>
      <c r="O26" s="40" t="str">
        <f aca="false">IF(OR(N$4=0,N26=""),"",IFERROR(ROUND(N26/INDEX(Undirviðmið!$F$6:$F$205,N$4)*INDEX(Undirviðmið!$E$6:$E$205,N$4)*KVARDI,2),""))</f>
        <v/>
      </c>
      <c r="P26" s="23"/>
      <c r="Q26" s="40" t="str">
        <f aca="false">IF(OR(P$4=0,P26=""),"",IFERROR(ROUND(P26/INDEX(Undirviðmið!$F$6:$F$205,P$4)*INDEX(Undirviðmið!$E$6:$E$205,P$4)*KVARDI,2),""))</f>
        <v/>
      </c>
      <c r="R26" s="23"/>
      <c r="S26" s="40" t="str">
        <f aca="false">IF(OR(R$4=0,R26=""),"",IFERROR(ROUND(R26/INDEX(Undirviðmið!$F$6:$F$205,R$4)*INDEX(Undirviðmið!$E$6:$E$205,R$4)*KVARDI,2),""))</f>
        <v/>
      </c>
      <c r="T26" s="23"/>
      <c r="U26" s="40" t="str">
        <f aca="false">IF(OR(T$4=0,T26=""),"",IFERROR(ROUND(T26/INDEX(Undirviðmið!$F$6:$F$205,T$4)*INDEX(Undirviðmið!$E$6:$E$205,T$4)*KVARDI,2),""))</f>
        <v/>
      </c>
      <c r="V26" s="23"/>
      <c r="W26" s="40" t="str">
        <f aca="false">IF(OR(V$4=0,V26=""),"",IFERROR(ROUND(V26/INDEX(Undirviðmið!$F$6:$F$205,V$4)*INDEX(Undirviðmið!$E$6:$E$205,V$4)*KVARDI,2),""))</f>
        <v/>
      </c>
      <c r="X26" s="23"/>
      <c r="Y26" s="40" t="str">
        <f aca="false">IF(OR(X$4=0,X26=""),"",IFERROR(ROUND(X26/INDEX(Undirviðmið!$F$6:$F$205,X$4)*INDEX(Undirviðmið!$E$6:$E$205,X$4)*KVARDI,2),""))</f>
        <v/>
      </c>
      <c r="Z26" s="23"/>
      <c r="AA26" s="40" t="str">
        <f aca="false">IF(OR(Z$4=0,Z26=""),"",IFERROR(ROUND(Z26/INDEX(Undirviðmið!$F$6:$F$205,Z$4)*INDEX(Undirviðmið!$E$6:$E$205,Z$4)*KVARDI,2),""))</f>
        <v/>
      </c>
      <c r="AB26" s="23"/>
      <c r="AC26" s="40" t="str">
        <f aca="false">IF(OR(AB$4=0,AB26=""),"",IFERROR(ROUND(AB26/INDEX(Undirviðmið!$F$6:$F$205,AB$4)*INDEX(Undirviðmið!$E$6:$E$205,AB$4)*KVARDI,2),""))</f>
        <v/>
      </c>
      <c r="AD26" s="23"/>
      <c r="AE26" s="40" t="str">
        <f aca="false">IF(OR(AD$4=0,AD26=""),"",IFERROR(ROUND(AD26/INDEX(Undirviðmið!$F$6:$F$205,AD$4)*INDEX(Undirviðmið!$E$6:$E$205,AD$4)*KVARDI,2),""))</f>
        <v/>
      </c>
      <c r="AF26" s="23"/>
      <c r="AG26" s="40" t="str">
        <f aca="false">IF(OR(AF$4=0,AF26=""),"",IFERROR(ROUND(AF26/INDEX(Undirviðmið!$F$6:$F$205,AF$4)*INDEX(Undirviðmið!$E$6:$E$205,AF$4)*KVARDI,2),""))</f>
        <v/>
      </c>
      <c r="AH26" s="23"/>
      <c r="AI26" s="40" t="str">
        <f aca="false">IF(OR(AH$4=0,AH26=""),"",IFERROR(ROUND(AH26/INDEX(Undirviðmið!$F$6:$F$205,AH$4)*INDEX(Undirviðmið!$E$6:$E$205,AH$4)*KVARDI,2),""))</f>
        <v/>
      </c>
      <c r="AJ26" s="23"/>
      <c r="AK26" s="40" t="str">
        <f aca="false">IF(OR(AJ$4=0,AJ26=""),"",IFERROR(ROUND(AJ26/INDEX(Undirviðmið!$F$6:$F$205,AJ$4)*INDEX(Undirviðmið!$E$6:$E$205,AJ$4)*KVARDI,2),""))</f>
        <v/>
      </c>
      <c r="AL26" s="23"/>
      <c r="AM26" s="40" t="str">
        <f aca="false">IF(OR(AL$4=0,AL26=""),"",IFERROR(ROUND(AL26/INDEX(Undirviðmið!$F$6:$F$205,AL$4)*INDEX(Undirviðmið!$E$6:$E$205,AL$4)*KVARDI,2),""))</f>
        <v/>
      </c>
      <c r="AN26" s="23"/>
      <c r="AO26" s="40" t="str">
        <f aca="false">IF(OR(AN$4=0,AN26=""),"",IFERROR(ROUND(AN26/INDEX(Undirviðmið!$F$6:$F$205,AN$4)*INDEX(Undirviðmið!$E$6:$E$205,AN$4)*KVARDI,2),""))</f>
        <v/>
      </c>
      <c r="AP26" s="23"/>
      <c r="AQ26" s="40" t="str">
        <f aca="false">IF(OR(AP$4=0,AP26=""),"",IFERROR(ROUND(AP26/INDEX(Undirviðmið!$F$6:$F$205,AP$4)*INDEX(Undirviðmið!$E$6:$E$205,AP$4)*KVARDI,2),""))</f>
        <v/>
      </c>
      <c r="AR26" s="23"/>
      <c r="AS26" s="40" t="str">
        <f aca="false">IF(OR(AR$4=0,AR26=""),"",IFERROR(ROUND(AR26/INDEX(Undirviðmið!$F$6:$F$205,AR$4)*INDEX(Undirviðmið!$E$6:$E$205,AR$4)*KVARDI,2),""))</f>
        <v/>
      </c>
      <c r="AT26" s="23"/>
      <c r="AU26" s="40" t="str">
        <f aca="false">IF(OR(AT$4=0,AT26=""),"",IFERROR(ROUND(AT26/INDEX(Undirviðmið!$F$6:$F$205,AT$4)*INDEX(Undirviðmið!$E$6:$E$205,AT$4)*KVARDI,2),""))</f>
        <v/>
      </c>
      <c r="AV26" s="23"/>
      <c r="AW26" s="40" t="str">
        <f aca="false">IF(OR(AV$4=0,AV26=""),"",IFERROR(ROUND(AV26/INDEX(Undirviðmið!$F$6:$F$205,AV$4)*INDEX(Undirviðmið!$E$6:$E$205,AV$4)*KVARDI,2),""))</f>
        <v/>
      </c>
      <c r="AX26" s="23"/>
      <c r="AY26" s="40" t="str">
        <f aca="false">IF(OR(AX$4=0,AX26=""),"",IFERROR(ROUND(AX26/INDEX(Undirviðmið!$F$6:$F$205,AX$4)*INDEX(Undirviðmið!$E$6:$E$205,AX$4)*KVARDI,2),""))</f>
        <v/>
      </c>
      <c r="AZ26" s="23"/>
      <c r="BA26" s="40" t="str">
        <f aca="false">IF(OR(AZ$4=0,AZ26=""),"",IFERROR(ROUND(AZ26/INDEX(Undirviðmið!$F$6:$F$205,AZ$4)*INDEX(Undirviðmið!$E$6:$E$205,AZ$4)*KVARDI,2),""))</f>
        <v/>
      </c>
      <c r="BB26" s="23"/>
      <c r="BC26" s="40" t="str">
        <f aca="false">IF(OR(BB$4=0,BB26=""),"",IFERROR(ROUND(BB26/INDEX(Undirviðmið!$F$6:$F$205,BB$4)*INDEX(Undirviðmið!$E$6:$E$205,BB$4)*KVARDI,2),""))</f>
        <v/>
      </c>
      <c r="BD26" s="23"/>
      <c r="BE26" s="40" t="str">
        <f aca="false">IF(OR(BD$4=0,BD26=""),"",IFERROR(ROUND(BD26/INDEX(Undirviðmið!$F$6:$F$205,BD$4)*INDEX(Undirviðmið!$E$6:$E$205,BD$4)*KVARDI,2),""))</f>
        <v/>
      </c>
      <c r="BF26" s="23"/>
      <c r="BG26" s="40" t="str">
        <f aca="false">IF(OR(BF$4=0,BF26=""),"",IFERROR(ROUND(BF26/INDEX(Undirviðmið!$F$6:$F$205,BF$4)*INDEX(Undirviðmið!$E$6:$E$205,BF$4)*KVARDI,2),""))</f>
        <v/>
      </c>
      <c r="BH26" s="23"/>
      <c r="BI26" s="40" t="str">
        <f aca="false">IF(OR(BH$4=0,BH26=""),"",IFERROR(ROUND(BH26/INDEX(Undirviðmið!$F$6:$F$205,BH$4)*INDEX(Undirviðmið!$E$6:$E$205,BH$4)*KVARDI,2),""))</f>
        <v/>
      </c>
      <c r="BJ26" s="23"/>
      <c r="BK26" s="40" t="str">
        <f aca="false">IF(OR(BJ$4=0,BJ26=""),"",IFERROR(ROUND(BJ26/INDEX(Undirviðmið!$F$6:$F$205,BJ$4)*INDEX(Undirviðmið!$E$6:$E$205,BJ$4)*KVARDI,2),""))</f>
        <v/>
      </c>
      <c r="BL26" s="23"/>
      <c r="BM26" s="40" t="str">
        <f aca="false">IF(OR(BL$4=0,BL26=""),"",IFERROR(ROUND(BL26/INDEX(Undirviðmið!$F$6:$F$205,BL$4)*INDEX(Undirviðmið!$E$6:$E$205,BL$4)*KVARDI,2),""))</f>
        <v/>
      </c>
      <c r="BN26" s="23"/>
      <c r="BO26" s="40" t="str">
        <f aca="false">IF(OR(BN$4=0,BN26=""),"",IFERROR(ROUND(BN26/INDEX(Undirviðmið!$F$6:$F$205,BN$4)*INDEX(Undirviðmið!$E$6:$E$205,BN$4)*KVARDI,2),""))</f>
        <v/>
      </c>
      <c r="BP26" s="23"/>
      <c r="BQ26" s="40" t="str">
        <f aca="false">IF(OR(BP$4=0,BP26=""),"",IFERROR(ROUND(BP26/INDEX(Undirviðmið!$F$6:$F$205,BP$4)*INDEX(Undirviðmið!$E$6:$E$205,BP$4)*KVARDI,2),""))</f>
        <v/>
      </c>
      <c r="BR26" s="23"/>
      <c r="BS26" s="40" t="str">
        <f aca="false">IF(OR(BR$4=0,BR26=""),"",IFERROR(ROUND(BR26/INDEX(Undirviðmið!$F$6:$F$205,BR$4)*INDEX(Undirviðmið!$E$6:$E$205,BR$4)*KVARDI,2),""))</f>
        <v/>
      </c>
      <c r="BT26" s="23"/>
      <c r="BU26" s="40" t="str">
        <f aca="false">IF(OR(BT$4=0,BT26=""),"",IFERROR(ROUND(BT26/INDEX(Undirviðmið!$F$6:$F$205,BT$4)*INDEX(Undirviðmið!$E$6:$E$205,BT$4)*KVARDI,2),""))</f>
        <v/>
      </c>
      <c r="BV26" s="23"/>
      <c r="BW26" s="40" t="str">
        <f aca="false">IF(OR(BV$4=0,BV26=""),"",IFERROR(ROUND(BV26/INDEX(Undirviðmið!$F$6:$F$205,BV$4)*INDEX(Undirviðmið!$E$6:$E$205,BV$4)*KVARDI,2),""))</f>
        <v/>
      </c>
      <c r="BX26" s="23"/>
      <c r="BY26" s="40" t="str">
        <f aca="false">IF(OR(BX$4=0,BX26=""),"",IFERROR(ROUND(BX26/INDEX(Undirviðmið!$F$6:$F$205,BX$4)*INDEX(Undirviðmið!$E$6:$E$205,BX$4)*KVARDI,2),""))</f>
        <v/>
      </c>
      <c r="BZ26" s="23"/>
      <c r="CA26" s="40" t="str">
        <f aca="false">IF(OR(BZ$4=0,BZ26=""),"",IFERROR(ROUND(BZ26/INDEX(Undirviðmið!$F$6:$F$205,BZ$4)*INDEX(Undirviðmið!$E$6:$E$205,BZ$4)*KVARDI,2),""))</f>
        <v/>
      </c>
      <c r="CB26" s="23"/>
      <c r="CC26" s="40" t="str">
        <f aca="false">IF(OR(CB$4=0,CB26=""),"",IFERROR(ROUND(CB26/INDEX(Undirviðmið!$F$6:$F$205,CB$4)*INDEX(Undirviðmið!$E$6:$E$205,CB$4)*KVARDI,2),""))</f>
        <v/>
      </c>
      <c r="CD26" s="23"/>
      <c r="CE26" s="40" t="str">
        <f aca="false">IF(OR(CD$4=0,CD26=""),"",IFERROR(ROUND(CD26/INDEX(Undirviðmið!$F$6:$F$205,CD$4)*INDEX(Undirviðmið!$E$6:$E$205,CD$4)*KVARDI,2),""))</f>
        <v/>
      </c>
      <c r="CF26" s="23"/>
      <c r="CG26" s="40" t="str">
        <f aca="false">IF(OR(CF$4=0,CF26=""),"",IFERROR(ROUND(CF26/INDEX(Undirviðmið!$F$6:$F$205,CF$4)*INDEX(Undirviðmið!$E$6:$E$205,CF$4)*KVARDI,2),""))</f>
        <v/>
      </c>
      <c r="CH26" s="23"/>
      <c r="CI26" s="40" t="str">
        <f aca="false">IF(OR(CH$4=0,CH26=""),"",IFERROR(ROUND(CH26/INDEX(Undirviðmið!$F$6:$F$205,CH$4)*INDEX(Undirviðmið!$E$6:$E$205,CH$4)*KVARDI,2),""))</f>
        <v/>
      </c>
      <c r="CJ26" s="23"/>
      <c r="CK26" s="40" t="str">
        <f aca="false">IF(OR(CJ$4=0,CJ26=""),"",IFERROR(ROUND(CJ26/INDEX(Undirviðmið!$F$6:$F$205,CJ$4)*INDEX(Undirviðmið!$E$6:$E$205,CJ$4)*KVARDI,2),""))</f>
        <v/>
      </c>
      <c r="CL26" s="23"/>
      <c r="CM26" s="40" t="str">
        <f aca="false">IF(OR(CL$4=0,CL26=""),"",IFERROR(ROUND(CL26/INDEX(Undirviðmið!$F$6:$F$205,CL$4)*INDEX(Undirviðmið!$E$6:$E$205,CL$4)*KVARDI,2),""))</f>
        <v/>
      </c>
      <c r="CN26" s="23"/>
      <c r="CO26" s="40" t="str">
        <f aca="false">IF(OR(CN$4=0,CN26=""),"",IFERROR(ROUND(CN26/INDEX(Undirviðmið!$F$6:$F$205,CN$4)*INDEX(Undirviðmið!$E$6:$E$205,CN$4)*KVARDI,2),""))</f>
        <v/>
      </c>
      <c r="CP26" s="23"/>
      <c r="CQ26" s="40" t="str">
        <f aca="false">IF(OR(CP$4=0,CP26=""),"",IFERROR(ROUND(CP26/INDEX(Undirviðmið!$F$6:$F$205,CP$4)*INDEX(Undirviðmið!$E$6:$E$205,CP$4)*KVARDI,2),""))</f>
        <v/>
      </c>
      <c r="CR26" s="23"/>
      <c r="CS26" s="40" t="str">
        <f aca="false">IF(OR(CR$4=0,CR26=""),"",IFERROR(ROUND(CR26/INDEX(Undirviðmið!$F$6:$F$205,CR$4)*INDEX(Undirviðmið!$E$6:$E$205,CR$4)*KVARDI,2),""))</f>
        <v/>
      </c>
      <c r="CT26" s="23"/>
      <c r="CU26" s="40" t="str">
        <f aca="false">IF(OR(CT$4=0,CT26=""),"",IFERROR(ROUND(CT26/INDEX(Undirviðmið!$F$6:$F$205,CT$4)*INDEX(Undirviðmið!$E$6:$E$205,CT$4)*KVARDI,2),""))</f>
        <v/>
      </c>
      <c r="CV26" s="23"/>
      <c r="CW26" s="40" t="str">
        <f aca="false">IF(OR(CV$4=0,CV26=""),"",IFERROR(ROUND(CV26/INDEX(Undirviðmið!$F$6:$F$205,CV$4)*INDEX(Undirviðmið!$E$6:$E$205,CV$4)*KVARDI,2),""))</f>
        <v/>
      </c>
      <c r="CX26" s="23"/>
      <c r="CY26" s="40" t="str">
        <f aca="false">IF(OR(CX$4=0,CX26=""),"",IFERROR(ROUND(CX26/INDEX(Undirviðmið!$F$6:$F$205,CX$4)*INDEX(Undirviðmið!$E$6:$E$205,CX$4)*KVARDI,2),""))</f>
        <v/>
      </c>
      <c r="CZ26" s="23"/>
      <c r="DA26" s="40" t="str">
        <f aca="false">IF(OR(CZ$4=0,CZ26=""),"",IFERROR(ROUND(CZ26/INDEX(Undirviðmið!$F$6:$F$205,CZ$4)*INDEX(Undirviðmið!$E$6:$E$205,CZ$4)*KVARDI,2),""))</f>
        <v/>
      </c>
      <c r="DB26" s="23"/>
      <c r="DC26" s="40" t="str">
        <f aca="false">IF(OR(DB$4=0,DB26=""),"",IFERROR(ROUND(DB26/INDEX(Undirviðmið!$F$6:$F$205,DB$4)*INDEX(Undirviðmið!$E$6:$E$205,DB$4)*KVARDI,2),""))</f>
        <v/>
      </c>
      <c r="DD26" s="23"/>
      <c r="DE26" s="40" t="str">
        <f aca="false">IF(OR(DD$4=0,DD26=""),"",IFERROR(ROUND(DD26/INDEX(Undirviðmið!$F$6:$F$205,DD$4)*INDEX(Undirviðmið!$E$6:$E$205,DD$4)*KVARDI,2),""))</f>
        <v/>
      </c>
      <c r="DF26" s="23"/>
      <c r="DG26" s="40" t="str">
        <f aca="false">IF(OR(DF$4=0,DF26=""),"",IFERROR(ROUND(DF26/INDEX(Undirviðmið!$F$6:$F$205,DF$4)*INDEX(Undirviðmið!$E$6:$E$205,DF$4)*KVARDI,2),""))</f>
        <v/>
      </c>
      <c r="DH26" s="23"/>
      <c r="DI26" s="40" t="str">
        <f aca="false">IF(OR(DH$4=0,DH26=""),"",IFERROR(ROUND(DH26/INDEX(Undirviðmið!$F$6:$F$205,DH$4)*INDEX(Undirviðmið!$E$6:$E$205,DH$4)*KVARDI,2),""))</f>
        <v/>
      </c>
      <c r="DJ26" s="23"/>
      <c r="DK26" s="40" t="str">
        <f aca="false">IF(OR(DJ$4=0,DJ26=""),"",IFERROR(ROUND(DJ26/INDEX(Undirviðmið!$F$6:$F$205,DJ$4)*INDEX(Undirviðmið!$E$6:$E$205,DJ$4)*KVARDI,2),""))</f>
        <v/>
      </c>
      <c r="DL26" s="23"/>
      <c r="DM26" s="40" t="str">
        <f aca="false">IF(OR(DL$4=0,DL26=""),"",IFERROR(ROUND(DL26/INDEX(Undirviðmið!$F$6:$F$205,DL$4)*INDEX(Undirviðmið!$E$6:$E$205,DL$4)*KVARDI,2),""))</f>
        <v/>
      </c>
      <c r="DN26" s="23"/>
      <c r="DO26" s="40" t="str">
        <f aca="false">IF(OR(DN$4=0,DN26=""),"",IFERROR(ROUND(DN26/INDEX(Undirviðmið!$F$6:$F$205,DN$4)*INDEX(Undirviðmið!$E$6:$E$205,DN$4)*KVARDI,2),""))</f>
        <v/>
      </c>
      <c r="DP26" s="23"/>
      <c r="DQ26" s="40" t="str">
        <f aca="false">IF(OR(DP$4=0,DP26=""),"",IFERROR(ROUND(DP26/INDEX(Undirviðmið!$F$6:$F$205,DP$4)*INDEX(Undirviðmið!$E$6:$E$205,DP$4)*KVARDI,2),""))</f>
        <v/>
      </c>
      <c r="DR26" s="23"/>
      <c r="DS26" s="40" t="str">
        <f aca="false">IF(OR(DR$4=0,DR26=""),"",IFERROR(ROUND(DR26/INDEX(Undirviðmið!$F$6:$F$205,DR$4)*INDEX(Undirviðmið!$E$6:$E$205,DR$4)*KVARDI,2),""))</f>
        <v/>
      </c>
      <c r="DT26" s="23"/>
      <c r="DU26" s="40" t="str">
        <f aca="false">IF(OR(DT$4=0,DT26=""),"",IFERROR(ROUND(DT26/INDEX(Undirviðmið!$F$6:$F$205,DT$4)*INDEX(Undirviðmið!$E$6:$E$205,DT$4)*KVARDI,2),""))</f>
        <v/>
      </c>
      <c r="DV26" s="23"/>
      <c r="DW26" s="40" t="str">
        <f aca="false">IF(OR(DV$4=0,DV26=""),"",IFERROR(ROUND(DV26/INDEX(Undirviðmið!$F$6:$F$205,DV$4)*INDEX(Undirviðmið!$E$6:$E$205,DV$4)*KVARDI,2),""))</f>
        <v/>
      </c>
      <c r="DX26" s="23"/>
      <c r="DY26" s="40" t="str">
        <f aca="false">IF(OR(DX$4=0,DX26=""),"",IFERROR(ROUND(DX26/INDEX(Undirviðmið!$F$6:$F$205,DX$4)*INDEX(Undirviðmið!$E$6:$E$205,DX$4)*KVARDI,2),""))</f>
        <v/>
      </c>
      <c r="DZ26" s="23"/>
      <c r="EA26" s="40" t="str">
        <f aca="false">IF(OR(DZ$4=0,DZ26=""),"",IFERROR(ROUND(DZ26/INDEX(Undirviðmið!$F$6:$F$205,DZ$4)*INDEX(Undirviðmið!$E$6:$E$205,DZ$4)*KVARDI,2),""))</f>
        <v/>
      </c>
      <c r="EB26" s="23"/>
      <c r="EC26" s="40" t="str">
        <f aca="false">IF(OR(EB$4=0,EB26=""),"",IFERROR(ROUND(EB26/INDEX(Undirviðmið!$F$6:$F$205,EB$4)*INDEX(Undirviðmið!$E$6:$E$205,EB$4)*KVARDI,2),""))</f>
        <v/>
      </c>
      <c r="ED26" s="23"/>
      <c r="EE26" s="40" t="str">
        <f aca="false">IF(OR(ED$4=0,ED26=""),"",IFERROR(ROUND(ED26/INDEX(Undirviðmið!$F$6:$F$205,ED$4)*INDEX(Undirviðmið!$E$6:$E$205,ED$4)*KVARDI,2),""))</f>
        <v/>
      </c>
      <c r="EF26" s="23"/>
      <c r="EG26" s="40" t="str">
        <f aca="false">IF(OR(EF$4=0,EF26=""),"",IFERROR(ROUND(EF26/INDEX(Undirviðmið!$F$6:$F$205,EF$4)*INDEX(Undirviðmið!$E$6:$E$205,EF$4)*KVARDI,2),""))</f>
        <v/>
      </c>
      <c r="EH26" s="23"/>
      <c r="EI26" s="40" t="str">
        <f aca="false">IF(OR(EH$4=0,EH26=""),"",IFERROR(ROUND(EH26/INDEX(Undirviðmið!$F$6:$F$205,EH$4)*INDEX(Undirviðmið!$E$6:$E$205,EH$4)*KVARDI,2),""))</f>
        <v/>
      </c>
      <c r="EJ26" s="23"/>
      <c r="EK26" s="40" t="str">
        <f aca="false">IF(OR(EJ$4=0,EJ26=""),"",IFERROR(ROUND(EJ26/INDEX(Undirviðmið!$F$6:$F$205,EJ$4)*INDEX(Undirviðmið!$E$6:$E$205,EJ$4)*KVARDI,2),""))</f>
        <v/>
      </c>
      <c r="EL26" s="23"/>
      <c r="EM26" s="40" t="str">
        <f aca="false">IF(OR(EL$4=0,EL26=""),"",IFERROR(ROUND(EL26/INDEX(Undirviðmið!$F$6:$F$205,EL$4)*INDEX(Undirviðmið!$E$6:$E$205,EL$4)*KVARDI,2),""))</f>
        <v/>
      </c>
      <c r="EN26" s="23"/>
      <c r="EO26" s="40" t="str">
        <f aca="false">IF(OR(EN$4=0,EN26=""),"",IFERROR(ROUND(EN26/INDEX(Undirviðmið!$F$6:$F$205,EN$4)*INDEX(Undirviðmið!$E$6:$E$205,EN$4)*KVARDI,2),""))</f>
        <v/>
      </c>
      <c r="EP26" s="23"/>
      <c r="EQ26" s="40" t="str">
        <f aca="false">IF(OR(EP$4=0,EP26=""),"",IFERROR(ROUND(EP26/INDEX(Undirviðmið!$F$6:$F$205,EP$4)*INDEX(Undirviðmið!$E$6:$E$205,EP$4)*KVARDI,2),""))</f>
        <v/>
      </c>
      <c r="ER26" s="23"/>
      <c r="ES26" s="40" t="str">
        <f aca="false">IF(OR(ER$4=0,ER26=""),"",IFERROR(ROUND(ER26/INDEX(Undirviðmið!$F$6:$F$205,ER$4)*INDEX(Undirviðmið!$E$6:$E$205,ER$4)*KVARDI,2),""))</f>
        <v/>
      </c>
      <c r="ET26" s="23"/>
      <c r="EU26" s="40" t="str">
        <f aca="false">IF(OR(ET$4=0,ET26=""),"",IFERROR(ROUND(ET26/INDEX(Undirviðmið!$F$6:$F$205,ET$4)*INDEX(Undirviðmið!$E$6:$E$205,ET$4)*KVARDI,2),""))</f>
        <v/>
      </c>
      <c r="EV26" s="23"/>
      <c r="EW26" s="40" t="str">
        <f aca="false">IF(OR(EV$4=0,EV26=""),"",IFERROR(ROUND(EV26/INDEX(Undirviðmið!$F$6:$F$205,EV$4)*INDEX(Undirviðmið!$E$6:$E$205,EV$4)*KVARDI,2),""))</f>
        <v/>
      </c>
      <c r="EX26" s="23"/>
      <c r="EY26" s="40" t="str">
        <f aca="false">IF(OR(EX$4=0,EX26=""),"",IFERROR(ROUND(EX26/INDEX(Undirviðmið!$F$6:$F$205,EX$4)*INDEX(Undirviðmið!$E$6:$E$205,EX$4)*KVARDI,2),""))</f>
        <v/>
      </c>
      <c r="EZ26" s="23"/>
      <c r="FA26" s="40" t="str">
        <f aca="false">IF(OR(EZ$4=0,EZ26=""),"",IFERROR(ROUND(EZ26/INDEX(Undirviðmið!$F$6:$F$205,EZ$4)*INDEX(Undirviðmið!$E$6:$E$205,EZ$4)*KVARDI,2),""))</f>
        <v/>
      </c>
      <c r="FB26" s="23"/>
      <c r="FC26" s="40" t="str">
        <f aca="false">IF(OR(FB$4=0,FB26=""),"",IFERROR(ROUND(FB26/INDEX(Undirviðmið!$F$6:$F$205,FB$4)*INDEX(Undirviðmið!$E$6:$E$205,FB$4)*KVARDI,2),""))</f>
        <v/>
      </c>
      <c r="FD26" s="23"/>
      <c r="FE26" s="40" t="str">
        <f aca="false">IF(OR(FD$4=0,FD26=""),"",IFERROR(ROUND(FD26/INDEX(Undirviðmið!$F$6:$F$205,FD$4)*INDEX(Undirviðmið!$E$6:$E$205,FD$4)*KVARDI,2),""))</f>
        <v/>
      </c>
      <c r="FF26" s="23"/>
      <c r="FG26" s="40" t="str">
        <f aca="false">IF(OR(FF$4=0,FF26=""),"",IFERROR(ROUND(FF26/INDEX(Undirviðmið!$F$6:$F$205,FF$4)*INDEX(Undirviðmið!$E$6:$E$205,FF$4)*KVARDI,2),""))</f>
        <v/>
      </c>
      <c r="FH26" s="23"/>
      <c r="FI26" s="40" t="str">
        <f aca="false">IF(OR(FH$4=0,FH26=""),"",IFERROR(ROUND(FH26/INDEX(Undirviðmið!$F$6:$F$205,FH$4)*INDEX(Undirviðmið!$E$6:$E$205,FH$4)*KVARDI,2),""))</f>
        <v/>
      </c>
      <c r="FJ26" s="23"/>
      <c r="FK26" s="40" t="str">
        <f aca="false">IF(OR(FJ$4=0,FJ26=""),"",IFERROR(ROUND(FJ26/INDEX(Undirviðmið!$F$6:$F$205,FJ$4)*INDEX(Undirviðmið!$E$6:$E$205,FJ$4)*KVARDI,2),""))</f>
        <v/>
      </c>
      <c r="FL26" s="23"/>
      <c r="FM26" s="40" t="str">
        <f aca="false">IF(OR(FL$4=0,FL26=""),"",IFERROR(ROUND(FL26/INDEX(Undirviðmið!$F$6:$F$205,FL$4)*INDEX(Undirviðmið!$E$6:$E$205,FL$4)*KVARDI,2),""))</f>
        <v/>
      </c>
      <c r="FN26" s="23"/>
      <c r="FO26" s="40" t="str">
        <f aca="false">IF(OR(FN$4=0,FN26=""),"",IFERROR(ROUND(FN26/INDEX(Undirviðmið!$F$6:$F$205,FN$4)*INDEX(Undirviðmið!$E$6:$E$205,FN$4)*KVARDI,2),""))</f>
        <v/>
      </c>
      <c r="FP26" s="23"/>
      <c r="FQ26" s="40" t="str">
        <f aca="false">IF(OR(FP$4=0,FP26=""),"",IFERROR(ROUND(FP26/INDEX(Undirviðmið!$F$6:$F$205,FP$4)*INDEX(Undirviðmið!$E$6:$E$205,FP$4)*KVARDI,2),""))</f>
        <v/>
      </c>
      <c r="FR26" s="23"/>
      <c r="FS26" s="40" t="str">
        <f aca="false">IF(OR(FR$4=0,FR26=""),"",IFERROR(ROUND(FR26/INDEX(Undirviðmið!$F$6:$F$205,FR$4)*INDEX(Undirviðmið!$E$6:$E$205,FR$4)*KVARDI,2),""))</f>
        <v/>
      </c>
      <c r="FT26" s="23"/>
      <c r="FU26" s="40" t="str">
        <f aca="false">IF(OR(FT$4=0,FT26=""),"",IFERROR(ROUND(FT26/INDEX(Undirviðmið!$F$6:$F$205,FT$4)*INDEX(Undirviðmið!$E$6:$E$205,FT$4)*KVARDI,2),""))</f>
        <v/>
      </c>
      <c r="FV26" s="23"/>
      <c r="FW26" s="40" t="str">
        <f aca="false">IF(OR(FV$4=0,FV26=""),"",IFERROR(ROUND(FV26/INDEX(Undirviðmið!$F$6:$F$205,FV$4)*INDEX(Undirviðmið!$E$6:$E$205,FV$4)*KVARDI,2),""))</f>
        <v/>
      </c>
      <c r="FX26" s="23"/>
      <c r="FY26" s="40" t="str">
        <f aca="false">IF(OR(FX$4=0,FX26=""),"",IFERROR(ROUND(FX26/INDEX(Undirviðmið!$F$6:$F$205,FX$4)*INDEX(Undirviðmið!$E$6:$E$205,FX$4)*KVARDI,2),""))</f>
        <v/>
      </c>
      <c r="FZ26" s="23"/>
      <c r="GA26" s="40" t="str">
        <f aca="false">IF(OR(FZ$4=0,FZ26=""),"",IFERROR(ROUND(FZ26/INDEX(Undirviðmið!$F$6:$F$205,FZ$4)*INDEX(Undirviðmið!$E$6:$E$205,FZ$4)*KVARDI,2),""))</f>
        <v/>
      </c>
      <c r="GB26" s="23"/>
      <c r="GC26" s="40" t="str">
        <f aca="false">IF(OR(GB$4=0,GB26=""),"",IFERROR(ROUND(GB26/INDEX(Undirviðmið!$F$6:$F$205,GB$4)*INDEX(Undirviðmið!$E$6:$E$205,GB$4)*KVARDI,2),""))</f>
        <v/>
      </c>
      <c r="GD26" s="23"/>
      <c r="GE26" s="40" t="str">
        <f aca="false">IF(OR(GD$4=0,GD26=""),"",IFERROR(ROUND(GD26/INDEX(Undirviðmið!$F$6:$F$205,GD$4)*INDEX(Undirviðmið!$E$6:$E$205,GD$4)*KVARDI,2),""))</f>
        <v/>
      </c>
      <c r="GF26" s="23"/>
      <c r="GG26" s="40" t="str">
        <f aca="false">IF(OR(GF$4=0,GF26=""),"",IFERROR(ROUND(GF26/INDEX(Undirviðmið!$F$6:$F$205,GF$4)*INDEX(Undirviðmið!$E$6:$E$205,GF$4)*KVARDI,2),""))</f>
        <v/>
      </c>
      <c r="GH26" s="23"/>
      <c r="GI26" s="40" t="str">
        <f aca="false">IF(OR(GH$4=0,GH26=""),"",IFERROR(ROUND(GH26/INDEX(Undirviðmið!$F$6:$F$205,GH$4)*INDEX(Undirviðmið!$E$6:$E$205,GH$4)*KVARDI,2),""))</f>
        <v/>
      </c>
      <c r="GJ26" s="23"/>
      <c r="GK26" s="40" t="str">
        <f aca="false">IF(OR(GJ$4=0,GJ26=""),"",IFERROR(ROUND(GJ26/INDEX(Undirviðmið!$F$6:$F$205,GJ$4)*INDEX(Undirviðmið!$E$6:$E$205,GJ$4)*KVARDI,2),""))</f>
        <v/>
      </c>
      <c r="GL26" s="23"/>
      <c r="GM26" s="40" t="str">
        <f aca="false">IF(OR(GL$4=0,GL26=""),"",IFERROR(ROUND(GL26/INDEX(Undirviðmið!$F$6:$F$205,GL$4)*INDEX(Undirviðmið!$E$6:$E$205,GL$4)*KVARDI,2),""))</f>
        <v/>
      </c>
      <c r="GN26" s="23"/>
      <c r="GO26" s="40" t="str">
        <f aca="false">IF(OR(GN$4=0,GN26=""),"",IFERROR(ROUND(GN26/INDEX(Undirviðmið!$F$6:$F$205,GN$4)*INDEX(Undirviðmið!$E$6:$E$205,GN$4)*KVARDI,2),""))</f>
        <v/>
      </c>
      <c r="GP26" s="23"/>
      <c r="GQ26" s="40" t="str">
        <f aca="false">IF(OR(GP$4=0,GP26=""),"",IFERROR(ROUND(GP26/INDEX(Undirviðmið!$F$6:$F$205,GP$4)*INDEX(Undirviðmið!$E$6:$E$205,GP$4)*KVARDI,2),""))</f>
        <v/>
      </c>
      <c r="GR26" s="23"/>
      <c r="GS26" s="40" t="str">
        <f aca="false">IF(OR(GR$4=0,GR26=""),"",IFERROR(ROUND(GR26/INDEX(Undirviðmið!$F$6:$F$205,GR$4)*INDEX(Undirviðmið!$E$6:$E$205,GR$4)*KVARDI,2),""))</f>
        <v/>
      </c>
      <c r="GT26" s="23"/>
      <c r="GU26" s="40" t="str">
        <f aca="false">IF(OR(GT$4=0,GT26=""),"",IFERROR(ROUND(GT26/INDEX(Undirviðmið!$F$6:$F$205,GT$4)*INDEX(Undirviðmið!$E$6:$E$205,GT$4)*KVARDI,2),""))</f>
        <v/>
      </c>
      <c r="GV26" s="44" t="n">
        <f aca="false">IFERROR(SUMIF($D$6:GU$6,"Stig",$D26:GU26),0)</f>
        <v>0</v>
      </c>
    </row>
    <row r="27" customFormat="false" ht="15" hidden="false" customHeight="true" outlineLevel="0" collapsed="false">
      <c r="A27" s="22" t="n">
        <f aca="false">ROW()-6</f>
        <v>21</v>
      </c>
      <c r="B27" s="24" t="str">
        <f aca="false">IF(INDEX(Starfsmenn!$B$6:$B$10005,ROW()-6)="","",INDEX(Starfsmenn!$B$6:$B$10005,ROW()-6))</f>
        <v/>
      </c>
      <c r="C27" s="24" t="str">
        <f aca="false">IF(INDEX(Starfsmenn!$C$6:$C$10005,ROW()-6)="","",INDEX(Starfsmenn!$C$6:$C$10005,ROW()-6))</f>
        <v/>
      </c>
      <c r="D27" s="23"/>
      <c r="E27" s="40" t="str">
        <f aca="false">IF(OR(D$4=0,D27=""),"",IFERROR(ROUND(D27/INDEX(Undirviðmið!$F$6:$F$205,D$4)*INDEX(Undirviðmið!$E$6:$E$205,D$4)*KVARDI,2),""))</f>
        <v/>
      </c>
      <c r="F27" s="23"/>
      <c r="G27" s="40" t="str">
        <f aca="false">IF(OR(F$4=0,F27=""),"",IFERROR(ROUND(F27/INDEX(Undirviðmið!$F$6:$F$205,F$4)*INDEX(Undirviðmið!$E$6:$E$205,F$4)*KVARDI,2),""))</f>
        <v/>
      </c>
      <c r="H27" s="23"/>
      <c r="I27" s="40" t="str">
        <f aca="false">IF(OR(H$4=0,H27=""),"",IFERROR(ROUND(H27/INDEX(Undirviðmið!$F$6:$F$205,H$4)*INDEX(Undirviðmið!$E$6:$E$205,H$4)*KVARDI,2),""))</f>
        <v/>
      </c>
      <c r="J27" s="23"/>
      <c r="K27" s="40" t="str">
        <f aca="false">IF(OR(J$4=0,J27=""),"",IFERROR(ROUND(J27/INDEX(Undirviðmið!$F$6:$F$205,J$4)*INDEX(Undirviðmið!$E$6:$E$205,J$4)*KVARDI,2),""))</f>
        <v/>
      </c>
      <c r="L27" s="23"/>
      <c r="M27" s="40" t="str">
        <f aca="false">IF(OR(L$4=0,L27=""),"",IFERROR(ROUND(L27/INDEX(Undirviðmið!$F$6:$F$205,L$4)*INDEX(Undirviðmið!$E$6:$E$205,L$4)*KVARDI,2),""))</f>
        <v/>
      </c>
      <c r="N27" s="23"/>
      <c r="O27" s="40" t="str">
        <f aca="false">IF(OR(N$4=0,N27=""),"",IFERROR(ROUND(N27/INDEX(Undirviðmið!$F$6:$F$205,N$4)*INDEX(Undirviðmið!$E$6:$E$205,N$4)*KVARDI,2),""))</f>
        <v/>
      </c>
      <c r="P27" s="23"/>
      <c r="Q27" s="40" t="str">
        <f aca="false">IF(OR(P$4=0,P27=""),"",IFERROR(ROUND(P27/INDEX(Undirviðmið!$F$6:$F$205,P$4)*INDEX(Undirviðmið!$E$6:$E$205,P$4)*KVARDI,2),""))</f>
        <v/>
      </c>
      <c r="R27" s="23"/>
      <c r="S27" s="40" t="str">
        <f aca="false">IF(OR(R$4=0,R27=""),"",IFERROR(ROUND(R27/INDEX(Undirviðmið!$F$6:$F$205,R$4)*INDEX(Undirviðmið!$E$6:$E$205,R$4)*KVARDI,2),""))</f>
        <v/>
      </c>
      <c r="T27" s="23"/>
      <c r="U27" s="40" t="str">
        <f aca="false">IF(OR(T$4=0,T27=""),"",IFERROR(ROUND(T27/INDEX(Undirviðmið!$F$6:$F$205,T$4)*INDEX(Undirviðmið!$E$6:$E$205,T$4)*KVARDI,2),""))</f>
        <v/>
      </c>
      <c r="V27" s="23"/>
      <c r="W27" s="40" t="str">
        <f aca="false">IF(OR(V$4=0,V27=""),"",IFERROR(ROUND(V27/INDEX(Undirviðmið!$F$6:$F$205,V$4)*INDEX(Undirviðmið!$E$6:$E$205,V$4)*KVARDI,2),""))</f>
        <v/>
      </c>
      <c r="X27" s="23"/>
      <c r="Y27" s="40" t="str">
        <f aca="false">IF(OR(X$4=0,X27=""),"",IFERROR(ROUND(X27/INDEX(Undirviðmið!$F$6:$F$205,X$4)*INDEX(Undirviðmið!$E$6:$E$205,X$4)*KVARDI,2),""))</f>
        <v/>
      </c>
      <c r="Z27" s="23"/>
      <c r="AA27" s="40" t="str">
        <f aca="false">IF(OR(Z$4=0,Z27=""),"",IFERROR(ROUND(Z27/INDEX(Undirviðmið!$F$6:$F$205,Z$4)*INDEX(Undirviðmið!$E$6:$E$205,Z$4)*KVARDI,2),""))</f>
        <v/>
      </c>
      <c r="AB27" s="23"/>
      <c r="AC27" s="40" t="str">
        <f aca="false">IF(OR(AB$4=0,AB27=""),"",IFERROR(ROUND(AB27/INDEX(Undirviðmið!$F$6:$F$205,AB$4)*INDEX(Undirviðmið!$E$6:$E$205,AB$4)*KVARDI,2),""))</f>
        <v/>
      </c>
      <c r="AD27" s="23"/>
      <c r="AE27" s="40" t="str">
        <f aca="false">IF(OR(AD$4=0,AD27=""),"",IFERROR(ROUND(AD27/INDEX(Undirviðmið!$F$6:$F$205,AD$4)*INDEX(Undirviðmið!$E$6:$E$205,AD$4)*KVARDI,2),""))</f>
        <v/>
      </c>
      <c r="AF27" s="23"/>
      <c r="AG27" s="40" t="str">
        <f aca="false">IF(OR(AF$4=0,AF27=""),"",IFERROR(ROUND(AF27/INDEX(Undirviðmið!$F$6:$F$205,AF$4)*INDEX(Undirviðmið!$E$6:$E$205,AF$4)*KVARDI,2),""))</f>
        <v/>
      </c>
      <c r="AH27" s="23"/>
      <c r="AI27" s="40" t="str">
        <f aca="false">IF(OR(AH$4=0,AH27=""),"",IFERROR(ROUND(AH27/INDEX(Undirviðmið!$F$6:$F$205,AH$4)*INDEX(Undirviðmið!$E$6:$E$205,AH$4)*KVARDI,2),""))</f>
        <v/>
      </c>
      <c r="AJ27" s="23"/>
      <c r="AK27" s="40" t="str">
        <f aca="false">IF(OR(AJ$4=0,AJ27=""),"",IFERROR(ROUND(AJ27/INDEX(Undirviðmið!$F$6:$F$205,AJ$4)*INDEX(Undirviðmið!$E$6:$E$205,AJ$4)*KVARDI,2),""))</f>
        <v/>
      </c>
      <c r="AL27" s="23"/>
      <c r="AM27" s="40" t="str">
        <f aca="false">IF(OR(AL$4=0,AL27=""),"",IFERROR(ROUND(AL27/INDEX(Undirviðmið!$F$6:$F$205,AL$4)*INDEX(Undirviðmið!$E$6:$E$205,AL$4)*KVARDI,2),""))</f>
        <v/>
      </c>
      <c r="AN27" s="23"/>
      <c r="AO27" s="40" t="str">
        <f aca="false">IF(OR(AN$4=0,AN27=""),"",IFERROR(ROUND(AN27/INDEX(Undirviðmið!$F$6:$F$205,AN$4)*INDEX(Undirviðmið!$E$6:$E$205,AN$4)*KVARDI,2),""))</f>
        <v/>
      </c>
      <c r="AP27" s="23"/>
      <c r="AQ27" s="40" t="str">
        <f aca="false">IF(OR(AP$4=0,AP27=""),"",IFERROR(ROUND(AP27/INDEX(Undirviðmið!$F$6:$F$205,AP$4)*INDEX(Undirviðmið!$E$6:$E$205,AP$4)*KVARDI,2),""))</f>
        <v/>
      </c>
      <c r="AR27" s="23"/>
      <c r="AS27" s="40" t="str">
        <f aca="false">IF(OR(AR$4=0,AR27=""),"",IFERROR(ROUND(AR27/INDEX(Undirviðmið!$F$6:$F$205,AR$4)*INDEX(Undirviðmið!$E$6:$E$205,AR$4)*KVARDI,2),""))</f>
        <v/>
      </c>
      <c r="AT27" s="23"/>
      <c r="AU27" s="40" t="str">
        <f aca="false">IF(OR(AT$4=0,AT27=""),"",IFERROR(ROUND(AT27/INDEX(Undirviðmið!$F$6:$F$205,AT$4)*INDEX(Undirviðmið!$E$6:$E$205,AT$4)*KVARDI,2),""))</f>
        <v/>
      </c>
      <c r="AV27" s="23"/>
      <c r="AW27" s="40" t="str">
        <f aca="false">IF(OR(AV$4=0,AV27=""),"",IFERROR(ROUND(AV27/INDEX(Undirviðmið!$F$6:$F$205,AV$4)*INDEX(Undirviðmið!$E$6:$E$205,AV$4)*KVARDI,2),""))</f>
        <v/>
      </c>
      <c r="AX27" s="23"/>
      <c r="AY27" s="40" t="str">
        <f aca="false">IF(OR(AX$4=0,AX27=""),"",IFERROR(ROUND(AX27/INDEX(Undirviðmið!$F$6:$F$205,AX$4)*INDEX(Undirviðmið!$E$6:$E$205,AX$4)*KVARDI,2),""))</f>
        <v/>
      </c>
      <c r="AZ27" s="23"/>
      <c r="BA27" s="40" t="str">
        <f aca="false">IF(OR(AZ$4=0,AZ27=""),"",IFERROR(ROUND(AZ27/INDEX(Undirviðmið!$F$6:$F$205,AZ$4)*INDEX(Undirviðmið!$E$6:$E$205,AZ$4)*KVARDI,2),""))</f>
        <v/>
      </c>
      <c r="BB27" s="23"/>
      <c r="BC27" s="40" t="str">
        <f aca="false">IF(OR(BB$4=0,BB27=""),"",IFERROR(ROUND(BB27/INDEX(Undirviðmið!$F$6:$F$205,BB$4)*INDEX(Undirviðmið!$E$6:$E$205,BB$4)*KVARDI,2),""))</f>
        <v/>
      </c>
      <c r="BD27" s="23"/>
      <c r="BE27" s="40" t="str">
        <f aca="false">IF(OR(BD$4=0,BD27=""),"",IFERROR(ROUND(BD27/INDEX(Undirviðmið!$F$6:$F$205,BD$4)*INDEX(Undirviðmið!$E$6:$E$205,BD$4)*KVARDI,2),""))</f>
        <v/>
      </c>
      <c r="BF27" s="23"/>
      <c r="BG27" s="40" t="str">
        <f aca="false">IF(OR(BF$4=0,BF27=""),"",IFERROR(ROUND(BF27/INDEX(Undirviðmið!$F$6:$F$205,BF$4)*INDEX(Undirviðmið!$E$6:$E$205,BF$4)*KVARDI,2),""))</f>
        <v/>
      </c>
      <c r="BH27" s="23"/>
      <c r="BI27" s="40" t="str">
        <f aca="false">IF(OR(BH$4=0,BH27=""),"",IFERROR(ROUND(BH27/INDEX(Undirviðmið!$F$6:$F$205,BH$4)*INDEX(Undirviðmið!$E$6:$E$205,BH$4)*KVARDI,2),""))</f>
        <v/>
      </c>
      <c r="BJ27" s="23"/>
      <c r="BK27" s="40" t="str">
        <f aca="false">IF(OR(BJ$4=0,BJ27=""),"",IFERROR(ROUND(BJ27/INDEX(Undirviðmið!$F$6:$F$205,BJ$4)*INDEX(Undirviðmið!$E$6:$E$205,BJ$4)*KVARDI,2),""))</f>
        <v/>
      </c>
      <c r="BL27" s="23"/>
      <c r="BM27" s="40" t="str">
        <f aca="false">IF(OR(BL$4=0,BL27=""),"",IFERROR(ROUND(BL27/INDEX(Undirviðmið!$F$6:$F$205,BL$4)*INDEX(Undirviðmið!$E$6:$E$205,BL$4)*KVARDI,2),""))</f>
        <v/>
      </c>
      <c r="BN27" s="23"/>
      <c r="BO27" s="40" t="str">
        <f aca="false">IF(OR(BN$4=0,BN27=""),"",IFERROR(ROUND(BN27/INDEX(Undirviðmið!$F$6:$F$205,BN$4)*INDEX(Undirviðmið!$E$6:$E$205,BN$4)*KVARDI,2),""))</f>
        <v/>
      </c>
      <c r="BP27" s="23"/>
      <c r="BQ27" s="40" t="str">
        <f aca="false">IF(OR(BP$4=0,BP27=""),"",IFERROR(ROUND(BP27/INDEX(Undirviðmið!$F$6:$F$205,BP$4)*INDEX(Undirviðmið!$E$6:$E$205,BP$4)*KVARDI,2),""))</f>
        <v/>
      </c>
      <c r="BR27" s="23"/>
      <c r="BS27" s="40" t="str">
        <f aca="false">IF(OR(BR$4=0,BR27=""),"",IFERROR(ROUND(BR27/INDEX(Undirviðmið!$F$6:$F$205,BR$4)*INDEX(Undirviðmið!$E$6:$E$205,BR$4)*KVARDI,2),""))</f>
        <v/>
      </c>
      <c r="BT27" s="23"/>
      <c r="BU27" s="40" t="str">
        <f aca="false">IF(OR(BT$4=0,BT27=""),"",IFERROR(ROUND(BT27/INDEX(Undirviðmið!$F$6:$F$205,BT$4)*INDEX(Undirviðmið!$E$6:$E$205,BT$4)*KVARDI,2),""))</f>
        <v/>
      </c>
      <c r="BV27" s="23"/>
      <c r="BW27" s="40" t="str">
        <f aca="false">IF(OR(BV$4=0,BV27=""),"",IFERROR(ROUND(BV27/INDEX(Undirviðmið!$F$6:$F$205,BV$4)*INDEX(Undirviðmið!$E$6:$E$205,BV$4)*KVARDI,2),""))</f>
        <v/>
      </c>
      <c r="BX27" s="23"/>
      <c r="BY27" s="40" t="str">
        <f aca="false">IF(OR(BX$4=0,BX27=""),"",IFERROR(ROUND(BX27/INDEX(Undirviðmið!$F$6:$F$205,BX$4)*INDEX(Undirviðmið!$E$6:$E$205,BX$4)*KVARDI,2),""))</f>
        <v/>
      </c>
      <c r="BZ27" s="23"/>
      <c r="CA27" s="40" t="str">
        <f aca="false">IF(OR(BZ$4=0,BZ27=""),"",IFERROR(ROUND(BZ27/INDEX(Undirviðmið!$F$6:$F$205,BZ$4)*INDEX(Undirviðmið!$E$6:$E$205,BZ$4)*KVARDI,2),""))</f>
        <v/>
      </c>
      <c r="CB27" s="23"/>
      <c r="CC27" s="40" t="str">
        <f aca="false">IF(OR(CB$4=0,CB27=""),"",IFERROR(ROUND(CB27/INDEX(Undirviðmið!$F$6:$F$205,CB$4)*INDEX(Undirviðmið!$E$6:$E$205,CB$4)*KVARDI,2),""))</f>
        <v/>
      </c>
      <c r="CD27" s="23"/>
      <c r="CE27" s="40" t="str">
        <f aca="false">IF(OR(CD$4=0,CD27=""),"",IFERROR(ROUND(CD27/INDEX(Undirviðmið!$F$6:$F$205,CD$4)*INDEX(Undirviðmið!$E$6:$E$205,CD$4)*KVARDI,2),""))</f>
        <v/>
      </c>
      <c r="CF27" s="23"/>
      <c r="CG27" s="40" t="str">
        <f aca="false">IF(OR(CF$4=0,CF27=""),"",IFERROR(ROUND(CF27/INDEX(Undirviðmið!$F$6:$F$205,CF$4)*INDEX(Undirviðmið!$E$6:$E$205,CF$4)*KVARDI,2),""))</f>
        <v/>
      </c>
      <c r="CH27" s="23"/>
      <c r="CI27" s="40" t="str">
        <f aca="false">IF(OR(CH$4=0,CH27=""),"",IFERROR(ROUND(CH27/INDEX(Undirviðmið!$F$6:$F$205,CH$4)*INDEX(Undirviðmið!$E$6:$E$205,CH$4)*KVARDI,2),""))</f>
        <v/>
      </c>
      <c r="CJ27" s="23"/>
      <c r="CK27" s="40" t="str">
        <f aca="false">IF(OR(CJ$4=0,CJ27=""),"",IFERROR(ROUND(CJ27/INDEX(Undirviðmið!$F$6:$F$205,CJ$4)*INDEX(Undirviðmið!$E$6:$E$205,CJ$4)*KVARDI,2),""))</f>
        <v/>
      </c>
      <c r="CL27" s="23"/>
      <c r="CM27" s="40" t="str">
        <f aca="false">IF(OR(CL$4=0,CL27=""),"",IFERROR(ROUND(CL27/INDEX(Undirviðmið!$F$6:$F$205,CL$4)*INDEX(Undirviðmið!$E$6:$E$205,CL$4)*KVARDI,2),""))</f>
        <v/>
      </c>
      <c r="CN27" s="23"/>
      <c r="CO27" s="40" t="str">
        <f aca="false">IF(OR(CN$4=0,CN27=""),"",IFERROR(ROUND(CN27/INDEX(Undirviðmið!$F$6:$F$205,CN$4)*INDEX(Undirviðmið!$E$6:$E$205,CN$4)*KVARDI,2),""))</f>
        <v/>
      </c>
      <c r="CP27" s="23"/>
      <c r="CQ27" s="40" t="str">
        <f aca="false">IF(OR(CP$4=0,CP27=""),"",IFERROR(ROUND(CP27/INDEX(Undirviðmið!$F$6:$F$205,CP$4)*INDEX(Undirviðmið!$E$6:$E$205,CP$4)*KVARDI,2),""))</f>
        <v/>
      </c>
      <c r="CR27" s="23"/>
      <c r="CS27" s="40" t="str">
        <f aca="false">IF(OR(CR$4=0,CR27=""),"",IFERROR(ROUND(CR27/INDEX(Undirviðmið!$F$6:$F$205,CR$4)*INDEX(Undirviðmið!$E$6:$E$205,CR$4)*KVARDI,2),""))</f>
        <v/>
      </c>
      <c r="CT27" s="23"/>
      <c r="CU27" s="40" t="str">
        <f aca="false">IF(OR(CT$4=0,CT27=""),"",IFERROR(ROUND(CT27/INDEX(Undirviðmið!$F$6:$F$205,CT$4)*INDEX(Undirviðmið!$E$6:$E$205,CT$4)*KVARDI,2),""))</f>
        <v/>
      </c>
      <c r="CV27" s="23"/>
      <c r="CW27" s="40" t="str">
        <f aca="false">IF(OR(CV$4=0,CV27=""),"",IFERROR(ROUND(CV27/INDEX(Undirviðmið!$F$6:$F$205,CV$4)*INDEX(Undirviðmið!$E$6:$E$205,CV$4)*KVARDI,2),""))</f>
        <v/>
      </c>
      <c r="CX27" s="23"/>
      <c r="CY27" s="40" t="str">
        <f aca="false">IF(OR(CX$4=0,CX27=""),"",IFERROR(ROUND(CX27/INDEX(Undirviðmið!$F$6:$F$205,CX$4)*INDEX(Undirviðmið!$E$6:$E$205,CX$4)*KVARDI,2),""))</f>
        <v/>
      </c>
      <c r="CZ27" s="23"/>
      <c r="DA27" s="40" t="str">
        <f aca="false">IF(OR(CZ$4=0,CZ27=""),"",IFERROR(ROUND(CZ27/INDEX(Undirviðmið!$F$6:$F$205,CZ$4)*INDEX(Undirviðmið!$E$6:$E$205,CZ$4)*KVARDI,2),""))</f>
        <v/>
      </c>
      <c r="DB27" s="23"/>
      <c r="DC27" s="40" t="str">
        <f aca="false">IF(OR(DB$4=0,DB27=""),"",IFERROR(ROUND(DB27/INDEX(Undirviðmið!$F$6:$F$205,DB$4)*INDEX(Undirviðmið!$E$6:$E$205,DB$4)*KVARDI,2),""))</f>
        <v/>
      </c>
      <c r="DD27" s="23"/>
      <c r="DE27" s="40" t="str">
        <f aca="false">IF(OR(DD$4=0,DD27=""),"",IFERROR(ROUND(DD27/INDEX(Undirviðmið!$F$6:$F$205,DD$4)*INDEX(Undirviðmið!$E$6:$E$205,DD$4)*KVARDI,2),""))</f>
        <v/>
      </c>
      <c r="DF27" s="23"/>
      <c r="DG27" s="40" t="str">
        <f aca="false">IF(OR(DF$4=0,DF27=""),"",IFERROR(ROUND(DF27/INDEX(Undirviðmið!$F$6:$F$205,DF$4)*INDEX(Undirviðmið!$E$6:$E$205,DF$4)*KVARDI,2),""))</f>
        <v/>
      </c>
      <c r="DH27" s="23"/>
      <c r="DI27" s="40" t="str">
        <f aca="false">IF(OR(DH$4=0,DH27=""),"",IFERROR(ROUND(DH27/INDEX(Undirviðmið!$F$6:$F$205,DH$4)*INDEX(Undirviðmið!$E$6:$E$205,DH$4)*KVARDI,2),""))</f>
        <v/>
      </c>
      <c r="DJ27" s="23"/>
      <c r="DK27" s="40" t="str">
        <f aca="false">IF(OR(DJ$4=0,DJ27=""),"",IFERROR(ROUND(DJ27/INDEX(Undirviðmið!$F$6:$F$205,DJ$4)*INDEX(Undirviðmið!$E$6:$E$205,DJ$4)*KVARDI,2),""))</f>
        <v/>
      </c>
      <c r="DL27" s="23"/>
      <c r="DM27" s="40" t="str">
        <f aca="false">IF(OR(DL$4=0,DL27=""),"",IFERROR(ROUND(DL27/INDEX(Undirviðmið!$F$6:$F$205,DL$4)*INDEX(Undirviðmið!$E$6:$E$205,DL$4)*KVARDI,2),""))</f>
        <v/>
      </c>
      <c r="DN27" s="23"/>
      <c r="DO27" s="40" t="str">
        <f aca="false">IF(OR(DN$4=0,DN27=""),"",IFERROR(ROUND(DN27/INDEX(Undirviðmið!$F$6:$F$205,DN$4)*INDEX(Undirviðmið!$E$6:$E$205,DN$4)*KVARDI,2),""))</f>
        <v/>
      </c>
      <c r="DP27" s="23"/>
      <c r="DQ27" s="40" t="str">
        <f aca="false">IF(OR(DP$4=0,DP27=""),"",IFERROR(ROUND(DP27/INDEX(Undirviðmið!$F$6:$F$205,DP$4)*INDEX(Undirviðmið!$E$6:$E$205,DP$4)*KVARDI,2),""))</f>
        <v/>
      </c>
      <c r="DR27" s="23"/>
      <c r="DS27" s="40" t="str">
        <f aca="false">IF(OR(DR$4=0,DR27=""),"",IFERROR(ROUND(DR27/INDEX(Undirviðmið!$F$6:$F$205,DR$4)*INDEX(Undirviðmið!$E$6:$E$205,DR$4)*KVARDI,2),""))</f>
        <v/>
      </c>
      <c r="DT27" s="23"/>
      <c r="DU27" s="40" t="str">
        <f aca="false">IF(OR(DT$4=0,DT27=""),"",IFERROR(ROUND(DT27/INDEX(Undirviðmið!$F$6:$F$205,DT$4)*INDEX(Undirviðmið!$E$6:$E$205,DT$4)*KVARDI,2),""))</f>
        <v/>
      </c>
      <c r="DV27" s="23"/>
      <c r="DW27" s="40" t="str">
        <f aca="false">IF(OR(DV$4=0,DV27=""),"",IFERROR(ROUND(DV27/INDEX(Undirviðmið!$F$6:$F$205,DV$4)*INDEX(Undirviðmið!$E$6:$E$205,DV$4)*KVARDI,2),""))</f>
        <v/>
      </c>
      <c r="DX27" s="23"/>
      <c r="DY27" s="40" t="str">
        <f aca="false">IF(OR(DX$4=0,DX27=""),"",IFERROR(ROUND(DX27/INDEX(Undirviðmið!$F$6:$F$205,DX$4)*INDEX(Undirviðmið!$E$6:$E$205,DX$4)*KVARDI,2),""))</f>
        <v/>
      </c>
      <c r="DZ27" s="23"/>
      <c r="EA27" s="40" t="str">
        <f aca="false">IF(OR(DZ$4=0,DZ27=""),"",IFERROR(ROUND(DZ27/INDEX(Undirviðmið!$F$6:$F$205,DZ$4)*INDEX(Undirviðmið!$E$6:$E$205,DZ$4)*KVARDI,2),""))</f>
        <v/>
      </c>
      <c r="EB27" s="23"/>
      <c r="EC27" s="40" t="str">
        <f aca="false">IF(OR(EB$4=0,EB27=""),"",IFERROR(ROUND(EB27/INDEX(Undirviðmið!$F$6:$F$205,EB$4)*INDEX(Undirviðmið!$E$6:$E$205,EB$4)*KVARDI,2),""))</f>
        <v/>
      </c>
      <c r="ED27" s="23"/>
      <c r="EE27" s="40" t="str">
        <f aca="false">IF(OR(ED$4=0,ED27=""),"",IFERROR(ROUND(ED27/INDEX(Undirviðmið!$F$6:$F$205,ED$4)*INDEX(Undirviðmið!$E$6:$E$205,ED$4)*KVARDI,2),""))</f>
        <v/>
      </c>
      <c r="EF27" s="23"/>
      <c r="EG27" s="40" t="str">
        <f aca="false">IF(OR(EF$4=0,EF27=""),"",IFERROR(ROUND(EF27/INDEX(Undirviðmið!$F$6:$F$205,EF$4)*INDEX(Undirviðmið!$E$6:$E$205,EF$4)*KVARDI,2),""))</f>
        <v/>
      </c>
      <c r="EH27" s="23"/>
      <c r="EI27" s="40" t="str">
        <f aca="false">IF(OR(EH$4=0,EH27=""),"",IFERROR(ROUND(EH27/INDEX(Undirviðmið!$F$6:$F$205,EH$4)*INDEX(Undirviðmið!$E$6:$E$205,EH$4)*KVARDI,2),""))</f>
        <v/>
      </c>
      <c r="EJ27" s="23"/>
      <c r="EK27" s="40" t="str">
        <f aca="false">IF(OR(EJ$4=0,EJ27=""),"",IFERROR(ROUND(EJ27/INDEX(Undirviðmið!$F$6:$F$205,EJ$4)*INDEX(Undirviðmið!$E$6:$E$205,EJ$4)*KVARDI,2),""))</f>
        <v/>
      </c>
      <c r="EL27" s="23"/>
      <c r="EM27" s="40" t="str">
        <f aca="false">IF(OR(EL$4=0,EL27=""),"",IFERROR(ROUND(EL27/INDEX(Undirviðmið!$F$6:$F$205,EL$4)*INDEX(Undirviðmið!$E$6:$E$205,EL$4)*KVARDI,2),""))</f>
        <v/>
      </c>
      <c r="EN27" s="23"/>
      <c r="EO27" s="40" t="str">
        <f aca="false">IF(OR(EN$4=0,EN27=""),"",IFERROR(ROUND(EN27/INDEX(Undirviðmið!$F$6:$F$205,EN$4)*INDEX(Undirviðmið!$E$6:$E$205,EN$4)*KVARDI,2),""))</f>
        <v/>
      </c>
      <c r="EP27" s="23"/>
      <c r="EQ27" s="40" t="str">
        <f aca="false">IF(OR(EP$4=0,EP27=""),"",IFERROR(ROUND(EP27/INDEX(Undirviðmið!$F$6:$F$205,EP$4)*INDEX(Undirviðmið!$E$6:$E$205,EP$4)*KVARDI,2),""))</f>
        <v/>
      </c>
      <c r="ER27" s="23"/>
      <c r="ES27" s="40" t="str">
        <f aca="false">IF(OR(ER$4=0,ER27=""),"",IFERROR(ROUND(ER27/INDEX(Undirviðmið!$F$6:$F$205,ER$4)*INDEX(Undirviðmið!$E$6:$E$205,ER$4)*KVARDI,2),""))</f>
        <v/>
      </c>
      <c r="ET27" s="23"/>
      <c r="EU27" s="40" t="str">
        <f aca="false">IF(OR(ET$4=0,ET27=""),"",IFERROR(ROUND(ET27/INDEX(Undirviðmið!$F$6:$F$205,ET$4)*INDEX(Undirviðmið!$E$6:$E$205,ET$4)*KVARDI,2),""))</f>
        <v/>
      </c>
      <c r="EV27" s="23"/>
      <c r="EW27" s="40" t="str">
        <f aca="false">IF(OR(EV$4=0,EV27=""),"",IFERROR(ROUND(EV27/INDEX(Undirviðmið!$F$6:$F$205,EV$4)*INDEX(Undirviðmið!$E$6:$E$205,EV$4)*KVARDI,2),""))</f>
        <v/>
      </c>
      <c r="EX27" s="23"/>
      <c r="EY27" s="40" t="str">
        <f aca="false">IF(OR(EX$4=0,EX27=""),"",IFERROR(ROUND(EX27/INDEX(Undirviðmið!$F$6:$F$205,EX$4)*INDEX(Undirviðmið!$E$6:$E$205,EX$4)*KVARDI,2),""))</f>
        <v/>
      </c>
      <c r="EZ27" s="23"/>
      <c r="FA27" s="40" t="str">
        <f aca="false">IF(OR(EZ$4=0,EZ27=""),"",IFERROR(ROUND(EZ27/INDEX(Undirviðmið!$F$6:$F$205,EZ$4)*INDEX(Undirviðmið!$E$6:$E$205,EZ$4)*KVARDI,2),""))</f>
        <v/>
      </c>
      <c r="FB27" s="23"/>
      <c r="FC27" s="40" t="str">
        <f aca="false">IF(OR(FB$4=0,FB27=""),"",IFERROR(ROUND(FB27/INDEX(Undirviðmið!$F$6:$F$205,FB$4)*INDEX(Undirviðmið!$E$6:$E$205,FB$4)*KVARDI,2),""))</f>
        <v/>
      </c>
      <c r="FD27" s="23"/>
      <c r="FE27" s="40" t="str">
        <f aca="false">IF(OR(FD$4=0,FD27=""),"",IFERROR(ROUND(FD27/INDEX(Undirviðmið!$F$6:$F$205,FD$4)*INDEX(Undirviðmið!$E$6:$E$205,FD$4)*KVARDI,2),""))</f>
        <v/>
      </c>
      <c r="FF27" s="23"/>
      <c r="FG27" s="40" t="str">
        <f aca="false">IF(OR(FF$4=0,FF27=""),"",IFERROR(ROUND(FF27/INDEX(Undirviðmið!$F$6:$F$205,FF$4)*INDEX(Undirviðmið!$E$6:$E$205,FF$4)*KVARDI,2),""))</f>
        <v/>
      </c>
      <c r="FH27" s="23"/>
      <c r="FI27" s="40" t="str">
        <f aca="false">IF(OR(FH$4=0,FH27=""),"",IFERROR(ROUND(FH27/INDEX(Undirviðmið!$F$6:$F$205,FH$4)*INDEX(Undirviðmið!$E$6:$E$205,FH$4)*KVARDI,2),""))</f>
        <v/>
      </c>
      <c r="FJ27" s="23"/>
      <c r="FK27" s="40" t="str">
        <f aca="false">IF(OR(FJ$4=0,FJ27=""),"",IFERROR(ROUND(FJ27/INDEX(Undirviðmið!$F$6:$F$205,FJ$4)*INDEX(Undirviðmið!$E$6:$E$205,FJ$4)*KVARDI,2),""))</f>
        <v/>
      </c>
      <c r="FL27" s="23"/>
      <c r="FM27" s="40" t="str">
        <f aca="false">IF(OR(FL$4=0,FL27=""),"",IFERROR(ROUND(FL27/INDEX(Undirviðmið!$F$6:$F$205,FL$4)*INDEX(Undirviðmið!$E$6:$E$205,FL$4)*KVARDI,2),""))</f>
        <v/>
      </c>
      <c r="FN27" s="23"/>
      <c r="FO27" s="40" t="str">
        <f aca="false">IF(OR(FN$4=0,FN27=""),"",IFERROR(ROUND(FN27/INDEX(Undirviðmið!$F$6:$F$205,FN$4)*INDEX(Undirviðmið!$E$6:$E$205,FN$4)*KVARDI,2),""))</f>
        <v/>
      </c>
      <c r="FP27" s="23"/>
      <c r="FQ27" s="40" t="str">
        <f aca="false">IF(OR(FP$4=0,FP27=""),"",IFERROR(ROUND(FP27/INDEX(Undirviðmið!$F$6:$F$205,FP$4)*INDEX(Undirviðmið!$E$6:$E$205,FP$4)*KVARDI,2),""))</f>
        <v/>
      </c>
      <c r="FR27" s="23"/>
      <c r="FS27" s="40" t="str">
        <f aca="false">IF(OR(FR$4=0,FR27=""),"",IFERROR(ROUND(FR27/INDEX(Undirviðmið!$F$6:$F$205,FR$4)*INDEX(Undirviðmið!$E$6:$E$205,FR$4)*KVARDI,2),""))</f>
        <v/>
      </c>
      <c r="FT27" s="23"/>
      <c r="FU27" s="40" t="str">
        <f aca="false">IF(OR(FT$4=0,FT27=""),"",IFERROR(ROUND(FT27/INDEX(Undirviðmið!$F$6:$F$205,FT$4)*INDEX(Undirviðmið!$E$6:$E$205,FT$4)*KVARDI,2),""))</f>
        <v/>
      </c>
      <c r="FV27" s="23"/>
      <c r="FW27" s="40" t="str">
        <f aca="false">IF(OR(FV$4=0,FV27=""),"",IFERROR(ROUND(FV27/INDEX(Undirviðmið!$F$6:$F$205,FV$4)*INDEX(Undirviðmið!$E$6:$E$205,FV$4)*KVARDI,2),""))</f>
        <v/>
      </c>
      <c r="FX27" s="23"/>
      <c r="FY27" s="40" t="str">
        <f aca="false">IF(OR(FX$4=0,FX27=""),"",IFERROR(ROUND(FX27/INDEX(Undirviðmið!$F$6:$F$205,FX$4)*INDEX(Undirviðmið!$E$6:$E$205,FX$4)*KVARDI,2),""))</f>
        <v/>
      </c>
      <c r="FZ27" s="23"/>
      <c r="GA27" s="40" t="str">
        <f aca="false">IF(OR(FZ$4=0,FZ27=""),"",IFERROR(ROUND(FZ27/INDEX(Undirviðmið!$F$6:$F$205,FZ$4)*INDEX(Undirviðmið!$E$6:$E$205,FZ$4)*KVARDI,2),""))</f>
        <v/>
      </c>
      <c r="GB27" s="23"/>
      <c r="GC27" s="40" t="str">
        <f aca="false">IF(OR(GB$4=0,GB27=""),"",IFERROR(ROUND(GB27/INDEX(Undirviðmið!$F$6:$F$205,GB$4)*INDEX(Undirviðmið!$E$6:$E$205,GB$4)*KVARDI,2),""))</f>
        <v/>
      </c>
      <c r="GD27" s="23"/>
      <c r="GE27" s="40" t="str">
        <f aca="false">IF(OR(GD$4=0,GD27=""),"",IFERROR(ROUND(GD27/INDEX(Undirviðmið!$F$6:$F$205,GD$4)*INDEX(Undirviðmið!$E$6:$E$205,GD$4)*KVARDI,2),""))</f>
        <v/>
      </c>
      <c r="GF27" s="23"/>
      <c r="GG27" s="40" t="str">
        <f aca="false">IF(OR(GF$4=0,GF27=""),"",IFERROR(ROUND(GF27/INDEX(Undirviðmið!$F$6:$F$205,GF$4)*INDEX(Undirviðmið!$E$6:$E$205,GF$4)*KVARDI,2),""))</f>
        <v/>
      </c>
      <c r="GH27" s="23"/>
      <c r="GI27" s="40" t="str">
        <f aca="false">IF(OR(GH$4=0,GH27=""),"",IFERROR(ROUND(GH27/INDEX(Undirviðmið!$F$6:$F$205,GH$4)*INDEX(Undirviðmið!$E$6:$E$205,GH$4)*KVARDI,2),""))</f>
        <v/>
      </c>
      <c r="GJ27" s="23"/>
      <c r="GK27" s="40" t="str">
        <f aca="false">IF(OR(GJ$4=0,GJ27=""),"",IFERROR(ROUND(GJ27/INDEX(Undirviðmið!$F$6:$F$205,GJ$4)*INDEX(Undirviðmið!$E$6:$E$205,GJ$4)*KVARDI,2),""))</f>
        <v/>
      </c>
      <c r="GL27" s="23"/>
      <c r="GM27" s="40" t="str">
        <f aca="false">IF(OR(GL$4=0,GL27=""),"",IFERROR(ROUND(GL27/INDEX(Undirviðmið!$F$6:$F$205,GL$4)*INDEX(Undirviðmið!$E$6:$E$205,GL$4)*KVARDI,2),""))</f>
        <v/>
      </c>
      <c r="GN27" s="23"/>
      <c r="GO27" s="40" t="str">
        <f aca="false">IF(OR(GN$4=0,GN27=""),"",IFERROR(ROUND(GN27/INDEX(Undirviðmið!$F$6:$F$205,GN$4)*INDEX(Undirviðmið!$E$6:$E$205,GN$4)*KVARDI,2),""))</f>
        <v/>
      </c>
      <c r="GP27" s="23"/>
      <c r="GQ27" s="40" t="str">
        <f aca="false">IF(OR(GP$4=0,GP27=""),"",IFERROR(ROUND(GP27/INDEX(Undirviðmið!$F$6:$F$205,GP$4)*INDEX(Undirviðmið!$E$6:$E$205,GP$4)*KVARDI,2),""))</f>
        <v/>
      </c>
      <c r="GR27" s="23"/>
      <c r="GS27" s="40" t="str">
        <f aca="false">IF(OR(GR$4=0,GR27=""),"",IFERROR(ROUND(GR27/INDEX(Undirviðmið!$F$6:$F$205,GR$4)*INDEX(Undirviðmið!$E$6:$E$205,GR$4)*KVARDI,2),""))</f>
        <v/>
      </c>
      <c r="GT27" s="23"/>
      <c r="GU27" s="40" t="str">
        <f aca="false">IF(OR(GT$4=0,GT27=""),"",IFERROR(ROUND(GT27/INDEX(Undirviðmið!$F$6:$F$205,GT$4)*INDEX(Undirviðmið!$E$6:$E$205,GT$4)*KVARDI,2),""))</f>
        <v/>
      </c>
      <c r="GV27" s="44" t="n">
        <f aca="false">IFERROR(SUMIF($D$6:GU$6,"Stig",$D27:GU27),0)</f>
        <v>0</v>
      </c>
    </row>
    <row r="28" customFormat="false" ht="15" hidden="false" customHeight="true" outlineLevel="0" collapsed="false">
      <c r="A28" s="22" t="n">
        <f aca="false">ROW()-6</f>
        <v>22</v>
      </c>
      <c r="B28" s="24" t="str">
        <f aca="false">IF(INDEX(Starfsmenn!$B$6:$B$10005,ROW()-6)="","",INDEX(Starfsmenn!$B$6:$B$10005,ROW()-6))</f>
        <v/>
      </c>
      <c r="C28" s="24" t="str">
        <f aca="false">IF(INDEX(Starfsmenn!$C$6:$C$10005,ROW()-6)="","",INDEX(Starfsmenn!$C$6:$C$10005,ROW()-6))</f>
        <v/>
      </c>
      <c r="D28" s="23"/>
      <c r="E28" s="40" t="str">
        <f aca="false">IF(OR(D$4=0,D28=""),"",IFERROR(ROUND(D28/INDEX(Undirviðmið!$F$6:$F$205,D$4)*INDEX(Undirviðmið!$E$6:$E$205,D$4)*KVARDI,2),""))</f>
        <v/>
      </c>
      <c r="F28" s="23"/>
      <c r="G28" s="40" t="str">
        <f aca="false">IF(OR(F$4=0,F28=""),"",IFERROR(ROUND(F28/INDEX(Undirviðmið!$F$6:$F$205,F$4)*INDEX(Undirviðmið!$E$6:$E$205,F$4)*KVARDI,2),""))</f>
        <v/>
      </c>
      <c r="H28" s="23"/>
      <c r="I28" s="40" t="str">
        <f aca="false">IF(OR(H$4=0,H28=""),"",IFERROR(ROUND(H28/INDEX(Undirviðmið!$F$6:$F$205,H$4)*INDEX(Undirviðmið!$E$6:$E$205,H$4)*KVARDI,2),""))</f>
        <v/>
      </c>
      <c r="J28" s="23"/>
      <c r="K28" s="40" t="str">
        <f aca="false">IF(OR(J$4=0,J28=""),"",IFERROR(ROUND(J28/INDEX(Undirviðmið!$F$6:$F$205,J$4)*INDEX(Undirviðmið!$E$6:$E$205,J$4)*KVARDI,2),""))</f>
        <v/>
      </c>
      <c r="L28" s="23"/>
      <c r="M28" s="40" t="str">
        <f aca="false">IF(OR(L$4=0,L28=""),"",IFERROR(ROUND(L28/INDEX(Undirviðmið!$F$6:$F$205,L$4)*INDEX(Undirviðmið!$E$6:$E$205,L$4)*KVARDI,2),""))</f>
        <v/>
      </c>
      <c r="N28" s="23"/>
      <c r="O28" s="40" t="str">
        <f aca="false">IF(OR(N$4=0,N28=""),"",IFERROR(ROUND(N28/INDEX(Undirviðmið!$F$6:$F$205,N$4)*INDEX(Undirviðmið!$E$6:$E$205,N$4)*KVARDI,2),""))</f>
        <v/>
      </c>
      <c r="P28" s="23"/>
      <c r="Q28" s="40" t="str">
        <f aca="false">IF(OR(P$4=0,P28=""),"",IFERROR(ROUND(P28/INDEX(Undirviðmið!$F$6:$F$205,P$4)*INDEX(Undirviðmið!$E$6:$E$205,P$4)*KVARDI,2),""))</f>
        <v/>
      </c>
      <c r="R28" s="23"/>
      <c r="S28" s="40" t="str">
        <f aca="false">IF(OR(R$4=0,R28=""),"",IFERROR(ROUND(R28/INDEX(Undirviðmið!$F$6:$F$205,R$4)*INDEX(Undirviðmið!$E$6:$E$205,R$4)*KVARDI,2),""))</f>
        <v/>
      </c>
      <c r="T28" s="23"/>
      <c r="U28" s="40" t="str">
        <f aca="false">IF(OR(T$4=0,T28=""),"",IFERROR(ROUND(T28/INDEX(Undirviðmið!$F$6:$F$205,T$4)*INDEX(Undirviðmið!$E$6:$E$205,T$4)*KVARDI,2),""))</f>
        <v/>
      </c>
      <c r="V28" s="23"/>
      <c r="W28" s="40" t="str">
        <f aca="false">IF(OR(V$4=0,V28=""),"",IFERROR(ROUND(V28/INDEX(Undirviðmið!$F$6:$F$205,V$4)*INDEX(Undirviðmið!$E$6:$E$205,V$4)*KVARDI,2),""))</f>
        <v/>
      </c>
      <c r="X28" s="23"/>
      <c r="Y28" s="40" t="str">
        <f aca="false">IF(OR(X$4=0,X28=""),"",IFERROR(ROUND(X28/INDEX(Undirviðmið!$F$6:$F$205,X$4)*INDEX(Undirviðmið!$E$6:$E$205,X$4)*KVARDI,2),""))</f>
        <v/>
      </c>
      <c r="Z28" s="23"/>
      <c r="AA28" s="40" t="str">
        <f aca="false">IF(OR(Z$4=0,Z28=""),"",IFERROR(ROUND(Z28/INDEX(Undirviðmið!$F$6:$F$205,Z$4)*INDEX(Undirviðmið!$E$6:$E$205,Z$4)*KVARDI,2),""))</f>
        <v/>
      </c>
      <c r="AB28" s="23"/>
      <c r="AC28" s="40" t="str">
        <f aca="false">IF(OR(AB$4=0,AB28=""),"",IFERROR(ROUND(AB28/INDEX(Undirviðmið!$F$6:$F$205,AB$4)*INDEX(Undirviðmið!$E$6:$E$205,AB$4)*KVARDI,2),""))</f>
        <v/>
      </c>
      <c r="AD28" s="23"/>
      <c r="AE28" s="40" t="str">
        <f aca="false">IF(OR(AD$4=0,AD28=""),"",IFERROR(ROUND(AD28/INDEX(Undirviðmið!$F$6:$F$205,AD$4)*INDEX(Undirviðmið!$E$6:$E$205,AD$4)*KVARDI,2),""))</f>
        <v/>
      </c>
      <c r="AF28" s="23"/>
      <c r="AG28" s="40" t="str">
        <f aca="false">IF(OR(AF$4=0,AF28=""),"",IFERROR(ROUND(AF28/INDEX(Undirviðmið!$F$6:$F$205,AF$4)*INDEX(Undirviðmið!$E$6:$E$205,AF$4)*KVARDI,2),""))</f>
        <v/>
      </c>
      <c r="AH28" s="23"/>
      <c r="AI28" s="40" t="str">
        <f aca="false">IF(OR(AH$4=0,AH28=""),"",IFERROR(ROUND(AH28/INDEX(Undirviðmið!$F$6:$F$205,AH$4)*INDEX(Undirviðmið!$E$6:$E$205,AH$4)*KVARDI,2),""))</f>
        <v/>
      </c>
      <c r="AJ28" s="23"/>
      <c r="AK28" s="40" t="str">
        <f aca="false">IF(OR(AJ$4=0,AJ28=""),"",IFERROR(ROUND(AJ28/INDEX(Undirviðmið!$F$6:$F$205,AJ$4)*INDEX(Undirviðmið!$E$6:$E$205,AJ$4)*KVARDI,2),""))</f>
        <v/>
      </c>
      <c r="AL28" s="23"/>
      <c r="AM28" s="40" t="str">
        <f aca="false">IF(OR(AL$4=0,AL28=""),"",IFERROR(ROUND(AL28/INDEX(Undirviðmið!$F$6:$F$205,AL$4)*INDEX(Undirviðmið!$E$6:$E$205,AL$4)*KVARDI,2),""))</f>
        <v/>
      </c>
      <c r="AN28" s="23"/>
      <c r="AO28" s="40" t="str">
        <f aca="false">IF(OR(AN$4=0,AN28=""),"",IFERROR(ROUND(AN28/INDEX(Undirviðmið!$F$6:$F$205,AN$4)*INDEX(Undirviðmið!$E$6:$E$205,AN$4)*KVARDI,2),""))</f>
        <v/>
      </c>
      <c r="AP28" s="23"/>
      <c r="AQ28" s="40" t="str">
        <f aca="false">IF(OR(AP$4=0,AP28=""),"",IFERROR(ROUND(AP28/INDEX(Undirviðmið!$F$6:$F$205,AP$4)*INDEX(Undirviðmið!$E$6:$E$205,AP$4)*KVARDI,2),""))</f>
        <v/>
      </c>
      <c r="AR28" s="23"/>
      <c r="AS28" s="40" t="str">
        <f aca="false">IF(OR(AR$4=0,AR28=""),"",IFERROR(ROUND(AR28/INDEX(Undirviðmið!$F$6:$F$205,AR$4)*INDEX(Undirviðmið!$E$6:$E$205,AR$4)*KVARDI,2),""))</f>
        <v/>
      </c>
      <c r="AT28" s="23"/>
      <c r="AU28" s="40" t="str">
        <f aca="false">IF(OR(AT$4=0,AT28=""),"",IFERROR(ROUND(AT28/INDEX(Undirviðmið!$F$6:$F$205,AT$4)*INDEX(Undirviðmið!$E$6:$E$205,AT$4)*KVARDI,2),""))</f>
        <v/>
      </c>
      <c r="AV28" s="23"/>
      <c r="AW28" s="40" t="str">
        <f aca="false">IF(OR(AV$4=0,AV28=""),"",IFERROR(ROUND(AV28/INDEX(Undirviðmið!$F$6:$F$205,AV$4)*INDEX(Undirviðmið!$E$6:$E$205,AV$4)*KVARDI,2),""))</f>
        <v/>
      </c>
      <c r="AX28" s="23"/>
      <c r="AY28" s="40" t="str">
        <f aca="false">IF(OR(AX$4=0,AX28=""),"",IFERROR(ROUND(AX28/INDEX(Undirviðmið!$F$6:$F$205,AX$4)*INDEX(Undirviðmið!$E$6:$E$205,AX$4)*KVARDI,2),""))</f>
        <v/>
      </c>
      <c r="AZ28" s="23"/>
      <c r="BA28" s="40" t="str">
        <f aca="false">IF(OR(AZ$4=0,AZ28=""),"",IFERROR(ROUND(AZ28/INDEX(Undirviðmið!$F$6:$F$205,AZ$4)*INDEX(Undirviðmið!$E$6:$E$205,AZ$4)*KVARDI,2),""))</f>
        <v/>
      </c>
      <c r="BB28" s="23"/>
      <c r="BC28" s="40" t="str">
        <f aca="false">IF(OR(BB$4=0,BB28=""),"",IFERROR(ROUND(BB28/INDEX(Undirviðmið!$F$6:$F$205,BB$4)*INDEX(Undirviðmið!$E$6:$E$205,BB$4)*KVARDI,2),""))</f>
        <v/>
      </c>
      <c r="BD28" s="23"/>
      <c r="BE28" s="40" t="str">
        <f aca="false">IF(OR(BD$4=0,BD28=""),"",IFERROR(ROUND(BD28/INDEX(Undirviðmið!$F$6:$F$205,BD$4)*INDEX(Undirviðmið!$E$6:$E$205,BD$4)*KVARDI,2),""))</f>
        <v/>
      </c>
      <c r="BF28" s="23"/>
      <c r="BG28" s="40" t="str">
        <f aca="false">IF(OR(BF$4=0,BF28=""),"",IFERROR(ROUND(BF28/INDEX(Undirviðmið!$F$6:$F$205,BF$4)*INDEX(Undirviðmið!$E$6:$E$205,BF$4)*KVARDI,2),""))</f>
        <v/>
      </c>
      <c r="BH28" s="23"/>
      <c r="BI28" s="40" t="str">
        <f aca="false">IF(OR(BH$4=0,BH28=""),"",IFERROR(ROUND(BH28/INDEX(Undirviðmið!$F$6:$F$205,BH$4)*INDEX(Undirviðmið!$E$6:$E$205,BH$4)*KVARDI,2),""))</f>
        <v/>
      </c>
      <c r="BJ28" s="23"/>
      <c r="BK28" s="40" t="str">
        <f aca="false">IF(OR(BJ$4=0,BJ28=""),"",IFERROR(ROUND(BJ28/INDEX(Undirviðmið!$F$6:$F$205,BJ$4)*INDEX(Undirviðmið!$E$6:$E$205,BJ$4)*KVARDI,2),""))</f>
        <v/>
      </c>
      <c r="BL28" s="23"/>
      <c r="BM28" s="40" t="str">
        <f aca="false">IF(OR(BL$4=0,BL28=""),"",IFERROR(ROUND(BL28/INDEX(Undirviðmið!$F$6:$F$205,BL$4)*INDEX(Undirviðmið!$E$6:$E$205,BL$4)*KVARDI,2),""))</f>
        <v/>
      </c>
      <c r="BN28" s="23"/>
      <c r="BO28" s="40" t="str">
        <f aca="false">IF(OR(BN$4=0,BN28=""),"",IFERROR(ROUND(BN28/INDEX(Undirviðmið!$F$6:$F$205,BN$4)*INDEX(Undirviðmið!$E$6:$E$205,BN$4)*KVARDI,2),""))</f>
        <v/>
      </c>
      <c r="BP28" s="23"/>
      <c r="BQ28" s="40" t="str">
        <f aca="false">IF(OR(BP$4=0,BP28=""),"",IFERROR(ROUND(BP28/INDEX(Undirviðmið!$F$6:$F$205,BP$4)*INDEX(Undirviðmið!$E$6:$E$205,BP$4)*KVARDI,2),""))</f>
        <v/>
      </c>
      <c r="BR28" s="23"/>
      <c r="BS28" s="40" t="str">
        <f aca="false">IF(OR(BR$4=0,BR28=""),"",IFERROR(ROUND(BR28/INDEX(Undirviðmið!$F$6:$F$205,BR$4)*INDEX(Undirviðmið!$E$6:$E$205,BR$4)*KVARDI,2),""))</f>
        <v/>
      </c>
      <c r="BT28" s="23"/>
      <c r="BU28" s="40" t="str">
        <f aca="false">IF(OR(BT$4=0,BT28=""),"",IFERROR(ROUND(BT28/INDEX(Undirviðmið!$F$6:$F$205,BT$4)*INDEX(Undirviðmið!$E$6:$E$205,BT$4)*KVARDI,2),""))</f>
        <v/>
      </c>
      <c r="BV28" s="23"/>
      <c r="BW28" s="40" t="str">
        <f aca="false">IF(OR(BV$4=0,BV28=""),"",IFERROR(ROUND(BV28/INDEX(Undirviðmið!$F$6:$F$205,BV$4)*INDEX(Undirviðmið!$E$6:$E$205,BV$4)*KVARDI,2),""))</f>
        <v/>
      </c>
      <c r="BX28" s="23"/>
      <c r="BY28" s="40" t="str">
        <f aca="false">IF(OR(BX$4=0,BX28=""),"",IFERROR(ROUND(BX28/INDEX(Undirviðmið!$F$6:$F$205,BX$4)*INDEX(Undirviðmið!$E$6:$E$205,BX$4)*KVARDI,2),""))</f>
        <v/>
      </c>
      <c r="BZ28" s="23"/>
      <c r="CA28" s="40" t="str">
        <f aca="false">IF(OR(BZ$4=0,BZ28=""),"",IFERROR(ROUND(BZ28/INDEX(Undirviðmið!$F$6:$F$205,BZ$4)*INDEX(Undirviðmið!$E$6:$E$205,BZ$4)*KVARDI,2),""))</f>
        <v/>
      </c>
      <c r="CB28" s="23"/>
      <c r="CC28" s="40" t="str">
        <f aca="false">IF(OR(CB$4=0,CB28=""),"",IFERROR(ROUND(CB28/INDEX(Undirviðmið!$F$6:$F$205,CB$4)*INDEX(Undirviðmið!$E$6:$E$205,CB$4)*KVARDI,2),""))</f>
        <v/>
      </c>
      <c r="CD28" s="23"/>
      <c r="CE28" s="40" t="str">
        <f aca="false">IF(OR(CD$4=0,CD28=""),"",IFERROR(ROUND(CD28/INDEX(Undirviðmið!$F$6:$F$205,CD$4)*INDEX(Undirviðmið!$E$6:$E$205,CD$4)*KVARDI,2),""))</f>
        <v/>
      </c>
      <c r="CF28" s="23"/>
      <c r="CG28" s="40" t="str">
        <f aca="false">IF(OR(CF$4=0,CF28=""),"",IFERROR(ROUND(CF28/INDEX(Undirviðmið!$F$6:$F$205,CF$4)*INDEX(Undirviðmið!$E$6:$E$205,CF$4)*KVARDI,2),""))</f>
        <v/>
      </c>
      <c r="CH28" s="23"/>
      <c r="CI28" s="40" t="str">
        <f aca="false">IF(OR(CH$4=0,CH28=""),"",IFERROR(ROUND(CH28/INDEX(Undirviðmið!$F$6:$F$205,CH$4)*INDEX(Undirviðmið!$E$6:$E$205,CH$4)*KVARDI,2),""))</f>
        <v/>
      </c>
      <c r="CJ28" s="23"/>
      <c r="CK28" s="40" t="str">
        <f aca="false">IF(OR(CJ$4=0,CJ28=""),"",IFERROR(ROUND(CJ28/INDEX(Undirviðmið!$F$6:$F$205,CJ$4)*INDEX(Undirviðmið!$E$6:$E$205,CJ$4)*KVARDI,2),""))</f>
        <v/>
      </c>
      <c r="CL28" s="23"/>
      <c r="CM28" s="40" t="str">
        <f aca="false">IF(OR(CL$4=0,CL28=""),"",IFERROR(ROUND(CL28/INDEX(Undirviðmið!$F$6:$F$205,CL$4)*INDEX(Undirviðmið!$E$6:$E$205,CL$4)*KVARDI,2),""))</f>
        <v/>
      </c>
      <c r="CN28" s="23"/>
      <c r="CO28" s="40" t="str">
        <f aca="false">IF(OR(CN$4=0,CN28=""),"",IFERROR(ROUND(CN28/INDEX(Undirviðmið!$F$6:$F$205,CN$4)*INDEX(Undirviðmið!$E$6:$E$205,CN$4)*KVARDI,2),""))</f>
        <v/>
      </c>
      <c r="CP28" s="23"/>
      <c r="CQ28" s="40" t="str">
        <f aca="false">IF(OR(CP$4=0,CP28=""),"",IFERROR(ROUND(CP28/INDEX(Undirviðmið!$F$6:$F$205,CP$4)*INDEX(Undirviðmið!$E$6:$E$205,CP$4)*KVARDI,2),""))</f>
        <v/>
      </c>
      <c r="CR28" s="23"/>
      <c r="CS28" s="40" t="str">
        <f aca="false">IF(OR(CR$4=0,CR28=""),"",IFERROR(ROUND(CR28/INDEX(Undirviðmið!$F$6:$F$205,CR$4)*INDEX(Undirviðmið!$E$6:$E$205,CR$4)*KVARDI,2),""))</f>
        <v/>
      </c>
      <c r="CT28" s="23"/>
      <c r="CU28" s="40" t="str">
        <f aca="false">IF(OR(CT$4=0,CT28=""),"",IFERROR(ROUND(CT28/INDEX(Undirviðmið!$F$6:$F$205,CT$4)*INDEX(Undirviðmið!$E$6:$E$205,CT$4)*KVARDI,2),""))</f>
        <v/>
      </c>
      <c r="CV28" s="23"/>
      <c r="CW28" s="40" t="str">
        <f aca="false">IF(OR(CV$4=0,CV28=""),"",IFERROR(ROUND(CV28/INDEX(Undirviðmið!$F$6:$F$205,CV$4)*INDEX(Undirviðmið!$E$6:$E$205,CV$4)*KVARDI,2),""))</f>
        <v/>
      </c>
      <c r="CX28" s="23"/>
      <c r="CY28" s="40" t="str">
        <f aca="false">IF(OR(CX$4=0,CX28=""),"",IFERROR(ROUND(CX28/INDEX(Undirviðmið!$F$6:$F$205,CX$4)*INDEX(Undirviðmið!$E$6:$E$205,CX$4)*KVARDI,2),""))</f>
        <v/>
      </c>
      <c r="CZ28" s="23"/>
      <c r="DA28" s="40" t="str">
        <f aca="false">IF(OR(CZ$4=0,CZ28=""),"",IFERROR(ROUND(CZ28/INDEX(Undirviðmið!$F$6:$F$205,CZ$4)*INDEX(Undirviðmið!$E$6:$E$205,CZ$4)*KVARDI,2),""))</f>
        <v/>
      </c>
      <c r="DB28" s="23"/>
      <c r="DC28" s="40" t="str">
        <f aca="false">IF(OR(DB$4=0,DB28=""),"",IFERROR(ROUND(DB28/INDEX(Undirviðmið!$F$6:$F$205,DB$4)*INDEX(Undirviðmið!$E$6:$E$205,DB$4)*KVARDI,2),""))</f>
        <v/>
      </c>
      <c r="DD28" s="23"/>
      <c r="DE28" s="40" t="str">
        <f aca="false">IF(OR(DD$4=0,DD28=""),"",IFERROR(ROUND(DD28/INDEX(Undirviðmið!$F$6:$F$205,DD$4)*INDEX(Undirviðmið!$E$6:$E$205,DD$4)*KVARDI,2),""))</f>
        <v/>
      </c>
      <c r="DF28" s="23"/>
      <c r="DG28" s="40" t="str">
        <f aca="false">IF(OR(DF$4=0,DF28=""),"",IFERROR(ROUND(DF28/INDEX(Undirviðmið!$F$6:$F$205,DF$4)*INDEX(Undirviðmið!$E$6:$E$205,DF$4)*KVARDI,2),""))</f>
        <v/>
      </c>
      <c r="DH28" s="23"/>
      <c r="DI28" s="40" t="str">
        <f aca="false">IF(OR(DH$4=0,DH28=""),"",IFERROR(ROUND(DH28/INDEX(Undirviðmið!$F$6:$F$205,DH$4)*INDEX(Undirviðmið!$E$6:$E$205,DH$4)*KVARDI,2),""))</f>
        <v/>
      </c>
      <c r="DJ28" s="23"/>
      <c r="DK28" s="40" t="str">
        <f aca="false">IF(OR(DJ$4=0,DJ28=""),"",IFERROR(ROUND(DJ28/INDEX(Undirviðmið!$F$6:$F$205,DJ$4)*INDEX(Undirviðmið!$E$6:$E$205,DJ$4)*KVARDI,2),""))</f>
        <v/>
      </c>
      <c r="DL28" s="23"/>
      <c r="DM28" s="40" t="str">
        <f aca="false">IF(OR(DL$4=0,DL28=""),"",IFERROR(ROUND(DL28/INDEX(Undirviðmið!$F$6:$F$205,DL$4)*INDEX(Undirviðmið!$E$6:$E$205,DL$4)*KVARDI,2),""))</f>
        <v/>
      </c>
      <c r="DN28" s="23"/>
      <c r="DO28" s="40" t="str">
        <f aca="false">IF(OR(DN$4=0,DN28=""),"",IFERROR(ROUND(DN28/INDEX(Undirviðmið!$F$6:$F$205,DN$4)*INDEX(Undirviðmið!$E$6:$E$205,DN$4)*KVARDI,2),""))</f>
        <v/>
      </c>
      <c r="DP28" s="23"/>
      <c r="DQ28" s="40" t="str">
        <f aca="false">IF(OR(DP$4=0,DP28=""),"",IFERROR(ROUND(DP28/INDEX(Undirviðmið!$F$6:$F$205,DP$4)*INDEX(Undirviðmið!$E$6:$E$205,DP$4)*KVARDI,2),""))</f>
        <v/>
      </c>
      <c r="DR28" s="23"/>
      <c r="DS28" s="40" t="str">
        <f aca="false">IF(OR(DR$4=0,DR28=""),"",IFERROR(ROUND(DR28/INDEX(Undirviðmið!$F$6:$F$205,DR$4)*INDEX(Undirviðmið!$E$6:$E$205,DR$4)*KVARDI,2),""))</f>
        <v/>
      </c>
      <c r="DT28" s="23"/>
      <c r="DU28" s="40" t="str">
        <f aca="false">IF(OR(DT$4=0,DT28=""),"",IFERROR(ROUND(DT28/INDEX(Undirviðmið!$F$6:$F$205,DT$4)*INDEX(Undirviðmið!$E$6:$E$205,DT$4)*KVARDI,2),""))</f>
        <v/>
      </c>
      <c r="DV28" s="23"/>
      <c r="DW28" s="40" t="str">
        <f aca="false">IF(OR(DV$4=0,DV28=""),"",IFERROR(ROUND(DV28/INDEX(Undirviðmið!$F$6:$F$205,DV$4)*INDEX(Undirviðmið!$E$6:$E$205,DV$4)*KVARDI,2),""))</f>
        <v/>
      </c>
      <c r="DX28" s="23"/>
      <c r="DY28" s="40" t="str">
        <f aca="false">IF(OR(DX$4=0,DX28=""),"",IFERROR(ROUND(DX28/INDEX(Undirviðmið!$F$6:$F$205,DX$4)*INDEX(Undirviðmið!$E$6:$E$205,DX$4)*KVARDI,2),""))</f>
        <v/>
      </c>
      <c r="DZ28" s="23"/>
      <c r="EA28" s="40" t="str">
        <f aca="false">IF(OR(DZ$4=0,DZ28=""),"",IFERROR(ROUND(DZ28/INDEX(Undirviðmið!$F$6:$F$205,DZ$4)*INDEX(Undirviðmið!$E$6:$E$205,DZ$4)*KVARDI,2),""))</f>
        <v/>
      </c>
      <c r="EB28" s="23"/>
      <c r="EC28" s="40" t="str">
        <f aca="false">IF(OR(EB$4=0,EB28=""),"",IFERROR(ROUND(EB28/INDEX(Undirviðmið!$F$6:$F$205,EB$4)*INDEX(Undirviðmið!$E$6:$E$205,EB$4)*KVARDI,2),""))</f>
        <v/>
      </c>
      <c r="ED28" s="23"/>
      <c r="EE28" s="40" t="str">
        <f aca="false">IF(OR(ED$4=0,ED28=""),"",IFERROR(ROUND(ED28/INDEX(Undirviðmið!$F$6:$F$205,ED$4)*INDEX(Undirviðmið!$E$6:$E$205,ED$4)*KVARDI,2),""))</f>
        <v/>
      </c>
      <c r="EF28" s="23"/>
      <c r="EG28" s="40" t="str">
        <f aca="false">IF(OR(EF$4=0,EF28=""),"",IFERROR(ROUND(EF28/INDEX(Undirviðmið!$F$6:$F$205,EF$4)*INDEX(Undirviðmið!$E$6:$E$205,EF$4)*KVARDI,2),""))</f>
        <v/>
      </c>
      <c r="EH28" s="23"/>
      <c r="EI28" s="40" t="str">
        <f aca="false">IF(OR(EH$4=0,EH28=""),"",IFERROR(ROUND(EH28/INDEX(Undirviðmið!$F$6:$F$205,EH$4)*INDEX(Undirviðmið!$E$6:$E$205,EH$4)*KVARDI,2),""))</f>
        <v/>
      </c>
      <c r="EJ28" s="23"/>
      <c r="EK28" s="40" t="str">
        <f aca="false">IF(OR(EJ$4=0,EJ28=""),"",IFERROR(ROUND(EJ28/INDEX(Undirviðmið!$F$6:$F$205,EJ$4)*INDEX(Undirviðmið!$E$6:$E$205,EJ$4)*KVARDI,2),""))</f>
        <v/>
      </c>
      <c r="EL28" s="23"/>
      <c r="EM28" s="40" t="str">
        <f aca="false">IF(OR(EL$4=0,EL28=""),"",IFERROR(ROUND(EL28/INDEX(Undirviðmið!$F$6:$F$205,EL$4)*INDEX(Undirviðmið!$E$6:$E$205,EL$4)*KVARDI,2),""))</f>
        <v/>
      </c>
      <c r="EN28" s="23"/>
      <c r="EO28" s="40" t="str">
        <f aca="false">IF(OR(EN$4=0,EN28=""),"",IFERROR(ROUND(EN28/INDEX(Undirviðmið!$F$6:$F$205,EN$4)*INDEX(Undirviðmið!$E$6:$E$205,EN$4)*KVARDI,2),""))</f>
        <v/>
      </c>
      <c r="EP28" s="23"/>
      <c r="EQ28" s="40" t="str">
        <f aca="false">IF(OR(EP$4=0,EP28=""),"",IFERROR(ROUND(EP28/INDEX(Undirviðmið!$F$6:$F$205,EP$4)*INDEX(Undirviðmið!$E$6:$E$205,EP$4)*KVARDI,2),""))</f>
        <v/>
      </c>
      <c r="ER28" s="23"/>
      <c r="ES28" s="40" t="str">
        <f aca="false">IF(OR(ER$4=0,ER28=""),"",IFERROR(ROUND(ER28/INDEX(Undirviðmið!$F$6:$F$205,ER$4)*INDEX(Undirviðmið!$E$6:$E$205,ER$4)*KVARDI,2),""))</f>
        <v/>
      </c>
      <c r="ET28" s="23"/>
      <c r="EU28" s="40" t="str">
        <f aca="false">IF(OR(ET$4=0,ET28=""),"",IFERROR(ROUND(ET28/INDEX(Undirviðmið!$F$6:$F$205,ET$4)*INDEX(Undirviðmið!$E$6:$E$205,ET$4)*KVARDI,2),""))</f>
        <v/>
      </c>
      <c r="EV28" s="23"/>
      <c r="EW28" s="40" t="str">
        <f aca="false">IF(OR(EV$4=0,EV28=""),"",IFERROR(ROUND(EV28/INDEX(Undirviðmið!$F$6:$F$205,EV$4)*INDEX(Undirviðmið!$E$6:$E$205,EV$4)*KVARDI,2),""))</f>
        <v/>
      </c>
      <c r="EX28" s="23"/>
      <c r="EY28" s="40" t="str">
        <f aca="false">IF(OR(EX$4=0,EX28=""),"",IFERROR(ROUND(EX28/INDEX(Undirviðmið!$F$6:$F$205,EX$4)*INDEX(Undirviðmið!$E$6:$E$205,EX$4)*KVARDI,2),""))</f>
        <v/>
      </c>
      <c r="EZ28" s="23"/>
      <c r="FA28" s="40" t="str">
        <f aca="false">IF(OR(EZ$4=0,EZ28=""),"",IFERROR(ROUND(EZ28/INDEX(Undirviðmið!$F$6:$F$205,EZ$4)*INDEX(Undirviðmið!$E$6:$E$205,EZ$4)*KVARDI,2),""))</f>
        <v/>
      </c>
      <c r="FB28" s="23"/>
      <c r="FC28" s="40" t="str">
        <f aca="false">IF(OR(FB$4=0,FB28=""),"",IFERROR(ROUND(FB28/INDEX(Undirviðmið!$F$6:$F$205,FB$4)*INDEX(Undirviðmið!$E$6:$E$205,FB$4)*KVARDI,2),""))</f>
        <v/>
      </c>
      <c r="FD28" s="23"/>
      <c r="FE28" s="40" t="str">
        <f aca="false">IF(OR(FD$4=0,FD28=""),"",IFERROR(ROUND(FD28/INDEX(Undirviðmið!$F$6:$F$205,FD$4)*INDEX(Undirviðmið!$E$6:$E$205,FD$4)*KVARDI,2),""))</f>
        <v/>
      </c>
      <c r="FF28" s="23"/>
      <c r="FG28" s="40" t="str">
        <f aca="false">IF(OR(FF$4=0,FF28=""),"",IFERROR(ROUND(FF28/INDEX(Undirviðmið!$F$6:$F$205,FF$4)*INDEX(Undirviðmið!$E$6:$E$205,FF$4)*KVARDI,2),""))</f>
        <v/>
      </c>
      <c r="FH28" s="23"/>
      <c r="FI28" s="40" t="str">
        <f aca="false">IF(OR(FH$4=0,FH28=""),"",IFERROR(ROUND(FH28/INDEX(Undirviðmið!$F$6:$F$205,FH$4)*INDEX(Undirviðmið!$E$6:$E$205,FH$4)*KVARDI,2),""))</f>
        <v/>
      </c>
      <c r="FJ28" s="23"/>
      <c r="FK28" s="40" t="str">
        <f aca="false">IF(OR(FJ$4=0,FJ28=""),"",IFERROR(ROUND(FJ28/INDEX(Undirviðmið!$F$6:$F$205,FJ$4)*INDEX(Undirviðmið!$E$6:$E$205,FJ$4)*KVARDI,2),""))</f>
        <v/>
      </c>
      <c r="FL28" s="23"/>
      <c r="FM28" s="40" t="str">
        <f aca="false">IF(OR(FL$4=0,FL28=""),"",IFERROR(ROUND(FL28/INDEX(Undirviðmið!$F$6:$F$205,FL$4)*INDEX(Undirviðmið!$E$6:$E$205,FL$4)*KVARDI,2),""))</f>
        <v/>
      </c>
      <c r="FN28" s="23"/>
      <c r="FO28" s="40" t="str">
        <f aca="false">IF(OR(FN$4=0,FN28=""),"",IFERROR(ROUND(FN28/INDEX(Undirviðmið!$F$6:$F$205,FN$4)*INDEX(Undirviðmið!$E$6:$E$205,FN$4)*KVARDI,2),""))</f>
        <v/>
      </c>
      <c r="FP28" s="23"/>
      <c r="FQ28" s="40" t="str">
        <f aca="false">IF(OR(FP$4=0,FP28=""),"",IFERROR(ROUND(FP28/INDEX(Undirviðmið!$F$6:$F$205,FP$4)*INDEX(Undirviðmið!$E$6:$E$205,FP$4)*KVARDI,2),""))</f>
        <v/>
      </c>
      <c r="FR28" s="23"/>
      <c r="FS28" s="40" t="str">
        <f aca="false">IF(OR(FR$4=0,FR28=""),"",IFERROR(ROUND(FR28/INDEX(Undirviðmið!$F$6:$F$205,FR$4)*INDEX(Undirviðmið!$E$6:$E$205,FR$4)*KVARDI,2),""))</f>
        <v/>
      </c>
      <c r="FT28" s="23"/>
      <c r="FU28" s="40" t="str">
        <f aca="false">IF(OR(FT$4=0,FT28=""),"",IFERROR(ROUND(FT28/INDEX(Undirviðmið!$F$6:$F$205,FT$4)*INDEX(Undirviðmið!$E$6:$E$205,FT$4)*KVARDI,2),""))</f>
        <v/>
      </c>
      <c r="FV28" s="23"/>
      <c r="FW28" s="40" t="str">
        <f aca="false">IF(OR(FV$4=0,FV28=""),"",IFERROR(ROUND(FV28/INDEX(Undirviðmið!$F$6:$F$205,FV$4)*INDEX(Undirviðmið!$E$6:$E$205,FV$4)*KVARDI,2),""))</f>
        <v/>
      </c>
      <c r="FX28" s="23"/>
      <c r="FY28" s="40" t="str">
        <f aca="false">IF(OR(FX$4=0,FX28=""),"",IFERROR(ROUND(FX28/INDEX(Undirviðmið!$F$6:$F$205,FX$4)*INDEX(Undirviðmið!$E$6:$E$205,FX$4)*KVARDI,2),""))</f>
        <v/>
      </c>
      <c r="FZ28" s="23"/>
      <c r="GA28" s="40" t="str">
        <f aca="false">IF(OR(FZ$4=0,FZ28=""),"",IFERROR(ROUND(FZ28/INDEX(Undirviðmið!$F$6:$F$205,FZ$4)*INDEX(Undirviðmið!$E$6:$E$205,FZ$4)*KVARDI,2),""))</f>
        <v/>
      </c>
      <c r="GB28" s="23"/>
      <c r="GC28" s="40" t="str">
        <f aca="false">IF(OR(GB$4=0,GB28=""),"",IFERROR(ROUND(GB28/INDEX(Undirviðmið!$F$6:$F$205,GB$4)*INDEX(Undirviðmið!$E$6:$E$205,GB$4)*KVARDI,2),""))</f>
        <v/>
      </c>
      <c r="GD28" s="23"/>
      <c r="GE28" s="40" t="str">
        <f aca="false">IF(OR(GD$4=0,GD28=""),"",IFERROR(ROUND(GD28/INDEX(Undirviðmið!$F$6:$F$205,GD$4)*INDEX(Undirviðmið!$E$6:$E$205,GD$4)*KVARDI,2),""))</f>
        <v/>
      </c>
      <c r="GF28" s="23"/>
      <c r="GG28" s="40" t="str">
        <f aca="false">IF(OR(GF$4=0,GF28=""),"",IFERROR(ROUND(GF28/INDEX(Undirviðmið!$F$6:$F$205,GF$4)*INDEX(Undirviðmið!$E$6:$E$205,GF$4)*KVARDI,2),""))</f>
        <v/>
      </c>
      <c r="GH28" s="23"/>
      <c r="GI28" s="40" t="str">
        <f aca="false">IF(OR(GH$4=0,GH28=""),"",IFERROR(ROUND(GH28/INDEX(Undirviðmið!$F$6:$F$205,GH$4)*INDEX(Undirviðmið!$E$6:$E$205,GH$4)*KVARDI,2),""))</f>
        <v/>
      </c>
      <c r="GJ28" s="23"/>
      <c r="GK28" s="40" t="str">
        <f aca="false">IF(OR(GJ$4=0,GJ28=""),"",IFERROR(ROUND(GJ28/INDEX(Undirviðmið!$F$6:$F$205,GJ$4)*INDEX(Undirviðmið!$E$6:$E$205,GJ$4)*KVARDI,2),""))</f>
        <v/>
      </c>
      <c r="GL28" s="23"/>
      <c r="GM28" s="40" t="str">
        <f aca="false">IF(OR(GL$4=0,GL28=""),"",IFERROR(ROUND(GL28/INDEX(Undirviðmið!$F$6:$F$205,GL$4)*INDEX(Undirviðmið!$E$6:$E$205,GL$4)*KVARDI,2),""))</f>
        <v/>
      </c>
      <c r="GN28" s="23"/>
      <c r="GO28" s="40" t="str">
        <f aca="false">IF(OR(GN$4=0,GN28=""),"",IFERROR(ROUND(GN28/INDEX(Undirviðmið!$F$6:$F$205,GN$4)*INDEX(Undirviðmið!$E$6:$E$205,GN$4)*KVARDI,2),""))</f>
        <v/>
      </c>
      <c r="GP28" s="23"/>
      <c r="GQ28" s="40" t="str">
        <f aca="false">IF(OR(GP$4=0,GP28=""),"",IFERROR(ROUND(GP28/INDEX(Undirviðmið!$F$6:$F$205,GP$4)*INDEX(Undirviðmið!$E$6:$E$205,GP$4)*KVARDI,2),""))</f>
        <v/>
      </c>
      <c r="GR28" s="23"/>
      <c r="GS28" s="40" t="str">
        <f aca="false">IF(OR(GR$4=0,GR28=""),"",IFERROR(ROUND(GR28/INDEX(Undirviðmið!$F$6:$F$205,GR$4)*INDEX(Undirviðmið!$E$6:$E$205,GR$4)*KVARDI,2),""))</f>
        <v/>
      </c>
      <c r="GT28" s="23"/>
      <c r="GU28" s="40" t="str">
        <f aca="false">IF(OR(GT$4=0,GT28=""),"",IFERROR(ROUND(GT28/INDEX(Undirviðmið!$F$6:$F$205,GT$4)*INDEX(Undirviðmið!$E$6:$E$205,GT$4)*KVARDI,2),""))</f>
        <v/>
      </c>
      <c r="GV28" s="44" t="n">
        <f aca="false">IFERROR(SUMIF($D$6:GU$6,"Stig",$D28:GU28),0)</f>
        <v>0</v>
      </c>
    </row>
    <row r="29" customFormat="false" ht="15" hidden="false" customHeight="true" outlineLevel="0" collapsed="false">
      <c r="A29" s="22" t="n">
        <f aca="false">ROW()-6</f>
        <v>23</v>
      </c>
      <c r="B29" s="24" t="str">
        <f aca="false">IF(INDEX(Starfsmenn!$B$6:$B$10005,ROW()-6)="","",INDEX(Starfsmenn!$B$6:$B$10005,ROW()-6))</f>
        <v/>
      </c>
      <c r="C29" s="24" t="str">
        <f aca="false">IF(INDEX(Starfsmenn!$C$6:$C$10005,ROW()-6)="","",INDEX(Starfsmenn!$C$6:$C$10005,ROW()-6))</f>
        <v/>
      </c>
      <c r="D29" s="23"/>
      <c r="E29" s="40" t="str">
        <f aca="false">IF(OR(D$4=0,D29=""),"",IFERROR(ROUND(D29/INDEX(Undirviðmið!$F$6:$F$205,D$4)*INDEX(Undirviðmið!$E$6:$E$205,D$4)*KVARDI,2),""))</f>
        <v/>
      </c>
      <c r="F29" s="23"/>
      <c r="G29" s="40" t="str">
        <f aca="false">IF(OR(F$4=0,F29=""),"",IFERROR(ROUND(F29/INDEX(Undirviðmið!$F$6:$F$205,F$4)*INDEX(Undirviðmið!$E$6:$E$205,F$4)*KVARDI,2),""))</f>
        <v/>
      </c>
      <c r="H29" s="23"/>
      <c r="I29" s="40" t="str">
        <f aca="false">IF(OR(H$4=0,H29=""),"",IFERROR(ROUND(H29/INDEX(Undirviðmið!$F$6:$F$205,H$4)*INDEX(Undirviðmið!$E$6:$E$205,H$4)*KVARDI,2),""))</f>
        <v/>
      </c>
      <c r="J29" s="23"/>
      <c r="K29" s="40" t="str">
        <f aca="false">IF(OR(J$4=0,J29=""),"",IFERROR(ROUND(J29/INDEX(Undirviðmið!$F$6:$F$205,J$4)*INDEX(Undirviðmið!$E$6:$E$205,J$4)*KVARDI,2),""))</f>
        <v/>
      </c>
      <c r="L29" s="23"/>
      <c r="M29" s="40" t="str">
        <f aca="false">IF(OR(L$4=0,L29=""),"",IFERROR(ROUND(L29/INDEX(Undirviðmið!$F$6:$F$205,L$4)*INDEX(Undirviðmið!$E$6:$E$205,L$4)*KVARDI,2),""))</f>
        <v/>
      </c>
      <c r="N29" s="23"/>
      <c r="O29" s="40" t="str">
        <f aca="false">IF(OR(N$4=0,N29=""),"",IFERROR(ROUND(N29/INDEX(Undirviðmið!$F$6:$F$205,N$4)*INDEX(Undirviðmið!$E$6:$E$205,N$4)*KVARDI,2),""))</f>
        <v/>
      </c>
      <c r="P29" s="23"/>
      <c r="Q29" s="40" t="str">
        <f aca="false">IF(OR(P$4=0,P29=""),"",IFERROR(ROUND(P29/INDEX(Undirviðmið!$F$6:$F$205,P$4)*INDEX(Undirviðmið!$E$6:$E$205,P$4)*KVARDI,2),""))</f>
        <v/>
      </c>
      <c r="R29" s="23"/>
      <c r="S29" s="40" t="str">
        <f aca="false">IF(OR(R$4=0,R29=""),"",IFERROR(ROUND(R29/INDEX(Undirviðmið!$F$6:$F$205,R$4)*INDEX(Undirviðmið!$E$6:$E$205,R$4)*KVARDI,2),""))</f>
        <v/>
      </c>
      <c r="T29" s="23"/>
      <c r="U29" s="40" t="str">
        <f aca="false">IF(OR(T$4=0,T29=""),"",IFERROR(ROUND(T29/INDEX(Undirviðmið!$F$6:$F$205,T$4)*INDEX(Undirviðmið!$E$6:$E$205,T$4)*KVARDI,2),""))</f>
        <v/>
      </c>
      <c r="V29" s="23"/>
      <c r="W29" s="40" t="str">
        <f aca="false">IF(OR(V$4=0,V29=""),"",IFERROR(ROUND(V29/INDEX(Undirviðmið!$F$6:$F$205,V$4)*INDEX(Undirviðmið!$E$6:$E$205,V$4)*KVARDI,2),""))</f>
        <v/>
      </c>
      <c r="X29" s="23"/>
      <c r="Y29" s="40" t="str">
        <f aca="false">IF(OR(X$4=0,X29=""),"",IFERROR(ROUND(X29/INDEX(Undirviðmið!$F$6:$F$205,X$4)*INDEX(Undirviðmið!$E$6:$E$205,X$4)*KVARDI,2),""))</f>
        <v/>
      </c>
      <c r="Z29" s="23"/>
      <c r="AA29" s="40" t="str">
        <f aca="false">IF(OR(Z$4=0,Z29=""),"",IFERROR(ROUND(Z29/INDEX(Undirviðmið!$F$6:$F$205,Z$4)*INDEX(Undirviðmið!$E$6:$E$205,Z$4)*KVARDI,2),""))</f>
        <v/>
      </c>
      <c r="AB29" s="23"/>
      <c r="AC29" s="40" t="str">
        <f aca="false">IF(OR(AB$4=0,AB29=""),"",IFERROR(ROUND(AB29/INDEX(Undirviðmið!$F$6:$F$205,AB$4)*INDEX(Undirviðmið!$E$6:$E$205,AB$4)*KVARDI,2),""))</f>
        <v/>
      </c>
      <c r="AD29" s="23"/>
      <c r="AE29" s="40" t="str">
        <f aca="false">IF(OR(AD$4=0,AD29=""),"",IFERROR(ROUND(AD29/INDEX(Undirviðmið!$F$6:$F$205,AD$4)*INDEX(Undirviðmið!$E$6:$E$205,AD$4)*KVARDI,2),""))</f>
        <v/>
      </c>
      <c r="AF29" s="23"/>
      <c r="AG29" s="40" t="str">
        <f aca="false">IF(OR(AF$4=0,AF29=""),"",IFERROR(ROUND(AF29/INDEX(Undirviðmið!$F$6:$F$205,AF$4)*INDEX(Undirviðmið!$E$6:$E$205,AF$4)*KVARDI,2),""))</f>
        <v/>
      </c>
      <c r="AH29" s="23"/>
      <c r="AI29" s="40" t="str">
        <f aca="false">IF(OR(AH$4=0,AH29=""),"",IFERROR(ROUND(AH29/INDEX(Undirviðmið!$F$6:$F$205,AH$4)*INDEX(Undirviðmið!$E$6:$E$205,AH$4)*KVARDI,2),""))</f>
        <v/>
      </c>
      <c r="AJ29" s="23"/>
      <c r="AK29" s="40" t="str">
        <f aca="false">IF(OR(AJ$4=0,AJ29=""),"",IFERROR(ROUND(AJ29/INDEX(Undirviðmið!$F$6:$F$205,AJ$4)*INDEX(Undirviðmið!$E$6:$E$205,AJ$4)*KVARDI,2),""))</f>
        <v/>
      </c>
      <c r="AL29" s="23"/>
      <c r="AM29" s="40" t="str">
        <f aca="false">IF(OR(AL$4=0,AL29=""),"",IFERROR(ROUND(AL29/INDEX(Undirviðmið!$F$6:$F$205,AL$4)*INDEX(Undirviðmið!$E$6:$E$205,AL$4)*KVARDI,2),""))</f>
        <v/>
      </c>
      <c r="AN29" s="23"/>
      <c r="AO29" s="40" t="str">
        <f aca="false">IF(OR(AN$4=0,AN29=""),"",IFERROR(ROUND(AN29/INDEX(Undirviðmið!$F$6:$F$205,AN$4)*INDEX(Undirviðmið!$E$6:$E$205,AN$4)*KVARDI,2),""))</f>
        <v/>
      </c>
      <c r="AP29" s="23"/>
      <c r="AQ29" s="40" t="str">
        <f aca="false">IF(OR(AP$4=0,AP29=""),"",IFERROR(ROUND(AP29/INDEX(Undirviðmið!$F$6:$F$205,AP$4)*INDEX(Undirviðmið!$E$6:$E$205,AP$4)*KVARDI,2),""))</f>
        <v/>
      </c>
      <c r="AR29" s="23"/>
      <c r="AS29" s="40" t="str">
        <f aca="false">IF(OR(AR$4=0,AR29=""),"",IFERROR(ROUND(AR29/INDEX(Undirviðmið!$F$6:$F$205,AR$4)*INDEX(Undirviðmið!$E$6:$E$205,AR$4)*KVARDI,2),""))</f>
        <v/>
      </c>
      <c r="AT29" s="23"/>
      <c r="AU29" s="40" t="str">
        <f aca="false">IF(OR(AT$4=0,AT29=""),"",IFERROR(ROUND(AT29/INDEX(Undirviðmið!$F$6:$F$205,AT$4)*INDEX(Undirviðmið!$E$6:$E$205,AT$4)*KVARDI,2),""))</f>
        <v/>
      </c>
      <c r="AV29" s="23"/>
      <c r="AW29" s="40" t="str">
        <f aca="false">IF(OR(AV$4=0,AV29=""),"",IFERROR(ROUND(AV29/INDEX(Undirviðmið!$F$6:$F$205,AV$4)*INDEX(Undirviðmið!$E$6:$E$205,AV$4)*KVARDI,2),""))</f>
        <v/>
      </c>
      <c r="AX29" s="23"/>
      <c r="AY29" s="40" t="str">
        <f aca="false">IF(OR(AX$4=0,AX29=""),"",IFERROR(ROUND(AX29/INDEX(Undirviðmið!$F$6:$F$205,AX$4)*INDEX(Undirviðmið!$E$6:$E$205,AX$4)*KVARDI,2),""))</f>
        <v/>
      </c>
      <c r="AZ29" s="23"/>
      <c r="BA29" s="40" t="str">
        <f aca="false">IF(OR(AZ$4=0,AZ29=""),"",IFERROR(ROUND(AZ29/INDEX(Undirviðmið!$F$6:$F$205,AZ$4)*INDEX(Undirviðmið!$E$6:$E$205,AZ$4)*KVARDI,2),""))</f>
        <v/>
      </c>
      <c r="BB29" s="23"/>
      <c r="BC29" s="40" t="str">
        <f aca="false">IF(OR(BB$4=0,BB29=""),"",IFERROR(ROUND(BB29/INDEX(Undirviðmið!$F$6:$F$205,BB$4)*INDEX(Undirviðmið!$E$6:$E$205,BB$4)*KVARDI,2),""))</f>
        <v/>
      </c>
      <c r="BD29" s="23"/>
      <c r="BE29" s="40" t="str">
        <f aca="false">IF(OR(BD$4=0,BD29=""),"",IFERROR(ROUND(BD29/INDEX(Undirviðmið!$F$6:$F$205,BD$4)*INDEX(Undirviðmið!$E$6:$E$205,BD$4)*KVARDI,2),""))</f>
        <v/>
      </c>
      <c r="BF29" s="23"/>
      <c r="BG29" s="40" t="str">
        <f aca="false">IF(OR(BF$4=0,BF29=""),"",IFERROR(ROUND(BF29/INDEX(Undirviðmið!$F$6:$F$205,BF$4)*INDEX(Undirviðmið!$E$6:$E$205,BF$4)*KVARDI,2),""))</f>
        <v/>
      </c>
      <c r="BH29" s="23"/>
      <c r="BI29" s="40" t="str">
        <f aca="false">IF(OR(BH$4=0,BH29=""),"",IFERROR(ROUND(BH29/INDEX(Undirviðmið!$F$6:$F$205,BH$4)*INDEX(Undirviðmið!$E$6:$E$205,BH$4)*KVARDI,2),""))</f>
        <v/>
      </c>
      <c r="BJ29" s="23"/>
      <c r="BK29" s="40" t="str">
        <f aca="false">IF(OR(BJ$4=0,BJ29=""),"",IFERROR(ROUND(BJ29/INDEX(Undirviðmið!$F$6:$F$205,BJ$4)*INDEX(Undirviðmið!$E$6:$E$205,BJ$4)*KVARDI,2),""))</f>
        <v/>
      </c>
      <c r="BL29" s="23"/>
      <c r="BM29" s="40" t="str">
        <f aca="false">IF(OR(BL$4=0,BL29=""),"",IFERROR(ROUND(BL29/INDEX(Undirviðmið!$F$6:$F$205,BL$4)*INDEX(Undirviðmið!$E$6:$E$205,BL$4)*KVARDI,2),""))</f>
        <v/>
      </c>
      <c r="BN29" s="23"/>
      <c r="BO29" s="40" t="str">
        <f aca="false">IF(OR(BN$4=0,BN29=""),"",IFERROR(ROUND(BN29/INDEX(Undirviðmið!$F$6:$F$205,BN$4)*INDEX(Undirviðmið!$E$6:$E$205,BN$4)*KVARDI,2),""))</f>
        <v/>
      </c>
      <c r="BP29" s="23"/>
      <c r="BQ29" s="40" t="str">
        <f aca="false">IF(OR(BP$4=0,BP29=""),"",IFERROR(ROUND(BP29/INDEX(Undirviðmið!$F$6:$F$205,BP$4)*INDEX(Undirviðmið!$E$6:$E$205,BP$4)*KVARDI,2),""))</f>
        <v/>
      </c>
      <c r="BR29" s="23"/>
      <c r="BS29" s="40" t="str">
        <f aca="false">IF(OR(BR$4=0,BR29=""),"",IFERROR(ROUND(BR29/INDEX(Undirviðmið!$F$6:$F$205,BR$4)*INDEX(Undirviðmið!$E$6:$E$205,BR$4)*KVARDI,2),""))</f>
        <v/>
      </c>
      <c r="BT29" s="23"/>
      <c r="BU29" s="40" t="str">
        <f aca="false">IF(OR(BT$4=0,BT29=""),"",IFERROR(ROUND(BT29/INDEX(Undirviðmið!$F$6:$F$205,BT$4)*INDEX(Undirviðmið!$E$6:$E$205,BT$4)*KVARDI,2),""))</f>
        <v/>
      </c>
      <c r="BV29" s="23"/>
      <c r="BW29" s="40" t="str">
        <f aca="false">IF(OR(BV$4=0,BV29=""),"",IFERROR(ROUND(BV29/INDEX(Undirviðmið!$F$6:$F$205,BV$4)*INDEX(Undirviðmið!$E$6:$E$205,BV$4)*KVARDI,2),""))</f>
        <v/>
      </c>
      <c r="BX29" s="23"/>
      <c r="BY29" s="40" t="str">
        <f aca="false">IF(OR(BX$4=0,BX29=""),"",IFERROR(ROUND(BX29/INDEX(Undirviðmið!$F$6:$F$205,BX$4)*INDEX(Undirviðmið!$E$6:$E$205,BX$4)*KVARDI,2),""))</f>
        <v/>
      </c>
      <c r="BZ29" s="23"/>
      <c r="CA29" s="40" t="str">
        <f aca="false">IF(OR(BZ$4=0,BZ29=""),"",IFERROR(ROUND(BZ29/INDEX(Undirviðmið!$F$6:$F$205,BZ$4)*INDEX(Undirviðmið!$E$6:$E$205,BZ$4)*KVARDI,2),""))</f>
        <v/>
      </c>
      <c r="CB29" s="23"/>
      <c r="CC29" s="40" t="str">
        <f aca="false">IF(OR(CB$4=0,CB29=""),"",IFERROR(ROUND(CB29/INDEX(Undirviðmið!$F$6:$F$205,CB$4)*INDEX(Undirviðmið!$E$6:$E$205,CB$4)*KVARDI,2),""))</f>
        <v/>
      </c>
      <c r="CD29" s="23"/>
      <c r="CE29" s="40" t="str">
        <f aca="false">IF(OR(CD$4=0,CD29=""),"",IFERROR(ROUND(CD29/INDEX(Undirviðmið!$F$6:$F$205,CD$4)*INDEX(Undirviðmið!$E$6:$E$205,CD$4)*KVARDI,2),""))</f>
        <v/>
      </c>
      <c r="CF29" s="23"/>
      <c r="CG29" s="40" t="str">
        <f aca="false">IF(OR(CF$4=0,CF29=""),"",IFERROR(ROUND(CF29/INDEX(Undirviðmið!$F$6:$F$205,CF$4)*INDEX(Undirviðmið!$E$6:$E$205,CF$4)*KVARDI,2),""))</f>
        <v/>
      </c>
      <c r="CH29" s="23"/>
      <c r="CI29" s="40" t="str">
        <f aca="false">IF(OR(CH$4=0,CH29=""),"",IFERROR(ROUND(CH29/INDEX(Undirviðmið!$F$6:$F$205,CH$4)*INDEX(Undirviðmið!$E$6:$E$205,CH$4)*KVARDI,2),""))</f>
        <v/>
      </c>
      <c r="CJ29" s="23"/>
      <c r="CK29" s="40" t="str">
        <f aca="false">IF(OR(CJ$4=0,CJ29=""),"",IFERROR(ROUND(CJ29/INDEX(Undirviðmið!$F$6:$F$205,CJ$4)*INDEX(Undirviðmið!$E$6:$E$205,CJ$4)*KVARDI,2),""))</f>
        <v/>
      </c>
      <c r="CL29" s="23"/>
      <c r="CM29" s="40" t="str">
        <f aca="false">IF(OR(CL$4=0,CL29=""),"",IFERROR(ROUND(CL29/INDEX(Undirviðmið!$F$6:$F$205,CL$4)*INDEX(Undirviðmið!$E$6:$E$205,CL$4)*KVARDI,2),""))</f>
        <v/>
      </c>
      <c r="CN29" s="23"/>
      <c r="CO29" s="40" t="str">
        <f aca="false">IF(OR(CN$4=0,CN29=""),"",IFERROR(ROUND(CN29/INDEX(Undirviðmið!$F$6:$F$205,CN$4)*INDEX(Undirviðmið!$E$6:$E$205,CN$4)*KVARDI,2),""))</f>
        <v/>
      </c>
      <c r="CP29" s="23"/>
      <c r="CQ29" s="40" t="str">
        <f aca="false">IF(OR(CP$4=0,CP29=""),"",IFERROR(ROUND(CP29/INDEX(Undirviðmið!$F$6:$F$205,CP$4)*INDEX(Undirviðmið!$E$6:$E$205,CP$4)*KVARDI,2),""))</f>
        <v/>
      </c>
      <c r="CR29" s="23"/>
      <c r="CS29" s="40" t="str">
        <f aca="false">IF(OR(CR$4=0,CR29=""),"",IFERROR(ROUND(CR29/INDEX(Undirviðmið!$F$6:$F$205,CR$4)*INDEX(Undirviðmið!$E$6:$E$205,CR$4)*KVARDI,2),""))</f>
        <v/>
      </c>
      <c r="CT29" s="23"/>
      <c r="CU29" s="40" t="str">
        <f aca="false">IF(OR(CT$4=0,CT29=""),"",IFERROR(ROUND(CT29/INDEX(Undirviðmið!$F$6:$F$205,CT$4)*INDEX(Undirviðmið!$E$6:$E$205,CT$4)*KVARDI,2),""))</f>
        <v/>
      </c>
      <c r="CV29" s="23"/>
      <c r="CW29" s="40" t="str">
        <f aca="false">IF(OR(CV$4=0,CV29=""),"",IFERROR(ROUND(CV29/INDEX(Undirviðmið!$F$6:$F$205,CV$4)*INDEX(Undirviðmið!$E$6:$E$205,CV$4)*KVARDI,2),""))</f>
        <v/>
      </c>
      <c r="CX29" s="23"/>
      <c r="CY29" s="40" t="str">
        <f aca="false">IF(OR(CX$4=0,CX29=""),"",IFERROR(ROUND(CX29/INDEX(Undirviðmið!$F$6:$F$205,CX$4)*INDEX(Undirviðmið!$E$6:$E$205,CX$4)*KVARDI,2),""))</f>
        <v/>
      </c>
      <c r="CZ29" s="23"/>
      <c r="DA29" s="40" t="str">
        <f aca="false">IF(OR(CZ$4=0,CZ29=""),"",IFERROR(ROUND(CZ29/INDEX(Undirviðmið!$F$6:$F$205,CZ$4)*INDEX(Undirviðmið!$E$6:$E$205,CZ$4)*KVARDI,2),""))</f>
        <v/>
      </c>
      <c r="DB29" s="23"/>
      <c r="DC29" s="40" t="str">
        <f aca="false">IF(OR(DB$4=0,DB29=""),"",IFERROR(ROUND(DB29/INDEX(Undirviðmið!$F$6:$F$205,DB$4)*INDEX(Undirviðmið!$E$6:$E$205,DB$4)*KVARDI,2),""))</f>
        <v/>
      </c>
      <c r="DD29" s="23"/>
      <c r="DE29" s="40" t="str">
        <f aca="false">IF(OR(DD$4=0,DD29=""),"",IFERROR(ROUND(DD29/INDEX(Undirviðmið!$F$6:$F$205,DD$4)*INDEX(Undirviðmið!$E$6:$E$205,DD$4)*KVARDI,2),""))</f>
        <v/>
      </c>
      <c r="DF29" s="23"/>
      <c r="DG29" s="40" t="str">
        <f aca="false">IF(OR(DF$4=0,DF29=""),"",IFERROR(ROUND(DF29/INDEX(Undirviðmið!$F$6:$F$205,DF$4)*INDEX(Undirviðmið!$E$6:$E$205,DF$4)*KVARDI,2),""))</f>
        <v/>
      </c>
      <c r="DH29" s="23"/>
      <c r="DI29" s="40" t="str">
        <f aca="false">IF(OR(DH$4=0,DH29=""),"",IFERROR(ROUND(DH29/INDEX(Undirviðmið!$F$6:$F$205,DH$4)*INDEX(Undirviðmið!$E$6:$E$205,DH$4)*KVARDI,2),""))</f>
        <v/>
      </c>
      <c r="DJ29" s="23"/>
      <c r="DK29" s="40" t="str">
        <f aca="false">IF(OR(DJ$4=0,DJ29=""),"",IFERROR(ROUND(DJ29/INDEX(Undirviðmið!$F$6:$F$205,DJ$4)*INDEX(Undirviðmið!$E$6:$E$205,DJ$4)*KVARDI,2),""))</f>
        <v/>
      </c>
      <c r="DL29" s="23"/>
      <c r="DM29" s="40" t="str">
        <f aca="false">IF(OR(DL$4=0,DL29=""),"",IFERROR(ROUND(DL29/INDEX(Undirviðmið!$F$6:$F$205,DL$4)*INDEX(Undirviðmið!$E$6:$E$205,DL$4)*KVARDI,2),""))</f>
        <v/>
      </c>
      <c r="DN29" s="23"/>
      <c r="DO29" s="40" t="str">
        <f aca="false">IF(OR(DN$4=0,DN29=""),"",IFERROR(ROUND(DN29/INDEX(Undirviðmið!$F$6:$F$205,DN$4)*INDEX(Undirviðmið!$E$6:$E$205,DN$4)*KVARDI,2),""))</f>
        <v/>
      </c>
      <c r="DP29" s="23"/>
      <c r="DQ29" s="40" t="str">
        <f aca="false">IF(OR(DP$4=0,DP29=""),"",IFERROR(ROUND(DP29/INDEX(Undirviðmið!$F$6:$F$205,DP$4)*INDEX(Undirviðmið!$E$6:$E$205,DP$4)*KVARDI,2),""))</f>
        <v/>
      </c>
      <c r="DR29" s="23"/>
      <c r="DS29" s="40" t="str">
        <f aca="false">IF(OR(DR$4=0,DR29=""),"",IFERROR(ROUND(DR29/INDEX(Undirviðmið!$F$6:$F$205,DR$4)*INDEX(Undirviðmið!$E$6:$E$205,DR$4)*KVARDI,2),""))</f>
        <v/>
      </c>
      <c r="DT29" s="23"/>
      <c r="DU29" s="40" t="str">
        <f aca="false">IF(OR(DT$4=0,DT29=""),"",IFERROR(ROUND(DT29/INDEX(Undirviðmið!$F$6:$F$205,DT$4)*INDEX(Undirviðmið!$E$6:$E$205,DT$4)*KVARDI,2),""))</f>
        <v/>
      </c>
      <c r="DV29" s="23"/>
      <c r="DW29" s="40" t="str">
        <f aca="false">IF(OR(DV$4=0,DV29=""),"",IFERROR(ROUND(DV29/INDEX(Undirviðmið!$F$6:$F$205,DV$4)*INDEX(Undirviðmið!$E$6:$E$205,DV$4)*KVARDI,2),""))</f>
        <v/>
      </c>
      <c r="DX29" s="23"/>
      <c r="DY29" s="40" t="str">
        <f aca="false">IF(OR(DX$4=0,DX29=""),"",IFERROR(ROUND(DX29/INDEX(Undirviðmið!$F$6:$F$205,DX$4)*INDEX(Undirviðmið!$E$6:$E$205,DX$4)*KVARDI,2),""))</f>
        <v/>
      </c>
      <c r="DZ29" s="23"/>
      <c r="EA29" s="40" t="str">
        <f aca="false">IF(OR(DZ$4=0,DZ29=""),"",IFERROR(ROUND(DZ29/INDEX(Undirviðmið!$F$6:$F$205,DZ$4)*INDEX(Undirviðmið!$E$6:$E$205,DZ$4)*KVARDI,2),""))</f>
        <v/>
      </c>
      <c r="EB29" s="23"/>
      <c r="EC29" s="40" t="str">
        <f aca="false">IF(OR(EB$4=0,EB29=""),"",IFERROR(ROUND(EB29/INDEX(Undirviðmið!$F$6:$F$205,EB$4)*INDEX(Undirviðmið!$E$6:$E$205,EB$4)*KVARDI,2),""))</f>
        <v/>
      </c>
      <c r="ED29" s="23"/>
      <c r="EE29" s="40" t="str">
        <f aca="false">IF(OR(ED$4=0,ED29=""),"",IFERROR(ROUND(ED29/INDEX(Undirviðmið!$F$6:$F$205,ED$4)*INDEX(Undirviðmið!$E$6:$E$205,ED$4)*KVARDI,2),""))</f>
        <v/>
      </c>
      <c r="EF29" s="23"/>
      <c r="EG29" s="40" t="str">
        <f aca="false">IF(OR(EF$4=0,EF29=""),"",IFERROR(ROUND(EF29/INDEX(Undirviðmið!$F$6:$F$205,EF$4)*INDEX(Undirviðmið!$E$6:$E$205,EF$4)*KVARDI,2),""))</f>
        <v/>
      </c>
      <c r="EH29" s="23"/>
      <c r="EI29" s="40" t="str">
        <f aca="false">IF(OR(EH$4=0,EH29=""),"",IFERROR(ROUND(EH29/INDEX(Undirviðmið!$F$6:$F$205,EH$4)*INDEX(Undirviðmið!$E$6:$E$205,EH$4)*KVARDI,2),""))</f>
        <v/>
      </c>
      <c r="EJ29" s="23"/>
      <c r="EK29" s="40" t="str">
        <f aca="false">IF(OR(EJ$4=0,EJ29=""),"",IFERROR(ROUND(EJ29/INDEX(Undirviðmið!$F$6:$F$205,EJ$4)*INDEX(Undirviðmið!$E$6:$E$205,EJ$4)*KVARDI,2),""))</f>
        <v/>
      </c>
      <c r="EL29" s="23"/>
      <c r="EM29" s="40" t="str">
        <f aca="false">IF(OR(EL$4=0,EL29=""),"",IFERROR(ROUND(EL29/INDEX(Undirviðmið!$F$6:$F$205,EL$4)*INDEX(Undirviðmið!$E$6:$E$205,EL$4)*KVARDI,2),""))</f>
        <v/>
      </c>
      <c r="EN29" s="23"/>
      <c r="EO29" s="40" t="str">
        <f aca="false">IF(OR(EN$4=0,EN29=""),"",IFERROR(ROUND(EN29/INDEX(Undirviðmið!$F$6:$F$205,EN$4)*INDEX(Undirviðmið!$E$6:$E$205,EN$4)*KVARDI,2),""))</f>
        <v/>
      </c>
      <c r="EP29" s="23"/>
      <c r="EQ29" s="40" t="str">
        <f aca="false">IF(OR(EP$4=0,EP29=""),"",IFERROR(ROUND(EP29/INDEX(Undirviðmið!$F$6:$F$205,EP$4)*INDEX(Undirviðmið!$E$6:$E$205,EP$4)*KVARDI,2),""))</f>
        <v/>
      </c>
      <c r="ER29" s="23"/>
      <c r="ES29" s="40" t="str">
        <f aca="false">IF(OR(ER$4=0,ER29=""),"",IFERROR(ROUND(ER29/INDEX(Undirviðmið!$F$6:$F$205,ER$4)*INDEX(Undirviðmið!$E$6:$E$205,ER$4)*KVARDI,2),""))</f>
        <v/>
      </c>
      <c r="ET29" s="23"/>
      <c r="EU29" s="40" t="str">
        <f aca="false">IF(OR(ET$4=0,ET29=""),"",IFERROR(ROUND(ET29/INDEX(Undirviðmið!$F$6:$F$205,ET$4)*INDEX(Undirviðmið!$E$6:$E$205,ET$4)*KVARDI,2),""))</f>
        <v/>
      </c>
      <c r="EV29" s="23"/>
      <c r="EW29" s="40" t="str">
        <f aca="false">IF(OR(EV$4=0,EV29=""),"",IFERROR(ROUND(EV29/INDEX(Undirviðmið!$F$6:$F$205,EV$4)*INDEX(Undirviðmið!$E$6:$E$205,EV$4)*KVARDI,2),""))</f>
        <v/>
      </c>
      <c r="EX29" s="23"/>
      <c r="EY29" s="40" t="str">
        <f aca="false">IF(OR(EX$4=0,EX29=""),"",IFERROR(ROUND(EX29/INDEX(Undirviðmið!$F$6:$F$205,EX$4)*INDEX(Undirviðmið!$E$6:$E$205,EX$4)*KVARDI,2),""))</f>
        <v/>
      </c>
      <c r="EZ29" s="23"/>
      <c r="FA29" s="40" t="str">
        <f aca="false">IF(OR(EZ$4=0,EZ29=""),"",IFERROR(ROUND(EZ29/INDEX(Undirviðmið!$F$6:$F$205,EZ$4)*INDEX(Undirviðmið!$E$6:$E$205,EZ$4)*KVARDI,2),""))</f>
        <v/>
      </c>
      <c r="FB29" s="23"/>
      <c r="FC29" s="40" t="str">
        <f aca="false">IF(OR(FB$4=0,FB29=""),"",IFERROR(ROUND(FB29/INDEX(Undirviðmið!$F$6:$F$205,FB$4)*INDEX(Undirviðmið!$E$6:$E$205,FB$4)*KVARDI,2),""))</f>
        <v/>
      </c>
      <c r="FD29" s="23"/>
      <c r="FE29" s="40" t="str">
        <f aca="false">IF(OR(FD$4=0,FD29=""),"",IFERROR(ROUND(FD29/INDEX(Undirviðmið!$F$6:$F$205,FD$4)*INDEX(Undirviðmið!$E$6:$E$205,FD$4)*KVARDI,2),""))</f>
        <v/>
      </c>
      <c r="FF29" s="23"/>
      <c r="FG29" s="40" t="str">
        <f aca="false">IF(OR(FF$4=0,FF29=""),"",IFERROR(ROUND(FF29/INDEX(Undirviðmið!$F$6:$F$205,FF$4)*INDEX(Undirviðmið!$E$6:$E$205,FF$4)*KVARDI,2),""))</f>
        <v/>
      </c>
      <c r="FH29" s="23"/>
      <c r="FI29" s="40" t="str">
        <f aca="false">IF(OR(FH$4=0,FH29=""),"",IFERROR(ROUND(FH29/INDEX(Undirviðmið!$F$6:$F$205,FH$4)*INDEX(Undirviðmið!$E$6:$E$205,FH$4)*KVARDI,2),""))</f>
        <v/>
      </c>
      <c r="FJ29" s="23"/>
      <c r="FK29" s="40" t="str">
        <f aca="false">IF(OR(FJ$4=0,FJ29=""),"",IFERROR(ROUND(FJ29/INDEX(Undirviðmið!$F$6:$F$205,FJ$4)*INDEX(Undirviðmið!$E$6:$E$205,FJ$4)*KVARDI,2),""))</f>
        <v/>
      </c>
      <c r="FL29" s="23"/>
      <c r="FM29" s="40" t="str">
        <f aca="false">IF(OR(FL$4=0,FL29=""),"",IFERROR(ROUND(FL29/INDEX(Undirviðmið!$F$6:$F$205,FL$4)*INDEX(Undirviðmið!$E$6:$E$205,FL$4)*KVARDI,2),""))</f>
        <v/>
      </c>
      <c r="FN29" s="23"/>
      <c r="FO29" s="40" t="str">
        <f aca="false">IF(OR(FN$4=0,FN29=""),"",IFERROR(ROUND(FN29/INDEX(Undirviðmið!$F$6:$F$205,FN$4)*INDEX(Undirviðmið!$E$6:$E$205,FN$4)*KVARDI,2),""))</f>
        <v/>
      </c>
      <c r="FP29" s="23"/>
      <c r="FQ29" s="40" t="str">
        <f aca="false">IF(OR(FP$4=0,FP29=""),"",IFERROR(ROUND(FP29/INDEX(Undirviðmið!$F$6:$F$205,FP$4)*INDEX(Undirviðmið!$E$6:$E$205,FP$4)*KVARDI,2),""))</f>
        <v/>
      </c>
      <c r="FR29" s="23"/>
      <c r="FS29" s="40" t="str">
        <f aca="false">IF(OR(FR$4=0,FR29=""),"",IFERROR(ROUND(FR29/INDEX(Undirviðmið!$F$6:$F$205,FR$4)*INDEX(Undirviðmið!$E$6:$E$205,FR$4)*KVARDI,2),""))</f>
        <v/>
      </c>
      <c r="FT29" s="23"/>
      <c r="FU29" s="40" t="str">
        <f aca="false">IF(OR(FT$4=0,FT29=""),"",IFERROR(ROUND(FT29/INDEX(Undirviðmið!$F$6:$F$205,FT$4)*INDEX(Undirviðmið!$E$6:$E$205,FT$4)*KVARDI,2),""))</f>
        <v/>
      </c>
      <c r="FV29" s="23"/>
      <c r="FW29" s="40" t="str">
        <f aca="false">IF(OR(FV$4=0,FV29=""),"",IFERROR(ROUND(FV29/INDEX(Undirviðmið!$F$6:$F$205,FV$4)*INDEX(Undirviðmið!$E$6:$E$205,FV$4)*KVARDI,2),""))</f>
        <v/>
      </c>
      <c r="FX29" s="23"/>
      <c r="FY29" s="40" t="str">
        <f aca="false">IF(OR(FX$4=0,FX29=""),"",IFERROR(ROUND(FX29/INDEX(Undirviðmið!$F$6:$F$205,FX$4)*INDEX(Undirviðmið!$E$6:$E$205,FX$4)*KVARDI,2),""))</f>
        <v/>
      </c>
      <c r="FZ29" s="23"/>
      <c r="GA29" s="40" t="str">
        <f aca="false">IF(OR(FZ$4=0,FZ29=""),"",IFERROR(ROUND(FZ29/INDEX(Undirviðmið!$F$6:$F$205,FZ$4)*INDEX(Undirviðmið!$E$6:$E$205,FZ$4)*KVARDI,2),""))</f>
        <v/>
      </c>
      <c r="GB29" s="23"/>
      <c r="GC29" s="40" t="str">
        <f aca="false">IF(OR(GB$4=0,GB29=""),"",IFERROR(ROUND(GB29/INDEX(Undirviðmið!$F$6:$F$205,GB$4)*INDEX(Undirviðmið!$E$6:$E$205,GB$4)*KVARDI,2),""))</f>
        <v/>
      </c>
      <c r="GD29" s="23"/>
      <c r="GE29" s="40" t="str">
        <f aca="false">IF(OR(GD$4=0,GD29=""),"",IFERROR(ROUND(GD29/INDEX(Undirviðmið!$F$6:$F$205,GD$4)*INDEX(Undirviðmið!$E$6:$E$205,GD$4)*KVARDI,2),""))</f>
        <v/>
      </c>
      <c r="GF29" s="23"/>
      <c r="GG29" s="40" t="str">
        <f aca="false">IF(OR(GF$4=0,GF29=""),"",IFERROR(ROUND(GF29/INDEX(Undirviðmið!$F$6:$F$205,GF$4)*INDEX(Undirviðmið!$E$6:$E$205,GF$4)*KVARDI,2),""))</f>
        <v/>
      </c>
      <c r="GH29" s="23"/>
      <c r="GI29" s="40" t="str">
        <f aca="false">IF(OR(GH$4=0,GH29=""),"",IFERROR(ROUND(GH29/INDEX(Undirviðmið!$F$6:$F$205,GH$4)*INDEX(Undirviðmið!$E$6:$E$205,GH$4)*KVARDI,2),""))</f>
        <v/>
      </c>
      <c r="GJ29" s="23"/>
      <c r="GK29" s="40" t="str">
        <f aca="false">IF(OR(GJ$4=0,GJ29=""),"",IFERROR(ROUND(GJ29/INDEX(Undirviðmið!$F$6:$F$205,GJ$4)*INDEX(Undirviðmið!$E$6:$E$205,GJ$4)*KVARDI,2),""))</f>
        <v/>
      </c>
      <c r="GL29" s="23"/>
      <c r="GM29" s="40" t="str">
        <f aca="false">IF(OR(GL$4=0,GL29=""),"",IFERROR(ROUND(GL29/INDEX(Undirviðmið!$F$6:$F$205,GL$4)*INDEX(Undirviðmið!$E$6:$E$205,GL$4)*KVARDI,2),""))</f>
        <v/>
      </c>
      <c r="GN29" s="23"/>
      <c r="GO29" s="40" t="str">
        <f aca="false">IF(OR(GN$4=0,GN29=""),"",IFERROR(ROUND(GN29/INDEX(Undirviðmið!$F$6:$F$205,GN$4)*INDEX(Undirviðmið!$E$6:$E$205,GN$4)*KVARDI,2),""))</f>
        <v/>
      </c>
      <c r="GP29" s="23"/>
      <c r="GQ29" s="40" t="str">
        <f aca="false">IF(OR(GP$4=0,GP29=""),"",IFERROR(ROUND(GP29/INDEX(Undirviðmið!$F$6:$F$205,GP$4)*INDEX(Undirviðmið!$E$6:$E$205,GP$4)*KVARDI,2),""))</f>
        <v/>
      </c>
      <c r="GR29" s="23"/>
      <c r="GS29" s="40" t="str">
        <f aca="false">IF(OR(GR$4=0,GR29=""),"",IFERROR(ROUND(GR29/INDEX(Undirviðmið!$F$6:$F$205,GR$4)*INDEX(Undirviðmið!$E$6:$E$205,GR$4)*KVARDI,2),""))</f>
        <v/>
      </c>
      <c r="GT29" s="23"/>
      <c r="GU29" s="40" t="str">
        <f aca="false">IF(OR(GT$4=0,GT29=""),"",IFERROR(ROUND(GT29/INDEX(Undirviðmið!$F$6:$F$205,GT$4)*INDEX(Undirviðmið!$E$6:$E$205,GT$4)*KVARDI,2),""))</f>
        <v/>
      </c>
      <c r="GV29" s="44" t="n">
        <f aca="false">IFERROR(SUMIF($D$6:GU$6,"Stig",$D29:GU29),0)</f>
        <v>0</v>
      </c>
    </row>
    <row r="30" customFormat="false" ht="15" hidden="false" customHeight="true" outlineLevel="0" collapsed="false">
      <c r="A30" s="22" t="n">
        <f aca="false">ROW()-6</f>
        <v>24</v>
      </c>
      <c r="B30" s="24" t="str">
        <f aca="false">IF(INDEX(Starfsmenn!$B$6:$B$10005,ROW()-6)="","",INDEX(Starfsmenn!$B$6:$B$10005,ROW()-6))</f>
        <v/>
      </c>
      <c r="C30" s="24" t="str">
        <f aca="false">IF(INDEX(Starfsmenn!$C$6:$C$10005,ROW()-6)="","",INDEX(Starfsmenn!$C$6:$C$10005,ROW()-6))</f>
        <v/>
      </c>
      <c r="D30" s="23"/>
      <c r="E30" s="40" t="str">
        <f aca="false">IF(OR(D$4=0,D30=""),"",IFERROR(ROUND(D30/INDEX(Undirviðmið!$F$6:$F$205,D$4)*INDEX(Undirviðmið!$E$6:$E$205,D$4)*KVARDI,2),""))</f>
        <v/>
      </c>
      <c r="F30" s="23"/>
      <c r="G30" s="40" t="str">
        <f aca="false">IF(OR(F$4=0,F30=""),"",IFERROR(ROUND(F30/INDEX(Undirviðmið!$F$6:$F$205,F$4)*INDEX(Undirviðmið!$E$6:$E$205,F$4)*KVARDI,2),""))</f>
        <v/>
      </c>
      <c r="H30" s="23"/>
      <c r="I30" s="40" t="str">
        <f aca="false">IF(OR(H$4=0,H30=""),"",IFERROR(ROUND(H30/INDEX(Undirviðmið!$F$6:$F$205,H$4)*INDEX(Undirviðmið!$E$6:$E$205,H$4)*KVARDI,2),""))</f>
        <v/>
      </c>
      <c r="J30" s="23"/>
      <c r="K30" s="40" t="str">
        <f aca="false">IF(OR(J$4=0,J30=""),"",IFERROR(ROUND(J30/INDEX(Undirviðmið!$F$6:$F$205,J$4)*INDEX(Undirviðmið!$E$6:$E$205,J$4)*KVARDI,2),""))</f>
        <v/>
      </c>
      <c r="L30" s="23"/>
      <c r="M30" s="40" t="str">
        <f aca="false">IF(OR(L$4=0,L30=""),"",IFERROR(ROUND(L30/INDEX(Undirviðmið!$F$6:$F$205,L$4)*INDEX(Undirviðmið!$E$6:$E$205,L$4)*KVARDI,2),""))</f>
        <v/>
      </c>
      <c r="N30" s="23"/>
      <c r="O30" s="40" t="str">
        <f aca="false">IF(OR(N$4=0,N30=""),"",IFERROR(ROUND(N30/INDEX(Undirviðmið!$F$6:$F$205,N$4)*INDEX(Undirviðmið!$E$6:$E$205,N$4)*KVARDI,2),""))</f>
        <v/>
      </c>
      <c r="P30" s="23"/>
      <c r="Q30" s="40" t="str">
        <f aca="false">IF(OR(P$4=0,P30=""),"",IFERROR(ROUND(P30/INDEX(Undirviðmið!$F$6:$F$205,P$4)*INDEX(Undirviðmið!$E$6:$E$205,P$4)*KVARDI,2),""))</f>
        <v/>
      </c>
      <c r="R30" s="23"/>
      <c r="S30" s="40" t="str">
        <f aca="false">IF(OR(R$4=0,R30=""),"",IFERROR(ROUND(R30/INDEX(Undirviðmið!$F$6:$F$205,R$4)*INDEX(Undirviðmið!$E$6:$E$205,R$4)*KVARDI,2),""))</f>
        <v/>
      </c>
      <c r="T30" s="23"/>
      <c r="U30" s="40" t="str">
        <f aca="false">IF(OR(T$4=0,T30=""),"",IFERROR(ROUND(T30/INDEX(Undirviðmið!$F$6:$F$205,T$4)*INDEX(Undirviðmið!$E$6:$E$205,T$4)*KVARDI,2),""))</f>
        <v/>
      </c>
      <c r="V30" s="23"/>
      <c r="W30" s="40" t="str">
        <f aca="false">IF(OR(V$4=0,V30=""),"",IFERROR(ROUND(V30/INDEX(Undirviðmið!$F$6:$F$205,V$4)*INDEX(Undirviðmið!$E$6:$E$205,V$4)*KVARDI,2),""))</f>
        <v/>
      </c>
      <c r="X30" s="23"/>
      <c r="Y30" s="40" t="str">
        <f aca="false">IF(OR(X$4=0,X30=""),"",IFERROR(ROUND(X30/INDEX(Undirviðmið!$F$6:$F$205,X$4)*INDEX(Undirviðmið!$E$6:$E$205,X$4)*KVARDI,2),""))</f>
        <v/>
      </c>
      <c r="Z30" s="23"/>
      <c r="AA30" s="40" t="str">
        <f aca="false">IF(OR(Z$4=0,Z30=""),"",IFERROR(ROUND(Z30/INDEX(Undirviðmið!$F$6:$F$205,Z$4)*INDEX(Undirviðmið!$E$6:$E$205,Z$4)*KVARDI,2),""))</f>
        <v/>
      </c>
      <c r="AB30" s="23"/>
      <c r="AC30" s="40" t="str">
        <f aca="false">IF(OR(AB$4=0,AB30=""),"",IFERROR(ROUND(AB30/INDEX(Undirviðmið!$F$6:$F$205,AB$4)*INDEX(Undirviðmið!$E$6:$E$205,AB$4)*KVARDI,2),""))</f>
        <v/>
      </c>
      <c r="AD30" s="23"/>
      <c r="AE30" s="40" t="str">
        <f aca="false">IF(OR(AD$4=0,AD30=""),"",IFERROR(ROUND(AD30/INDEX(Undirviðmið!$F$6:$F$205,AD$4)*INDEX(Undirviðmið!$E$6:$E$205,AD$4)*KVARDI,2),""))</f>
        <v/>
      </c>
      <c r="AF30" s="23"/>
      <c r="AG30" s="40" t="str">
        <f aca="false">IF(OR(AF$4=0,AF30=""),"",IFERROR(ROUND(AF30/INDEX(Undirviðmið!$F$6:$F$205,AF$4)*INDEX(Undirviðmið!$E$6:$E$205,AF$4)*KVARDI,2),""))</f>
        <v/>
      </c>
      <c r="AH30" s="23"/>
      <c r="AI30" s="40" t="str">
        <f aca="false">IF(OR(AH$4=0,AH30=""),"",IFERROR(ROUND(AH30/INDEX(Undirviðmið!$F$6:$F$205,AH$4)*INDEX(Undirviðmið!$E$6:$E$205,AH$4)*KVARDI,2),""))</f>
        <v/>
      </c>
      <c r="AJ30" s="23"/>
      <c r="AK30" s="40" t="str">
        <f aca="false">IF(OR(AJ$4=0,AJ30=""),"",IFERROR(ROUND(AJ30/INDEX(Undirviðmið!$F$6:$F$205,AJ$4)*INDEX(Undirviðmið!$E$6:$E$205,AJ$4)*KVARDI,2),""))</f>
        <v/>
      </c>
      <c r="AL30" s="23"/>
      <c r="AM30" s="40" t="str">
        <f aca="false">IF(OR(AL$4=0,AL30=""),"",IFERROR(ROUND(AL30/INDEX(Undirviðmið!$F$6:$F$205,AL$4)*INDEX(Undirviðmið!$E$6:$E$205,AL$4)*KVARDI,2),""))</f>
        <v/>
      </c>
      <c r="AN30" s="23"/>
      <c r="AO30" s="40" t="str">
        <f aca="false">IF(OR(AN$4=0,AN30=""),"",IFERROR(ROUND(AN30/INDEX(Undirviðmið!$F$6:$F$205,AN$4)*INDEX(Undirviðmið!$E$6:$E$205,AN$4)*KVARDI,2),""))</f>
        <v/>
      </c>
      <c r="AP30" s="23"/>
      <c r="AQ30" s="40" t="str">
        <f aca="false">IF(OR(AP$4=0,AP30=""),"",IFERROR(ROUND(AP30/INDEX(Undirviðmið!$F$6:$F$205,AP$4)*INDEX(Undirviðmið!$E$6:$E$205,AP$4)*KVARDI,2),""))</f>
        <v/>
      </c>
      <c r="AR30" s="23"/>
      <c r="AS30" s="40" t="str">
        <f aca="false">IF(OR(AR$4=0,AR30=""),"",IFERROR(ROUND(AR30/INDEX(Undirviðmið!$F$6:$F$205,AR$4)*INDEX(Undirviðmið!$E$6:$E$205,AR$4)*KVARDI,2),""))</f>
        <v/>
      </c>
      <c r="AT30" s="23"/>
      <c r="AU30" s="40" t="str">
        <f aca="false">IF(OR(AT$4=0,AT30=""),"",IFERROR(ROUND(AT30/INDEX(Undirviðmið!$F$6:$F$205,AT$4)*INDEX(Undirviðmið!$E$6:$E$205,AT$4)*KVARDI,2),""))</f>
        <v/>
      </c>
      <c r="AV30" s="23"/>
      <c r="AW30" s="40" t="str">
        <f aca="false">IF(OR(AV$4=0,AV30=""),"",IFERROR(ROUND(AV30/INDEX(Undirviðmið!$F$6:$F$205,AV$4)*INDEX(Undirviðmið!$E$6:$E$205,AV$4)*KVARDI,2),""))</f>
        <v/>
      </c>
      <c r="AX30" s="23"/>
      <c r="AY30" s="40" t="str">
        <f aca="false">IF(OR(AX$4=0,AX30=""),"",IFERROR(ROUND(AX30/INDEX(Undirviðmið!$F$6:$F$205,AX$4)*INDEX(Undirviðmið!$E$6:$E$205,AX$4)*KVARDI,2),""))</f>
        <v/>
      </c>
      <c r="AZ30" s="23"/>
      <c r="BA30" s="40" t="str">
        <f aca="false">IF(OR(AZ$4=0,AZ30=""),"",IFERROR(ROUND(AZ30/INDEX(Undirviðmið!$F$6:$F$205,AZ$4)*INDEX(Undirviðmið!$E$6:$E$205,AZ$4)*KVARDI,2),""))</f>
        <v/>
      </c>
      <c r="BB30" s="23"/>
      <c r="BC30" s="40" t="str">
        <f aca="false">IF(OR(BB$4=0,BB30=""),"",IFERROR(ROUND(BB30/INDEX(Undirviðmið!$F$6:$F$205,BB$4)*INDEX(Undirviðmið!$E$6:$E$205,BB$4)*KVARDI,2),""))</f>
        <v/>
      </c>
      <c r="BD30" s="23"/>
      <c r="BE30" s="40" t="str">
        <f aca="false">IF(OR(BD$4=0,BD30=""),"",IFERROR(ROUND(BD30/INDEX(Undirviðmið!$F$6:$F$205,BD$4)*INDEX(Undirviðmið!$E$6:$E$205,BD$4)*KVARDI,2),""))</f>
        <v/>
      </c>
      <c r="BF30" s="23"/>
      <c r="BG30" s="40" t="str">
        <f aca="false">IF(OR(BF$4=0,BF30=""),"",IFERROR(ROUND(BF30/INDEX(Undirviðmið!$F$6:$F$205,BF$4)*INDEX(Undirviðmið!$E$6:$E$205,BF$4)*KVARDI,2),""))</f>
        <v/>
      </c>
      <c r="BH30" s="23"/>
      <c r="BI30" s="40" t="str">
        <f aca="false">IF(OR(BH$4=0,BH30=""),"",IFERROR(ROUND(BH30/INDEX(Undirviðmið!$F$6:$F$205,BH$4)*INDEX(Undirviðmið!$E$6:$E$205,BH$4)*KVARDI,2),""))</f>
        <v/>
      </c>
      <c r="BJ30" s="23"/>
      <c r="BK30" s="40" t="str">
        <f aca="false">IF(OR(BJ$4=0,BJ30=""),"",IFERROR(ROUND(BJ30/INDEX(Undirviðmið!$F$6:$F$205,BJ$4)*INDEX(Undirviðmið!$E$6:$E$205,BJ$4)*KVARDI,2),""))</f>
        <v/>
      </c>
      <c r="BL30" s="23"/>
      <c r="BM30" s="40" t="str">
        <f aca="false">IF(OR(BL$4=0,BL30=""),"",IFERROR(ROUND(BL30/INDEX(Undirviðmið!$F$6:$F$205,BL$4)*INDEX(Undirviðmið!$E$6:$E$205,BL$4)*KVARDI,2),""))</f>
        <v/>
      </c>
      <c r="BN30" s="23"/>
      <c r="BO30" s="40" t="str">
        <f aca="false">IF(OR(BN$4=0,BN30=""),"",IFERROR(ROUND(BN30/INDEX(Undirviðmið!$F$6:$F$205,BN$4)*INDEX(Undirviðmið!$E$6:$E$205,BN$4)*KVARDI,2),""))</f>
        <v/>
      </c>
      <c r="BP30" s="23"/>
      <c r="BQ30" s="40" t="str">
        <f aca="false">IF(OR(BP$4=0,BP30=""),"",IFERROR(ROUND(BP30/INDEX(Undirviðmið!$F$6:$F$205,BP$4)*INDEX(Undirviðmið!$E$6:$E$205,BP$4)*KVARDI,2),""))</f>
        <v/>
      </c>
      <c r="BR30" s="23"/>
      <c r="BS30" s="40" t="str">
        <f aca="false">IF(OR(BR$4=0,BR30=""),"",IFERROR(ROUND(BR30/INDEX(Undirviðmið!$F$6:$F$205,BR$4)*INDEX(Undirviðmið!$E$6:$E$205,BR$4)*KVARDI,2),""))</f>
        <v/>
      </c>
      <c r="BT30" s="23"/>
      <c r="BU30" s="40" t="str">
        <f aca="false">IF(OR(BT$4=0,BT30=""),"",IFERROR(ROUND(BT30/INDEX(Undirviðmið!$F$6:$F$205,BT$4)*INDEX(Undirviðmið!$E$6:$E$205,BT$4)*KVARDI,2),""))</f>
        <v/>
      </c>
      <c r="BV30" s="23"/>
      <c r="BW30" s="40" t="str">
        <f aca="false">IF(OR(BV$4=0,BV30=""),"",IFERROR(ROUND(BV30/INDEX(Undirviðmið!$F$6:$F$205,BV$4)*INDEX(Undirviðmið!$E$6:$E$205,BV$4)*KVARDI,2),""))</f>
        <v/>
      </c>
      <c r="BX30" s="23"/>
      <c r="BY30" s="40" t="str">
        <f aca="false">IF(OR(BX$4=0,BX30=""),"",IFERROR(ROUND(BX30/INDEX(Undirviðmið!$F$6:$F$205,BX$4)*INDEX(Undirviðmið!$E$6:$E$205,BX$4)*KVARDI,2),""))</f>
        <v/>
      </c>
      <c r="BZ30" s="23"/>
      <c r="CA30" s="40" t="str">
        <f aca="false">IF(OR(BZ$4=0,BZ30=""),"",IFERROR(ROUND(BZ30/INDEX(Undirviðmið!$F$6:$F$205,BZ$4)*INDEX(Undirviðmið!$E$6:$E$205,BZ$4)*KVARDI,2),""))</f>
        <v/>
      </c>
      <c r="CB30" s="23"/>
      <c r="CC30" s="40" t="str">
        <f aca="false">IF(OR(CB$4=0,CB30=""),"",IFERROR(ROUND(CB30/INDEX(Undirviðmið!$F$6:$F$205,CB$4)*INDEX(Undirviðmið!$E$6:$E$205,CB$4)*KVARDI,2),""))</f>
        <v/>
      </c>
      <c r="CD30" s="23"/>
      <c r="CE30" s="40" t="str">
        <f aca="false">IF(OR(CD$4=0,CD30=""),"",IFERROR(ROUND(CD30/INDEX(Undirviðmið!$F$6:$F$205,CD$4)*INDEX(Undirviðmið!$E$6:$E$205,CD$4)*KVARDI,2),""))</f>
        <v/>
      </c>
      <c r="CF30" s="23"/>
      <c r="CG30" s="40" t="str">
        <f aca="false">IF(OR(CF$4=0,CF30=""),"",IFERROR(ROUND(CF30/INDEX(Undirviðmið!$F$6:$F$205,CF$4)*INDEX(Undirviðmið!$E$6:$E$205,CF$4)*KVARDI,2),""))</f>
        <v/>
      </c>
      <c r="CH30" s="23"/>
      <c r="CI30" s="40" t="str">
        <f aca="false">IF(OR(CH$4=0,CH30=""),"",IFERROR(ROUND(CH30/INDEX(Undirviðmið!$F$6:$F$205,CH$4)*INDEX(Undirviðmið!$E$6:$E$205,CH$4)*KVARDI,2),""))</f>
        <v/>
      </c>
      <c r="CJ30" s="23"/>
      <c r="CK30" s="40" t="str">
        <f aca="false">IF(OR(CJ$4=0,CJ30=""),"",IFERROR(ROUND(CJ30/INDEX(Undirviðmið!$F$6:$F$205,CJ$4)*INDEX(Undirviðmið!$E$6:$E$205,CJ$4)*KVARDI,2),""))</f>
        <v/>
      </c>
      <c r="CL30" s="23"/>
      <c r="CM30" s="40" t="str">
        <f aca="false">IF(OR(CL$4=0,CL30=""),"",IFERROR(ROUND(CL30/INDEX(Undirviðmið!$F$6:$F$205,CL$4)*INDEX(Undirviðmið!$E$6:$E$205,CL$4)*KVARDI,2),""))</f>
        <v/>
      </c>
      <c r="CN30" s="23"/>
      <c r="CO30" s="40" t="str">
        <f aca="false">IF(OR(CN$4=0,CN30=""),"",IFERROR(ROUND(CN30/INDEX(Undirviðmið!$F$6:$F$205,CN$4)*INDEX(Undirviðmið!$E$6:$E$205,CN$4)*KVARDI,2),""))</f>
        <v/>
      </c>
      <c r="CP30" s="23"/>
      <c r="CQ30" s="40" t="str">
        <f aca="false">IF(OR(CP$4=0,CP30=""),"",IFERROR(ROUND(CP30/INDEX(Undirviðmið!$F$6:$F$205,CP$4)*INDEX(Undirviðmið!$E$6:$E$205,CP$4)*KVARDI,2),""))</f>
        <v/>
      </c>
      <c r="CR30" s="23"/>
      <c r="CS30" s="40" t="str">
        <f aca="false">IF(OR(CR$4=0,CR30=""),"",IFERROR(ROUND(CR30/INDEX(Undirviðmið!$F$6:$F$205,CR$4)*INDEX(Undirviðmið!$E$6:$E$205,CR$4)*KVARDI,2),""))</f>
        <v/>
      </c>
      <c r="CT30" s="23"/>
      <c r="CU30" s="40" t="str">
        <f aca="false">IF(OR(CT$4=0,CT30=""),"",IFERROR(ROUND(CT30/INDEX(Undirviðmið!$F$6:$F$205,CT$4)*INDEX(Undirviðmið!$E$6:$E$205,CT$4)*KVARDI,2),""))</f>
        <v/>
      </c>
      <c r="CV30" s="23"/>
      <c r="CW30" s="40" t="str">
        <f aca="false">IF(OR(CV$4=0,CV30=""),"",IFERROR(ROUND(CV30/INDEX(Undirviðmið!$F$6:$F$205,CV$4)*INDEX(Undirviðmið!$E$6:$E$205,CV$4)*KVARDI,2),""))</f>
        <v/>
      </c>
      <c r="CX30" s="23"/>
      <c r="CY30" s="40" t="str">
        <f aca="false">IF(OR(CX$4=0,CX30=""),"",IFERROR(ROUND(CX30/INDEX(Undirviðmið!$F$6:$F$205,CX$4)*INDEX(Undirviðmið!$E$6:$E$205,CX$4)*KVARDI,2),""))</f>
        <v/>
      </c>
      <c r="CZ30" s="23"/>
      <c r="DA30" s="40" t="str">
        <f aca="false">IF(OR(CZ$4=0,CZ30=""),"",IFERROR(ROUND(CZ30/INDEX(Undirviðmið!$F$6:$F$205,CZ$4)*INDEX(Undirviðmið!$E$6:$E$205,CZ$4)*KVARDI,2),""))</f>
        <v/>
      </c>
      <c r="DB30" s="23"/>
      <c r="DC30" s="40" t="str">
        <f aca="false">IF(OR(DB$4=0,DB30=""),"",IFERROR(ROUND(DB30/INDEX(Undirviðmið!$F$6:$F$205,DB$4)*INDEX(Undirviðmið!$E$6:$E$205,DB$4)*KVARDI,2),""))</f>
        <v/>
      </c>
      <c r="DD30" s="23"/>
      <c r="DE30" s="40" t="str">
        <f aca="false">IF(OR(DD$4=0,DD30=""),"",IFERROR(ROUND(DD30/INDEX(Undirviðmið!$F$6:$F$205,DD$4)*INDEX(Undirviðmið!$E$6:$E$205,DD$4)*KVARDI,2),""))</f>
        <v/>
      </c>
      <c r="DF30" s="23"/>
      <c r="DG30" s="40" t="str">
        <f aca="false">IF(OR(DF$4=0,DF30=""),"",IFERROR(ROUND(DF30/INDEX(Undirviðmið!$F$6:$F$205,DF$4)*INDEX(Undirviðmið!$E$6:$E$205,DF$4)*KVARDI,2),""))</f>
        <v/>
      </c>
      <c r="DH30" s="23"/>
      <c r="DI30" s="40" t="str">
        <f aca="false">IF(OR(DH$4=0,DH30=""),"",IFERROR(ROUND(DH30/INDEX(Undirviðmið!$F$6:$F$205,DH$4)*INDEX(Undirviðmið!$E$6:$E$205,DH$4)*KVARDI,2),""))</f>
        <v/>
      </c>
      <c r="DJ30" s="23"/>
      <c r="DK30" s="40" t="str">
        <f aca="false">IF(OR(DJ$4=0,DJ30=""),"",IFERROR(ROUND(DJ30/INDEX(Undirviðmið!$F$6:$F$205,DJ$4)*INDEX(Undirviðmið!$E$6:$E$205,DJ$4)*KVARDI,2),""))</f>
        <v/>
      </c>
      <c r="DL30" s="23"/>
      <c r="DM30" s="40" t="str">
        <f aca="false">IF(OR(DL$4=0,DL30=""),"",IFERROR(ROUND(DL30/INDEX(Undirviðmið!$F$6:$F$205,DL$4)*INDEX(Undirviðmið!$E$6:$E$205,DL$4)*KVARDI,2),""))</f>
        <v/>
      </c>
      <c r="DN30" s="23"/>
      <c r="DO30" s="40" t="str">
        <f aca="false">IF(OR(DN$4=0,DN30=""),"",IFERROR(ROUND(DN30/INDEX(Undirviðmið!$F$6:$F$205,DN$4)*INDEX(Undirviðmið!$E$6:$E$205,DN$4)*KVARDI,2),""))</f>
        <v/>
      </c>
      <c r="DP30" s="23"/>
      <c r="DQ30" s="40" t="str">
        <f aca="false">IF(OR(DP$4=0,DP30=""),"",IFERROR(ROUND(DP30/INDEX(Undirviðmið!$F$6:$F$205,DP$4)*INDEX(Undirviðmið!$E$6:$E$205,DP$4)*KVARDI,2),""))</f>
        <v/>
      </c>
      <c r="DR30" s="23"/>
      <c r="DS30" s="40" t="str">
        <f aca="false">IF(OR(DR$4=0,DR30=""),"",IFERROR(ROUND(DR30/INDEX(Undirviðmið!$F$6:$F$205,DR$4)*INDEX(Undirviðmið!$E$6:$E$205,DR$4)*KVARDI,2),""))</f>
        <v/>
      </c>
      <c r="DT30" s="23"/>
      <c r="DU30" s="40" t="str">
        <f aca="false">IF(OR(DT$4=0,DT30=""),"",IFERROR(ROUND(DT30/INDEX(Undirviðmið!$F$6:$F$205,DT$4)*INDEX(Undirviðmið!$E$6:$E$205,DT$4)*KVARDI,2),""))</f>
        <v/>
      </c>
      <c r="DV30" s="23"/>
      <c r="DW30" s="40" t="str">
        <f aca="false">IF(OR(DV$4=0,DV30=""),"",IFERROR(ROUND(DV30/INDEX(Undirviðmið!$F$6:$F$205,DV$4)*INDEX(Undirviðmið!$E$6:$E$205,DV$4)*KVARDI,2),""))</f>
        <v/>
      </c>
      <c r="DX30" s="23"/>
      <c r="DY30" s="40" t="str">
        <f aca="false">IF(OR(DX$4=0,DX30=""),"",IFERROR(ROUND(DX30/INDEX(Undirviðmið!$F$6:$F$205,DX$4)*INDEX(Undirviðmið!$E$6:$E$205,DX$4)*KVARDI,2),""))</f>
        <v/>
      </c>
      <c r="DZ30" s="23"/>
      <c r="EA30" s="40" t="str">
        <f aca="false">IF(OR(DZ$4=0,DZ30=""),"",IFERROR(ROUND(DZ30/INDEX(Undirviðmið!$F$6:$F$205,DZ$4)*INDEX(Undirviðmið!$E$6:$E$205,DZ$4)*KVARDI,2),""))</f>
        <v/>
      </c>
      <c r="EB30" s="23"/>
      <c r="EC30" s="40" t="str">
        <f aca="false">IF(OR(EB$4=0,EB30=""),"",IFERROR(ROUND(EB30/INDEX(Undirviðmið!$F$6:$F$205,EB$4)*INDEX(Undirviðmið!$E$6:$E$205,EB$4)*KVARDI,2),""))</f>
        <v/>
      </c>
      <c r="ED30" s="23"/>
      <c r="EE30" s="40" t="str">
        <f aca="false">IF(OR(ED$4=0,ED30=""),"",IFERROR(ROUND(ED30/INDEX(Undirviðmið!$F$6:$F$205,ED$4)*INDEX(Undirviðmið!$E$6:$E$205,ED$4)*KVARDI,2),""))</f>
        <v/>
      </c>
      <c r="EF30" s="23"/>
      <c r="EG30" s="40" t="str">
        <f aca="false">IF(OR(EF$4=0,EF30=""),"",IFERROR(ROUND(EF30/INDEX(Undirviðmið!$F$6:$F$205,EF$4)*INDEX(Undirviðmið!$E$6:$E$205,EF$4)*KVARDI,2),""))</f>
        <v/>
      </c>
      <c r="EH30" s="23"/>
      <c r="EI30" s="40" t="str">
        <f aca="false">IF(OR(EH$4=0,EH30=""),"",IFERROR(ROUND(EH30/INDEX(Undirviðmið!$F$6:$F$205,EH$4)*INDEX(Undirviðmið!$E$6:$E$205,EH$4)*KVARDI,2),""))</f>
        <v/>
      </c>
      <c r="EJ30" s="23"/>
      <c r="EK30" s="40" t="str">
        <f aca="false">IF(OR(EJ$4=0,EJ30=""),"",IFERROR(ROUND(EJ30/INDEX(Undirviðmið!$F$6:$F$205,EJ$4)*INDEX(Undirviðmið!$E$6:$E$205,EJ$4)*KVARDI,2),""))</f>
        <v/>
      </c>
      <c r="EL30" s="23"/>
      <c r="EM30" s="40" t="str">
        <f aca="false">IF(OR(EL$4=0,EL30=""),"",IFERROR(ROUND(EL30/INDEX(Undirviðmið!$F$6:$F$205,EL$4)*INDEX(Undirviðmið!$E$6:$E$205,EL$4)*KVARDI,2),""))</f>
        <v/>
      </c>
      <c r="EN30" s="23"/>
      <c r="EO30" s="40" t="str">
        <f aca="false">IF(OR(EN$4=0,EN30=""),"",IFERROR(ROUND(EN30/INDEX(Undirviðmið!$F$6:$F$205,EN$4)*INDEX(Undirviðmið!$E$6:$E$205,EN$4)*KVARDI,2),""))</f>
        <v/>
      </c>
      <c r="EP30" s="23"/>
      <c r="EQ30" s="40" t="str">
        <f aca="false">IF(OR(EP$4=0,EP30=""),"",IFERROR(ROUND(EP30/INDEX(Undirviðmið!$F$6:$F$205,EP$4)*INDEX(Undirviðmið!$E$6:$E$205,EP$4)*KVARDI,2),""))</f>
        <v/>
      </c>
      <c r="ER30" s="23"/>
      <c r="ES30" s="40" t="str">
        <f aca="false">IF(OR(ER$4=0,ER30=""),"",IFERROR(ROUND(ER30/INDEX(Undirviðmið!$F$6:$F$205,ER$4)*INDEX(Undirviðmið!$E$6:$E$205,ER$4)*KVARDI,2),""))</f>
        <v/>
      </c>
      <c r="ET30" s="23"/>
      <c r="EU30" s="40" t="str">
        <f aca="false">IF(OR(ET$4=0,ET30=""),"",IFERROR(ROUND(ET30/INDEX(Undirviðmið!$F$6:$F$205,ET$4)*INDEX(Undirviðmið!$E$6:$E$205,ET$4)*KVARDI,2),""))</f>
        <v/>
      </c>
      <c r="EV30" s="23"/>
      <c r="EW30" s="40" t="str">
        <f aca="false">IF(OR(EV$4=0,EV30=""),"",IFERROR(ROUND(EV30/INDEX(Undirviðmið!$F$6:$F$205,EV$4)*INDEX(Undirviðmið!$E$6:$E$205,EV$4)*KVARDI,2),""))</f>
        <v/>
      </c>
      <c r="EX30" s="23"/>
      <c r="EY30" s="40" t="str">
        <f aca="false">IF(OR(EX$4=0,EX30=""),"",IFERROR(ROUND(EX30/INDEX(Undirviðmið!$F$6:$F$205,EX$4)*INDEX(Undirviðmið!$E$6:$E$205,EX$4)*KVARDI,2),""))</f>
        <v/>
      </c>
      <c r="EZ30" s="23"/>
      <c r="FA30" s="40" t="str">
        <f aca="false">IF(OR(EZ$4=0,EZ30=""),"",IFERROR(ROUND(EZ30/INDEX(Undirviðmið!$F$6:$F$205,EZ$4)*INDEX(Undirviðmið!$E$6:$E$205,EZ$4)*KVARDI,2),""))</f>
        <v/>
      </c>
      <c r="FB30" s="23"/>
      <c r="FC30" s="40" t="str">
        <f aca="false">IF(OR(FB$4=0,FB30=""),"",IFERROR(ROUND(FB30/INDEX(Undirviðmið!$F$6:$F$205,FB$4)*INDEX(Undirviðmið!$E$6:$E$205,FB$4)*KVARDI,2),""))</f>
        <v/>
      </c>
      <c r="FD30" s="23"/>
      <c r="FE30" s="40" t="str">
        <f aca="false">IF(OR(FD$4=0,FD30=""),"",IFERROR(ROUND(FD30/INDEX(Undirviðmið!$F$6:$F$205,FD$4)*INDEX(Undirviðmið!$E$6:$E$205,FD$4)*KVARDI,2),""))</f>
        <v/>
      </c>
      <c r="FF30" s="23"/>
      <c r="FG30" s="40" t="str">
        <f aca="false">IF(OR(FF$4=0,FF30=""),"",IFERROR(ROUND(FF30/INDEX(Undirviðmið!$F$6:$F$205,FF$4)*INDEX(Undirviðmið!$E$6:$E$205,FF$4)*KVARDI,2),""))</f>
        <v/>
      </c>
      <c r="FH30" s="23"/>
      <c r="FI30" s="40" t="str">
        <f aca="false">IF(OR(FH$4=0,FH30=""),"",IFERROR(ROUND(FH30/INDEX(Undirviðmið!$F$6:$F$205,FH$4)*INDEX(Undirviðmið!$E$6:$E$205,FH$4)*KVARDI,2),""))</f>
        <v/>
      </c>
      <c r="FJ30" s="23"/>
      <c r="FK30" s="40" t="str">
        <f aca="false">IF(OR(FJ$4=0,FJ30=""),"",IFERROR(ROUND(FJ30/INDEX(Undirviðmið!$F$6:$F$205,FJ$4)*INDEX(Undirviðmið!$E$6:$E$205,FJ$4)*KVARDI,2),""))</f>
        <v/>
      </c>
      <c r="FL30" s="23"/>
      <c r="FM30" s="40" t="str">
        <f aca="false">IF(OR(FL$4=0,FL30=""),"",IFERROR(ROUND(FL30/INDEX(Undirviðmið!$F$6:$F$205,FL$4)*INDEX(Undirviðmið!$E$6:$E$205,FL$4)*KVARDI,2),""))</f>
        <v/>
      </c>
      <c r="FN30" s="23"/>
      <c r="FO30" s="40" t="str">
        <f aca="false">IF(OR(FN$4=0,FN30=""),"",IFERROR(ROUND(FN30/INDEX(Undirviðmið!$F$6:$F$205,FN$4)*INDEX(Undirviðmið!$E$6:$E$205,FN$4)*KVARDI,2),""))</f>
        <v/>
      </c>
      <c r="FP30" s="23"/>
      <c r="FQ30" s="40" t="str">
        <f aca="false">IF(OR(FP$4=0,FP30=""),"",IFERROR(ROUND(FP30/INDEX(Undirviðmið!$F$6:$F$205,FP$4)*INDEX(Undirviðmið!$E$6:$E$205,FP$4)*KVARDI,2),""))</f>
        <v/>
      </c>
      <c r="FR30" s="23"/>
      <c r="FS30" s="40" t="str">
        <f aca="false">IF(OR(FR$4=0,FR30=""),"",IFERROR(ROUND(FR30/INDEX(Undirviðmið!$F$6:$F$205,FR$4)*INDEX(Undirviðmið!$E$6:$E$205,FR$4)*KVARDI,2),""))</f>
        <v/>
      </c>
      <c r="FT30" s="23"/>
      <c r="FU30" s="40" t="str">
        <f aca="false">IF(OR(FT$4=0,FT30=""),"",IFERROR(ROUND(FT30/INDEX(Undirviðmið!$F$6:$F$205,FT$4)*INDEX(Undirviðmið!$E$6:$E$205,FT$4)*KVARDI,2),""))</f>
        <v/>
      </c>
      <c r="FV30" s="23"/>
      <c r="FW30" s="40" t="str">
        <f aca="false">IF(OR(FV$4=0,FV30=""),"",IFERROR(ROUND(FV30/INDEX(Undirviðmið!$F$6:$F$205,FV$4)*INDEX(Undirviðmið!$E$6:$E$205,FV$4)*KVARDI,2),""))</f>
        <v/>
      </c>
      <c r="FX30" s="23"/>
      <c r="FY30" s="40" t="str">
        <f aca="false">IF(OR(FX$4=0,FX30=""),"",IFERROR(ROUND(FX30/INDEX(Undirviðmið!$F$6:$F$205,FX$4)*INDEX(Undirviðmið!$E$6:$E$205,FX$4)*KVARDI,2),""))</f>
        <v/>
      </c>
      <c r="FZ30" s="23"/>
      <c r="GA30" s="40" t="str">
        <f aca="false">IF(OR(FZ$4=0,FZ30=""),"",IFERROR(ROUND(FZ30/INDEX(Undirviðmið!$F$6:$F$205,FZ$4)*INDEX(Undirviðmið!$E$6:$E$205,FZ$4)*KVARDI,2),""))</f>
        <v/>
      </c>
      <c r="GB30" s="23"/>
      <c r="GC30" s="40" t="str">
        <f aca="false">IF(OR(GB$4=0,GB30=""),"",IFERROR(ROUND(GB30/INDEX(Undirviðmið!$F$6:$F$205,GB$4)*INDEX(Undirviðmið!$E$6:$E$205,GB$4)*KVARDI,2),""))</f>
        <v/>
      </c>
      <c r="GD30" s="23"/>
      <c r="GE30" s="40" t="str">
        <f aca="false">IF(OR(GD$4=0,GD30=""),"",IFERROR(ROUND(GD30/INDEX(Undirviðmið!$F$6:$F$205,GD$4)*INDEX(Undirviðmið!$E$6:$E$205,GD$4)*KVARDI,2),""))</f>
        <v/>
      </c>
      <c r="GF30" s="23"/>
      <c r="GG30" s="40" t="str">
        <f aca="false">IF(OR(GF$4=0,GF30=""),"",IFERROR(ROUND(GF30/INDEX(Undirviðmið!$F$6:$F$205,GF$4)*INDEX(Undirviðmið!$E$6:$E$205,GF$4)*KVARDI,2),""))</f>
        <v/>
      </c>
      <c r="GH30" s="23"/>
      <c r="GI30" s="40" t="str">
        <f aca="false">IF(OR(GH$4=0,GH30=""),"",IFERROR(ROUND(GH30/INDEX(Undirviðmið!$F$6:$F$205,GH$4)*INDEX(Undirviðmið!$E$6:$E$205,GH$4)*KVARDI,2),""))</f>
        <v/>
      </c>
      <c r="GJ30" s="23"/>
      <c r="GK30" s="40" t="str">
        <f aca="false">IF(OR(GJ$4=0,GJ30=""),"",IFERROR(ROUND(GJ30/INDEX(Undirviðmið!$F$6:$F$205,GJ$4)*INDEX(Undirviðmið!$E$6:$E$205,GJ$4)*KVARDI,2),""))</f>
        <v/>
      </c>
      <c r="GL30" s="23"/>
      <c r="GM30" s="40" t="str">
        <f aca="false">IF(OR(GL$4=0,GL30=""),"",IFERROR(ROUND(GL30/INDEX(Undirviðmið!$F$6:$F$205,GL$4)*INDEX(Undirviðmið!$E$6:$E$205,GL$4)*KVARDI,2),""))</f>
        <v/>
      </c>
      <c r="GN30" s="23"/>
      <c r="GO30" s="40" t="str">
        <f aca="false">IF(OR(GN$4=0,GN30=""),"",IFERROR(ROUND(GN30/INDEX(Undirviðmið!$F$6:$F$205,GN$4)*INDEX(Undirviðmið!$E$6:$E$205,GN$4)*KVARDI,2),""))</f>
        <v/>
      </c>
      <c r="GP30" s="23"/>
      <c r="GQ30" s="40" t="str">
        <f aca="false">IF(OR(GP$4=0,GP30=""),"",IFERROR(ROUND(GP30/INDEX(Undirviðmið!$F$6:$F$205,GP$4)*INDEX(Undirviðmið!$E$6:$E$205,GP$4)*KVARDI,2),""))</f>
        <v/>
      </c>
      <c r="GR30" s="23"/>
      <c r="GS30" s="40" t="str">
        <f aca="false">IF(OR(GR$4=0,GR30=""),"",IFERROR(ROUND(GR30/INDEX(Undirviðmið!$F$6:$F$205,GR$4)*INDEX(Undirviðmið!$E$6:$E$205,GR$4)*KVARDI,2),""))</f>
        <v/>
      </c>
      <c r="GT30" s="23"/>
      <c r="GU30" s="40" t="str">
        <f aca="false">IF(OR(GT$4=0,GT30=""),"",IFERROR(ROUND(GT30/INDEX(Undirviðmið!$F$6:$F$205,GT$4)*INDEX(Undirviðmið!$E$6:$E$205,GT$4)*KVARDI,2),""))</f>
        <v/>
      </c>
      <c r="GV30" s="44" t="n">
        <f aca="false">IFERROR(SUMIF($D$6:GU$6,"Stig",$D30:GU30),0)</f>
        <v>0</v>
      </c>
    </row>
    <row r="31" customFormat="false" ht="15" hidden="false" customHeight="true" outlineLevel="0" collapsed="false">
      <c r="A31" s="22" t="n">
        <f aca="false">ROW()-6</f>
        <v>25</v>
      </c>
      <c r="B31" s="24" t="str">
        <f aca="false">IF(INDEX(Starfsmenn!$B$6:$B$10005,ROW()-6)="","",INDEX(Starfsmenn!$B$6:$B$10005,ROW()-6))</f>
        <v/>
      </c>
      <c r="C31" s="24" t="str">
        <f aca="false">IF(INDEX(Starfsmenn!$C$6:$C$10005,ROW()-6)="","",INDEX(Starfsmenn!$C$6:$C$10005,ROW()-6))</f>
        <v/>
      </c>
      <c r="D31" s="23"/>
      <c r="E31" s="40" t="str">
        <f aca="false">IF(OR(D$4=0,D31=""),"",IFERROR(ROUND(D31/INDEX(Undirviðmið!$F$6:$F$205,D$4)*INDEX(Undirviðmið!$E$6:$E$205,D$4)*KVARDI,2),""))</f>
        <v/>
      </c>
      <c r="F31" s="23"/>
      <c r="G31" s="40" t="str">
        <f aca="false">IF(OR(F$4=0,F31=""),"",IFERROR(ROUND(F31/INDEX(Undirviðmið!$F$6:$F$205,F$4)*INDEX(Undirviðmið!$E$6:$E$205,F$4)*KVARDI,2),""))</f>
        <v/>
      </c>
      <c r="H31" s="23"/>
      <c r="I31" s="40" t="str">
        <f aca="false">IF(OR(H$4=0,H31=""),"",IFERROR(ROUND(H31/INDEX(Undirviðmið!$F$6:$F$205,H$4)*INDEX(Undirviðmið!$E$6:$E$205,H$4)*KVARDI,2),""))</f>
        <v/>
      </c>
      <c r="J31" s="23"/>
      <c r="K31" s="40" t="str">
        <f aca="false">IF(OR(J$4=0,J31=""),"",IFERROR(ROUND(J31/INDEX(Undirviðmið!$F$6:$F$205,J$4)*INDEX(Undirviðmið!$E$6:$E$205,J$4)*KVARDI,2),""))</f>
        <v/>
      </c>
      <c r="L31" s="23"/>
      <c r="M31" s="40" t="str">
        <f aca="false">IF(OR(L$4=0,L31=""),"",IFERROR(ROUND(L31/INDEX(Undirviðmið!$F$6:$F$205,L$4)*INDEX(Undirviðmið!$E$6:$E$205,L$4)*KVARDI,2),""))</f>
        <v/>
      </c>
      <c r="N31" s="23"/>
      <c r="O31" s="40" t="str">
        <f aca="false">IF(OR(N$4=0,N31=""),"",IFERROR(ROUND(N31/INDEX(Undirviðmið!$F$6:$F$205,N$4)*INDEX(Undirviðmið!$E$6:$E$205,N$4)*KVARDI,2),""))</f>
        <v/>
      </c>
      <c r="P31" s="23"/>
      <c r="Q31" s="40" t="str">
        <f aca="false">IF(OR(P$4=0,P31=""),"",IFERROR(ROUND(P31/INDEX(Undirviðmið!$F$6:$F$205,P$4)*INDEX(Undirviðmið!$E$6:$E$205,P$4)*KVARDI,2),""))</f>
        <v/>
      </c>
      <c r="R31" s="23"/>
      <c r="S31" s="40" t="str">
        <f aca="false">IF(OR(R$4=0,R31=""),"",IFERROR(ROUND(R31/INDEX(Undirviðmið!$F$6:$F$205,R$4)*INDEX(Undirviðmið!$E$6:$E$205,R$4)*KVARDI,2),""))</f>
        <v/>
      </c>
      <c r="T31" s="23"/>
      <c r="U31" s="40" t="str">
        <f aca="false">IF(OR(T$4=0,T31=""),"",IFERROR(ROUND(T31/INDEX(Undirviðmið!$F$6:$F$205,T$4)*INDEX(Undirviðmið!$E$6:$E$205,T$4)*KVARDI,2),""))</f>
        <v/>
      </c>
      <c r="V31" s="23"/>
      <c r="W31" s="40" t="str">
        <f aca="false">IF(OR(V$4=0,V31=""),"",IFERROR(ROUND(V31/INDEX(Undirviðmið!$F$6:$F$205,V$4)*INDEX(Undirviðmið!$E$6:$E$205,V$4)*KVARDI,2),""))</f>
        <v/>
      </c>
      <c r="X31" s="23"/>
      <c r="Y31" s="40" t="str">
        <f aca="false">IF(OR(X$4=0,X31=""),"",IFERROR(ROUND(X31/INDEX(Undirviðmið!$F$6:$F$205,X$4)*INDEX(Undirviðmið!$E$6:$E$205,X$4)*KVARDI,2),""))</f>
        <v/>
      </c>
      <c r="Z31" s="23"/>
      <c r="AA31" s="40" t="str">
        <f aca="false">IF(OR(Z$4=0,Z31=""),"",IFERROR(ROUND(Z31/INDEX(Undirviðmið!$F$6:$F$205,Z$4)*INDEX(Undirviðmið!$E$6:$E$205,Z$4)*KVARDI,2),""))</f>
        <v/>
      </c>
      <c r="AB31" s="23"/>
      <c r="AC31" s="40" t="str">
        <f aca="false">IF(OR(AB$4=0,AB31=""),"",IFERROR(ROUND(AB31/INDEX(Undirviðmið!$F$6:$F$205,AB$4)*INDEX(Undirviðmið!$E$6:$E$205,AB$4)*KVARDI,2),""))</f>
        <v/>
      </c>
      <c r="AD31" s="23"/>
      <c r="AE31" s="40" t="str">
        <f aca="false">IF(OR(AD$4=0,AD31=""),"",IFERROR(ROUND(AD31/INDEX(Undirviðmið!$F$6:$F$205,AD$4)*INDEX(Undirviðmið!$E$6:$E$205,AD$4)*KVARDI,2),""))</f>
        <v/>
      </c>
      <c r="AF31" s="23"/>
      <c r="AG31" s="40" t="str">
        <f aca="false">IF(OR(AF$4=0,AF31=""),"",IFERROR(ROUND(AF31/INDEX(Undirviðmið!$F$6:$F$205,AF$4)*INDEX(Undirviðmið!$E$6:$E$205,AF$4)*KVARDI,2),""))</f>
        <v/>
      </c>
      <c r="AH31" s="23"/>
      <c r="AI31" s="40" t="str">
        <f aca="false">IF(OR(AH$4=0,AH31=""),"",IFERROR(ROUND(AH31/INDEX(Undirviðmið!$F$6:$F$205,AH$4)*INDEX(Undirviðmið!$E$6:$E$205,AH$4)*KVARDI,2),""))</f>
        <v/>
      </c>
      <c r="AJ31" s="23"/>
      <c r="AK31" s="40" t="str">
        <f aca="false">IF(OR(AJ$4=0,AJ31=""),"",IFERROR(ROUND(AJ31/INDEX(Undirviðmið!$F$6:$F$205,AJ$4)*INDEX(Undirviðmið!$E$6:$E$205,AJ$4)*KVARDI,2),""))</f>
        <v/>
      </c>
      <c r="AL31" s="23"/>
      <c r="AM31" s="40" t="str">
        <f aca="false">IF(OR(AL$4=0,AL31=""),"",IFERROR(ROUND(AL31/INDEX(Undirviðmið!$F$6:$F$205,AL$4)*INDEX(Undirviðmið!$E$6:$E$205,AL$4)*KVARDI,2),""))</f>
        <v/>
      </c>
      <c r="AN31" s="23"/>
      <c r="AO31" s="40" t="str">
        <f aca="false">IF(OR(AN$4=0,AN31=""),"",IFERROR(ROUND(AN31/INDEX(Undirviðmið!$F$6:$F$205,AN$4)*INDEX(Undirviðmið!$E$6:$E$205,AN$4)*KVARDI,2),""))</f>
        <v/>
      </c>
      <c r="AP31" s="23"/>
      <c r="AQ31" s="40" t="str">
        <f aca="false">IF(OR(AP$4=0,AP31=""),"",IFERROR(ROUND(AP31/INDEX(Undirviðmið!$F$6:$F$205,AP$4)*INDEX(Undirviðmið!$E$6:$E$205,AP$4)*KVARDI,2),""))</f>
        <v/>
      </c>
      <c r="AR31" s="23"/>
      <c r="AS31" s="40" t="str">
        <f aca="false">IF(OR(AR$4=0,AR31=""),"",IFERROR(ROUND(AR31/INDEX(Undirviðmið!$F$6:$F$205,AR$4)*INDEX(Undirviðmið!$E$6:$E$205,AR$4)*KVARDI,2),""))</f>
        <v/>
      </c>
      <c r="AT31" s="23"/>
      <c r="AU31" s="40" t="str">
        <f aca="false">IF(OR(AT$4=0,AT31=""),"",IFERROR(ROUND(AT31/INDEX(Undirviðmið!$F$6:$F$205,AT$4)*INDEX(Undirviðmið!$E$6:$E$205,AT$4)*KVARDI,2),""))</f>
        <v/>
      </c>
      <c r="AV31" s="23"/>
      <c r="AW31" s="40" t="str">
        <f aca="false">IF(OR(AV$4=0,AV31=""),"",IFERROR(ROUND(AV31/INDEX(Undirviðmið!$F$6:$F$205,AV$4)*INDEX(Undirviðmið!$E$6:$E$205,AV$4)*KVARDI,2),""))</f>
        <v/>
      </c>
      <c r="AX31" s="23"/>
      <c r="AY31" s="40" t="str">
        <f aca="false">IF(OR(AX$4=0,AX31=""),"",IFERROR(ROUND(AX31/INDEX(Undirviðmið!$F$6:$F$205,AX$4)*INDEX(Undirviðmið!$E$6:$E$205,AX$4)*KVARDI,2),""))</f>
        <v/>
      </c>
      <c r="AZ31" s="23"/>
      <c r="BA31" s="40" t="str">
        <f aca="false">IF(OR(AZ$4=0,AZ31=""),"",IFERROR(ROUND(AZ31/INDEX(Undirviðmið!$F$6:$F$205,AZ$4)*INDEX(Undirviðmið!$E$6:$E$205,AZ$4)*KVARDI,2),""))</f>
        <v/>
      </c>
      <c r="BB31" s="23"/>
      <c r="BC31" s="40" t="str">
        <f aca="false">IF(OR(BB$4=0,BB31=""),"",IFERROR(ROUND(BB31/INDEX(Undirviðmið!$F$6:$F$205,BB$4)*INDEX(Undirviðmið!$E$6:$E$205,BB$4)*KVARDI,2),""))</f>
        <v/>
      </c>
      <c r="BD31" s="23"/>
      <c r="BE31" s="40" t="str">
        <f aca="false">IF(OR(BD$4=0,BD31=""),"",IFERROR(ROUND(BD31/INDEX(Undirviðmið!$F$6:$F$205,BD$4)*INDEX(Undirviðmið!$E$6:$E$205,BD$4)*KVARDI,2),""))</f>
        <v/>
      </c>
      <c r="BF31" s="23"/>
      <c r="BG31" s="40" t="str">
        <f aca="false">IF(OR(BF$4=0,BF31=""),"",IFERROR(ROUND(BF31/INDEX(Undirviðmið!$F$6:$F$205,BF$4)*INDEX(Undirviðmið!$E$6:$E$205,BF$4)*KVARDI,2),""))</f>
        <v/>
      </c>
      <c r="BH31" s="23"/>
      <c r="BI31" s="40" t="str">
        <f aca="false">IF(OR(BH$4=0,BH31=""),"",IFERROR(ROUND(BH31/INDEX(Undirviðmið!$F$6:$F$205,BH$4)*INDEX(Undirviðmið!$E$6:$E$205,BH$4)*KVARDI,2),""))</f>
        <v/>
      </c>
      <c r="BJ31" s="23"/>
      <c r="BK31" s="40" t="str">
        <f aca="false">IF(OR(BJ$4=0,BJ31=""),"",IFERROR(ROUND(BJ31/INDEX(Undirviðmið!$F$6:$F$205,BJ$4)*INDEX(Undirviðmið!$E$6:$E$205,BJ$4)*KVARDI,2),""))</f>
        <v/>
      </c>
      <c r="BL31" s="23"/>
      <c r="BM31" s="40" t="str">
        <f aca="false">IF(OR(BL$4=0,BL31=""),"",IFERROR(ROUND(BL31/INDEX(Undirviðmið!$F$6:$F$205,BL$4)*INDEX(Undirviðmið!$E$6:$E$205,BL$4)*KVARDI,2),""))</f>
        <v/>
      </c>
      <c r="BN31" s="23"/>
      <c r="BO31" s="40" t="str">
        <f aca="false">IF(OR(BN$4=0,BN31=""),"",IFERROR(ROUND(BN31/INDEX(Undirviðmið!$F$6:$F$205,BN$4)*INDEX(Undirviðmið!$E$6:$E$205,BN$4)*KVARDI,2),""))</f>
        <v/>
      </c>
      <c r="BP31" s="23"/>
      <c r="BQ31" s="40" t="str">
        <f aca="false">IF(OR(BP$4=0,BP31=""),"",IFERROR(ROUND(BP31/INDEX(Undirviðmið!$F$6:$F$205,BP$4)*INDEX(Undirviðmið!$E$6:$E$205,BP$4)*KVARDI,2),""))</f>
        <v/>
      </c>
      <c r="BR31" s="23"/>
      <c r="BS31" s="40" t="str">
        <f aca="false">IF(OR(BR$4=0,BR31=""),"",IFERROR(ROUND(BR31/INDEX(Undirviðmið!$F$6:$F$205,BR$4)*INDEX(Undirviðmið!$E$6:$E$205,BR$4)*KVARDI,2),""))</f>
        <v/>
      </c>
      <c r="BT31" s="23"/>
      <c r="BU31" s="40" t="str">
        <f aca="false">IF(OR(BT$4=0,BT31=""),"",IFERROR(ROUND(BT31/INDEX(Undirviðmið!$F$6:$F$205,BT$4)*INDEX(Undirviðmið!$E$6:$E$205,BT$4)*KVARDI,2),""))</f>
        <v/>
      </c>
      <c r="BV31" s="23"/>
      <c r="BW31" s="40" t="str">
        <f aca="false">IF(OR(BV$4=0,BV31=""),"",IFERROR(ROUND(BV31/INDEX(Undirviðmið!$F$6:$F$205,BV$4)*INDEX(Undirviðmið!$E$6:$E$205,BV$4)*KVARDI,2),""))</f>
        <v/>
      </c>
      <c r="BX31" s="23"/>
      <c r="BY31" s="40" t="str">
        <f aca="false">IF(OR(BX$4=0,BX31=""),"",IFERROR(ROUND(BX31/INDEX(Undirviðmið!$F$6:$F$205,BX$4)*INDEX(Undirviðmið!$E$6:$E$205,BX$4)*KVARDI,2),""))</f>
        <v/>
      </c>
      <c r="BZ31" s="23"/>
      <c r="CA31" s="40" t="str">
        <f aca="false">IF(OR(BZ$4=0,BZ31=""),"",IFERROR(ROUND(BZ31/INDEX(Undirviðmið!$F$6:$F$205,BZ$4)*INDEX(Undirviðmið!$E$6:$E$205,BZ$4)*KVARDI,2),""))</f>
        <v/>
      </c>
      <c r="CB31" s="23"/>
      <c r="CC31" s="40" t="str">
        <f aca="false">IF(OR(CB$4=0,CB31=""),"",IFERROR(ROUND(CB31/INDEX(Undirviðmið!$F$6:$F$205,CB$4)*INDEX(Undirviðmið!$E$6:$E$205,CB$4)*KVARDI,2),""))</f>
        <v/>
      </c>
      <c r="CD31" s="23"/>
      <c r="CE31" s="40" t="str">
        <f aca="false">IF(OR(CD$4=0,CD31=""),"",IFERROR(ROUND(CD31/INDEX(Undirviðmið!$F$6:$F$205,CD$4)*INDEX(Undirviðmið!$E$6:$E$205,CD$4)*KVARDI,2),""))</f>
        <v/>
      </c>
      <c r="CF31" s="23"/>
      <c r="CG31" s="40" t="str">
        <f aca="false">IF(OR(CF$4=0,CF31=""),"",IFERROR(ROUND(CF31/INDEX(Undirviðmið!$F$6:$F$205,CF$4)*INDEX(Undirviðmið!$E$6:$E$205,CF$4)*KVARDI,2),""))</f>
        <v/>
      </c>
      <c r="CH31" s="23"/>
      <c r="CI31" s="40" t="str">
        <f aca="false">IF(OR(CH$4=0,CH31=""),"",IFERROR(ROUND(CH31/INDEX(Undirviðmið!$F$6:$F$205,CH$4)*INDEX(Undirviðmið!$E$6:$E$205,CH$4)*KVARDI,2),""))</f>
        <v/>
      </c>
      <c r="CJ31" s="23"/>
      <c r="CK31" s="40" t="str">
        <f aca="false">IF(OR(CJ$4=0,CJ31=""),"",IFERROR(ROUND(CJ31/INDEX(Undirviðmið!$F$6:$F$205,CJ$4)*INDEX(Undirviðmið!$E$6:$E$205,CJ$4)*KVARDI,2),""))</f>
        <v/>
      </c>
      <c r="CL31" s="23"/>
      <c r="CM31" s="40" t="str">
        <f aca="false">IF(OR(CL$4=0,CL31=""),"",IFERROR(ROUND(CL31/INDEX(Undirviðmið!$F$6:$F$205,CL$4)*INDEX(Undirviðmið!$E$6:$E$205,CL$4)*KVARDI,2),""))</f>
        <v/>
      </c>
      <c r="CN31" s="23"/>
      <c r="CO31" s="40" t="str">
        <f aca="false">IF(OR(CN$4=0,CN31=""),"",IFERROR(ROUND(CN31/INDEX(Undirviðmið!$F$6:$F$205,CN$4)*INDEX(Undirviðmið!$E$6:$E$205,CN$4)*KVARDI,2),""))</f>
        <v/>
      </c>
      <c r="CP31" s="23"/>
      <c r="CQ31" s="40" t="str">
        <f aca="false">IF(OR(CP$4=0,CP31=""),"",IFERROR(ROUND(CP31/INDEX(Undirviðmið!$F$6:$F$205,CP$4)*INDEX(Undirviðmið!$E$6:$E$205,CP$4)*KVARDI,2),""))</f>
        <v/>
      </c>
      <c r="CR31" s="23"/>
      <c r="CS31" s="40" t="str">
        <f aca="false">IF(OR(CR$4=0,CR31=""),"",IFERROR(ROUND(CR31/INDEX(Undirviðmið!$F$6:$F$205,CR$4)*INDEX(Undirviðmið!$E$6:$E$205,CR$4)*KVARDI,2),""))</f>
        <v/>
      </c>
      <c r="CT31" s="23"/>
      <c r="CU31" s="40" t="str">
        <f aca="false">IF(OR(CT$4=0,CT31=""),"",IFERROR(ROUND(CT31/INDEX(Undirviðmið!$F$6:$F$205,CT$4)*INDEX(Undirviðmið!$E$6:$E$205,CT$4)*KVARDI,2),""))</f>
        <v/>
      </c>
      <c r="CV31" s="23"/>
      <c r="CW31" s="40" t="str">
        <f aca="false">IF(OR(CV$4=0,CV31=""),"",IFERROR(ROUND(CV31/INDEX(Undirviðmið!$F$6:$F$205,CV$4)*INDEX(Undirviðmið!$E$6:$E$205,CV$4)*KVARDI,2),""))</f>
        <v/>
      </c>
      <c r="CX31" s="23"/>
      <c r="CY31" s="40" t="str">
        <f aca="false">IF(OR(CX$4=0,CX31=""),"",IFERROR(ROUND(CX31/INDEX(Undirviðmið!$F$6:$F$205,CX$4)*INDEX(Undirviðmið!$E$6:$E$205,CX$4)*KVARDI,2),""))</f>
        <v/>
      </c>
      <c r="CZ31" s="23"/>
      <c r="DA31" s="40" t="str">
        <f aca="false">IF(OR(CZ$4=0,CZ31=""),"",IFERROR(ROUND(CZ31/INDEX(Undirviðmið!$F$6:$F$205,CZ$4)*INDEX(Undirviðmið!$E$6:$E$205,CZ$4)*KVARDI,2),""))</f>
        <v/>
      </c>
      <c r="DB31" s="23"/>
      <c r="DC31" s="40" t="str">
        <f aca="false">IF(OR(DB$4=0,DB31=""),"",IFERROR(ROUND(DB31/INDEX(Undirviðmið!$F$6:$F$205,DB$4)*INDEX(Undirviðmið!$E$6:$E$205,DB$4)*KVARDI,2),""))</f>
        <v/>
      </c>
      <c r="DD31" s="23"/>
      <c r="DE31" s="40" t="str">
        <f aca="false">IF(OR(DD$4=0,DD31=""),"",IFERROR(ROUND(DD31/INDEX(Undirviðmið!$F$6:$F$205,DD$4)*INDEX(Undirviðmið!$E$6:$E$205,DD$4)*KVARDI,2),""))</f>
        <v/>
      </c>
      <c r="DF31" s="23"/>
      <c r="DG31" s="40" t="str">
        <f aca="false">IF(OR(DF$4=0,DF31=""),"",IFERROR(ROUND(DF31/INDEX(Undirviðmið!$F$6:$F$205,DF$4)*INDEX(Undirviðmið!$E$6:$E$205,DF$4)*KVARDI,2),""))</f>
        <v/>
      </c>
      <c r="DH31" s="23"/>
      <c r="DI31" s="40" t="str">
        <f aca="false">IF(OR(DH$4=0,DH31=""),"",IFERROR(ROUND(DH31/INDEX(Undirviðmið!$F$6:$F$205,DH$4)*INDEX(Undirviðmið!$E$6:$E$205,DH$4)*KVARDI,2),""))</f>
        <v/>
      </c>
      <c r="DJ31" s="23"/>
      <c r="DK31" s="40" t="str">
        <f aca="false">IF(OR(DJ$4=0,DJ31=""),"",IFERROR(ROUND(DJ31/INDEX(Undirviðmið!$F$6:$F$205,DJ$4)*INDEX(Undirviðmið!$E$6:$E$205,DJ$4)*KVARDI,2),""))</f>
        <v/>
      </c>
      <c r="DL31" s="23"/>
      <c r="DM31" s="40" t="str">
        <f aca="false">IF(OR(DL$4=0,DL31=""),"",IFERROR(ROUND(DL31/INDEX(Undirviðmið!$F$6:$F$205,DL$4)*INDEX(Undirviðmið!$E$6:$E$205,DL$4)*KVARDI,2),""))</f>
        <v/>
      </c>
      <c r="DN31" s="23"/>
      <c r="DO31" s="40" t="str">
        <f aca="false">IF(OR(DN$4=0,DN31=""),"",IFERROR(ROUND(DN31/INDEX(Undirviðmið!$F$6:$F$205,DN$4)*INDEX(Undirviðmið!$E$6:$E$205,DN$4)*KVARDI,2),""))</f>
        <v/>
      </c>
      <c r="DP31" s="23"/>
      <c r="DQ31" s="40" t="str">
        <f aca="false">IF(OR(DP$4=0,DP31=""),"",IFERROR(ROUND(DP31/INDEX(Undirviðmið!$F$6:$F$205,DP$4)*INDEX(Undirviðmið!$E$6:$E$205,DP$4)*KVARDI,2),""))</f>
        <v/>
      </c>
      <c r="DR31" s="23"/>
      <c r="DS31" s="40" t="str">
        <f aca="false">IF(OR(DR$4=0,DR31=""),"",IFERROR(ROUND(DR31/INDEX(Undirviðmið!$F$6:$F$205,DR$4)*INDEX(Undirviðmið!$E$6:$E$205,DR$4)*KVARDI,2),""))</f>
        <v/>
      </c>
      <c r="DT31" s="23"/>
      <c r="DU31" s="40" t="str">
        <f aca="false">IF(OR(DT$4=0,DT31=""),"",IFERROR(ROUND(DT31/INDEX(Undirviðmið!$F$6:$F$205,DT$4)*INDEX(Undirviðmið!$E$6:$E$205,DT$4)*KVARDI,2),""))</f>
        <v/>
      </c>
      <c r="DV31" s="23"/>
      <c r="DW31" s="40" t="str">
        <f aca="false">IF(OR(DV$4=0,DV31=""),"",IFERROR(ROUND(DV31/INDEX(Undirviðmið!$F$6:$F$205,DV$4)*INDEX(Undirviðmið!$E$6:$E$205,DV$4)*KVARDI,2),""))</f>
        <v/>
      </c>
      <c r="DX31" s="23"/>
      <c r="DY31" s="40" t="str">
        <f aca="false">IF(OR(DX$4=0,DX31=""),"",IFERROR(ROUND(DX31/INDEX(Undirviðmið!$F$6:$F$205,DX$4)*INDEX(Undirviðmið!$E$6:$E$205,DX$4)*KVARDI,2),""))</f>
        <v/>
      </c>
      <c r="DZ31" s="23"/>
      <c r="EA31" s="40" t="str">
        <f aca="false">IF(OR(DZ$4=0,DZ31=""),"",IFERROR(ROUND(DZ31/INDEX(Undirviðmið!$F$6:$F$205,DZ$4)*INDEX(Undirviðmið!$E$6:$E$205,DZ$4)*KVARDI,2),""))</f>
        <v/>
      </c>
      <c r="EB31" s="23"/>
      <c r="EC31" s="40" t="str">
        <f aca="false">IF(OR(EB$4=0,EB31=""),"",IFERROR(ROUND(EB31/INDEX(Undirviðmið!$F$6:$F$205,EB$4)*INDEX(Undirviðmið!$E$6:$E$205,EB$4)*KVARDI,2),""))</f>
        <v/>
      </c>
      <c r="ED31" s="23"/>
      <c r="EE31" s="40" t="str">
        <f aca="false">IF(OR(ED$4=0,ED31=""),"",IFERROR(ROUND(ED31/INDEX(Undirviðmið!$F$6:$F$205,ED$4)*INDEX(Undirviðmið!$E$6:$E$205,ED$4)*KVARDI,2),""))</f>
        <v/>
      </c>
      <c r="EF31" s="23"/>
      <c r="EG31" s="40" t="str">
        <f aca="false">IF(OR(EF$4=0,EF31=""),"",IFERROR(ROUND(EF31/INDEX(Undirviðmið!$F$6:$F$205,EF$4)*INDEX(Undirviðmið!$E$6:$E$205,EF$4)*KVARDI,2),""))</f>
        <v/>
      </c>
      <c r="EH31" s="23"/>
      <c r="EI31" s="40" t="str">
        <f aca="false">IF(OR(EH$4=0,EH31=""),"",IFERROR(ROUND(EH31/INDEX(Undirviðmið!$F$6:$F$205,EH$4)*INDEX(Undirviðmið!$E$6:$E$205,EH$4)*KVARDI,2),""))</f>
        <v/>
      </c>
      <c r="EJ31" s="23"/>
      <c r="EK31" s="40" t="str">
        <f aca="false">IF(OR(EJ$4=0,EJ31=""),"",IFERROR(ROUND(EJ31/INDEX(Undirviðmið!$F$6:$F$205,EJ$4)*INDEX(Undirviðmið!$E$6:$E$205,EJ$4)*KVARDI,2),""))</f>
        <v/>
      </c>
      <c r="EL31" s="23"/>
      <c r="EM31" s="40" t="str">
        <f aca="false">IF(OR(EL$4=0,EL31=""),"",IFERROR(ROUND(EL31/INDEX(Undirviðmið!$F$6:$F$205,EL$4)*INDEX(Undirviðmið!$E$6:$E$205,EL$4)*KVARDI,2),""))</f>
        <v/>
      </c>
      <c r="EN31" s="23"/>
      <c r="EO31" s="40" t="str">
        <f aca="false">IF(OR(EN$4=0,EN31=""),"",IFERROR(ROUND(EN31/INDEX(Undirviðmið!$F$6:$F$205,EN$4)*INDEX(Undirviðmið!$E$6:$E$205,EN$4)*KVARDI,2),""))</f>
        <v/>
      </c>
      <c r="EP31" s="23"/>
      <c r="EQ31" s="40" t="str">
        <f aca="false">IF(OR(EP$4=0,EP31=""),"",IFERROR(ROUND(EP31/INDEX(Undirviðmið!$F$6:$F$205,EP$4)*INDEX(Undirviðmið!$E$6:$E$205,EP$4)*KVARDI,2),""))</f>
        <v/>
      </c>
      <c r="ER31" s="23"/>
      <c r="ES31" s="40" t="str">
        <f aca="false">IF(OR(ER$4=0,ER31=""),"",IFERROR(ROUND(ER31/INDEX(Undirviðmið!$F$6:$F$205,ER$4)*INDEX(Undirviðmið!$E$6:$E$205,ER$4)*KVARDI,2),""))</f>
        <v/>
      </c>
      <c r="ET31" s="23"/>
      <c r="EU31" s="40" t="str">
        <f aca="false">IF(OR(ET$4=0,ET31=""),"",IFERROR(ROUND(ET31/INDEX(Undirviðmið!$F$6:$F$205,ET$4)*INDEX(Undirviðmið!$E$6:$E$205,ET$4)*KVARDI,2),""))</f>
        <v/>
      </c>
      <c r="EV31" s="23"/>
      <c r="EW31" s="40" t="str">
        <f aca="false">IF(OR(EV$4=0,EV31=""),"",IFERROR(ROUND(EV31/INDEX(Undirviðmið!$F$6:$F$205,EV$4)*INDEX(Undirviðmið!$E$6:$E$205,EV$4)*KVARDI,2),""))</f>
        <v/>
      </c>
      <c r="EX31" s="23"/>
      <c r="EY31" s="40" t="str">
        <f aca="false">IF(OR(EX$4=0,EX31=""),"",IFERROR(ROUND(EX31/INDEX(Undirviðmið!$F$6:$F$205,EX$4)*INDEX(Undirviðmið!$E$6:$E$205,EX$4)*KVARDI,2),""))</f>
        <v/>
      </c>
      <c r="EZ31" s="23"/>
      <c r="FA31" s="40" t="str">
        <f aca="false">IF(OR(EZ$4=0,EZ31=""),"",IFERROR(ROUND(EZ31/INDEX(Undirviðmið!$F$6:$F$205,EZ$4)*INDEX(Undirviðmið!$E$6:$E$205,EZ$4)*KVARDI,2),""))</f>
        <v/>
      </c>
      <c r="FB31" s="23"/>
      <c r="FC31" s="40" t="str">
        <f aca="false">IF(OR(FB$4=0,FB31=""),"",IFERROR(ROUND(FB31/INDEX(Undirviðmið!$F$6:$F$205,FB$4)*INDEX(Undirviðmið!$E$6:$E$205,FB$4)*KVARDI,2),""))</f>
        <v/>
      </c>
      <c r="FD31" s="23"/>
      <c r="FE31" s="40" t="str">
        <f aca="false">IF(OR(FD$4=0,FD31=""),"",IFERROR(ROUND(FD31/INDEX(Undirviðmið!$F$6:$F$205,FD$4)*INDEX(Undirviðmið!$E$6:$E$205,FD$4)*KVARDI,2),""))</f>
        <v/>
      </c>
      <c r="FF31" s="23"/>
      <c r="FG31" s="40" t="str">
        <f aca="false">IF(OR(FF$4=0,FF31=""),"",IFERROR(ROUND(FF31/INDEX(Undirviðmið!$F$6:$F$205,FF$4)*INDEX(Undirviðmið!$E$6:$E$205,FF$4)*KVARDI,2),""))</f>
        <v/>
      </c>
      <c r="FH31" s="23"/>
      <c r="FI31" s="40" t="str">
        <f aca="false">IF(OR(FH$4=0,FH31=""),"",IFERROR(ROUND(FH31/INDEX(Undirviðmið!$F$6:$F$205,FH$4)*INDEX(Undirviðmið!$E$6:$E$205,FH$4)*KVARDI,2),""))</f>
        <v/>
      </c>
      <c r="FJ31" s="23"/>
      <c r="FK31" s="40" t="str">
        <f aca="false">IF(OR(FJ$4=0,FJ31=""),"",IFERROR(ROUND(FJ31/INDEX(Undirviðmið!$F$6:$F$205,FJ$4)*INDEX(Undirviðmið!$E$6:$E$205,FJ$4)*KVARDI,2),""))</f>
        <v/>
      </c>
      <c r="FL31" s="23"/>
      <c r="FM31" s="40" t="str">
        <f aca="false">IF(OR(FL$4=0,FL31=""),"",IFERROR(ROUND(FL31/INDEX(Undirviðmið!$F$6:$F$205,FL$4)*INDEX(Undirviðmið!$E$6:$E$205,FL$4)*KVARDI,2),""))</f>
        <v/>
      </c>
      <c r="FN31" s="23"/>
      <c r="FO31" s="40" t="str">
        <f aca="false">IF(OR(FN$4=0,FN31=""),"",IFERROR(ROUND(FN31/INDEX(Undirviðmið!$F$6:$F$205,FN$4)*INDEX(Undirviðmið!$E$6:$E$205,FN$4)*KVARDI,2),""))</f>
        <v/>
      </c>
      <c r="FP31" s="23"/>
      <c r="FQ31" s="40" t="str">
        <f aca="false">IF(OR(FP$4=0,FP31=""),"",IFERROR(ROUND(FP31/INDEX(Undirviðmið!$F$6:$F$205,FP$4)*INDEX(Undirviðmið!$E$6:$E$205,FP$4)*KVARDI,2),""))</f>
        <v/>
      </c>
      <c r="FR31" s="23"/>
      <c r="FS31" s="40" t="str">
        <f aca="false">IF(OR(FR$4=0,FR31=""),"",IFERROR(ROUND(FR31/INDEX(Undirviðmið!$F$6:$F$205,FR$4)*INDEX(Undirviðmið!$E$6:$E$205,FR$4)*KVARDI,2),""))</f>
        <v/>
      </c>
      <c r="FT31" s="23"/>
      <c r="FU31" s="40" t="str">
        <f aca="false">IF(OR(FT$4=0,FT31=""),"",IFERROR(ROUND(FT31/INDEX(Undirviðmið!$F$6:$F$205,FT$4)*INDEX(Undirviðmið!$E$6:$E$205,FT$4)*KVARDI,2),""))</f>
        <v/>
      </c>
      <c r="FV31" s="23"/>
      <c r="FW31" s="40" t="str">
        <f aca="false">IF(OR(FV$4=0,FV31=""),"",IFERROR(ROUND(FV31/INDEX(Undirviðmið!$F$6:$F$205,FV$4)*INDEX(Undirviðmið!$E$6:$E$205,FV$4)*KVARDI,2),""))</f>
        <v/>
      </c>
      <c r="FX31" s="23"/>
      <c r="FY31" s="40" t="str">
        <f aca="false">IF(OR(FX$4=0,FX31=""),"",IFERROR(ROUND(FX31/INDEX(Undirviðmið!$F$6:$F$205,FX$4)*INDEX(Undirviðmið!$E$6:$E$205,FX$4)*KVARDI,2),""))</f>
        <v/>
      </c>
      <c r="FZ31" s="23"/>
      <c r="GA31" s="40" t="str">
        <f aca="false">IF(OR(FZ$4=0,FZ31=""),"",IFERROR(ROUND(FZ31/INDEX(Undirviðmið!$F$6:$F$205,FZ$4)*INDEX(Undirviðmið!$E$6:$E$205,FZ$4)*KVARDI,2),""))</f>
        <v/>
      </c>
      <c r="GB31" s="23"/>
      <c r="GC31" s="40" t="str">
        <f aca="false">IF(OR(GB$4=0,GB31=""),"",IFERROR(ROUND(GB31/INDEX(Undirviðmið!$F$6:$F$205,GB$4)*INDEX(Undirviðmið!$E$6:$E$205,GB$4)*KVARDI,2),""))</f>
        <v/>
      </c>
      <c r="GD31" s="23"/>
      <c r="GE31" s="40" t="str">
        <f aca="false">IF(OR(GD$4=0,GD31=""),"",IFERROR(ROUND(GD31/INDEX(Undirviðmið!$F$6:$F$205,GD$4)*INDEX(Undirviðmið!$E$6:$E$205,GD$4)*KVARDI,2),""))</f>
        <v/>
      </c>
      <c r="GF31" s="23"/>
      <c r="GG31" s="40" t="str">
        <f aca="false">IF(OR(GF$4=0,GF31=""),"",IFERROR(ROUND(GF31/INDEX(Undirviðmið!$F$6:$F$205,GF$4)*INDEX(Undirviðmið!$E$6:$E$205,GF$4)*KVARDI,2),""))</f>
        <v/>
      </c>
      <c r="GH31" s="23"/>
      <c r="GI31" s="40" t="str">
        <f aca="false">IF(OR(GH$4=0,GH31=""),"",IFERROR(ROUND(GH31/INDEX(Undirviðmið!$F$6:$F$205,GH$4)*INDEX(Undirviðmið!$E$6:$E$205,GH$4)*KVARDI,2),""))</f>
        <v/>
      </c>
      <c r="GJ31" s="23"/>
      <c r="GK31" s="40" t="str">
        <f aca="false">IF(OR(GJ$4=0,GJ31=""),"",IFERROR(ROUND(GJ31/INDEX(Undirviðmið!$F$6:$F$205,GJ$4)*INDEX(Undirviðmið!$E$6:$E$205,GJ$4)*KVARDI,2),""))</f>
        <v/>
      </c>
      <c r="GL31" s="23"/>
      <c r="GM31" s="40" t="str">
        <f aca="false">IF(OR(GL$4=0,GL31=""),"",IFERROR(ROUND(GL31/INDEX(Undirviðmið!$F$6:$F$205,GL$4)*INDEX(Undirviðmið!$E$6:$E$205,GL$4)*KVARDI,2),""))</f>
        <v/>
      </c>
      <c r="GN31" s="23"/>
      <c r="GO31" s="40" t="str">
        <f aca="false">IF(OR(GN$4=0,GN31=""),"",IFERROR(ROUND(GN31/INDEX(Undirviðmið!$F$6:$F$205,GN$4)*INDEX(Undirviðmið!$E$6:$E$205,GN$4)*KVARDI,2),""))</f>
        <v/>
      </c>
      <c r="GP31" s="23"/>
      <c r="GQ31" s="40" t="str">
        <f aca="false">IF(OR(GP$4=0,GP31=""),"",IFERROR(ROUND(GP31/INDEX(Undirviðmið!$F$6:$F$205,GP$4)*INDEX(Undirviðmið!$E$6:$E$205,GP$4)*KVARDI,2),""))</f>
        <v/>
      </c>
      <c r="GR31" s="23"/>
      <c r="GS31" s="40" t="str">
        <f aca="false">IF(OR(GR$4=0,GR31=""),"",IFERROR(ROUND(GR31/INDEX(Undirviðmið!$F$6:$F$205,GR$4)*INDEX(Undirviðmið!$E$6:$E$205,GR$4)*KVARDI,2),""))</f>
        <v/>
      </c>
      <c r="GT31" s="23"/>
      <c r="GU31" s="40" t="str">
        <f aca="false">IF(OR(GT$4=0,GT31=""),"",IFERROR(ROUND(GT31/INDEX(Undirviðmið!$F$6:$F$205,GT$4)*INDEX(Undirviðmið!$E$6:$E$205,GT$4)*KVARDI,2),""))</f>
        <v/>
      </c>
      <c r="GV31" s="44" t="n">
        <f aca="false">IFERROR(SUMIF($D$6:GU$6,"Stig",$D31:GU31),0)</f>
        <v>0</v>
      </c>
    </row>
    <row r="32" customFormat="false" ht="15" hidden="false" customHeight="true" outlineLevel="0" collapsed="false">
      <c r="A32" s="22" t="n">
        <f aca="false">ROW()-6</f>
        <v>26</v>
      </c>
      <c r="B32" s="24" t="str">
        <f aca="false">IF(INDEX(Starfsmenn!$B$6:$B$10005,ROW()-6)="","",INDEX(Starfsmenn!$B$6:$B$10005,ROW()-6))</f>
        <v/>
      </c>
      <c r="C32" s="24" t="str">
        <f aca="false">IF(INDEX(Starfsmenn!$C$6:$C$10005,ROW()-6)="","",INDEX(Starfsmenn!$C$6:$C$10005,ROW()-6))</f>
        <v/>
      </c>
      <c r="D32" s="23"/>
      <c r="E32" s="40" t="str">
        <f aca="false">IF(OR(D$4=0,D32=""),"",IFERROR(ROUND(D32/INDEX(Undirviðmið!$F$6:$F$205,D$4)*INDEX(Undirviðmið!$E$6:$E$205,D$4)*KVARDI,2),""))</f>
        <v/>
      </c>
      <c r="F32" s="23"/>
      <c r="G32" s="40" t="str">
        <f aca="false">IF(OR(F$4=0,F32=""),"",IFERROR(ROUND(F32/INDEX(Undirviðmið!$F$6:$F$205,F$4)*INDEX(Undirviðmið!$E$6:$E$205,F$4)*KVARDI,2),""))</f>
        <v/>
      </c>
      <c r="H32" s="23"/>
      <c r="I32" s="40" t="str">
        <f aca="false">IF(OR(H$4=0,H32=""),"",IFERROR(ROUND(H32/INDEX(Undirviðmið!$F$6:$F$205,H$4)*INDEX(Undirviðmið!$E$6:$E$205,H$4)*KVARDI,2),""))</f>
        <v/>
      </c>
      <c r="J32" s="23"/>
      <c r="K32" s="40" t="str">
        <f aca="false">IF(OR(J$4=0,J32=""),"",IFERROR(ROUND(J32/INDEX(Undirviðmið!$F$6:$F$205,J$4)*INDEX(Undirviðmið!$E$6:$E$205,J$4)*KVARDI,2),""))</f>
        <v/>
      </c>
      <c r="L32" s="23"/>
      <c r="M32" s="40" t="str">
        <f aca="false">IF(OR(L$4=0,L32=""),"",IFERROR(ROUND(L32/INDEX(Undirviðmið!$F$6:$F$205,L$4)*INDEX(Undirviðmið!$E$6:$E$205,L$4)*KVARDI,2),""))</f>
        <v/>
      </c>
      <c r="N32" s="23"/>
      <c r="O32" s="40" t="str">
        <f aca="false">IF(OR(N$4=0,N32=""),"",IFERROR(ROUND(N32/INDEX(Undirviðmið!$F$6:$F$205,N$4)*INDEX(Undirviðmið!$E$6:$E$205,N$4)*KVARDI,2),""))</f>
        <v/>
      </c>
      <c r="P32" s="23"/>
      <c r="Q32" s="40" t="str">
        <f aca="false">IF(OR(P$4=0,P32=""),"",IFERROR(ROUND(P32/INDEX(Undirviðmið!$F$6:$F$205,P$4)*INDEX(Undirviðmið!$E$6:$E$205,P$4)*KVARDI,2),""))</f>
        <v/>
      </c>
      <c r="R32" s="23"/>
      <c r="S32" s="40" t="str">
        <f aca="false">IF(OR(R$4=0,R32=""),"",IFERROR(ROUND(R32/INDEX(Undirviðmið!$F$6:$F$205,R$4)*INDEX(Undirviðmið!$E$6:$E$205,R$4)*KVARDI,2),""))</f>
        <v/>
      </c>
      <c r="T32" s="23"/>
      <c r="U32" s="40" t="str">
        <f aca="false">IF(OR(T$4=0,T32=""),"",IFERROR(ROUND(T32/INDEX(Undirviðmið!$F$6:$F$205,T$4)*INDEX(Undirviðmið!$E$6:$E$205,T$4)*KVARDI,2),""))</f>
        <v/>
      </c>
      <c r="V32" s="23"/>
      <c r="W32" s="40" t="str">
        <f aca="false">IF(OR(V$4=0,V32=""),"",IFERROR(ROUND(V32/INDEX(Undirviðmið!$F$6:$F$205,V$4)*INDEX(Undirviðmið!$E$6:$E$205,V$4)*KVARDI,2),""))</f>
        <v/>
      </c>
      <c r="X32" s="23"/>
      <c r="Y32" s="40" t="str">
        <f aca="false">IF(OR(X$4=0,X32=""),"",IFERROR(ROUND(X32/INDEX(Undirviðmið!$F$6:$F$205,X$4)*INDEX(Undirviðmið!$E$6:$E$205,X$4)*KVARDI,2),""))</f>
        <v/>
      </c>
      <c r="Z32" s="23"/>
      <c r="AA32" s="40" t="str">
        <f aca="false">IF(OR(Z$4=0,Z32=""),"",IFERROR(ROUND(Z32/INDEX(Undirviðmið!$F$6:$F$205,Z$4)*INDEX(Undirviðmið!$E$6:$E$205,Z$4)*KVARDI,2),""))</f>
        <v/>
      </c>
      <c r="AB32" s="23"/>
      <c r="AC32" s="40" t="str">
        <f aca="false">IF(OR(AB$4=0,AB32=""),"",IFERROR(ROUND(AB32/INDEX(Undirviðmið!$F$6:$F$205,AB$4)*INDEX(Undirviðmið!$E$6:$E$205,AB$4)*KVARDI,2),""))</f>
        <v/>
      </c>
      <c r="AD32" s="23"/>
      <c r="AE32" s="40" t="str">
        <f aca="false">IF(OR(AD$4=0,AD32=""),"",IFERROR(ROUND(AD32/INDEX(Undirviðmið!$F$6:$F$205,AD$4)*INDEX(Undirviðmið!$E$6:$E$205,AD$4)*KVARDI,2),""))</f>
        <v/>
      </c>
      <c r="AF32" s="23"/>
      <c r="AG32" s="40" t="str">
        <f aca="false">IF(OR(AF$4=0,AF32=""),"",IFERROR(ROUND(AF32/INDEX(Undirviðmið!$F$6:$F$205,AF$4)*INDEX(Undirviðmið!$E$6:$E$205,AF$4)*KVARDI,2),""))</f>
        <v/>
      </c>
      <c r="AH32" s="23"/>
      <c r="AI32" s="40" t="str">
        <f aca="false">IF(OR(AH$4=0,AH32=""),"",IFERROR(ROUND(AH32/INDEX(Undirviðmið!$F$6:$F$205,AH$4)*INDEX(Undirviðmið!$E$6:$E$205,AH$4)*KVARDI,2),""))</f>
        <v/>
      </c>
      <c r="AJ32" s="23"/>
      <c r="AK32" s="40" t="str">
        <f aca="false">IF(OR(AJ$4=0,AJ32=""),"",IFERROR(ROUND(AJ32/INDEX(Undirviðmið!$F$6:$F$205,AJ$4)*INDEX(Undirviðmið!$E$6:$E$205,AJ$4)*KVARDI,2),""))</f>
        <v/>
      </c>
      <c r="AL32" s="23"/>
      <c r="AM32" s="40" t="str">
        <f aca="false">IF(OR(AL$4=0,AL32=""),"",IFERROR(ROUND(AL32/INDEX(Undirviðmið!$F$6:$F$205,AL$4)*INDEX(Undirviðmið!$E$6:$E$205,AL$4)*KVARDI,2),""))</f>
        <v/>
      </c>
      <c r="AN32" s="23"/>
      <c r="AO32" s="40" t="str">
        <f aca="false">IF(OR(AN$4=0,AN32=""),"",IFERROR(ROUND(AN32/INDEX(Undirviðmið!$F$6:$F$205,AN$4)*INDEX(Undirviðmið!$E$6:$E$205,AN$4)*KVARDI,2),""))</f>
        <v/>
      </c>
      <c r="AP32" s="23"/>
      <c r="AQ32" s="40" t="str">
        <f aca="false">IF(OR(AP$4=0,AP32=""),"",IFERROR(ROUND(AP32/INDEX(Undirviðmið!$F$6:$F$205,AP$4)*INDEX(Undirviðmið!$E$6:$E$205,AP$4)*KVARDI,2),""))</f>
        <v/>
      </c>
      <c r="AR32" s="23"/>
      <c r="AS32" s="40" t="str">
        <f aca="false">IF(OR(AR$4=0,AR32=""),"",IFERROR(ROUND(AR32/INDEX(Undirviðmið!$F$6:$F$205,AR$4)*INDEX(Undirviðmið!$E$6:$E$205,AR$4)*KVARDI,2),""))</f>
        <v/>
      </c>
      <c r="AT32" s="23"/>
      <c r="AU32" s="40" t="str">
        <f aca="false">IF(OR(AT$4=0,AT32=""),"",IFERROR(ROUND(AT32/INDEX(Undirviðmið!$F$6:$F$205,AT$4)*INDEX(Undirviðmið!$E$6:$E$205,AT$4)*KVARDI,2),""))</f>
        <v/>
      </c>
      <c r="AV32" s="23"/>
      <c r="AW32" s="40" t="str">
        <f aca="false">IF(OR(AV$4=0,AV32=""),"",IFERROR(ROUND(AV32/INDEX(Undirviðmið!$F$6:$F$205,AV$4)*INDEX(Undirviðmið!$E$6:$E$205,AV$4)*KVARDI,2),""))</f>
        <v/>
      </c>
      <c r="AX32" s="23"/>
      <c r="AY32" s="40" t="str">
        <f aca="false">IF(OR(AX$4=0,AX32=""),"",IFERROR(ROUND(AX32/INDEX(Undirviðmið!$F$6:$F$205,AX$4)*INDEX(Undirviðmið!$E$6:$E$205,AX$4)*KVARDI,2),""))</f>
        <v/>
      </c>
      <c r="AZ32" s="23"/>
      <c r="BA32" s="40" t="str">
        <f aca="false">IF(OR(AZ$4=0,AZ32=""),"",IFERROR(ROUND(AZ32/INDEX(Undirviðmið!$F$6:$F$205,AZ$4)*INDEX(Undirviðmið!$E$6:$E$205,AZ$4)*KVARDI,2),""))</f>
        <v/>
      </c>
      <c r="BB32" s="23"/>
      <c r="BC32" s="40" t="str">
        <f aca="false">IF(OR(BB$4=0,BB32=""),"",IFERROR(ROUND(BB32/INDEX(Undirviðmið!$F$6:$F$205,BB$4)*INDEX(Undirviðmið!$E$6:$E$205,BB$4)*KVARDI,2),""))</f>
        <v/>
      </c>
      <c r="BD32" s="23"/>
      <c r="BE32" s="40" t="str">
        <f aca="false">IF(OR(BD$4=0,BD32=""),"",IFERROR(ROUND(BD32/INDEX(Undirviðmið!$F$6:$F$205,BD$4)*INDEX(Undirviðmið!$E$6:$E$205,BD$4)*KVARDI,2),""))</f>
        <v/>
      </c>
      <c r="BF32" s="23"/>
      <c r="BG32" s="40" t="str">
        <f aca="false">IF(OR(BF$4=0,BF32=""),"",IFERROR(ROUND(BF32/INDEX(Undirviðmið!$F$6:$F$205,BF$4)*INDEX(Undirviðmið!$E$6:$E$205,BF$4)*KVARDI,2),""))</f>
        <v/>
      </c>
      <c r="BH32" s="23"/>
      <c r="BI32" s="40" t="str">
        <f aca="false">IF(OR(BH$4=0,BH32=""),"",IFERROR(ROUND(BH32/INDEX(Undirviðmið!$F$6:$F$205,BH$4)*INDEX(Undirviðmið!$E$6:$E$205,BH$4)*KVARDI,2),""))</f>
        <v/>
      </c>
      <c r="BJ32" s="23"/>
      <c r="BK32" s="40" t="str">
        <f aca="false">IF(OR(BJ$4=0,BJ32=""),"",IFERROR(ROUND(BJ32/INDEX(Undirviðmið!$F$6:$F$205,BJ$4)*INDEX(Undirviðmið!$E$6:$E$205,BJ$4)*KVARDI,2),""))</f>
        <v/>
      </c>
      <c r="BL32" s="23"/>
      <c r="BM32" s="40" t="str">
        <f aca="false">IF(OR(BL$4=0,BL32=""),"",IFERROR(ROUND(BL32/INDEX(Undirviðmið!$F$6:$F$205,BL$4)*INDEX(Undirviðmið!$E$6:$E$205,BL$4)*KVARDI,2),""))</f>
        <v/>
      </c>
      <c r="BN32" s="23"/>
      <c r="BO32" s="40" t="str">
        <f aca="false">IF(OR(BN$4=0,BN32=""),"",IFERROR(ROUND(BN32/INDEX(Undirviðmið!$F$6:$F$205,BN$4)*INDEX(Undirviðmið!$E$6:$E$205,BN$4)*KVARDI,2),""))</f>
        <v/>
      </c>
      <c r="BP32" s="23"/>
      <c r="BQ32" s="40" t="str">
        <f aca="false">IF(OR(BP$4=0,BP32=""),"",IFERROR(ROUND(BP32/INDEX(Undirviðmið!$F$6:$F$205,BP$4)*INDEX(Undirviðmið!$E$6:$E$205,BP$4)*KVARDI,2),""))</f>
        <v/>
      </c>
      <c r="BR32" s="23"/>
      <c r="BS32" s="40" t="str">
        <f aca="false">IF(OR(BR$4=0,BR32=""),"",IFERROR(ROUND(BR32/INDEX(Undirviðmið!$F$6:$F$205,BR$4)*INDEX(Undirviðmið!$E$6:$E$205,BR$4)*KVARDI,2),""))</f>
        <v/>
      </c>
      <c r="BT32" s="23"/>
      <c r="BU32" s="40" t="str">
        <f aca="false">IF(OR(BT$4=0,BT32=""),"",IFERROR(ROUND(BT32/INDEX(Undirviðmið!$F$6:$F$205,BT$4)*INDEX(Undirviðmið!$E$6:$E$205,BT$4)*KVARDI,2),""))</f>
        <v/>
      </c>
      <c r="BV32" s="23"/>
      <c r="BW32" s="40" t="str">
        <f aca="false">IF(OR(BV$4=0,BV32=""),"",IFERROR(ROUND(BV32/INDEX(Undirviðmið!$F$6:$F$205,BV$4)*INDEX(Undirviðmið!$E$6:$E$205,BV$4)*KVARDI,2),""))</f>
        <v/>
      </c>
      <c r="BX32" s="23"/>
      <c r="BY32" s="40" t="str">
        <f aca="false">IF(OR(BX$4=0,BX32=""),"",IFERROR(ROUND(BX32/INDEX(Undirviðmið!$F$6:$F$205,BX$4)*INDEX(Undirviðmið!$E$6:$E$205,BX$4)*KVARDI,2),""))</f>
        <v/>
      </c>
      <c r="BZ32" s="23"/>
      <c r="CA32" s="40" t="str">
        <f aca="false">IF(OR(BZ$4=0,BZ32=""),"",IFERROR(ROUND(BZ32/INDEX(Undirviðmið!$F$6:$F$205,BZ$4)*INDEX(Undirviðmið!$E$6:$E$205,BZ$4)*KVARDI,2),""))</f>
        <v/>
      </c>
      <c r="CB32" s="23"/>
      <c r="CC32" s="40" t="str">
        <f aca="false">IF(OR(CB$4=0,CB32=""),"",IFERROR(ROUND(CB32/INDEX(Undirviðmið!$F$6:$F$205,CB$4)*INDEX(Undirviðmið!$E$6:$E$205,CB$4)*KVARDI,2),""))</f>
        <v/>
      </c>
      <c r="CD32" s="23"/>
      <c r="CE32" s="40" t="str">
        <f aca="false">IF(OR(CD$4=0,CD32=""),"",IFERROR(ROUND(CD32/INDEX(Undirviðmið!$F$6:$F$205,CD$4)*INDEX(Undirviðmið!$E$6:$E$205,CD$4)*KVARDI,2),""))</f>
        <v/>
      </c>
      <c r="CF32" s="23"/>
      <c r="CG32" s="40" t="str">
        <f aca="false">IF(OR(CF$4=0,CF32=""),"",IFERROR(ROUND(CF32/INDEX(Undirviðmið!$F$6:$F$205,CF$4)*INDEX(Undirviðmið!$E$6:$E$205,CF$4)*KVARDI,2),""))</f>
        <v/>
      </c>
      <c r="CH32" s="23"/>
      <c r="CI32" s="40" t="str">
        <f aca="false">IF(OR(CH$4=0,CH32=""),"",IFERROR(ROUND(CH32/INDEX(Undirviðmið!$F$6:$F$205,CH$4)*INDEX(Undirviðmið!$E$6:$E$205,CH$4)*KVARDI,2),""))</f>
        <v/>
      </c>
      <c r="CJ32" s="23"/>
      <c r="CK32" s="40" t="str">
        <f aca="false">IF(OR(CJ$4=0,CJ32=""),"",IFERROR(ROUND(CJ32/INDEX(Undirviðmið!$F$6:$F$205,CJ$4)*INDEX(Undirviðmið!$E$6:$E$205,CJ$4)*KVARDI,2),""))</f>
        <v/>
      </c>
      <c r="CL32" s="23"/>
      <c r="CM32" s="40" t="str">
        <f aca="false">IF(OR(CL$4=0,CL32=""),"",IFERROR(ROUND(CL32/INDEX(Undirviðmið!$F$6:$F$205,CL$4)*INDEX(Undirviðmið!$E$6:$E$205,CL$4)*KVARDI,2),""))</f>
        <v/>
      </c>
      <c r="CN32" s="23"/>
      <c r="CO32" s="40" t="str">
        <f aca="false">IF(OR(CN$4=0,CN32=""),"",IFERROR(ROUND(CN32/INDEX(Undirviðmið!$F$6:$F$205,CN$4)*INDEX(Undirviðmið!$E$6:$E$205,CN$4)*KVARDI,2),""))</f>
        <v/>
      </c>
      <c r="CP32" s="23"/>
      <c r="CQ32" s="40" t="str">
        <f aca="false">IF(OR(CP$4=0,CP32=""),"",IFERROR(ROUND(CP32/INDEX(Undirviðmið!$F$6:$F$205,CP$4)*INDEX(Undirviðmið!$E$6:$E$205,CP$4)*KVARDI,2),""))</f>
        <v/>
      </c>
      <c r="CR32" s="23"/>
      <c r="CS32" s="40" t="str">
        <f aca="false">IF(OR(CR$4=0,CR32=""),"",IFERROR(ROUND(CR32/INDEX(Undirviðmið!$F$6:$F$205,CR$4)*INDEX(Undirviðmið!$E$6:$E$205,CR$4)*KVARDI,2),""))</f>
        <v/>
      </c>
      <c r="CT32" s="23"/>
      <c r="CU32" s="40" t="str">
        <f aca="false">IF(OR(CT$4=0,CT32=""),"",IFERROR(ROUND(CT32/INDEX(Undirviðmið!$F$6:$F$205,CT$4)*INDEX(Undirviðmið!$E$6:$E$205,CT$4)*KVARDI,2),""))</f>
        <v/>
      </c>
      <c r="CV32" s="23"/>
      <c r="CW32" s="40" t="str">
        <f aca="false">IF(OR(CV$4=0,CV32=""),"",IFERROR(ROUND(CV32/INDEX(Undirviðmið!$F$6:$F$205,CV$4)*INDEX(Undirviðmið!$E$6:$E$205,CV$4)*KVARDI,2),""))</f>
        <v/>
      </c>
      <c r="CX32" s="23"/>
      <c r="CY32" s="40" t="str">
        <f aca="false">IF(OR(CX$4=0,CX32=""),"",IFERROR(ROUND(CX32/INDEX(Undirviðmið!$F$6:$F$205,CX$4)*INDEX(Undirviðmið!$E$6:$E$205,CX$4)*KVARDI,2),""))</f>
        <v/>
      </c>
      <c r="CZ32" s="23"/>
      <c r="DA32" s="40" t="str">
        <f aca="false">IF(OR(CZ$4=0,CZ32=""),"",IFERROR(ROUND(CZ32/INDEX(Undirviðmið!$F$6:$F$205,CZ$4)*INDEX(Undirviðmið!$E$6:$E$205,CZ$4)*KVARDI,2),""))</f>
        <v/>
      </c>
      <c r="DB32" s="23"/>
      <c r="DC32" s="40" t="str">
        <f aca="false">IF(OR(DB$4=0,DB32=""),"",IFERROR(ROUND(DB32/INDEX(Undirviðmið!$F$6:$F$205,DB$4)*INDEX(Undirviðmið!$E$6:$E$205,DB$4)*KVARDI,2),""))</f>
        <v/>
      </c>
      <c r="DD32" s="23"/>
      <c r="DE32" s="40" t="str">
        <f aca="false">IF(OR(DD$4=0,DD32=""),"",IFERROR(ROUND(DD32/INDEX(Undirviðmið!$F$6:$F$205,DD$4)*INDEX(Undirviðmið!$E$6:$E$205,DD$4)*KVARDI,2),""))</f>
        <v/>
      </c>
      <c r="DF32" s="23"/>
      <c r="DG32" s="40" t="str">
        <f aca="false">IF(OR(DF$4=0,DF32=""),"",IFERROR(ROUND(DF32/INDEX(Undirviðmið!$F$6:$F$205,DF$4)*INDEX(Undirviðmið!$E$6:$E$205,DF$4)*KVARDI,2),""))</f>
        <v/>
      </c>
      <c r="DH32" s="23"/>
      <c r="DI32" s="40" t="str">
        <f aca="false">IF(OR(DH$4=0,DH32=""),"",IFERROR(ROUND(DH32/INDEX(Undirviðmið!$F$6:$F$205,DH$4)*INDEX(Undirviðmið!$E$6:$E$205,DH$4)*KVARDI,2),""))</f>
        <v/>
      </c>
      <c r="DJ32" s="23"/>
      <c r="DK32" s="40" t="str">
        <f aca="false">IF(OR(DJ$4=0,DJ32=""),"",IFERROR(ROUND(DJ32/INDEX(Undirviðmið!$F$6:$F$205,DJ$4)*INDEX(Undirviðmið!$E$6:$E$205,DJ$4)*KVARDI,2),""))</f>
        <v/>
      </c>
      <c r="DL32" s="23"/>
      <c r="DM32" s="40" t="str">
        <f aca="false">IF(OR(DL$4=0,DL32=""),"",IFERROR(ROUND(DL32/INDEX(Undirviðmið!$F$6:$F$205,DL$4)*INDEX(Undirviðmið!$E$6:$E$205,DL$4)*KVARDI,2),""))</f>
        <v/>
      </c>
      <c r="DN32" s="23"/>
      <c r="DO32" s="40" t="str">
        <f aca="false">IF(OR(DN$4=0,DN32=""),"",IFERROR(ROUND(DN32/INDEX(Undirviðmið!$F$6:$F$205,DN$4)*INDEX(Undirviðmið!$E$6:$E$205,DN$4)*KVARDI,2),""))</f>
        <v/>
      </c>
      <c r="DP32" s="23"/>
      <c r="DQ32" s="40" t="str">
        <f aca="false">IF(OR(DP$4=0,DP32=""),"",IFERROR(ROUND(DP32/INDEX(Undirviðmið!$F$6:$F$205,DP$4)*INDEX(Undirviðmið!$E$6:$E$205,DP$4)*KVARDI,2),""))</f>
        <v/>
      </c>
      <c r="DR32" s="23"/>
      <c r="DS32" s="40" t="str">
        <f aca="false">IF(OR(DR$4=0,DR32=""),"",IFERROR(ROUND(DR32/INDEX(Undirviðmið!$F$6:$F$205,DR$4)*INDEX(Undirviðmið!$E$6:$E$205,DR$4)*KVARDI,2),""))</f>
        <v/>
      </c>
      <c r="DT32" s="23"/>
      <c r="DU32" s="40" t="str">
        <f aca="false">IF(OR(DT$4=0,DT32=""),"",IFERROR(ROUND(DT32/INDEX(Undirviðmið!$F$6:$F$205,DT$4)*INDEX(Undirviðmið!$E$6:$E$205,DT$4)*KVARDI,2),""))</f>
        <v/>
      </c>
      <c r="DV32" s="23"/>
      <c r="DW32" s="40" t="str">
        <f aca="false">IF(OR(DV$4=0,DV32=""),"",IFERROR(ROUND(DV32/INDEX(Undirviðmið!$F$6:$F$205,DV$4)*INDEX(Undirviðmið!$E$6:$E$205,DV$4)*KVARDI,2),""))</f>
        <v/>
      </c>
      <c r="DX32" s="23"/>
      <c r="DY32" s="40" t="str">
        <f aca="false">IF(OR(DX$4=0,DX32=""),"",IFERROR(ROUND(DX32/INDEX(Undirviðmið!$F$6:$F$205,DX$4)*INDEX(Undirviðmið!$E$6:$E$205,DX$4)*KVARDI,2),""))</f>
        <v/>
      </c>
      <c r="DZ32" s="23"/>
      <c r="EA32" s="40" t="str">
        <f aca="false">IF(OR(DZ$4=0,DZ32=""),"",IFERROR(ROUND(DZ32/INDEX(Undirviðmið!$F$6:$F$205,DZ$4)*INDEX(Undirviðmið!$E$6:$E$205,DZ$4)*KVARDI,2),""))</f>
        <v/>
      </c>
      <c r="EB32" s="23"/>
      <c r="EC32" s="40" t="str">
        <f aca="false">IF(OR(EB$4=0,EB32=""),"",IFERROR(ROUND(EB32/INDEX(Undirviðmið!$F$6:$F$205,EB$4)*INDEX(Undirviðmið!$E$6:$E$205,EB$4)*KVARDI,2),""))</f>
        <v/>
      </c>
      <c r="ED32" s="23"/>
      <c r="EE32" s="40" t="str">
        <f aca="false">IF(OR(ED$4=0,ED32=""),"",IFERROR(ROUND(ED32/INDEX(Undirviðmið!$F$6:$F$205,ED$4)*INDEX(Undirviðmið!$E$6:$E$205,ED$4)*KVARDI,2),""))</f>
        <v/>
      </c>
      <c r="EF32" s="23"/>
      <c r="EG32" s="40" t="str">
        <f aca="false">IF(OR(EF$4=0,EF32=""),"",IFERROR(ROUND(EF32/INDEX(Undirviðmið!$F$6:$F$205,EF$4)*INDEX(Undirviðmið!$E$6:$E$205,EF$4)*KVARDI,2),""))</f>
        <v/>
      </c>
      <c r="EH32" s="23"/>
      <c r="EI32" s="40" t="str">
        <f aca="false">IF(OR(EH$4=0,EH32=""),"",IFERROR(ROUND(EH32/INDEX(Undirviðmið!$F$6:$F$205,EH$4)*INDEX(Undirviðmið!$E$6:$E$205,EH$4)*KVARDI,2),""))</f>
        <v/>
      </c>
      <c r="EJ32" s="23"/>
      <c r="EK32" s="40" t="str">
        <f aca="false">IF(OR(EJ$4=0,EJ32=""),"",IFERROR(ROUND(EJ32/INDEX(Undirviðmið!$F$6:$F$205,EJ$4)*INDEX(Undirviðmið!$E$6:$E$205,EJ$4)*KVARDI,2),""))</f>
        <v/>
      </c>
      <c r="EL32" s="23"/>
      <c r="EM32" s="40" t="str">
        <f aca="false">IF(OR(EL$4=0,EL32=""),"",IFERROR(ROUND(EL32/INDEX(Undirviðmið!$F$6:$F$205,EL$4)*INDEX(Undirviðmið!$E$6:$E$205,EL$4)*KVARDI,2),""))</f>
        <v/>
      </c>
      <c r="EN32" s="23"/>
      <c r="EO32" s="40" t="str">
        <f aca="false">IF(OR(EN$4=0,EN32=""),"",IFERROR(ROUND(EN32/INDEX(Undirviðmið!$F$6:$F$205,EN$4)*INDEX(Undirviðmið!$E$6:$E$205,EN$4)*KVARDI,2),""))</f>
        <v/>
      </c>
      <c r="EP32" s="23"/>
      <c r="EQ32" s="40" t="str">
        <f aca="false">IF(OR(EP$4=0,EP32=""),"",IFERROR(ROUND(EP32/INDEX(Undirviðmið!$F$6:$F$205,EP$4)*INDEX(Undirviðmið!$E$6:$E$205,EP$4)*KVARDI,2),""))</f>
        <v/>
      </c>
      <c r="ER32" s="23"/>
      <c r="ES32" s="40" t="str">
        <f aca="false">IF(OR(ER$4=0,ER32=""),"",IFERROR(ROUND(ER32/INDEX(Undirviðmið!$F$6:$F$205,ER$4)*INDEX(Undirviðmið!$E$6:$E$205,ER$4)*KVARDI,2),""))</f>
        <v/>
      </c>
      <c r="ET32" s="23"/>
      <c r="EU32" s="40" t="str">
        <f aca="false">IF(OR(ET$4=0,ET32=""),"",IFERROR(ROUND(ET32/INDEX(Undirviðmið!$F$6:$F$205,ET$4)*INDEX(Undirviðmið!$E$6:$E$205,ET$4)*KVARDI,2),""))</f>
        <v/>
      </c>
      <c r="EV32" s="23"/>
      <c r="EW32" s="40" t="str">
        <f aca="false">IF(OR(EV$4=0,EV32=""),"",IFERROR(ROUND(EV32/INDEX(Undirviðmið!$F$6:$F$205,EV$4)*INDEX(Undirviðmið!$E$6:$E$205,EV$4)*KVARDI,2),""))</f>
        <v/>
      </c>
      <c r="EX32" s="23"/>
      <c r="EY32" s="40" t="str">
        <f aca="false">IF(OR(EX$4=0,EX32=""),"",IFERROR(ROUND(EX32/INDEX(Undirviðmið!$F$6:$F$205,EX$4)*INDEX(Undirviðmið!$E$6:$E$205,EX$4)*KVARDI,2),""))</f>
        <v/>
      </c>
      <c r="EZ32" s="23"/>
      <c r="FA32" s="40" t="str">
        <f aca="false">IF(OR(EZ$4=0,EZ32=""),"",IFERROR(ROUND(EZ32/INDEX(Undirviðmið!$F$6:$F$205,EZ$4)*INDEX(Undirviðmið!$E$6:$E$205,EZ$4)*KVARDI,2),""))</f>
        <v/>
      </c>
      <c r="FB32" s="23"/>
      <c r="FC32" s="40" t="str">
        <f aca="false">IF(OR(FB$4=0,FB32=""),"",IFERROR(ROUND(FB32/INDEX(Undirviðmið!$F$6:$F$205,FB$4)*INDEX(Undirviðmið!$E$6:$E$205,FB$4)*KVARDI,2),""))</f>
        <v/>
      </c>
      <c r="FD32" s="23"/>
      <c r="FE32" s="40" t="str">
        <f aca="false">IF(OR(FD$4=0,FD32=""),"",IFERROR(ROUND(FD32/INDEX(Undirviðmið!$F$6:$F$205,FD$4)*INDEX(Undirviðmið!$E$6:$E$205,FD$4)*KVARDI,2),""))</f>
        <v/>
      </c>
      <c r="FF32" s="23"/>
      <c r="FG32" s="40" t="str">
        <f aca="false">IF(OR(FF$4=0,FF32=""),"",IFERROR(ROUND(FF32/INDEX(Undirviðmið!$F$6:$F$205,FF$4)*INDEX(Undirviðmið!$E$6:$E$205,FF$4)*KVARDI,2),""))</f>
        <v/>
      </c>
      <c r="FH32" s="23"/>
      <c r="FI32" s="40" t="str">
        <f aca="false">IF(OR(FH$4=0,FH32=""),"",IFERROR(ROUND(FH32/INDEX(Undirviðmið!$F$6:$F$205,FH$4)*INDEX(Undirviðmið!$E$6:$E$205,FH$4)*KVARDI,2),""))</f>
        <v/>
      </c>
      <c r="FJ32" s="23"/>
      <c r="FK32" s="40" t="str">
        <f aca="false">IF(OR(FJ$4=0,FJ32=""),"",IFERROR(ROUND(FJ32/INDEX(Undirviðmið!$F$6:$F$205,FJ$4)*INDEX(Undirviðmið!$E$6:$E$205,FJ$4)*KVARDI,2),""))</f>
        <v/>
      </c>
      <c r="FL32" s="23"/>
      <c r="FM32" s="40" t="str">
        <f aca="false">IF(OR(FL$4=0,FL32=""),"",IFERROR(ROUND(FL32/INDEX(Undirviðmið!$F$6:$F$205,FL$4)*INDEX(Undirviðmið!$E$6:$E$205,FL$4)*KVARDI,2),""))</f>
        <v/>
      </c>
      <c r="FN32" s="23"/>
      <c r="FO32" s="40" t="str">
        <f aca="false">IF(OR(FN$4=0,FN32=""),"",IFERROR(ROUND(FN32/INDEX(Undirviðmið!$F$6:$F$205,FN$4)*INDEX(Undirviðmið!$E$6:$E$205,FN$4)*KVARDI,2),""))</f>
        <v/>
      </c>
      <c r="FP32" s="23"/>
      <c r="FQ32" s="40" t="str">
        <f aca="false">IF(OR(FP$4=0,FP32=""),"",IFERROR(ROUND(FP32/INDEX(Undirviðmið!$F$6:$F$205,FP$4)*INDEX(Undirviðmið!$E$6:$E$205,FP$4)*KVARDI,2),""))</f>
        <v/>
      </c>
      <c r="FR32" s="23"/>
      <c r="FS32" s="40" t="str">
        <f aca="false">IF(OR(FR$4=0,FR32=""),"",IFERROR(ROUND(FR32/INDEX(Undirviðmið!$F$6:$F$205,FR$4)*INDEX(Undirviðmið!$E$6:$E$205,FR$4)*KVARDI,2),""))</f>
        <v/>
      </c>
      <c r="FT32" s="23"/>
      <c r="FU32" s="40" t="str">
        <f aca="false">IF(OR(FT$4=0,FT32=""),"",IFERROR(ROUND(FT32/INDEX(Undirviðmið!$F$6:$F$205,FT$4)*INDEX(Undirviðmið!$E$6:$E$205,FT$4)*KVARDI,2),""))</f>
        <v/>
      </c>
      <c r="FV32" s="23"/>
      <c r="FW32" s="40" t="str">
        <f aca="false">IF(OR(FV$4=0,FV32=""),"",IFERROR(ROUND(FV32/INDEX(Undirviðmið!$F$6:$F$205,FV$4)*INDEX(Undirviðmið!$E$6:$E$205,FV$4)*KVARDI,2),""))</f>
        <v/>
      </c>
      <c r="FX32" s="23"/>
      <c r="FY32" s="40" t="str">
        <f aca="false">IF(OR(FX$4=0,FX32=""),"",IFERROR(ROUND(FX32/INDEX(Undirviðmið!$F$6:$F$205,FX$4)*INDEX(Undirviðmið!$E$6:$E$205,FX$4)*KVARDI,2),""))</f>
        <v/>
      </c>
      <c r="FZ32" s="23"/>
      <c r="GA32" s="40" t="str">
        <f aca="false">IF(OR(FZ$4=0,FZ32=""),"",IFERROR(ROUND(FZ32/INDEX(Undirviðmið!$F$6:$F$205,FZ$4)*INDEX(Undirviðmið!$E$6:$E$205,FZ$4)*KVARDI,2),""))</f>
        <v/>
      </c>
      <c r="GB32" s="23"/>
      <c r="GC32" s="40" t="str">
        <f aca="false">IF(OR(GB$4=0,GB32=""),"",IFERROR(ROUND(GB32/INDEX(Undirviðmið!$F$6:$F$205,GB$4)*INDEX(Undirviðmið!$E$6:$E$205,GB$4)*KVARDI,2),""))</f>
        <v/>
      </c>
      <c r="GD32" s="23"/>
      <c r="GE32" s="40" t="str">
        <f aca="false">IF(OR(GD$4=0,GD32=""),"",IFERROR(ROUND(GD32/INDEX(Undirviðmið!$F$6:$F$205,GD$4)*INDEX(Undirviðmið!$E$6:$E$205,GD$4)*KVARDI,2),""))</f>
        <v/>
      </c>
      <c r="GF32" s="23"/>
      <c r="GG32" s="40" t="str">
        <f aca="false">IF(OR(GF$4=0,GF32=""),"",IFERROR(ROUND(GF32/INDEX(Undirviðmið!$F$6:$F$205,GF$4)*INDEX(Undirviðmið!$E$6:$E$205,GF$4)*KVARDI,2),""))</f>
        <v/>
      </c>
      <c r="GH32" s="23"/>
      <c r="GI32" s="40" t="str">
        <f aca="false">IF(OR(GH$4=0,GH32=""),"",IFERROR(ROUND(GH32/INDEX(Undirviðmið!$F$6:$F$205,GH$4)*INDEX(Undirviðmið!$E$6:$E$205,GH$4)*KVARDI,2),""))</f>
        <v/>
      </c>
      <c r="GJ32" s="23"/>
      <c r="GK32" s="40" t="str">
        <f aca="false">IF(OR(GJ$4=0,GJ32=""),"",IFERROR(ROUND(GJ32/INDEX(Undirviðmið!$F$6:$F$205,GJ$4)*INDEX(Undirviðmið!$E$6:$E$205,GJ$4)*KVARDI,2),""))</f>
        <v/>
      </c>
      <c r="GL32" s="23"/>
      <c r="GM32" s="40" t="str">
        <f aca="false">IF(OR(GL$4=0,GL32=""),"",IFERROR(ROUND(GL32/INDEX(Undirviðmið!$F$6:$F$205,GL$4)*INDEX(Undirviðmið!$E$6:$E$205,GL$4)*KVARDI,2),""))</f>
        <v/>
      </c>
      <c r="GN32" s="23"/>
      <c r="GO32" s="40" t="str">
        <f aca="false">IF(OR(GN$4=0,GN32=""),"",IFERROR(ROUND(GN32/INDEX(Undirviðmið!$F$6:$F$205,GN$4)*INDEX(Undirviðmið!$E$6:$E$205,GN$4)*KVARDI,2),""))</f>
        <v/>
      </c>
      <c r="GP32" s="23"/>
      <c r="GQ32" s="40" t="str">
        <f aca="false">IF(OR(GP$4=0,GP32=""),"",IFERROR(ROUND(GP32/INDEX(Undirviðmið!$F$6:$F$205,GP$4)*INDEX(Undirviðmið!$E$6:$E$205,GP$4)*KVARDI,2),""))</f>
        <v/>
      </c>
      <c r="GR32" s="23"/>
      <c r="GS32" s="40" t="str">
        <f aca="false">IF(OR(GR$4=0,GR32=""),"",IFERROR(ROUND(GR32/INDEX(Undirviðmið!$F$6:$F$205,GR$4)*INDEX(Undirviðmið!$E$6:$E$205,GR$4)*KVARDI,2),""))</f>
        <v/>
      </c>
      <c r="GT32" s="23"/>
      <c r="GU32" s="40" t="str">
        <f aca="false">IF(OR(GT$4=0,GT32=""),"",IFERROR(ROUND(GT32/INDEX(Undirviðmið!$F$6:$F$205,GT$4)*INDEX(Undirviðmið!$E$6:$E$205,GT$4)*KVARDI,2),""))</f>
        <v/>
      </c>
      <c r="GV32" s="44" t="n">
        <f aca="false">IFERROR(SUMIF($D$6:GU$6,"Stig",$D32:GU32),0)</f>
        <v>0</v>
      </c>
    </row>
    <row r="33" customFormat="false" ht="15" hidden="false" customHeight="true" outlineLevel="0" collapsed="false">
      <c r="A33" s="22" t="n">
        <f aca="false">ROW()-6</f>
        <v>27</v>
      </c>
      <c r="B33" s="24" t="str">
        <f aca="false">IF(INDEX(Starfsmenn!$B$6:$B$10005,ROW()-6)="","",INDEX(Starfsmenn!$B$6:$B$10005,ROW()-6))</f>
        <v/>
      </c>
      <c r="C33" s="24" t="str">
        <f aca="false">IF(INDEX(Starfsmenn!$C$6:$C$10005,ROW()-6)="","",INDEX(Starfsmenn!$C$6:$C$10005,ROW()-6))</f>
        <v/>
      </c>
      <c r="D33" s="23"/>
      <c r="E33" s="40" t="str">
        <f aca="false">IF(OR(D$4=0,D33=""),"",IFERROR(ROUND(D33/INDEX(Undirviðmið!$F$6:$F$205,D$4)*INDEX(Undirviðmið!$E$6:$E$205,D$4)*KVARDI,2),""))</f>
        <v/>
      </c>
      <c r="F33" s="23"/>
      <c r="G33" s="40" t="str">
        <f aca="false">IF(OR(F$4=0,F33=""),"",IFERROR(ROUND(F33/INDEX(Undirviðmið!$F$6:$F$205,F$4)*INDEX(Undirviðmið!$E$6:$E$205,F$4)*KVARDI,2),""))</f>
        <v/>
      </c>
      <c r="H33" s="23"/>
      <c r="I33" s="40" t="str">
        <f aca="false">IF(OR(H$4=0,H33=""),"",IFERROR(ROUND(H33/INDEX(Undirviðmið!$F$6:$F$205,H$4)*INDEX(Undirviðmið!$E$6:$E$205,H$4)*KVARDI,2),""))</f>
        <v/>
      </c>
      <c r="J33" s="23"/>
      <c r="K33" s="40" t="str">
        <f aca="false">IF(OR(J$4=0,J33=""),"",IFERROR(ROUND(J33/INDEX(Undirviðmið!$F$6:$F$205,J$4)*INDEX(Undirviðmið!$E$6:$E$205,J$4)*KVARDI,2),""))</f>
        <v/>
      </c>
      <c r="L33" s="23"/>
      <c r="M33" s="40" t="str">
        <f aca="false">IF(OR(L$4=0,L33=""),"",IFERROR(ROUND(L33/INDEX(Undirviðmið!$F$6:$F$205,L$4)*INDEX(Undirviðmið!$E$6:$E$205,L$4)*KVARDI,2),""))</f>
        <v/>
      </c>
      <c r="N33" s="23"/>
      <c r="O33" s="40" t="str">
        <f aca="false">IF(OR(N$4=0,N33=""),"",IFERROR(ROUND(N33/INDEX(Undirviðmið!$F$6:$F$205,N$4)*INDEX(Undirviðmið!$E$6:$E$205,N$4)*KVARDI,2),""))</f>
        <v/>
      </c>
      <c r="P33" s="23"/>
      <c r="Q33" s="40" t="str">
        <f aca="false">IF(OR(P$4=0,P33=""),"",IFERROR(ROUND(P33/INDEX(Undirviðmið!$F$6:$F$205,P$4)*INDEX(Undirviðmið!$E$6:$E$205,P$4)*KVARDI,2),""))</f>
        <v/>
      </c>
      <c r="R33" s="23"/>
      <c r="S33" s="40" t="str">
        <f aca="false">IF(OR(R$4=0,R33=""),"",IFERROR(ROUND(R33/INDEX(Undirviðmið!$F$6:$F$205,R$4)*INDEX(Undirviðmið!$E$6:$E$205,R$4)*KVARDI,2),""))</f>
        <v/>
      </c>
      <c r="T33" s="23"/>
      <c r="U33" s="40" t="str">
        <f aca="false">IF(OR(T$4=0,T33=""),"",IFERROR(ROUND(T33/INDEX(Undirviðmið!$F$6:$F$205,T$4)*INDEX(Undirviðmið!$E$6:$E$205,T$4)*KVARDI,2),""))</f>
        <v/>
      </c>
      <c r="V33" s="23"/>
      <c r="W33" s="40" t="str">
        <f aca="false">IF(OR(V$4=0,V33=""),"",IFERROR(ROUND(V33/INDEX(Undirviðmið!$F$6:$F$205,V$4)*INDEX(Undirviðmið!$E$6:$E$205,V$4)*KVARDI,2),""))</f>
        <v/>
      </c>
      <c r="X33" s="23"/>
      <c r="Y33" s="40" t="str">
        <f aca="false">IF(OR(X$4=0,X33=""),"",IFERROR(ROUND(X33/INDEX(Undirviðmið!$F$6:$F$205,X$4)*INDEX(Undirviðmið!$E$6:$E$205,X$4)*KVARDI,2),""))</f>
        <v/>
      </c>
      <c r="Z33" s="23"/>
      <c r="AA33" s="40" t="str">
        <f aca="false">IF(OR(Z$4=0,Z33=""),"",IFERROR(ROUND(Z33/INDEX(Undirviðmið!$F$6:$F$205,Z$4)*INDEX(Undirviðmið!$E$6:$E$205,Z$4)*KVARDI,2),""))</f>
        <v/>
      </c>
      <c r="AB33" s="23"/>
      <c r="AC33" s="40" t="str">
        <f aca="false">IF(OR(AB$4=0,AB33=""),"",IFERROR(ROUND(AB33/INDEX(Undirviðmið!$F$6:$F$205,AB$4)*INDEX(Undirviðmið!$E$6:$E$205,AB$4)*KVARDI,2),""))</f>
        <v/>
      </c>
      <c r="AD33" s="23"/>
      <c r="AE33" s="40" t="str">
        <f aca="false">IF(OR(AD$4=0,AD33=""),"",IFERROR(ROUND(AD33/INDEX(Undirviðmið!$F$6:$F$205,AD$4)*INDEX(Undirviðmið!$E$6:$E$205,AD$4)*KVARDI,2),""))</f>
        <v/>
      </c>
      <c r="AF33" s="23"/>
      <c r="AG33" s="40" t="str">
        <f aca="false">IF(OR(AF$4=0,AF33=""),"",IFERROR(ROUND(AF33/INDEX(Undirviðmið!$F$6:$F$205,AF$4)*INDEX(Undirviðmið!$E$6:$E$205,AF$4)*KVARDI,2),""))</f>
        <v/>
      </c>
      <c r="AH33" s="23"/>
      <c r="AI33" s="40" t="str">
        <f aca="false">IF(OR(AH$4=0,AH33=""),"",IFERROR(ROUND(AH33/INDEX(Undirviðmið!$F$6:$F$205,AH$4)*INDEX(Undirviðmið!$E$6:$E$205,AH$4)*KVARDI,2),""))</f>
        <v/>
      </c>
      <c r="AJ33" s="23"/>
      <c r="AK33" s="40" t="str">
        <f aca="false">IF(OR(AJ$4=0,AJ33=""),"",IFERROR(ROUND(AJ33/INDEX(Undirviðmið!$F$6:$F$205,AJ$4)*INDEX(Undirviðmið!$E$6:$E$205,AJ$4)*KVARDI,2),""))</f>
        <v/>
      </c>
      <c r="AL33" s="23"/>
      <c r="AM33" s="40" t="str">
        <f aca="false">IF(OR(AL$4=0,AL33=""),"",IFERROR(ROUND(AL33/INDEX(Undirviðmið!$F$6:$F$205,AL$4)*INDEX(Undirviðmið!$E$6:$E$205,AL$4)*KVARDI,2),""))</f>
        <v/>
      </c>
      <c r="AN33" s="23"/>
      <c r="AO33" s="40" t="str">
        <f aca="false">IF(OR(AN$4=0,AN33=""),"",IFERROR(ROUND(AN33/INDEX(Undirviðmið!$F$6:$F$205,AN$4)*INDEX(Undirviðmið!$E$6:$E$205,AN$4)*KVARDI,2),""))</f>
        <v/>
      </c>
      <c r="AP33" s="23"/>
      <c r="AQ33" s="40" t="str">
        <f aca="false">IF(OR(AP$4=0,AP33=""),"",IFERROR(ROUND(AP33/INDEX(Undirviðmið!$F$6:$F$205,AP$4)*INDEX(Undirviðmið!$E$6:$E$205,AP$4)*KVARDI,2),""))</f>
        <v/>
      </c>
      <c r="AR33" s="23"/>
      <c r="AS33" s="40" t="str">
        <f aca="false">IF(OR(AR$4=0,AR33=""),"",IFERROR(ROUND(AR33/INDEX(Undirviðmið!$F$6:$F$205,AR$4)*INDEX(Undirviðmið!$E$6:$E$205,AR$4)*KVARDI,2),""))</f>
        <v/>
      </c>
      <c r="AT33" s="23"/>
      <c r="AU33" s="40" t="str">
        <f aca="false">IF(OR(AT$4=0,AT33=""),"",IFERROR(ROUND(AT33/INDEX(Undirviðmið!$F$6:$F$205,AT$4)*INDEX(Undirviðmið!$E$6:$E$205,AT$4)*KVARDI,2),""))</f>
        <v/>
      </c>
      <c r="AV33" s="23"/>
      <c r="AW33" s="40" t="str">
        <f aca="false">IF(OR(AV$4=0,AV33=""),"",IFERROR(ROUND(AV33/INDEX(Undirviðmið!$F$6:$F$205,AV$4)*INDEX(Undirviðmið!$E$6:$E$205,AV$4)*KVARDI,2),""))</f>
        <v/>
      </c>
      <c r="AX33" s="23"/>
      <c r="AY33" s="40" t="str">
        <f aca="false">IF(OR(AX$4=0,AX33=""),"",IFERROR(ROUND(AX33/INDEX(Undirviðmið!$F$6:$F$205,AX$4)*INDEX(Undirviðmið!$E$6:$E$205,AX$4)*KVARDI,2),""))</f>
        <v/>
      </c>
      <c r="AZ33" s="23"/>
      <c r="BA33" s="40" t="str">
        <f aca="false">IF(OR(AZ$4=0,AZ33=""),"",IFERROR(ROUND(AZ33/INDEX(Undirviðmið!$F$6:$F$205,AZ$4)*INDEX(Undirviðmið!$E$6:$E$205,AZ$4)*KVARDI,2),""))</f>
        <v/>
      </c>
      <c r="BB33" s="23"/>
      <c r="BC33" s="40" t="str">
        <f aca="false">IF(OR(BB$4=0,BB33=""),"",IFERROR(ROUND(BB33/INDEX(Undirviðmið!$F$6:$F$205,BB$4)*INDEX(Undirviðmið!$E$6:$E$205,BB$4)*KVARDI,2),""))</f>
        <v/>
      </c>
      <c r="BD33" s="23"/>
      <c r="BE33" s="40" t="str">
        <f aca="false">IF(OR(BD$4=0,BD33=""),"",IFERROR(ROUND(BD33/INDEX(Undirviðmið!$F$6:$F$205,BD$4)*INDEX(Undirviðmið!$E$6:$E$205,BD$4)*KVARDI,2),""))</f>
        <v/>
      </c>
      <c r="BF33" s="23"/>
      <c r="BG33" s="40" t="str">
        <f aca="false">IF(OR(BF$4=0,BF33=""),"",IFERROR(ROUND(BF33/INDEX(Undirviðmið!$F$6:$F$205,BF$4)*INDEX(Undirviðmið!$E$6:$E$205,BF$4)*KVARDI,2),""))</f>
        <v/>
      </c>
      <c r="BH33" s="23"/>
      <c r="BI33" s="40" t="str">
        <f aca="false">IF(OR(BH$4=0,BH33=""),"",IFERROR(ROUND(BH33/INDEX(Undirviðmið!$F$6:$F$205,BH$4)*INDEX(Undirviðmið!$E$6:$E$205,BH$4)*KVARDI,2),""))</f>
        <v/>
      </c>
      <c r="BJ33" s="23"/>
      <c r="BK33" s="40" t="str">
        <f aca="false">IF(OR(BJ$4=0,BJ33=""),"",IFERROR(ROUND(BJ33/INDEX(Undirviðmið!$F$6:$F$205,BJ$4)*INDEX(Undirviðmið!$E$6:$E$205,BJ$4)*KVARDI,2),""))</f>
        <v/>
      </c>
      <c r="BL33" s="23"/>
      <c r="BM33" s="40" t="str">
        <f aca="false">IF(OR(BL$4=0,BL33=""),"",IFERROR(ROUND(BL33/INDEX(Undirviðmið!$F$6:$F$205,BL$4)*INDEX(Undirviðmið!$E$6:$E$205,BL$4)*KVARDI,2),""))</f>
        <v/>
      </c>
      <c r="BN33" s="23"/>
      <c r="BO33" s="40" t="str">
        <f aca="false">IF(OR(BN$4=0,BN33=""),"",IFERROR(ROUND(BN33/INDEX(Undirviðmið!$F$6:$F$205,BN$4)*INDEX(Undirviðmið!$E$6:$E$205,BN$4)*KVARDI,2),""))</f>
        <v/>
      </c>
      <c r="BP33" s="23"/>
      <c r="BQ33" s="40" t="str">
        <f aca="false">IF(OR(BP$4=0,BP33=""),"",IFERROR(ROUND(BP33/INDEX(Undirviðmið!$F$6:$F$205,BP$4)*INDEX(Undirviðmið!$E$6:$E$205,BP$4)*KVARDI,2),""))</f>
        <v/>
      </c>
      <c r="BR33" s="23"/>
      <c r="BS33" s="40" t="str">
        <f aca="false">IF(OR(BR$4=0,BR33=""),"",IFERROR(ROUND(BR33/INDEX(Undirviðmið!$F$6:$F$205,BR$4)*INDEX(Undirviðmið!$E$6:$E$205,BR$4)*KVARDI,2),""))</f>
        <v/>
      </c>
      <c r="BT33" s="23"/>
      <c r="BU33" s="40" t="str">
        <f aca="false">IF(OR(BT$4=0,BT33=""),"",IFERROR(ROUND(BT33/INDEX(Undirviðmið!$F$6:$F$205,BT$4)*INDEX(Undirviðmið!$E$6:$E$205,BT$4)*KVARDI,2),""))</f>
        <v/>
      </c>
      <c r="BV33" s="23"/>
      <c r="BW33" s="40" t="str">
        <f aca="false">IF(OR(BV$4=0,BV33=""),"",IFERROR(ROUND(BV33/INDEX(Undirviðmið!$F$6:$F$205,BV$4)*INDEX(Undirviðmið!$E$6:$E$205,BV$4)*KVARDI,2),""))</f>
        <v/>
      </c>
      <c r="BX33" s="23"/>
      <c r="BY33" s="40" t="str">
        <f aca="false">IF(OR(BX$4=0,BX33=""),"",IFERROR(ROUND(BX33/INDEX(Undirviðmið!$F$6:$F$205,BX$4)*INDEX(Undirviðmið!$E$6:$E$205,BX$4)*KVARDI,2),""))</f>
        <v/>
      </c>
      <c r="BZ33" s="23"/>
      <c r="CA33" s="40" t="str">
        <f aca="false">IF(OR(BZ$4=0,BZ33=""),"",IFERROR(ROUND(BZ33/INDEX(Undirviðmið!$F$6:$F$205,BZ$4)*INDEX(Undirviðmið!$E$6:$E$205,BZ$4)*KVARDI,2),""))</f>
        <v/>
      </c>
      <c r="CB33" s="23"/>
      <c r="CC33" s="40" t="str">
        <f aca="false">IF(OR(CB$4=0,CB33=""),"",IFERROR(ROUND(CB33/INDEX(Undirviðmið!$F$6:$F$205,CB$4)*INDEX(Undirviðmið!$E$6:$E$205,CB$4)*KVARDI,2),""))</f>
        <v/>
      </c>
      <c r="CD33" s="23"/>
      <c r="CE33" s="40" t="str">
        <f aca="false">IF(OR(CD$4=0,CD33=""),"",IFERROR(ROUND(CD33/INDEX(Undirviðmið!$F$6:$F$205,CD$4)*INDEX(Undirviðmið!$E$6:$E$205,CD$4)*KVARDI,2),""))</f>
        <v/>
      </c>
      <c r="CF33" s="23"/>
      <c r="CG33" s="40" t="str">
        <f aca="false">IF(OR(CF$4=0,CF33=""),"",IFERROR(ROUND(CF33/INDEX(Undirviðmið!$F$6:$F$205,CF$4)*INDEX(Undirviðmið!$E$6:$E$205,CF$4)*KVARDI,2),""))</f>
        <v/>
      </c>
      <c r="CH33" s="23"/>
      <c r="CI33" s="40" t="str">
        <f aca="false">IF(OR(CH$4=0,CH33=""),"",IFERROR(ROUND(CH33/INDEX(Undirviðmið!$F$6:$F$205,CH$4)*INDEX(Undirviðmið!$E$6:$E$205,CH$4)*KVARDI,2),""))</f>
        <v/>
      </c>
      <c r="CJ33" s="23"/>
      <c r="CK33" s="40" t="str">
        <f aca="false">IF(OR(CJ$4=0,CJ33=""),"",IFERROR(ROUND(CJ33/INDEX(Undirviðmið!$F$6:$F$205,CJ$4)*INDEX(Undirviðmið!$E$6:$E$205,CJ$4)*KVARDI,2),""))</f>
        <v/>
      </c>
      <c r="CL33" s="23"/>
      <c r="CM33" s="40" t="str">
        <f aca="false">IF(OR(CL$4=0,CL33=""),"",IFERROR(ROUND(CL33/INDEX(Undirviðmið!$F$6:$F$205,CL$4)*INDEX(Undirviðmið!$E$6:$E$205,CL$4)*KVARDI,2),""))</f>
        <v/>
      </c>
      <c r="CN33" s="23"/>
      <c r="CO33" s="40" t="str">
        <f aca="false">IF(OR(CN$4=0,CN33=""),"",IFERROR(ROUND(CN33/INDEX(Undirviðmið!$F$6:$F$205,CN$4)*INDEX(Undirviðmið!$E$6:$E$205,CN$4)*KVARDI,2),""))</f>
        <v/>
      </c>
      <c r="CP33" s="23"/>
      <c r="CQ33" s="40" t="str">
        <f aca="false">IF(OR(CP$4=0,CP33=""),"",IFERROR(ROUND(CP33/INDEX(Undirviðmið!$F$6:$F$205,CP$4)*INDEX(Undirviðmið!$E$6:$E$205,CP$4)*KVARDI,2),""))</f>
        <v/>
      </c>
      <c r="CR33" s="23"/>
      <c r="CS33" s="40" t="str">
        <f aca="false">IF(OR(CR$4=0,CR33=""),"",IFERROR(ROUND(CR33/INDEX(Undirviðmið!$F$6:$F$205,CR$4)*INDEX(Undirviðmið!$E$6:$E$205,CR$4)*KVARDI,2),""))</f>
        <v/>
      </c>
      <c r="CT33" s="23"/>
      <c r="CU33" s="40" t="str">
        <f aca="false">IF(OR(CT$4=0,CT33=""),"",IFERROR(ROUND(CT33/INDEX(Undirviðmið!$F$6:$F$205,CT$4)*INDEX(Undirviðmið!$E$6:$E$205,CT$4)*KVARDI,2),""))</f>
        <v/>
      </c>
      <c r="CV33" s="23"/>
      <c r="CW33" s="40" t="str">
        <f aca="false">IF(OR(CV$4=0,CV33=""),"",IFERROR(ROUND(CV33/INDEX(Undirviðmið!$F$6:$F$205,CV$4)*INDEX(Undirviðmið!$E$6:$E$205,CV$4)*KVARDI,2),""))</f>
        <v/>
      </c>
      <c r="CX33" s="23"/>
      <c r="CY33" s="40" t="str">
        <f aca="false">IF(OR(CX$4=0,CX33=""),"",IFERROR(ROUND(CX33/INDEX(Undirviðmið!$F$6:$F$205,CX$4)*INDEX(Undirviðmið!$E$6:$E$205,CX$4)*KVARDI,2),""))</f>
        <v/>
      </c>
      <c r="CZ33" s="23"/>
      <c r="DA33" s="40" t="str">
        <f aca="false">IF(OR(CZ$4=0,CZ33=""),"",IFERROR(ROUND(CZ33/INDEX(Undirviðmið!$F$6:$F$205,CZ$4)*INDEX(Undirviðmið!$E$6:$E$205,CZ$4)*KVARDI,2),""))</f>
        <v/>
      </c>
      <c r="DB33" s="23"/>
      <c r="DC33" s="40" t="str">
        <f aca="false">IF(OR(DB$4=0,DB33=""),"",IFERROR(ROUND(DB33/INDEX(Undirviðmið!$F$6:$F$205,DB$4)*INDEX(Undirviðmið!$E$6:$E$205,DB$4)*KVARDI,2),""))</f>
        <v/>
      </c>
      <c r="DD33" s="23"/>
      <c r="DE33" s="40" t="str">
        <f aca="false">IF(OR(DD$4=0,DD33=""),"",IFERROR(ROUND(DD33/INDEX(Undirviðmið!$F$6:$F$205,DD$4)*INDEX(Undirviðmið!$E$6:$E$205,DD$4)*KVARDI,2),""))</f>
        <v/>
      </c>
      <c r="DF33" s="23"/>
      <c r="DG33" s="40" t="str">
        <f aca="false">IF(OR(DF$4=0,DF33=""),"",IFERROR(ROUND(DF33/INDEX(Undirviðmið!$F$6:$F$205,DF$4)*INDEX(Undirviðmið!$E$6:$E$205,DF$4)*KVARDI,2),""))</f>
        <v/>
      </c>
      <c r="DH33" s="23"/>
      <c r="DI33" s="40" t="str">
        <f aca="false">IF(OR(DH$4=0,DH33=""),"",IFERROR(ROUND(DH33/INDEX(Undirviðmið!$F$6:$F$205,DH$4)*INDEX(Undirviðmið!$E$6:$E$205,DH$4)*KVARDI,2),""))</f>
        <v/>
      </c>
      <c r="DJ33" s="23"/>
      <c r="DK33" s="40" t="str">
        <f aca="false">IF(OR(DJ$4=0,DJ33=""),"",IFERROR(ROUND(DJ33/INDEX(Undirviðmið!$F$6:$F$205,DJ$4)*INDEX(Undirviðmið!$E$6:$E$205,DJ$4)*KVARDI,2),""))</f>
        <v/>
      </c>
      <c r="DL33" s="23"/>
      <c r="DM33" s="40" t="str">
        <f aca="false">IF(OR(DL$4=0,DL33=""),"",IFERROR(ROUND(DL33/INDEX(Undirviðmið!$F$6:$F$205,DL$4)*INDEX(Undirviðmið!$E$6:$E$205,DL$4)*KVARDI,2),""))</f>
        <v/>
      </c>
      <c r="DN33" s="23"/>
      <c r="DO33" s="40" t="str">
        <f aca="false">IF(OR(DN$4=0,DN33=""),"",IFERROR(ROUND(DN33/INDEX(Undirviðmið!$F$6:$F$205,DN$4)*INDEX(Undirviðmið!$E$6:$E$205,DN$4)*KVARDI,2),""))</f>
        <v/>
      </c>
      <c r="DP33" s="23"/>
      <c r="DQ33" s="40" t="str">
        <f aca="false">IF(OR(DP$4=0,DP33=""),"",IFERROR(ROUND(DP33/INDEX(Undirviðmið!$F$6:$F$205,DP$4)*INDEX(Undirviðmið!$E$6:$E$205,DP$4)*KVARDI,2),""))</f>
        <v/>
      </c>
      <c r="DR33" s="23"/>
      <c r="DS33" s="40" t="str">
        <f aca="false">IF(OR(DR$4=0,DR33=""),"",IFERROR(ROUND(DR33/INDEX(Undirviðmið!$F$6:$F$205,DR$4)*INDEX(Undirviðmið!$E$6:$E$205,DR$4)*KVARDI,2),""))</f>
        <v/>
      </c>
      <c r="DT33" s="23"/>
      <c r="DU33" s="40" t="str">
        <f aca="false">IF(OR(DT$4=0,DT33=""),"",IFERROR(ROUND(DT33/INDEX(Undirviðmið!$F$6:$F$205,DT$4)*INDEX(Undirviðmið!$E$6:$E$205,DT$4)*KVARDI,2),""))</f>
        <v/>
      </c>
      <c r="DV33" s="23"/>
      <c r="DW33" s="40" t="str">
        <f aca="false">IF(OR(DV$4=0,DV33=""),"",IFERROR(ROUND(DV33/INDEX(Undirviðmið!$F$6:$F$205,DV$4)*INDEX(Undirviðmið!$E$6:$E$205,DV$4)*KVARDI,2),""))</f>
        <v/>
      </c>
      <c r="DX33" s="23"/>
      <c r="DY33" s="40" t="str">
        <f aca="false">IF(OR(DX$4=0,DX33=""),"",IFERROR(ROUND(DX33/INDEX(Undirviðmið!$F$6:$F$205,DX$4)*INDEX(Undirviðmið!$E$6:$E$205,DX$4)*KVARDI,2),""))</f>
        <v/>
      </c>
      <c r="DZ33" s="23"/>
      <c r="EA33" s="40" t="str">
        <f aca="false">IF(OR(DZ$4=0,DZ33=""),"",IFERROR(ROUND(DZ33/INDEX(Undirviðmið!$F$6:$F$205,DZ$4)*INDEX(Undirviðmið!$E$6:$E$205,DZ$4)*KVARDI,2),""))</f>
        <v/>
      </c>
      <c r="EB33" s="23"/>
      <c r="EC33" s="40" t="str">
        <f aca="false">IF(OR(EB$4=0,EB33=""),"",IFERROR(ROUND(EB33/INDEX(Undirviðmið!$F$6:$F$205,EB$4)*INDEX(Undirviðmið!$E$6:$E$205,EB$4)*KVARDI,2),""))</f>
        <v/>
      </c>
      <c r="ED33" s="23"/>
      <c r="EE33" s="40" t="str">
        <f aca="false">IF(OR(ED$4=0,ED33=""),"",IFERROR(ROUND(ED33/INDEX(Undirviðmið!$F$6:$F$205,ED$4)*INDEX(Undirviðmið!$E$6:$E$205,ED$4)*KVARDI,2),""))</f>
        <v/>
      </c>
      <c r="EF33" s="23"/>
      <c r="EG33" s="40" t="str">
        <f aca="false">IF(OR(EF$4=0,EF33=""),"",IFERROR(ROUND(EF33/INDEX(Undirviðmið!$F$6:$F$205,EF$4)*INDEX(Undirviðmið!$E$6:$E$205,EF$4)*KVARDI,2),""))</f>
        <v/>
      </c>
      <c r="EH33" s="23"/>
      <c r="EI33" s="40" t="str">
        <f aca="false">IF(OR(EH$4=0,EH33=""),"",IFERROR(ROUND(EH33/INDEX(Undirviðmið!$F$6:$F$205,EH$4)*INDEX(Undirviðmið!$E$6:$E$205,EH$4)*KVARDI,2),""))</f>
        <v/>
      </c>
      <c r="EJ33" s="23"/>
      <c r="EK33" s="40" t="str">
        <f aca="false">IF(OR(EJ$4=0,EJ33=""),"",IFERROR(ROUND(EJ33/INDEX(Undirviðmið!$F$6:$F$205,EJ$4)*INDEX(Undirviðmið!$E$6:$E$205,EJ$4)*KVARDI,2),""))</f>
        <v/>
      </c>
      <c r="EL33" s="23"/>
      <c r="EM33" s="40" t="str">
        <f aca="false">IF(OR(EL$4=0,EL33=""),"",IFERROR(ROUND(EL33/INDEX(Undirviðmið!$F$6:$F$205,EL$4)*INDEX(Undirviðmið!$E$6:$E$205,EL$4)*KVARDI,2),""))</f>
        <v/>
      </c>
      <c r="EN33" s="23"/>
      <c r="EO33" s="40" t="str">
        <f aca="false">IF(OR(EN$4=0,EN33=""),"",IFERROR(ROUND(EN33/INDEX(Undirviðmið!$F$6:$F$205,EN$4)*INDEX(Undirviðmið!$E$6:$E$205,EN$4)*KVARDI,2),""))</f>
        <v/>
      </c>
      <c r="EP33" s="23"/>
      <c r="EQ33" s="40" t="str">
        <f aca="false">IF(OR(EP$4=0,EP33=""),"",IFERROR(ROUND(EP33/INDEX(Undirviðmið!$F$6:$F$205,EP$4)*INDEX(Undirviðmið!$E$6:$E$205,EP$4)*KVARDI,2),""))</f>
        <v/>
      </c>
      <c r="ER33" s="23"/>
      <c r="ES33" s="40" t="str">
        <f aca="false">IF(OR(ER$4=0,ER33=""),"",IFERROR(ROUND(ER33/INDEX(Undirviðmið!$F$6:$F$205,ER$4)*INDEX(Undirviðmið!$E$6:$E$205,ER$4)*KVARDI,2),""))</f>
        <v/>
      </c>
      <c r="ET33" s="23"/>
      <c r="EU33" s="40" t="str">
        <f aca="false">IF(OR(ET$4=0,ET33=""),"",IFERROR(ROUND(ET33/INDEX(Undirviðmið!$F$6:$F$205,ET$4)*INDEX(Undirviðmið!$E$6:$E$205,ET$4)*KVARDI,2),""))</f>
        <v/>
      </c>
      <c r="EV33" s="23"/>
      <c r="EW33" s="40" t="str">
        <f aca="false">IF(OR(EV$4=0,EV33=""),"",IFERROR(ROUND(EV33/INDEX(Undirviðmið!$F$6:$F$205,EV$4)*INDEX(Undirviðmið!$E$6:$E$205,EV$4)*KVARDI,2),""))</f>
        <v/>
      </c>
      <c r="EX33" s="23"/>
      <c r="EY33" s="40" t="str">
        <f aca="false">IF(OR(EX$4=0,EX33=""),"",IFERROR(ROUND(EX33/INDEX(Undirviðmið!$F$6:$F$205,EX$4)*INDEX(Undirviðmið!$E$6:$E$205,EX$4)*KVARDI,2),""))</f>
        <v/>
      </c>
      <c r="EZ33" s="23"/>
      <c r="FA33" s="40" t="str">
        <f aca="false">IF(OR(EZ$4=0,EZ33=""),"",IFERROR(ROUND(EZ33/INDEX(Undirviðmið!$F$6:$F$205,EZ$4)*INDEX(Undirviðmið!$E$6:$E$205,EZ$4)*KVARDI,2),""))</f>
        <v/>
      </c>
      <c r="FB33" s="23"/>
      <c r="FC33" s="40" t="str">
        <f aca="false">IF(OR(FB$4=0,FB33=""),"",IFERROR(ROUND(FB33/INDEX(Undirviðmið!$F$6:$F$205,FB$4)*INDEX(Undirviðmið!$E$6:$E$205,FB$4)*KVARDI,2),""))</f>
        <v/>
      </c>
      <c r="FD33" s="23"/>
      <c r="FE33" s="40" t="str">
        <f aca="false">IF(OR(FD$4=0,FD33=""),"",IFERROR(ROUND(FD33/INDEX(Undirviðmið!$F$6:$F$205,FD$4)*INDEX(Undirviðmið!$E$6:$E$205,FD$4)*KVARDI,2),""))</f>
        <v/>
      </c>
      <c r="FF33" s="23"/>
      <c r="FG33" s="40" t="str">
        <f aca="false">IF(OR(FF$4=0,FF33=""),"",IFERROR(ROUND(FF33/INDEX(Undirviðmið!$F$6:$F$205,FF$4)*INDEX(Undirviðmið!$E$6:$E$205,FF$4)*KVARDI,2),""))</f>
        <v/>
      </c>
      <c r="FH33" s="23"/>
      <c r="FI33" s="40" t="str">
        <f aca="false">IF(OR(FH$4=0,FH33=""),"",IFERROR(ROUND(FH33/INDEX(Undirviðmið!$F$6:$F$205,FH$4)*INDEX(Undirviðmið!$E$6:$E$205,FH$4)*KVARDI,2),""))</f>
        <v/>
      </c>
      <c r="FJ33" s="23"/>
      <c r="FK33" s="40" t="str">
        <f aca="false">IF(OR(FJ$4=0,FJ33=""),"",IFERROR(ROUND(FJ33/INDEX(Undirviðmið!$F$6:$F$205,FJ$4)*INDEX(Undirviðmið!$E$6:$E$205,FJ$4)*KVARDI,2),""))</f>
        <v/>
      </c>
      <c r="FL33" s="23"/>
      <c r="FM33" s="40" t="str">
        <f aca="false">IF(OR(FL$4=0,FL33=""),"",IFERROR(ROUND(FL33/INDEX(Undirviðmið!$F$6:$F$205,FL$4)*INDEX(Undirviðmið!$E$6:$E$205,FL$4)*KVARDI,2),""))</f>
        <v/>
      </c>
      <c r="FN33" s="23"/>
      <c r="FO33" s="40" t="str">
        <f aca="false">IF(OR(FN$4=0,FN33=""),"",IFERROR(ROUND(FN33/INDEX(Undirviðmið!$F$6:$F$205,FN$4)*INDEX(Undirviðmið!$E$6:$E$205,FN$4)*KVARDI,2),""))</f>
        <v/>
      </c>
      <c r="FP33" s="23"/>
      <c r="FQ33" s="40" t="str">
        <f aca="false">IF(OR(FP$4=0,FP33=""),"",IFERROR(ROUND(FP33/INDEX(Undirviðmið!$F$6:$F$205,FP$4)*INDEX(Undirviðmið!$E$6:$E$205,FP$4)*KVARDI,2),""))</f>
        <v/>
      </c>
      <c r="FR33" s="23"/>
      <c r="FS33" s="40" t="str">
        <f aca="false">IF(OR(FR$4=0,FR33=""),"",IFERROR(ROUND(FR33/INDEX(Undirviðmið!$F$6:$F$205,FR$4)*INDEX(Undirviðmið!$E$6:$E$205,FR$4)*KVARDI,2),""))</f>
        <v/>
      </c>
      <c r="FT33" s="23"/>
      <c r="FU33" s="40" t="str">
        <f aca="false">IF(OR(FT$4=0,FT33=""),"",IFERROR(ROUND(FT33/INDEX(Undirviðmið!$F$6:$F$205,FT$4)*INDEX(Undirviðmið!$E$6:$E$205,FT$4)*KVARDI,2),""))</f>
        <v/>
      </c>
      <c r="FV33" s="23"/>
      <c r="FW33" s="40" t="str">
        <f aca="false">IF(OR(FV$4=0,FV33=""),"",IFERROR(ROUND(FV33/INDEX(Undirviðmið!$F$6:$F$205,FV$4)*INDEX(Undirviðmið!$E$6:$E$205,FV$4)*KVARDI,2),""))</f>
        <v/>
      </c>
      <c r="FX33" s="23"/>
      <c r="FY33" s="40" t="str">
        <f aca="false">IF(OR(FX$4=0,FX33=""),"",IFERROR(ROUND(FX33/INDEX(Undirviðmið!$F$6:$F$205,FX$4)*INDEX(Undirviðmið!$E$6:$E$205,FX$4)*KVARDI,2),""))</f>
        <v/>
      </c>
      <c r="FZ33" s="23"/>
      <c r="GA33" s="40" t="str">
        <f aca="false">IF(OR(FZ$4=0,FZ33=""),"",IFERROR(ROUND(FZ33/INDEX(Undirviðmið!$F$6:$F$205,FZ$4)*INDEX(Undirviðmið!$E$6:$E$205,FZ$4)*KVARDI,2),""))</f>
        <v/>
      </c>
      <c r="GB33" s="23"/>
      <c r="GC33" s="40" t="str">
        <f aca="false">IF(OR(GB$4=0,GB33=""),"",IFERROR(ROUND(GB33/INDEX(Undirviðmið!$F$6:$F$205,GB$4)*INDEX(Undirviðmið!$E$6:$E$205,GB$4)*KVARDI,2),""))</f>
        <v/>
      </c>
      <c r="GD33" s="23"/>
      <c r="GE33" s="40" t="str">
        <f aca="false">IF(OR(GD$4=0,GD33=""),"",IFERROR(ROUND(GD33/INDEX(Undirviðmið!$F$6:$F$205,GD$4)*INDEX(Undirviðmið!$E$6:$E$205,GD$4)*KVARDI,2),""))</f>
        <v/>
      </c>
      <c r="GF33" s="23"/>
      <c r="GG33" s="40" t="str">
        <f aca="false">IF(OR(GF$4=0,GF33=""),"",IFERROR(ROUND(GF33/INDEX(Undirviðmið!$F$6:$F$205,GF$4)*INDEX(Undirviðmið!$E$6:$E$205,GF$4)*KVARDI,2),""))</f>
        <v/>
      </c>
      <c r="GH33" s="23"/>
      <c r="GI33" s="40" t="str">
        <f aca="false">IF(OR(GH$4=0,GH33=""),"",IFERROR(ROUND(GH33/INDEX(Undirviðmið!$F$6:$F$205,GH$4)*INDEX(Undirviðmið!$E$6:$E$205,GH$4)*KVARDI,2),""))</f>
        <v/>
      </c>
      <c r="GJ33" s="23"/>
      <c r="GK33" s="40" t="str">
        <f aca="false">IF(OR(GJ$4=0,GJ33=""),"",IFERROR(ROUND(GJ33/INDEX(Undirviðmið!$F$6:$F$205,GJ$4)*INDEX(Undirviðmið!$E$6:$E$205,GJ$4)*KVARDI,2),""))</f>
        <v/>
      </c>
      <c r="GL33" s="23"/>
      <c r="GM33" s="40" t="str">
        <f aca="false">IF(OR(GL$4=0,GL33=""),"",IFERROR(ROUND(GL33/INDEX(Undirviðmið!$F$6:$F$205,GL$4)*INDEX(Undirviðmið!$E$6:$E$205,GL$4)*KVARDI,2),""))</f>
        <v/>
      </c>
      <c r="GN33" s="23"/>
      <c r="GO33" s="40" t="str">
        <f aca="false">IF(OR(GN$4=0,GN33=""),"",IFERROR(ROUND(GN33/INDEX(Undirviðmið!$F$6:$F$205,GN$4)*INDEX(Undirviðmið!$E$6:$E$205,GN$4)*KVARDI,2),""))</f>
        <v/>
      </c>
      <c r="GP33" s="23"/>
      <c r="GQ33" s="40" t="str">
        <f aca="false">IF(OR(GP$4=0,GP33=""),"",IFERROR(ROUND(GP33/INDEX(Undirviðmið!$F$6:$F$205,GP$4)*INDEX(Undirviðmið!$E$6:$E$205,GP$4)*KVARDI,2),""))</f>
        <v/>
      </c>
      <c r="GR33" s="23"/>
      <c r="GS33" s="40" t="str">
        <f aca="false">IF(OR(GR$4=0,GR33=""),"",IFERROR(ROUND(GR33/INDEX(Undirviðmið!$F$6:$F$205,GR$4)*INDEX(Undirviðmið!$E$6:$E$205,GR$4)*KVARDI,2),""))</f>
        <v/>
      </c>
      <c r="GT33" s="23"/>
      <c r="GU33" s="40" t="str">
        <f aca="false">IF(OR(GT$4=0,GT33=""),"",IFERROR(ROUND(GT33/INDEX(Undirviðmið!$F$6:$F$205,GT$4)*INDEX(Undirviðmið!$E$6:$E$205,GT$4)*KVARDI,2),""))</f>
        <v/>
      </c>
      <c r="GV33" s="44" t="n">
        <f aca="false">IFERROR(SUMIF($D$6:GU$6,"Stig",$D33:GU33),0)</f>
        <v>0</v>
      </c>
    </row>
    <row r="34" customFormat="false" ht="15" hidden="false" customHeight="true" outlineLevel="0" collapsed="false">
      <c r="A34" s="22" t="n">
        <f aca="false">ROW()-6</f>
        <v>28</v>
      </c>
      <c r="B34" s="24" t="str">
        <f aca="false">IF(INDEX(Starfsmenn!$B$6:$B$10005,ROW()-6)="","",INDEX(Starfsmenn!$B$6:$B$10005,ROW()-6))</f>
        <v/>
      </c>
      <c r="C34" s="24" t="str">
        <f aca="false">IF(INDEX(Starfsmenn!$C$6:$C$10005,ROW()-6)="","",INDEX(Starfsmenn!$C$6:$C$10005,ROW()-6))</f>
        <v/>
      </c>
      <c r="D34" s="23"/>
      <c r="E34" s="40" t="str">
        <f aca="false">IF(OR(D$4=0,D34=""),"",IFERROR(ROUND(D34/INDEX(Undirviðmið!$F$6:$F$205,D$4)*INDEX(Undirviðmið!$E$6:$E$205,D$4)*KVARDI,2),""))</f>
        <v/>
      </c>
      <c r="F34" s="23"/>
      <c r="G34" s="40" t="str">
        <f aca="false">IF(OR(F$4=0,F34=""),"",IFERROR(ROUND(F34/INDEX(Undirviðmið!$F$6:$F$205,F$4)*INDEX(Undirviðmið!$E$6:$E$205,F$4)*KVARDI,2),""))</f>
        <v/>
      </c>
      <c r="H34" s="23"/>
      <c r="I34" s="40" t="str">
        <f aca="false">IF(OR(H$4=0,H34=""),"",IFERROR(ROUND(H34/INDEX(Undirviðmið!$F$6:$F$205,H$4)*INDEX(Undirviðmið!$E$6:$E$205,H$4)*KVARDI,2),""))</f>
        <v/>
      </c>
      <c r="J34" s="23"/>
      <c r="K34" s="40" t="str">
        <f aca="false">IF(OR(J$4=0,J34=""),"",IFERROR(ROUND(J34/INDEX(Undirviðmið!$F$6:$F$205,J$4)*INDEX(Undirviðmið!$E$6:$E$205,J$4)*KVARDI,2),""))</f>
        <v/>
      </c>
      <c r="L34" s="23"/>
      <c r="M34" s="40" t="str">
        <f aca="false">IF(OR(L$4=0,L34=""),"",IFERROR(ROUND(L34/INDEX(Undirviðmið!$F$6:$F$205,L$4)*INDEX(Undirviðmið!$E$6:$E$205,L$4)*KVARDI,2),""))</f>
        <v/>
      </c>
      <c r="N34" s="23"/>
      <c r="O34" s="40" t="str">
        <f aca="false">IF(OR(N$4=0,N34=""),"",IFERROR(ROUND(N34/INDEX(Undirviðmið!$F$6:$F$205,N$4)*INDEX(Undirviðmið!$E$6:$E$205,N$4)*KVARDI,2),""))</f>
        <v/>
      </c>
      <c r="P34" s="23"/>
      <c r="Q34" s="40" t="str">
        <f aca="false">IF(OR(P$4=0,P34=""),"",IFERROR(ROUND(P34/INDEX(Undirviðmið!$F$6:$F$205,P$4)*INDEX(Undirviðmið!$E$6:$E$205,P$4)*KVARDI,2),""))</f>
        <v/>
      </c>
      <c r="R34" s="23"/>
      <c r="S34" s="40" t="str">
        <f aca="false">IF(OR(R$4=0,R34=""),"",IFERROR(ROUND(R34/INDEX(Undirviðmið!$F$6:$F$205,R$4)*INDEX(Undirviðmið!$E$6:$E$205,R$4)*KVARDI,2),""))</f>
        <v/>
      </c>
      <c r="T34" s="23"/>
      <c r="U34" s="40" t="str">
        <f aca="false">IF(OR(T$4=0,T34=""),"",IFERROR(ROUND(T34/INDEX(Undirviðmið!$F$6:$F$205,T$4)*INDEX(Undirviðmið!$E$6:$E$205,T$4)*KVARDI,2),""))</f>
        <v/>
      </c>
      <c r="V34" s="23"/>
      <c r="W34" s="40" t="str">
        <f aca="false">IF(OR(V$4=0,V34=""),"",IFERROR(ROUND(V34/INDEX(Undirviðmið!$F$6:$F$205,V$4)*INDEX(Undirviðmið!$E$6:$E$205,V$4)*KVARDI,2),""))</f>
        <v/>
      </c>
      <c r="X34" s="23"/>
      <c r="Y34" s="40" t="str">
        <f aca="false">IF(OR(X$4=0,X34=""),"",IFERROR(ROUND(X34/INDEX(Undirviðmið!$F$6:$F$205,X$4)*INDEX(Undirviðmið!$E$6:$E$205,X$4)*KVARDI,2),""))</f>
        <v/>
      </c>
      <c r="Z34" s="23"/>
      <c r="AA34" s="40" t="str">
        <f aca="false">IF(OR(Z$4=0,Z34=""),"",IFERROR(ROUND(Z34/INDEX(Undirviðmið!$F$6:$F$205,Z$4)*INDEX(Undirviðmið!$E$6:$E$205,Z$4)*KVARDI,2),""))</f>
        <v/>
      </c>
      <c r="AB34" s="23"/>
      <c r="AC34" s="40" t="str">
        <f aca="false">IF(OR(AB$4=0,AB34=""),"",IFERROR(ROUND(AB34/INDEX(Undirviðmið!$F$6:$F$205,AB$4)*INDEX(Undirviðmið!$E$6:$E$205,AB$4)*KVARDI,2),""))</f>
        <v/>
      </c>
      <c r="AD34" s="23"/>
      <c r="AE34" s="40" t="str">
        <f aca="false">IF(OR(AD$4=0,AD34=""),"",IFERROR(ROUND(AD34/INDEX(Undirviðmið!$F$6:$F$205,AD$4)*INDEX(Undirviðmið!$E$6:$E$205,AD$4)*KVARDI,2),""))</f>
        <v/>
      </c>
      <c r="AF34" s="23"/>
      <c r="AG34" s="40" t="str">
        <f aca="false">IF(OR(AF$4=0,AF34=""),"",IFERROR(ROUND(AF34/INDEX(Undirviðmið!$F$6:$F$205,AF$4)*INDEX(Undirviðmið!$E$6:$E$205,AF$4)*KVARDI,2),""))</f>
        <v/>
      </c>
      <c r="AH34" s="23"/>
      <c r="AI34" s="40" t="str">
        <f aca="false">IF(OR(AH$4=0,AH34=""),"",IFERROR(ROUND(AH34/INDEX(Undirviðmið!$F$6:$F$205,AH$4)*INDEX(Undirviðmið!$E$6:$E$205,AH$4)*KVARDI,2),""))</f>
        <v/>
      </c>
      <c r="AJ34" s="23"/>
      <c r="AK34" s="40" t="str">
        <f aca="false">IF(OR(AJ$4=0,AJ34=""),"",IFERROR(ROUND(AJ34/INDEX(Undirviðmið!$F$6:$F$205,AJ$4)*INDEX(Undirviðmið!$E$6:$E$205,AJ$4)*KVARDI,2),""))</f>
        <v/>
      </c>
      <c r="AL34" s="23"/>
      <c r="AM34" s="40" t="str">
        <f aca="false">IF(OR(AL$4=0,AL34=""),"",IFERROR(ROUND(AL34/INDEX(Undirviðmið!$F$6:$F$205,AL$4)*INDEX(Undirviðmið!$E$6:$E$205,AL$4)*KVARDI,2),""))</f>
        <v/>
      </c>
      <c r="AN34" s="23"/>
      <c r="AO34" s="40" t="str">
        <f aca="false">IF(OR(AN$4=0,AN34=""),"",IFERROR(ROUND(AN34/INDEX(Undirviðmið!$F$6:$F$205,AN$4)*INDEX(Undirviðmið!$E$6:$E$205,AN$4)*KVARDI,2),""))</f>
        <v/>
      </c>
      <c r="AP34" s="23"/>
      <c r="AQ34" s="40" t="str">
        <f aca="false">IF(OR(AP$4=0,AP34=""),"",IFERROR(ROUND(AP34/INDEX(Undirviðmið!$F$6:$F$205,AP$4)*INDEX(Undirviðmið!$E$6:$E$205,AP$4)*KVARDI,2),""))</f>
        <v/>
      </c>
      <c r="AR34" s="23"/>
      <c r="AS34" s="40" t="str">
        <f aca="false">IF(OR(AR$4=0,AR34=""),"",IFERROR(ROUND(AR34/INDEX(Undirviðmið!$F$6:$F$205,AR$4)*INDEX(Undirviðmið!$E$6:$E$205,AR$4)*KVARDI,2),""))</f>
        <v/>
      </c>
      <c r="AT34" s="23"/>
      <c r="AU34" s="40" t="str">
        <f aca="false">IF(OR(AT$4=0,AT34=""),"",IFERROR(ROUND(AT34/INDEX(Undirviðmið!$F$6:$F$205,AT$4)*INDEX(Undirviðmið!$E$6:$E$205,AT$4)*KVARDI,2),""))</f>
        <v/>
      </c>
      <c r="AV34" s="23"/>
      <c r="AW34" s="40" t="str">
        <f aca="false">IF(OR(AV$4=0,AV34=""),"",IFERROR(ROUND(AV34/INDEX(Undirviðmið!$F$6:$F$205,AV$4)*INDEX(Undirviðmið!$E$6:$E$205,AV$4)*KVARDI,2),""))</f>
        <v/>
      </c>
      <c r="AX34" s="23"/>
      <c r="AY34" s="40" t="str">
        <f aca="false">IF(OR(AX$4=0,AX34=""),"",IFERROR(ROUND(AX34/INDEX(Undirviðmið!$F$6:$F$205,AX$4)*INDEX(Undirviðmið!$E$6:$E$205,AX$4)*KVARDI,2),""))</f>
        <v/>
      </c>
      <c r="AZ34" s="23"/>
      <c r="BA34" s="40" t="str">
        <f aca="false">IF(OR(AZ$4=0,AZ34=""),"",IFERROR(ROUND(AZ34/INDEX(Undirviðmið!$F$6:$F$205,AZ$4)*INDEX(Undirviðmið!$E$6:$E$205,AZ$4)*KVARDI,2),""))</f>
        <v/>
      </c>
      <c r="BB34" s="23"/>
      <c r="BC34" s="40" t="str">
        <f aca="false">IF(OR(BB$4=0,BB34=""),"",IFERROR(ROUND(BB34/INDEX(Undirviðmið!$F$6:$F$205,BB$4)*INDEX(Undirviðmið!$E$6:$E$205,BB$4)*KVARDI,2),""))</f>
        <v/>
      </c>
      <c r="BD34" s="23"/>
      <c r="BE34" s="40" t="str">
        <f aca="false">IF(OR(BD$4=0,BD34=""),"",IFERROR(ROUND(BD34/INDEX(Undirviðmið!$F$6:$F$205,BD$4)*INDEX(Undirviðmið!$E$6:$E$205,BD$4)*KVARDI,2),""))</f>
        <v/>
      </c>
      <c r="BF34" s="23"/>
      <c r="BG34" s="40" t="str">
        <f aca="false">IF(OR(BF$4=0,BF34=""),"",IFERROR(ROUND(BF34/INDEX(Undirviðmið!$F$6:$F$205,BF$4)*INDEX(Undirviðmið!$E$6:$E$205,BF$4)*KVARDI,2),""))</f>
        <v/>
      </c>
      <c r="BH34" s="23"/>
      <c r="BI34" s="40" t="str">
        <f aca="false">IF(OR(BH$4=0,BH34=""),"",IFERROR(ROUND(BH34/INDEX(Undirviðmið!$F$6:$F$205,BH$4)*INDEX(Undirviðmið!$E$6:$E$205,BH$4)*KVARDI,2),""))</f>
        <v/>
      </c>
      <c r="BJ34" s="23"/>
      <c r="BK34" s="40" t="str">
        <f aca="false">IF(OR(BJ$4=0,BJ34=""),"",IFERROR(ROUND(BJ34/INDEX(Undirviðmið!$F$6:$F$205,BJ$4)*INDEX(Undirviðmið!$E$6:$E$205,BJ$4)*KVARDI,2),""))</f>
        <v/>
      </c>
      <c r="BL34" s="23"/>
      <c r="BM34" s="40" t="str">
        <f aca="false">IF(OR(BL$4=0,BL34=""),"",IFERROR(ROUND(BL34/INDEX(Undirviðmið!$F$6:$F$205,BL$4)*INDEX(Undirviðmið!$E$6:$E$205,BL$4)*KVARDI,2),""))</f>
        <v/>
      </c>
      <c r="BN34" s="23"/>
      <c r="BO34" s="40" t="str">
        <f aca="false">IF(OR(BN$4=0,BN34=""),"",IFERROR(ROUND(BN34/INDEX(Undirviðmið!$F$6:$F$205,BN$4)*INDEX(Undirviðmið!$E$6:$E$205,BN$4)*KVARDI,2),""))</f>
        <v/>
      </c>
      <c r="BP34" s="23"/>
      <c r="BQ34" s="40" t="str">
        <f aca="false">IF(OR(BP$4=0,BP34=""),"",IFERROR(ROUND(BP34/INDEX(Undirviðmið!$F$6:$F$205,BP$4)*INDEX(Undirviðmið!$E$6:$E$205,BP$4)*KVARDI,2),""))</f>
        <v/>
      </c>
      <c r="BR34" s="23"/>
      <c r="BS34" s="40" t="str">
        <f aca="false">IF(OR(BR$4=0,BR34=""),"",IFERROR(ROUND(BR34/INDEX(Undirviðmið!$F$6:$F$205,BR$4)*INDEX(Undirviðmið!$E$6:$E$205,BR$4)*KVARDI,2),""))</f>
        <v/>
      </c>
      <c r="BT34" s="23"/>
      <c r="BU34" s="40" t="str">
        <f aca="false">IF(OR(BT$4=0,BT34=""),"",IFERROR(ROUND(BT34/INDEX(Undirviðmið!$F$6:$F$205,BT$4)*INDEX(Undirviðmið!$E$6:$E$205,BT$4)*KVARDI,2),""))</f>
        <v/>
      </c>
      <c r="BV34" s="23"/>
      <c r="BW34" s="40" t="str">
        <f aca="false">IF(OR(BV$4=0,BV34=""),"",IFERROR(ROUND(BV34/INDEX(Undirviðmið!$F$6:$F$205,BV$4)*INDEX(Undirviðmið!$E$6:$E$205,BV$4)*KVARDI,2),""))</f>
        <v/>
      </c>
      <c r="BX34" s="23"/>
      <c r="BY34" s="40" t="str">
        <f aca="false">IF(OR(BX$4=0,BX34=""),"",IFERROR(ROUND(BX34/INDEX(Undirviðmið!$F$6:$F$205,BX$4)*INDEX(Undirviðmið!$E$6:$E$205,BX$4)*KVARDI,2),""))</f>
        <v/>
      </c>
      <c r="BZ34" s="23"/>
      <c r="CA34" s="40" t="str">
        <f aca="false">IF(OR(BZ$4=0,BZ34=""),"",IFERROR(ROUND(BZ34/INDEX(Undirviðmið!$F$6:$F$205,BZ$4)*INDEX(Undirviðmið!$E$6:$E$205,BZ$4)*KVARDI,2),""))</f>
        <v/>
      </c>
      <c r="CB34" s="23"/>
      <c r="CC34" s="40" t="str">
        <f aca="false">IF(OR(CB$4=0,CB34=""),"",IFERROR(ROUND(CB34/INDEX(Undirviðmið!$F$6:$F$205,CB$4)*INDEX(Undirviðmið!$E$6:$E$205,CB$4)*KVARDI,2),""))</f>
        <v/>
      </c>
      <c r="CD34" s="23"/>
      <c r="CE34" s="40" t="str">
        <f aca="false">IF(OR(CD$4=0,CD34=""),"",IFERROR(ROUND(CD34/INDEX(Undirviðmið!$F$6:$F$205,CD$4)*INDEX(Undirviðmið!$E$6:$E$205,CD$4)*KVARDI,2),""))</f>
        <v/>
      </c>
      <c r="CF34" s="23"/>
      <c r="CG34" s="40" t="str">
        <f aca="false">IF(OR(CF$4=0,CF34=""),"",IFERROR(ROUND(CF34/INDEX(Undirviðmið!$F$6:$F$205,CF$4)*INDEX(Undirviðmið!$E$6:$E$205,CF$4)*KVARDI,2),""))</f>
        <v/>
      </c>
      <c r="CH34" s="23"/>
      <c r="CI34" s="40" t="str">
        <f aca="false">IF(OR(CH$4=0,CH34=""),"",IFERROR(ROUND(CH34/INDEX(Undirviðmið!$F$6:$F$205,CH$4)*INDEX(Undirviðmið!$E$6:$E$205,CH$4)*KVARDI,2),""))</f>
        <v/>
      </c>
      <c r="CJ34" s="23"/>
      <c r="CK34" s="40" t="str">
        <f aca="false">IF(OR(CJ$4=0,CJ34=""),"",IFERROR(ROUND(CJ34/INDEX(Undirviðmið!$F$6:$F$205,CJ$4)*INDEX(Undirviðmið!$E$6:$E$205,CJ$4)*KVARDI,2),""))</f>
        <v/>
      </c>
      <c r="CL34" s="23"/>
      <c r="CM34" s="40" t="str">
        <f aca="false">IF(OR(CL$4=0,CL34=""),"",IFERROR(ROUND(CL34/INDEX(Undirviðmið!$F$6:$F$205,CL$4)*INDEX(Undirviðmið!$E$6:$E$205,CL$4)*KVARDI,2),""))</f>
        <v/>
      </c>
      <c r="CN34" s="23"/>
      <c r="CO34" s="40" t="str">
        <f aca="false">IF(OR(CN$4=0,CN34=""),"",IFERROR(ROUND(CN34/INDEX(Undirviðmið!$F$6:$F$205,CN$4)*INDEX(Undirviðmið!$E$6:$E$205,CN$4)*KVARDI,2),""))</f>
        <v/>
      </c>
      <c r="CP34" s="23"/>
      <c r="CQ34" s="40" t="str">
        <f aca="false">IF(OR(CP$4=0,CP34=""),"",IFERROR(ROUND(CP34/INDEX(Undirviðmið!$F$6:$F$205,CP$4)*INDEX(Undirviðmið!$E$6:$E$205,CP$4)*KVARDI,2),""))</f>
        <v/>
      </c>
      <c r="CR34" s="23"/>
      <c r="CS34" s="40" t="str">
        <f aca="false">IF(OR(CR$4=0,CR34=""),"",IFERROR(ROUND(CR34/INDEX(Undirviðmið!$F$6:$F$205,CR$4)*INDEX(Undirviðmið!$E$6:$E$205,CR$4)*KVARDI,2),""))</f>
        <v/>
      </c>
      <c r="CT34" s="23"/>
      <c r="CU34" s="40" t="str">
        <f aca="false">IF(OR(CT$4=0,CT34=""),"",IFERROR(ROUND(CT34/INDEX(Undirviðmið!$F$6:$F$205,CT$4)*INDEX(Undirviðmið!$E$6:$E$205,CT$4)*KVARDI,2),""))</f>
        <v/>
      </c>
      <c r="CV34" s="23"/>
      <c r="CW34" s="40" t="str">
        <f aca="false">IF(OR(CV$4=0,CV34=""),"",IFERROR(ROUND(CV34/INDEX(Undirviðmið!$F$6:$F$205,CV$4)*INDEX(Undirviðmið!$E$6:$E$205,CV$4)*KVARDI,2),""))</f>
        <v/>
      </c>
      <c r="CX34" s="23"/>
      <c r="CY34" s="40" t="str">
        <f aca="false">IF(OR(CX$4=0,CX34=""),"",IFERROR(ROUND(CX34/INDEX(Undirviðmið!$F$6:$F$205,CX$4)*INDEX(Undirviðmið!$E$6:$E$205,CX$4)*KVARDI,2),""))</f>
        <v/>
      </c>
      <c r="CZ34" s="23"/>
      <c r="DA34" s="40" t="str">
        <f aca="false">IF(OR(CZ$4=0,CZ34=""),"",IFERROR(ROUND(CZ34/INDEX(Undirviðmið!$F$6:$F$205,CZ$4)*INDEX(Undirviðmið!$E$6:$E$205,CZ$4)*KVARDI,2),""))</f>
        <v/>
      </c>
      <c r="DB34" s="23"/>
      <c r="DC34" s="40" t="str">
        <f aca="false">IF(OR(DB$4=0,DB34=""),"",IFERROR(ROUND(DB34/INDEX(Undirviðmið!$F$6:$F$205,DB$4)*INDEX(Undirviðmið!$E$6:$E$205,DB$4)*KVARDI,2),""))</f>
        <v/>
      </c>
      <c r="DD34" s="23"/>
      <c r="DE34" s="40" t="str">
        <f aca="false">IF(OR(DD$4=0,DD34=""),"",IFERROR(ROUND(DD34/INDEX(Undirviðmið!$F$6:$F$205,DD$4)*INDEX(Undirviðmið!$E$6:$E$205,DD$4)*KVARDI,2),""))</f>
        <v/>
      </c>
      <c r="DF34" s="23"/>
      <c r="DG34" s="40" t="str">
        <f aca="false">IF(OR(DF$4=0,DF34=""),"",IFERROR(ROUND(DF34/INDEX(Undirviðmið!$F$6:$F$205,DF$4)*INDEX(Undirviðmið!$E$6:$E$205,DF$4)*KVARDI,2),""))</f>
        <v/>
      </c>
      <c r="DH34" s="23"/>
      <c r="DI34" s="40" t="str">
        <f aca="false">IF(OR(DH$4=0,DH34=""),"",IFERROR(ROUND(DH34/INDEX(Undirviðmið!$F$6:$F$205,DH$4)*INDEX(Undirviðmið!$E$6:$E$205,DH$4)*KVARDI,2),""))</f>
        <v/>
      </c>
      <c r="DJ34" s="23"/>
      <c r="DK34" s="40" t="str">
        <f aca="false">IF(OR(DJ$4=0,DJ34=""),"",IFERROR(ROUND(DJ34/INDEX(Undirviðmið!$F$6:$F$205,DJ$4)*INDEX(Undirviðmið!$E$6:$E$205,DJ$4)*KVARDI,2),""))</f>
        <v/>
      </c>
      <c r="DL34" s="23"/>
      <c r="DM34" s="40" t="str">
        <f aca="false">IF(OR(DL$4=0,DL34=""),"",IFERROR(ROUND(DL34/INDEX(Undirviðmið!$F$6:$F$205,DL$4)*INDEX(Undirviðmið!$E$6:$E$205,DL$4)*KVARDI,2),""))</f>
        <v/>
      </c>
      <c r="DN34" s="23"/>
      <c r="DO34" s="40" t="str">
        <f aca="false">IF(OR(DN$4=0,DN34=""),"",IFERROR(ROUND(DN34/INDEX(Undirviðmið!$F$6:$F$205,DN$4)*INDEX(Undirviðmið!$E$6:$E$205,DN$4)*KVARDI,2),""))</f>
        <v/>
      </c>
      <c r="DP34" s="23"/>
      <c r="DQ34" s="40" t="str">
        <f aca="false">IF(OR(DP$4=0,DP34=""),"",IFERROR(ROUND(DP34/INDEX(Undirviðmið!$F$6:$F$205,DP$4)*INDEX(Undirviðmið!$E$6:$E$205,DP$4)*KVARDI,2),""))</f>
        <v/>
      </c>
      <c r="DR34" s="23"/>
      <c r="DS34" s="40" t="str">
        <f aca="false">IF(OR(DR$4=0,DR34=""),"",IFERROR(ROUND(DR34/INDEX(Undirviðmið!$F$6:$F$205,DR$4)*INDEX(Undirviðmið!$E$6:$E$205,DR$4)*KVARDI,2),""))</f>
        <v/>
      </c>
      <c r="DT34" s="23"/>
      <c r="DU34" s="40" t="str">
        <f aca="false">IF(OR(DT$4=0,DT34=""),"",IFERROR(ROUND(DT34/INDEX(Undirviðmið!$F$6:$F$205,DT$4)*INDEX(Undirviðmið!$E$6:$E$205,DT$4)*KVARDI,2),""))</f>
        <v/>
      </c>
      <c r="DV34" s="23"/>
      <c r="DW34" s="40" t="str">
        <f aca="false">IF(OR(DV$4=0,DV34=""),"",IFERROR(ROUND(DV34/INDEX(Undirviðmið!$F$6:$F$205,DV$4)*INDEX(Undirviðmið!$E$6:$E$205,DV$4)*KVARDI,2),""))</f>
        <v/>
      </c>
      <c r="DX34" s="23"/>
      <c r="DY34" s="40" t="str">
        <f aca="false">IF(OR(DX$4=0,DX34=""),"",IFERROR(ROUND(DX34/INDEX(Undirviðmið!$F$6:$F$205,DX$4)*INDEX(Undirviðmið!$E$6:$E$205,DX$4)*KVARDI,2),""))</f>
        <v/>
      </c>
      <c r="DZ34" s="23"/>
      <c r="EA34" s="40" t="str">
        <f aca="false">IF(OR(DZ$4=0,DZ34=""),"",IFERROR(ROUND(DZ34/INDEX(Undirviðmið!$F$6:$F$205,DZ$4)*INDEX(Undirviðmið!$E$6:$E$205,DZ$4)*KVARDI,2),""))</f>
        <v/>
      </c>
      <c r="EB34" s="23"/>
      <c r="EC34" s="40" t="str">
        <f aca="false">IF(OR(EB$4=0,EB34=""),"",IFERROR(ROUND(EB34/INDEX(Undirviðmið!$F$6:$F$205,EB$4)*INDEX(Undirviðmið!$E$6:$E$205,EB$4)*KVARDI,2),""))</f>
        <v/>
      </c>
      <c r="ED34" s="23"/>
      <c r="EE34" s="40" t="str">
        <f aca="false">IF(OR(ED$4=0,ED34=""),"",IFERROR(ROUND(ED34/INDEX(Undirviðmið!$F$6:$F$205,ED$4)*INDEX(Undirviðmið!$E$6:$E$205,ED$4)*KVARDI,2),""))</f>
        <v/>
      </c>
      <c r="EF34" s="23"/>
      <c r="EG34" s="40" t="str">
        <f aca="false">IF(OR(EF$4=0,EF34=""),"",IFERROR(ROUND(EF34/INDEX(Undirviðmið!$F$6:$F$205,EF$4)*INDEX(Undirviðmið!$E$6:$E$205,EF$4)*KVARDI,2),""))</f>
        <v/>
      </c>
      <c r="EH34" s="23"/>
      <c r="EI34" s="40" t="str">
        <f aca="false">IF(OR(EH$4=0,EH34=""),"",IFERROR(ROUND(EH34/INDEX(Undirviðmið!$F$6:$F$205,EH$4)*INDEX(Undirviðmið!$E$6:$E$205,EH$4)*KVARDI,2),""))</f>
        <v/>
      </c>
      <c r="EJ34" s="23"/>
      <c r="EK34" s="40" t="str">
        <f aca="false">IF(OR(EJ$4=0,EJ34=""),"",IFERROR(ROUND(EJ34/INDEX(Undirviðmið!$F$6:$F$205,EJ$4)*INDEX(Undirviðmið!$E$6:$E$205,EJ$4)*KVARDI,2),""))</f>
        <v/>
      </c>
      <c r="EL34" s="23"/>
      <c r="EM34" s="40" t="str">
        <f aca="false">IF(OR(EL$4=0,EL34=""),"",IFERROR(ROUND(EL34/INDEX(Undirviðmið!$F$6:$F$205,EL$4)*INDEX(Undirviðmið!$E$6:$E$205,EL$4)*KVARDI,2),""))</f>
        <v/>
      </c>
      <c r="EN34" s="23"/>
      <c r="EO34" s="40" t="str">
        <f aca="false">IF(OR(EN$4=0,EN34=""),"",IFERROR(ROUND(EN34/INDEX(Undirviðmið!$F$6:$F$205,EN$4)*INDEX(Undirviðmið!$E$6:$E$205,EN$4)*KVARDI,2),""))</f>
        <v/>
      </c>
      <c r="EP34" s="23"/>
      <c r="EQ34" s="40" t="str">
        <f aca="false">IF(OR(EP$4=0,EP34=""),"",IFERROR(ROUND(EP34/INDEX(Undirviðmið!$F$6:$F$205,EP$4)*INDEX(Undirviðmið!$E$6:$E$205,EP$4)*KVARDI,2),""))</f>
        <v/>
      </c>
      <c r="ER34" s="23"/>
      <c r="ES34" s="40" t="str">
        <f aca="false">IF(OR(ER$4=0,ER34=""),"",IFERROR(ROUND(ER34/INDEX(Undirviðmið!$F$6:$F$205,ER$4)*INDEX(Undirviðmið!$E$6:$E$205,ER$4)*KVARDI,2),""))</f>
        <v/>
      </c>
      <c r="ET34" s="23"/>
      <c r="EU34" s="40" t="str">
        <f aca="false">IF(OR(ET$4=0,ET34=""),"",IFERROR(ROUND(ET34/INDEX(Undirviðmið!$F$6:$F$205,ET$4)*INDEX(Undirviðmið!$E$6:$E$205,ET$4)*KVARDI,2),""))</f>
        <v/>
      </c>
      <c r="EV34" s="23"/>
      <c r="EW34" s="40" t="str">
        <f aca="false">IF(OR(EV$4=0,EV34=""),"",IFERROR(ROUND(EV34/INDEX(Undirviðmið!$F$6:$F$205,EV$4)*INDEX(Undirviðmið!$E$6:$E$205,EV$4)*KVARDI,2),""))</f>
        <v/>
      </c>
      <c r="EX34" s="23"/>
      <c r="EY34" s="40" t="str">
        <f aca="false">IF(OR(EX$4=0,EX34=""),"",IFERROR(ROUND(EX34/INDEX(Undirviðmið!$F$6:$F$205,EX$4)*INDEX(Undirviðmið!$E$6:$E$205,EX$4)*KVARDI,2),""))</f>
        <v/>
      </c>
      <c r="EZ34" s="23"/>
      <c r="FA34" s="40" t="str">
        <f aca="false">IF(OR(EZ$4=0,EZ34=""),"",IFERROR(ROUND(EZ34/INDEX(Undirviðmið!$F$6:$F$205,EZ$4)*INDEX(Undirviðmið!$E$6:$E$205,EZ$4)*KVARDI,2),""))</f>
        <v/>
      </c>
      <c r="FB34" s="23"/>
      <c r="FC34" s="40" t="str">
        <f aca="false">IF(OR(FB$4=0,FB34=""),"",IFERROR(ROUND(FB34/INDEX(Undirviðmið!$F$6:$F$205,FB$4)*INDEX(Undirviðmið!$E$6:$E$205,FB$4)*KVARDI,2),""))</f>
        <v/>
      </c>
      <c r="FD34" s="23"/>
      <c r="FE34" s="40" t="str">
        <f aca="false">IF(OR(FD$4=0,FD34=""),"",IFERROR(ROUND(FD34/INDEX(Undirviðmið!$F$6:$F$205,FD$4)*INDEX(Undirviðmið!$E$6:$E$205,FD$4)*KVARDI,2),""))</f>
        <v/>
      </c>
      <c r="FF34" s="23"/>
      <c r="FG34" s="40" t="str">
        <f aca="false">IF(OR(FF$4=0,FF34=""),"",IFERROR(ROUND(FF34/INDEX(Undirviðmið!$F$6:$F$205,FF$4)*INDEX(Undirviðmið!$E$6:$E$205,FF$4)*KVARDI,2),""))</f>
        <v/>
      </c>
      <c r="FH34" s="23"/>
      <c r="FI34" s="40" t="str">
        <f aca="false">IF(OR(FH$4=0,FH34=""),"",IFERROR(ROUND(FH34/INDEX(Undirviðmið!$F$6:$F$205,FH$4)*INDEX(Undirviðmið!$E$6:$E$205,FH$4)*KVARDI,2),""))</f>
        <v/>
      </c>
      <c r="FJ34" s="23"/>
      <c r="FK34" s="40" t="str">
        <f aca="false">IF(OR(FJ$4=0,FJ34=""),"",IFERROR(ROUND(FJ34/INDEX(Undirviðmið!$F$6:$F$205,FJ$4)*INDEX(Undirviðmið!$E$6:$E$205,FJ$4)*KVARDI,2),""))</f>
        <v/>
      </c>
      <c r="FL34" s="23"/>
      <c r="FM34" s="40" t="str">
        <f aca="false">IF(OR(FL$4=0,FL34=""),"",IFERROR(ROUND(FL34/INDEX(Undirviðmið!$F$6:$F$205,FL$4)*INDEX(Undirviðmið!$E$6:$E$205,FL$4)*KVARDI,2),""))</f>
        <v/>
      </c>
      <c r="FN34" s="23"/>
      <c r="FO34" s="40" t="str">
        <f aca="false">IF(OR(FN$4=0,FN34=""),"",IFERROR(ROUND(FN34/INDEX(Undirviðmið!$F$6:$F$205,FN$4)*INDEX(Undirviðmið!$E$6:$E$205,FN$4)*KVARDI,2),""))</f>
        <v/>
      </c>
      <c r="FP34" s="23"/>
      <c r="FQ34" s="40" t="str">
        <f aca="false">IF(OR(FP$4=0,FP34=""),"",IFERROR(ROUND(FP34/INDEX(Undirviðmið!$F$6:$F$205,FP$4)*INDEX(Undirviðmið!$E$6:$E$205,FP$4)*KVARDI,2),""))</f>
        <v/>
      </c>
      <c r="FR34" s="23"/>
      <c r="FS34" s="40" t="str">
        <f aca="false">IF(OR(FR$4=0,FR34=""),"",IFERROR(ROUND(FR34/INDEX(Undirviðmið!$F$6:$F$205,FR$4)*INDEX(Undirviðmið!$E$6:$E$205,FR$4)*KVARDI,2),""))</f>
        <v/>
      </c>
      <c r="FT34" s="23"/>
      <c r="FU34" s="40" t="str">
        <f aca="false">IF(OR(FT$4=0,FT34=""),"",IFERROR(ROUND(FT34/INDEX(Undirviðmið!$F$6:$F$205,FT$4)*INDEX(Undirviðmið!$E$6:$E$205,FT$4)*KVARDI,2),""))</f>
        <v/>
      </c>
      <c r="FV34" s="23"/>
      <c r="FW34" s="40" t="str">
        <f aca="false">IF(OR(FV$4=0,FV34=""),"",IFERROR(ROUND(FV34/INDEX(Undirviðmið!$F$6:$F$205,FV$4)*INDEX(Undirviðmið!$E$6:$E$205,FV$4)*KVARDI,2),""))</f>
        <v/>
      </c>
      <c r="FX34" s="23"/>
      <c r="FY34" s="40" t="str">
        <f aca="false">IF(OR(FX$4=0,FX34=""),"",IFERROR(ROUND(FX34/INDEX(Undirviðmið!$F$6:$F$205,FX$4)*INDEX(Undirviðmið!$E$6:$E$205,FX$4)*KVARDI,2),""))</f>
        <v/>
      </c>
      <c r="FZ34" s="23"/>
      <c r="GA34" s="40" t="str">
        <f aca="false">IF(OR(FZ$4=0,FZ34=""),"",IFERROR(ROUND(FZ34/INDEX(Undirviðmið!$F$6:$F$205,FZ$4)*INDEX(Undirviðmið!$E$6:$E$205,FZ$4)*KVARDI,2),""))</f>
        <v/>
      </c>
      <c r="GB34" s="23"/>
      <c r="GC34" s="40" t="str">
        <f aca="false">IF(OR(GB$4=0,GB34=""),"",IFERROR(ROUND(GB34/INDEX(Undirviðmið!$F$6:$F$205,GB$4)*INDEX(Undirviðmið!$E$6:$E$205,GB$4)*KVARDI,2),""))</f>
        <v/>
      </c>
      <c r="GD34" s="23"/>
      <c r="GE34" s="40" t="str">
        <f aca="false">IF(OR(GD$4=0,GD34=""),"",IFERROR(ROUND(GD34/INDEX(Undirviðmið!$F$6:$F$205,GD$4)*INDEX(Undirviðmið!$E$6:$E$205,GD$4)*KVARDI,2),""))</f>
        <v/>
      </c>
      <c r="GF34" s="23"/>
      <c r="GG34" s="40" t="str">
        <f aca="false">IF(OR(GF$4=0,GF34=""),"",IFERROR(ROUND(GF34/INDEX(Undirviðmið!$F$6:$F$205,GF$4)*INDEX(Undirviðmið!$E$6:$E$205,GF$4)*KVARDI,2),""))</f>
        <v/>
      </c>
      <c r="GH34" s="23"/>
      <c r="GI34" s="40" t="str">
        <f aca="false">IF(OR(GH$4=0,GH34=""),"",IFERROR(ROUND(GH34/INDEX(Undirviðmið!$F$6:$F$205,GH$4)*INDEX(Undirviðmið!$E$6:$E$205,GH$4)*KVARDI,2),""))</f>
        <v/>
      </c>
      <c r="GJ34" s="23"/>
      <c r="GK34" s="40" t="str">
        <f aca="false">IF(OR(GJ$4=0,GJ34=""),"",IFERROR(ROUND(GJ34/INDEX(Undirviðmið!$F$6:$F$205,GJ$4)*INDEX(Undirviðmið!$E$6:$E$205,GJ$4)*KVARDI,2),""))</f>
        <v/>
      </c>
      <c r="GL34" s="23"/>
      <c r="GM34" s="40" t="str">
        <f aca="false">IF(OR(GL$4=0,GL34=""),"",IFERROR(ROUND(GL34/INDEX(Undirviðmið!$F$6:$F$205,GL$4)*INDEX(Undirviðmið!$E$6:$E$205,GL$4)*KVARDI,2),""))</f>
        <v/>
      </c>
      <c r="GN34" s="23"/>
      <c r="GO34" s="40" t="str">
        <f aca="false">IF(OR(GN$4=0,GN34=""),"",IFERROR(ROUND(GN34/INDEX(Undirviðmið!$F$6:$F$205,GN$4)*INDEX(Undirviðmið!$E$6:$E$205,GN$4)*KVARDI,2),""))</f>
        <v/>
      </c>
      <c r="GP34" s="23"/>
      <c r="GQ34" s="40" t="str">
        <f aca="false">IF(OR(GP$4=0,GP34=""),"",IFERROR(ROUND(GP34/INDEX(Undirviðmið!$F$6:$F$205,GP$4)*INDEX(Undirviðmið!$E$6:$E$205,GP$4)*KVARDI,2),""))</f>
        <v/>
      </c>
      <c r="GR34" s="23"/>
      <c r="GS34" s="40" t="str">
        <f aca="false">IF(OR(GR$4=0,GR34=""),"",IFERROR(ROUND(GR34/INDEX(Undirviðmið!$F$6:$F$205,GR$4)*INDEX(Undirviðmið!$E$6:$E$205,GR$4)*KVARDI,2),""))</f>
        <v/>
      </c>
      <c r="GT34" s="23"/>
      <c r="GU34" s="40" t="str">
        <f aca="false">IF(OR(GT$4=0,GT34=""),"",IFERROR(ROUND(GT34/INDEX(Undirviðmið!$F$6:$F$205,GT$4)*INDEX(Undirviðmið!$E$6:$E$205,GT$4)*KVARDI,2),""))</f>
        <v/>
      </c>
      <c r="GV34" s="44" t="n">
        <f aca="false">IFERROR(SUMIF($D$6:GU$6,"Stig",$D34:GU34),0)</f>
        <v>0</v>
      </c>
    </row>
    <row r="35" customFormat="false" ht="15" hidden="false" customHeight="true" outlineLevel="0" collapsed="false">
      <c r="A35" s="22" t="n">
        <f aca="false">ROW()-6</f>
        <v>29</v>
      </c>
      <c r="B35" s="24" t="str">
        <f aca="false">IF(INDEX(Starfsmenn!$B$6:$B$10005,ROW()-6)="","",INDEX(Starfsmenn!$B$6:$B$10005,ROW()-6))</f>
        <v/>
      </c>
      <c r="C35" s="24" t="str">
        <f aca="false">IF(INDEX(Starfsmenn!$C$6:$C$10005,ROW()-6)="","",INDEX(Starfsmenn!$C$6:$C$10005,ROW()-6))</f>
        <v/>
      </c>
      <c r="D35" s="23"/>
      <c r="E35" s="40" t="str">
        <f aca="false">IF(OR(D$4=0,D35=""),"",IFERROR(ROUND(D35/INDEX(Undirviðmið!$F$6:$F$205,D$4)*INDEX(Undirviðmið!$E$6:$E$205,D$4)*KVARDI,2),""))</f>
        <v/>
      </c>
      <c r="F35" s="23"/>
      <c r="G35" s="40" t="str">
        <f aca="false">IF(OR(F$4=0,F35=""),"",IFERROR(ROUND(F35/INDEX(Undirviðmið!$F$6:$F$205,F$4)*INDEX(Undirviðmið!$E$6:$E$205,F$4)*KVARDI,2),""))</f>
        <v/>
      </c>
      <c r="H35" s="23"/>
      <c r="I35" s="40" t="str">
        <f aca="false">IF(OR(H$4=0,H35=""),"",IFERROR(ROUND(H35/INDEX(Undirviðmið!$F$6:$F$205,H$4)*INDEX(Undirviðmið!$E$6:$E$205,H$4)*KVARDI,2),""))</f>
        <v/>
      </c>
      <c r="J35" s="23"/>
      <c r="K35" s="40" t="str">
        <f aca="false">IF(OR(J$4=0,J35=""),"",IFERROR(ROUND(J35/INDEX(Undirviðmið!$F$6:$F$205,J$4)*INDEX(Undirviðmið!$E$6:$E$205,J$4)*KVARDI,2),""))</f>
        <v/>
      </c>
      <c r="L35" s="23"/>
      <c r="M35" s="40" t="str">
        <f aca="false">IF(OR(L$4=0,L35=""),"",IFERROR(ROUND(L35/INDEX(Undirviðmið!$F$6:$F$205,L$4)*INDEX(Undirviðmið!$E$6:$E$205,L$4)*KVARDI,2),""))</f>
        <v/>
      </c>
      <c r="N35" s="23"/>
      <c r="O35" s="40" t="str">
        <f aca="false">IF(OR(N$4=0,N35=""),"",IFERROR(ROUND(N35/INDEX(Undirviðmið!$F$6:$F$205,N$4)*INDEX(Undirviðmið!$E$6:$E$205,N$4)*KVARDI,2),""))</f>
        <v/>
      </c>
      <c r="P35" s="23"/>
      <c r="Q35" s="40" t="str">
        <f aca="false">IF(OR(P$4=0,P35=""),"",IFERROR(ROUND(P35/INDEX(Undirviðmið!$F$6:$F$205,P$4)*INDEX(Undirviðmið!$E$6:$E$205,P$4)*KVARDI,2),""))</f>
        <v/>
      </c>
      <c r="R35" s="23"/>
      <c r="S35" s="40" t="str">
        <f aca="false">IF(OR(R$4=0,R35=""),"",IFERROR(ROUND(R35/INDEX(Undirviðmið!$F$6:$F$205,R$4)*INDEX(Undirviðmið!$E$6:$E$205,R$4)*KVARDI,2),""))</f>
        <v/>
      </c>
      <c r="T35" s="23"/>
      <c r="U35" s="40" t="str">
        <f aca="false">IF(OR(T$4=0,T35=""),"",IFERROR(ROUND(T35/INDEX(Undirviðmið!$F$6:$F$205,T$4)*INDEX(Undirviðmið!$E$6:$E$205,T$4)*KVARDI,2),""))</f>
        <v/>
      </c>
      <c r="V35" s="23"/>
      <c r="W35" s="40" t="str">
        <f aca="false">IF(OR(V$4=0,V35=""),"",IFERROR(ROUND(V35/INDEX(Undirviðmið!$F$6:$F$205,V$4)*INDEX(Undirviðmið!$E$6:$E$205,V$4)*KVARDI,2),""))</f>
        <v/>
      </c>
      <c r="X35" s="23"/>
      <c r="Y35" s="40" t="str">
        <f aca="false">IF(OR(X$4=0,X35=""),"",IFERROR(ROUND(X35/INDEX(Undirviðmið!$F$6:$F$205,X$4)*INDEX(Undirviðmið!$E$6:$E$205,X$4)*KVARDI,2),""))</f>
        <v/>
      </c>
      <c r="Z35" s="23"/>
      <c r="AA35" s="40" t="str">
        <f aca="false">IF(OR(Z$4=0,Z35=""),"",IFERROR(ROUND(Z35/INDEX(Undirviðmið!$F$6:$F$205,Z$4)*INDEX(Undirviðmið!$E$6:$E$205,Z$4)*KVARDI,2),""))</f>
        <v/>
      </c>
      <c r="AB35" s="23"/>
      <c r="AC35" s="40" t="str">
        <f aca="false">IF(OR(AB$4=0,AB35=""),"",IFERROR(ROUND(AB35/INDEX(Undirviðmið!$F$6:$F$205,AB$4)*INDEX(Undirviðmið!$E$6:$E$205,AB$4)*KVARDI,2),""))</f>
        <v/>
      </c>
      <c r="AD35" s="23"/>
      <c r="AE35" s="40" t="str">
        <f aca="false">IF(OR(AD$4=0,AD35=""),"",IFERROR(ROUND(AD35/INDEX(Undirviðmið!$F$6:$F$205,AD$4)*INDEX(Undirviðmið!$E$6:$E$205,AD$4)*KVARDI,2),""))</f>
        <v/>
      </c>
      <c r="AF35" s="23"/>
      <c r="AG35" s="40" t="str">
        <f aca="false">IF(OR(AF$4=0,AF35=""),"",IFERROR(ROUND(AF35/INDEX(Undirviðmið!$F$6:$F$205,AF$4)*INDEX(Undirviðmið!$E$6:$E$205,AF$4)*KVARDI,2),""))</f>
        <v/>
      </c>
      <c r="AH35" s="23"/>
      <c r="AI35" s="40" t="str">
        <f aca="false">IF(OR(AH$4=0,AH35=""),"",IFERROR(ROUND(AH35/INDEX(Undirviðmið!$F$6:$F$205,AH$4)*INDEX(Undirviðmið!$E$6:$E$205,AH$4)*KVARDI,2),""))</f>
        <v/>
      </c>
      <c r="AJ35" s="23"/>
      <c r="AK35" s="40" t="str">
        <f aca="false">IF(OR(AJ$4=0,AJ35=""),"",IFERROR(ROUND(AJ35/INDEX(Undirviðmið!$F$6:$F$205,AJ$4)*INDEX(Undirviðmið!$E$6:$E$205,AJ$4)*KVARDI,2),""))</f>
        <v/>
      </c>
      <c r="AL35" s="23"/>
      <c r="AM35" s="40" t="str">
        <f aca="false">IF(OR(AL$4=0,AL35=""),"",IFERROR(ROUND(AL35/INDEX(Undirviðmið!$F$6:$F$205,AL$4)*INDEX(Undirviðmið!$E$6:$E$205,AL$4)*KVARDI,2),""))</f>
        <v/>
      </c>
      <c r="AN35" s="23"/>
      <c r="AO35" s="40" t="str">
        <f aca="false">IF(OR(AN$4=0,AN35=""),"",IFERROR(ROUND(AN35/INDEX(Undirviðmið!$F$6:$F$205,AN$4)*INDEX(Undirviðmið!$E$6:$E$205,AN$4)*KVARDI,2),""))</f>
        <v/>
      </c>
      <c r="AP35" s="23"/>
      <c r="AQ35" s="40" t="str">
        <f aca="false">IF(OR(AP$4=0,AP35=""),"",IFERROR(ROUND(AP35/INDEX(Undirviðmið!$F$6:$F$205,AP$4)*INDEX(Undirviðmið!$E$6:$E$205,AP$4)*KVARDI,2),""))</f>
        <v/>
      </c>
      <c r="AR35" s="23"/>
      <c r="AS35" s="40" t="str">
        <f aca="false">IF(OR(AR$4=0,AR35=""),"",IFERROR(ROUND(AR35/INDEX(Undirviðmið!$F$6:$F$205,AR$4)*INDEX(Undirviðmið!$E$6:$E$205,AR$4)*KVARDI,2),""))</f>
        <v/>
      </c>
      <c r="AT35" s="23"/>
      <c r="AU35" s="40" t="str">
        <f aca="false">IF(OR(AT$4=0,AT35=""),"",IFERROR(ROUND(AT35/INDEX(Undirviðmið!$F$6:$F$205,AT$4)*INDEX(Undirviðmið!$E$6:$E$205,AT$4)*KVARDI,2),""))</f>
        <v/>
      </c>
      <c r="AV35" s="23"/>
      <c r="AW35" s="40" t="str">
        <f aca="false">IF(OR(AV$4=0,AV35=""),"",IFERROR(ROUND(AV35/INDEX(Undirviðmið!$F$6:$F$205,AV$4)*INDEX(Undirviðmið!$E$6:$E$205,AV$4)*KVARDI,2),""))</f>
        <v/>
      </c>
      <c r="AX35" s="23"/>
      <c r="AY35" s="40" t="str">
        <f aca="false">IF(OR(AX$4=0,AX35=""),"",IFERROR(ROUND(AX35/INDEX(Undirviðmið!$F$6:$F$205,AX$4)*INDEX(Undirviðmið!$E$6:$E$205,AX$4)*KVARDI,2),""))</f>
        <v/>
      </c>
      <c r="AZ35" s="23"/>
      <c r="BA35" s="40" t="str">
        <f aca="false">IF(OR(AZ$4=0,AZ35=""),"",IFERROR(ROUND(AZ35/INDEX(Undirviðmið!$F$6:$F$205,AZ$4)*INDEX(Undirviðmið!$E$6:$E$205,AZ$4)*KVARDI,2),""))</f>
        <v/>
      </c>
      <c r="BB35" s="23"/>
      <c r="BC35" s="40" t="str">
        <f aca="false">IF(OR(BB$4=0,BB35=""),"",IFERROR(ROUND(BB35/INDEX(Undirviðmið!$F$6:$F$205,BB$4)*INDEX(Undirviðmið!$E$6:$E$205,BB$4)*KVARDI,2),""))</f>
        <v/>
      </c>
      <c r="BD35" s="23"/>
      <c r="BE35" s="40" t="str">
        <f aca="false">IF(OR(BD$4=0,BD35=""),"",IFERROR(ROUND(BD35/INDEX(Undirviðmið!$F$6:$F$205,BD$4)*INDEX(Undirviðmið!$E$6:$E$205,BD$4)*KVARDI,2),""))</f>
        <v/>
      </c>
      <c r="BF35" s="23"/>
      <c r="BG35" s="40" t="str">
        <f aca="false">IF(OR(BF$4=0,BF35=""),"",IFERROR(ROUND(BF35/INDEX(Undirviðmið!$F$6:$F$205,BF$4)*INDEX(Undirviðmið!$E$6:$E$205,BF$4)*KVARDI,2),""))</f>
        <v/>
      </c>
      <c r="BH35" s="23"/>
      <c r="BI35" s="40" t="str">
        <f aca="false">IF(OR(BH$4=0,BH35=""),"",IFERROR(ROUND(BH35/INDEX(Undirviðmið!$F$6:$F$205,BH$4)*INDEX(Undirviðmið!$E$6:$E$205,BH$4)*KVARDI,2),""))</f>
        <v/>
      </c>
      <c r="BJ35" s="23"/>
      <c r="BK35" s="40" t="str">
        <f aca="false">IF(OR(BJ$4=0,BJ35=""),"",IFERROR(ROUND(BJ35/INDEX(Undirviðmið!$F$6:$F$205,BJ$4)*INDEX(Undirviðmið!$E$6:$E$205,BJ$4)*KVARDI,2),""))</f>
        <v/>
      </c>
      <c r="BL35" s="23"/>
      <c r="BM35" s="40" t="str">
        <f aca="false">IF(OR(BL$4=0,BL35=""),"",IFERROR(ROUND(BL35/INDEX(Undirviðmið!$F$6:$F$205,BL$4)*INDEX(Undirviðmið!$E$6:$E$205,BL$4)*KVARDI,2),""))</f>
        <v/>
      </c>
      <c r="BN35" s="23"/>
      <c r="BO35" s="40" t="str">
        <f aca="false">IF(OR(BN$4=0,BN35=""),"",IFERROR(ROUND(BN35/INDEX(Undirviðmið!$F$6:$F$205,BN$4)*INDEX(Undirviðmið!$E$6:$E$205,BN$4)*KVARDI,2),""))</f>
        <v/>
      </c>
      <c r="BP35" s="23"/>
      <c r="BQ35" s="40" t="str">
        <f aca="false">IF(OR(BP$4=0,BP35=""),"",IFERROR(ROUND(BP35/INDEX(Undirviðmið!$F$6:$F$205,BP$4)*INDEX(Undirviðmið!$E$6:$E$205,BP$4)*KVARDI,2),""))</f>
        <v/>
      </c>
      <c r="BR35" s="23"/>
      <c r="BS35" s="40" t="str">
        <f aca="false">IF(OR(BR$4=0,BR35=""),"",IFERROR(ROUND(BR35/INDEX(Undirviðmið!$F$6:$F$205,BR$4)*INDEX(Undirviðmið!$E$6:$E$205,BR$4)*KVARDI,2),""))</f>
        <v/>
      </c>
      <c r="BT35" s="23"/>
      <c r="BU35" s="40" t="str">
        <f aca="false">IF(OR(BT$4=0,BT35=""),"",IFERROR(ROUND(BT35/INDEX(Undirviðmið!$F$6:$F$205,BT$4)*INDEX(Undirviðmið!$E$6:$E$205,BT$4)*KVARDI,2),""))</f>
        <v/>
      </c>
      <c r="BV35" s="23"/>
      <c r="BW35" s="40" t="str">
        <f aca="false">IF(OR(BV$4=0,BV35=""),"",IFERROR(ROUND(BV35/INDEX(Undirviðmið!$F$6:$F$205,BV$4)*INDEX(Undirviðmið!$E$6:$E$205,BV$4)*KVARDI,2),""))</f>
        <v/>
      </c>
      <c r="BX35" s="23"/>
      <c r="BY35" s="40" t="str">
        <f aca="false">IF(OR(BX$4=0,BX35=""),"",IFERROR(ROUND(BX35/INDEX(Undirviðmið!$F$6:$F$205,BX$4)*INDEX(Undirviðmið!$E$6:$E$205,BX$4)*KVARDI,2),""))</f>
        <v/>
      </c>
      <c r="BZ35" s="23"/>
      <c r="CA35" s="40" t="str">
        <f aca="false">IF(OR(BZ$4=0,BZ35=""),"",IFERROR(ROUND(BZ35/INDEX(Undirviðmið!$F$6:$F$205,BZ$4)*INDEX(Undirviðmið!$E$6:$E$205,BZ$4)*KVARDI,2),""))</f>
        <v/>
      </c>
      <c r="CB35" s="23"/>
      <c r="CC35" s="40" t="str">
        <f aca="false">IF(OR(CB$4=0,CB35=""),"",IFERROR(ROUND(CB35/INDEX(Undirviðmið!$F$6:$F$205,CB$4)*INDEX(Undirviðmið!$E$6:$E$205,CB$4)*KVARDI,2),""))</f>
        <v/>
      </c>
      <c r="CD35" s="23"/>
      <c r="CE35" s="40" t="str">
        <f aca="false">IF(OR(CD$4=0,CD35=""),"",IFERROR(ROUND(CD35/INDEX(Undirviðmið!$F$6:$F$205,CD$4)*INDEX(Undirviðmið!$E$6:$E$205,CD$4)*KVARDI,2),""))</f>
        <v/>
      </c>
      <c r="CF35" s="23"/>
      <c r="CG35" s="40" t="str">
        <f aca="false">IF(OR(CF$4=0,CF35=""),"",IFERROR(ROUND(CF35/INDEX(Undirviðmið!$F$6:$F$205,CF$4)*INDEX(Undirviðmið!$E$6:$E$205,CF$4)*KVARDI,2),""))</f>
        <v/>
      </c>
      <c r="CH35" s="23"/>
      <c r="CI35" s="40" t="str">
        <f aca="false">IF(OR(CH$4=0,CH35=""),"",IFERROR(ROUND(CH35/INDEX(Undirviðmið!$F$6:$F$205,CH$4)*INDEX(Undirviðmið!$E$6:$E$205,CH$4)*KVARDI,2),""))</f>
        <v/>
      </c>
      <c r="CJ35" s="23"/>
      <c r="CK35" s="40" t="str">
        <f aca="false">IF(OR(CJ$4=0,CJ35=""),"",IFERROR(ROUND(CJ35/INDEX(Undirviðmið!$F$6:$F$205,CJ$4)*INDEX(Undirviðmið!$E$6:$E$205,CJ$4)*KVARDI,2),""))</f>
        <v/>
      </c>
      <c r="CL35" s="23"/>
      <c r="CM35" s="40" t="str">
        <f aca="false">IF(OR(CL$4=0,CL35=""),"",IFERROR(ROUND(CL35/INDEX(Undirviðmið!$F$6:$F$205,CL$4)*INDEX(Undirviðmið!$E$6:$E$205,CL$4)*KVARDI,2),""))</f>
        <v/>
      </c>
      <c r="CN35" s="23"/>
      <c r="CO35" s="40" t="str">
        <f aca="false">IF(OR(CN$4=0,CN35=""),"",IFERROR(ROUND(CN35/INDEX(Undirviðmið!$F$6:$F$205,CN$4)*INDEX(Undirviðmið!$E$6:$E$205,CN$4)*KVARDI,2),""))</f>
        <v/>
      </c>
      <c r="CP35" s="23"/>
      <c r="CQ35" s="40" t="str">
        <f aca="false">IF(OR(CP$4=0,CP35=""),"",IFERROR(ROUND(CP35/INDEX(Undirviðmið!$F$6:$F$205,CP$4)*INDEX(Undirviðmið!$E$6:$E$205,CP$4)*KVARDI,2),""))</f>
        <v/>
      </c>
      <c r="CR35" s="23"/>
      <c r="CS35" s="40" t="str">
        <f aca="false">IF(OR(CR$4=0,CR35=""),"",IFERROR(ROUND(CR35/INDEX(Undirviðmið!$F$6:$F$205,CR$4)*INDEX(Undirviðmið!$E$6:$E$205,CR$4)*KVARDI,2),""))</f>
        <v/>
      </c>
      <c r="CT35" s="23"/>
      <c r="CU35" s="40" t="str">
        <f aca="false">IF(OR(CT$4=0,CT35=""),"",IFERROR(ROUND(CT35/INDEX(Undirviðmið!$F$6:$F$205,CT$4)*INDEX(Undirviðmið!$E$6:$E$205,CT$4)*KVARDI,2),""))</f>
        <v/>
      </c>
      <c r="CV35" s="23"/>
      <c r="CW35" s="40" t="str">
        <f aca="false">IF(OR(CV$4=0,CV35=""),"",IFERROR(ROUND(CV35/INDEX(Undirviðmið!$F$6:$F$205,CV$4)*INDEX(Undirviðmið!$E$6:$E$205,CV$4)*KVARDI,2),""))</f>
        <v/>
      </c>
      <c r="CX35" s="23"/>
      <c r="CY35" s="40" t="str">
        <f aca="false">IF(OR(CX$4=0,CX35=""),"",IFERROR(ROUND(CX35/INDEX(Undirviðmið!$F$6:$F$205,CX$4)*INDEX(Undirviðmið!$E$6:$E$205,CX$4)*KVARDI,2),""))</f>
        <v/>
      </c>
      <c r="CZ35" s="23"/>
      <c r="DA35" s="40" t="str">
        <f aca="false">IF(OR(CZ$4=0,CZ35=""),"",IFERROR(ROUND(CZ35/INDEX(Undirviðmið!$F$6:$F$205,CZ$4)*INDEX(Undirviðmið!$E$6:$E$205,CZ$4)*KVARDI,2),""))</f>
        <v/>
      </c>
      <c r="DB35" s="23"/>
      <c r="DC35" s="40" t="str">
        <f aca="false">IF(OR(DB$4=0,DB35=""),"",IFERROR(ROUND(DB35/INDEX(Undirviðmið!$F$6:$F$205,DB$4)*INDEX(Undirviðmið!$E$6:$E$205,DB$4)*KVARDI,2),""))</f>
        <v/>
      </c>
      <c r="DD35" s="23"/>
      <c r="DE35" s="40" t="str">
        <f aca="false">IF(OR(DD$4=0,DD35=""),"",IFERROR(ROUND(DD35/INDEX(Undirviðmið!$F$6:$F$205,DD$4)*INDEX(Undirviðmið!$E$6:$E$205,DD$4)*KVARDI,2),""))</f>
        <v/>
      </c>
      <c r="DF35" s="23"/>
      <c r="DG35" s="40" t="str">
        <f aca="false">IF(OR(DF$4=0,DF35=""),"",IFERROR(ROUND(DF35/INDEX(Undirviðmið!$F$6:$F$205,DF$4)*INDEX(Undirviðmið!$E$6:$E$205,DF$4)*KVARDI,2),""))</f>
        <v/>
      </c>
      <c r="DH35" s="23"/>
      <c r="DI35" s="40" t="str">
        <f aca="false">IF(OR(DH$4=0,DH35=""),"",IFERROR(ROUND(DH35/INDEX(Undirviðmið!$F$6:$F$205,DH$4)*INDEX(Undirviðmið!$E$6:$E$205,DH$4)*KVARDI,2),""))</f>
        <v/>
      </c>
      <c r="DJ35" s="23"/>
      <c r="DK35" s="40" t="str">
        <f aca="false">IF(OR(DJ$4=0,DJ35=""),"",IFERROR(ROUND(DJ35/INDEX(Undirviðmið!$F$6:$F$205,DJ$4)*INDEX(Undirviðmið!$E$6:$E$205,DJ$4)*KVARDI,2),""))</f>
        <v/>
      </c>
      <c r="DL35" s="23"/>
      <c r="DM35" s="40" t="str">
        <f aca="false">IF(OR(DL$4=0,DL35=""),"",IFERROR(ROUND(DL35/INDEX(Undirviðmið!$F$6:$F$205,DL$4)*INDEX(Undirviðmið!$E$6:$E$205,DL$4)*KVARDI,2),""))</f>
        <v/>
      </c>
      <c r="DN35" s="23"/>
      <c r="DO35" s="40" t="str">
        <f aca="false">IF(OR(DN$4=0,DN35=""),"",IFERROR(ROUND(DN35/INDEX(Undirviðmið!$F$6:$F$205,DN$4)*INDEX(Undirviðmið!$E$6:$E$205,DN$4)*KVARDI,2),""))</f>
        <v/>
      </c>
      <c r="DP35" s="23"/>
      <c r="DQ35" s="40" t="str">
        <f aca="false">IF(OR(DP$4=0,DP35=""),"",IFERROR(ROUND(DP35/INDEX(Undirviðmið!$F$6:$F$205,DP$4)*INDEX(Undirviðmið!$E$6:$E$205,DP$4)*KVARDI,2),""))</f>
        <v/>
      </c>
      <c r="DR35" s="23"/>
      <c r="DS35" s="40" t="str">
        <f aca="false">IF(OR(DR$4=0,DR35=""),"",IFERROR(ROUND(DR35/INDEX(Undirviðmið!$F$6:$F$205,DR$4)*INDEX(Undirviðmið!$E$6:$E$205,DR$4)*KVARDI,2),""))</f>
        <v/>
      </c>
      <c r="DT35" s="23"/>
      <c r="DU35" s="40" t="str">
        <f aca="false">IF(OR(DT$4=0,DT35=""),"",IFERROR(ROUND(DT35/INDEX(Undirviðmið!$F$6:$F$205,DT$4)*INDEX(Undirviðmið!$E$6:$E$205,DT$4)*KVARDI,2),""))</f>
        <v/>
      </c>
      <c r="DV35" s="23"/>
      <c r="DW35" s="40" t="str">
        <f aca="false">IF(OR(DV$4=0,DV35=""),"",IFERROR(ROUND(DV35/INDEX(Undirviðmið!$F$6:$F$205,DV$4)*INDEX(Undirviðmið!$E$6:$E$205,DV$4)*KVARDI,2),""))</f>
        <v/>
      </c>
      <c r="DX35" s="23"/>
      <c r="DY35" s="40" t="str">
        <f aca="false">IF(OR(DX$4=0,DX35=""),"",IFERROR(ROUND(DX35/INDEX(Undirviðmið!$F$6:$F$205,DX$4)*INDEX(Undirviðmið!$E$6:$E$205,DX$4)*KVARDI,2),""))</f>
        <v/>
      </c>
      <c r="DZ35" s="23"/>
      <c r="EA35" s="40" t="str">
        <f aca="false">IF(OR(DZ$4=0,DZ35=""),"",IFERROR(ROUND(DZ35/INDEX(Undirviðmið!$F$6:$F$205,DZ$4)*INDEX(Undirviðmið!$E$6:$E$205,DZ$4)*KVARDI,2),""))</f>
        <v/>
      </c>
      <c r="EB35" s="23"/>
      <c r="EC35" s="40" t="str">
        <f aca="false">IF(OR(EB$4=0,EB35=""),"",IFERROR(ROUND(EB35/INDEX(Undirviðmið!$F$6:$F$205,EB$4)*INDEX(Undirviðmið!$E$6:$E$205,EB$4)*KVARDI,2),""))</f>
        <v/>
      </c>
      <c r="ED35" s="23"/>
      <c r="EE35" s="40" t="str">
        <f aca="false">IF(OR(ED$4=0,ED35=""),"",IFERROR(ROUND(ED35/INDEX(Undirviðmið!$F$6:$F$205,ED$4)*INDEX(Undirviðmið!$E$6:$E$205,ED$4)*KVARDI,2),""))</f>
        <v/>
      </c>
      <c r="EF35" s="23"/>
      <c r="EG35" s="40" t="str">
        <f aca="false">IF(OR(EF$4=0,EF35=""),"",IFERROR(ROUND(EF35/INDEX(Undirviðmið!$F$6:$F$205,EF$4)*INDEX(Undirviðmið!$E$6:$E$205,EF$4)*KVARDI,2),""))</f>
        <v/>
      </c>
      <c r="EH35" s="23"/>
      <c r="EI35" s="40" t="str">
        <f aca="false">IF(OR(EH$4=0,EH35=""),"",IFERROR(ROUND(EH35/INDEX(Undirviðmið!$F$6:$F$205,EH$4)*INDEX(Undirviðmið!$E$6:$E$205,EH$4)*KVARDI,2),""))</f>
        <v/>
      </c>
      <c r="EJ35" s="23"/>
      <c r="EK35" s="40" t="str">
        <f aca="false">IF(OR(EJ$4=0,EJ35=""),"",IFERROR(ROUND(EJ35/INDEX(Undirviðmið!$F$6:$F$205,EJ$4)*INDEX(Undirviðmið!$E$6:$E$205,EJ$4)*KVARDI,2),""))</f>
        <v/>
      </c>
      <c r="EL35" s="23"/>
      <c r="EM35" s="40" t="str">
        <f aca="false">IF(OR(EL$4=0,EL35=""),"",IFERROR(ROUND(EL35/INDEX(Undirviðmið!$F$6:$F$205,EL$4)*INDEX(Undirviðmið!$E$6:$E$205,EL$4)*KVARDI,2),""))</f>
        <v/>
      </c>
      <c r="EN35" s="23"/>
      <c r="EO35" s="40" t="str">
        <f aca="false">IF(OR(EN$4=0,EN35=""),"",IFERROR(ROUND(EN35/INDEX(Undirviðmið!$F$6:$F$205,EN$4)*INDEX(Undirviðmið!$E$6:$E$205,EN$4)*KVARDI,2),""))</f>
        <v/>
      </c>
      <c r="EP35" s="23"/>
      <c r="EQ35" s="40" t="str">
        <f aca="false">IF(OR(EP$4=0,EP35=""),"",IFERROR(ROUND(EP35/INDEX(Undirviðmið!$F$6:$F$205,EP$4)*INDEX(Undirviðmið!$E$6:$E$205,EP$4)*KVARDI,2),""))</f>
        <v/>
      </c>
      <c r="ER35" s="23"/>
      <c r="ES35" s="40" t="str">
        <f aca="false">IF(OR(ER$4=0,ER35=""),"",IFERROR(ROUND(ER35/INDEX(Undirviðmið!$F$6:$F$205,ER$4)*INDEX(Undirviðmið!$E$6:$E$205,ER$4)*KVARDI,2),""))</f>
        <v/>
      </c>
      <c r="ET35" s="23"/>
      <c r="EU35" s="40" t="str">
        <f aca="false">IF(OR(ET$4=0,ET35=""),"",IFERROR(ROUND(ET35/INDEX(Undirviðmið!$F$6:$F$205,ET$4)*INDEX(Undirviðmið!$E$6:$E$205,ET$4)*KVARDI,2),""))</f>
        <v/>
      </c>
      <c r="EV35" s="23"/>
      <c r="EW35" s="40" t="str">
        <f aca="false">IF(OR(EV$4=0,EV35=""),"",IFERROR(ROUND(EV35/INDEX(Undirviðmið!$F$6:$F$205,EV$4)*INDEX(Undirviðmið!$E$6:$E$205,EV$4)*KVARDI,2),""))</f>
        <v/>
      </c>
      <c r="EX35" s="23"/>
      <c r="EY35" s="40" t="str">
        <f aca="false">IF(OR(EX$4=0,EX35=""),"",IFERROR(ROUND(EX35/INDEX(Undirviðmið!$F$6:$F$205,EX$4)*INDEX(Undirviðmið!$E$6:$E$205,EX$4)*KVARDI,2),""))</f>
        <v/>
      </c>
      <c r="EZ35" s="23"/>
      <c r="FA35" s="40" t="str">
        <f aca="false">IF(OR(EZ$4=0,EZ35=""),"",IFERROR(ROUND(EZ35/INDEX(Undirviðmið!$F$6:$F$205,EZ$4)*INDEX(Undirviðmið!$E$6:$E$205,EZ$4)*KVARDI,2),""))</f>
        <v/>
      </c>
      <c r="FB35" s="23"/>
      <c r="FC35" s="40" t="str">
        <f aca="false">IF(OR(FB$4=0,FB35=""),"",IFERROR(ROUND(FB35/INDEX(Undirviðmið!$F$6:$F$205,FB$4)*INDEX(Undirviðmið!$E$6:$E$205,FB$4)*KVARDI,2),""))</f>
        <v/>
      </c>
      <c r="FD35" s="23"/>
      <c r="FE35" s="40" t="str">
        <f aca="false">IF(OR(FD$4=0,FD35=""),"",IFERROR(ROUND(FD35/INDEX(Undirviðmið!$F$6:$F$205,FD$4)*INDEX(Undirviðmið!$E$6:$E$205,FD$4)*KVARDI,2),""))</f>
        <v/>
      </c>
      <c r="FF35" s="23"/>
      <c r="FG35" s="40" t="str">
        <f aca="false">IF(OR(FF$4=0,FF35=""),"",IFERROR(ROUND(FF35/INDEX(Undirviðmið!$F$6:$F$205,FF$4)*INDEX(Undirviðmið!$E$6:$E$205,FF$4)*KVARDI,2),""))</f>
        <v/>
      </c>
      <c r="FH35" s="23"/>
      <c r="FI35" s="40" t="str">
        <f aca="false">IF(OR(FH$4=0,FH35=""),"",IFERROR(ROUND(FH35/INDEX(Undirviðmið!$F$6:$F$205,FH$4)*INDEX(Undirviðmið!$E$6:$E$205,FH$4)*KVARDI,2),""))</f>
        <v/>
      </c>
      <c r="FJ35" s="23"/>
      <c r="FK35" s="40" t="str">
        <f aca="false">IF(OR(FJ$4=0,FJ35=""),"",IFERROR(ROUND(FJ35/INDEX(Undirviðmið!$F$6:$F$205,FJ$4)*INDEX(Undirviðmið!$E$6:$E$205,FJ$4)*KVARDI,2),""))</f>
        <v/>
      </c>
      <c r="FL35" s="23"/>
      <c r="FM35" s="40" t="str">
        <f aca="false">IF(OR(FL$4=0,FL35=""),"",IFERROR(ROUND(FL35/INDEX(Undirviðmið!$F$6:$F$205,FL$4)*INDEX(Undirviðmið!$E$6:$E$205,FL$4)*KVARDI,2),""))</f>
        <v/>
      </c>
      <c r="FN35" s="23"/>
      <c r="FO35" s="40" t="str">
        <f aca="false">IF(OR(FN$4=0,FN35=""),"",IFERROR(ROUND(FN35/INDEX(Undirviðmið!$F$6:$F$205,FN$4)*INDEX(Undirviðmið!$E$6:$E$205,FN$4)*KVARDI,2),""))</f>
        <v/>
      </c>
      <c r="FP35" s="23"/>
      <c r="FQ35" s="40" t="str">
        <f aca="false">IF(OR(FP$4=0,FP35=""),"",IFERROR(ROUND(FP35/INDEX(Undirviðmið!$F$6:$F$205,FP$4)*INDEX(Undirviðmið!$E$6:$E$205,FP$4)*KVARDI,2),""))</f>
        <v/>
      </c>
      <c r="FR35" s="23"/>
      <c r="FS35" s="40" t="str">
        <f aca="false">IF(OR(FR$4=0,FR35=""),"",IFERROR(ROUND(FR35/INDEX(Undirviðmið!$F$6:$F$205,FR$4)*INDEX(Undirviðmið!$E$6:$E$205,FR$4)*KVARDI,2),""))</f>
        <v/>
      </c>
      <c r="FT35" s="23"/>
      <c r="FU35" s="40" t="str">
        <f aca="false">IF(OR(FT$4=0,FT35=""),"",IFERROR(ROUND(FT35/INDEX(Undirviðmið!$F$6:$F$205,FT$4)*INDEX(Undirviðmið!$E$6:$E$205,FT$4)*KVARDI,2),""))</f>
        <v/>
      </c>
      <c r="FV35" s="23"/>
      <c r="FW35" s="40" t="str">
        <f aca="false">IF(OR(FV$4=0,FV35=""),"",IFERROR(ROUND(FV35/INDEX(Undirviðmið!$F$6:$F$205,FV$4)*INDEX(Undirviðmið!$E$6:$E$205,FV$4)*KVARDI,2),""))</f>
        <v/>
      </c>
      <c r="FX35" s="23"/>
      <c r="FY35" s="40" t="str">
        <f aca="false">IF(OR(FX$4=0,FX35=""),"",IFERROR(ROUND(FX35/INDEX(Undirviðmið!$F$6:$F$205,FX$4)*INDEX(Undirviðmið!$E$6:$E$205,FX$4)*KVARDI,2),""))</f>
        <v/>
      </c>
      <c r="FZ35" s="23"/>
      <c r="GA35" s="40" t="str">
        <f aca="false">IF(OR(FZ$4=0,FZ35=""),"",IFERROR(ROUND(FZ35/INDEX(Undirviðmið!$F$6:$F$205,FZ$4)*INDEX(Undirviðmið!$E$6:$E$205,FZ$4)*KVARDI,2),""))</f>
        <v/>
      </c>
      <c r="GB35" s="23"/>
      <c r="GC35" s="40" t="str">
        <f aca="false">IF(OR(GB$4=0,GB35=""),"",IFERROR(ROUND(GB35/INDEX(Undirviðmið!$F$6:$F$205,GB$4)*INDEX(Undirviðmið!$E$6:$E$205,GB$4)*KVARDI,2),""))</f>
        <v/>
      </c>
      <c r="GD35" s="23"/>
      <c r="GE35" s="40" t="str">
        <f aca="false">IF(OR(GD$4=0,GD35=""),"",IFERROR(ROUND(GD35/INDEX(Undirviðmið!$F$6:$F$205,GD$4)*INDEX(Undirviðmið!$E$6:$E$205,GD$4)*KVARDI,2),""))</f>
        <v/>
      </c>
      <c r="GF35" s="23"/>
      <c r="GG35" s="40" t="str">
        <f aca="false">IF(OR(GF$4=0,GF35=""),"",IFERROR(ROUND(GF35/INDEX(Undirviðmið!$F$6:$F$205,GF$4)*INDEX(Undirviðmið!$E$6:$E$205,GF$4)*KVARDI,2),""))</f>
        <v/>
      </c>
      <c r="GH35" s="23"/>
      <c r="GI35" s="40" t="str">
        <f aca="false">IF(OR(GH$4=0,GH35=""),"",IFERROR(ROUND(GH35/INDEX(Undirviðmið!$F$6:$F$205,GH$4)*INDEX(Undirviðmið!$E$6:$E$205,GH$4)*KVARDI,2),""))</f>
        <v/>
      </c>
      <c r="GJ35" s="23"/>
      <c r="GK35" s="40" t="str">
        <f aca="false">IF(OR(GJ$4=0,GJ35=""),"",IFERROR(ROUND(GJ35/INDEX(Undirviðmið!$F$6:$F$205,GJ$4)*INDEX(Undirviðmið!$E$6:$E$205,GJ$4)*KVARDI,2),""))</f>
        <v/>
      </c>
      <c r="GL35" s="23"/>
      <c r="GM35" s="40" t="str">
        <f aca="false">IF(OR(GL$4=0,GL35=""),"",IFERROR(ROUND(GL35/INDEX(Undirviðmið!$F$6:$F$205,GL$4)*INDEX(Undirviðmið!$E$6:$E$205,GL$4)*KVARDI,2),""))</f>
        <v/>
      </c>
      <c r="GN35" s="23"/>
      <c r="GO35" s="40" t="str">
        <f aca="false">IF(OR(GN$4=0,GN35=""),"",IFERROR(ROUND(GN35/INDEX(Undirviðmið!$F$6:$F$205,GN$4)*INDEX(Undirviðmið!$E$6:$E$205,GN$4)*KVARDI,2),""))</f>
        <v/>
      </c>
      <c r="GP35" s="23"/>
      <c r="GQ35" s="40" t="str">
        <f aca="false">IF(OR(GP$4=0,GP35=""),"",IFERROR(ROUND(GP35/INDEX(Undirviðmið!$F$6:$F$205,GP$4)*INDEX(Undirviðmið!$E$6:$E$205,GP$4)*KVARDI,2),""))</f>
        <v/>
      </c>
      <c r="GR35" s="23"/>
      <c r="GS35" s="40" t="str">
        <f aca="false">IF(OR(GR$4=0,GR35=""),"",IFERROR(ROUND(GR35/INDEX(Undirviðmið!$F$6:$F$205,GR$4)*INDEX(Undirviðmið!$E$6:$E$205,GR$4)*KVARDI,2),""))</f>
        <v/>
      </c>
      <c r="GT35" s="23"/>
      <c r="GU35" s="40" t="str">
        <f aca="false">IF(OR(GT$4=0,GT35=""),"",IFERROR(ROUND(GT35/INDEX(Undirviðmið!$F$6:$F$205,GT$4)*INDEX(Undirviðmið!$E$6:$E$205,GT$4)*KVARDI,2),""))</f>
        <v/>
      </c>
      <c r="GV35" s="44" t="n">
        <f aca="false">IFERROR(SUMIF($D$6:GU$6,"Stig",$D35:GU35),0)</f>
        <v>0</v>
      </c>
    </row>
    <row r="36" customFormat="false" ht="15" hidden="false" customHeight="true" outlineLevel="0" collapsed="false">
      <c r="A36" s="22" t="n">
        <f aca="false">ROW()-6</f>
        <v>30</v>
      </c>
      <c r="B36" s="24" t="str">
        <f aca="false">IF(INDEX(Starfsmenn!$B$6:$B$10005,ROW()-6)="","",INDEX(Starfsmenn!$B$6:$B$10005,ROW()-6))</f>
        <v/>
      </c>
      <c r="C36" s="24" t="str">
        <f aca="false">IF(INDEX(Starfsmenn!$C$6:$C$10005,ROW()-6)="","",INDEX(Starfsmenn!$C$6:$C$10005,ROW()-6))</f>
        <v/>
      </c>
      <c r="D36" s="23"/>
      <c r="E36" s="40" t="str">
        <f aca="false">IF(OR(D$4=0,D36=""),"",IFERROR(ROUND(D36/INDEX(Undirviðmið!$F$6:$F$205,D$4)*INDEX(Undirviðmið!$E$6:$E$205,D$4)*KVARDI,2),""))</f>
        <v/>
      </c>
      <c r="F36" s="23"/>
      <c r="G36" s="40" t="str">
        <f aca="false">IF(OR(F$4=0,F36=""),"",IFERROR(ROUND(F36/INDEX(Undirviðmið!$F$6:$F$205,F$4)*INDEX(Undirviðmið!$E$6:$E$205,F$4)*KVARDI,2),""))</f>
        <v/>
      </c>
      <c r="H36" s="23"/>
      <c r="I36" s="40" t="str">
        <f aca="false">IF(OR(H$4=0,H36=""),"",IFERROR(ROUND(H36/INDEX(Undirviðmið!$F$6:$F$205,H$4)*INDEX(Undirviðmið!$E$6:$E$205,H$4)*KVARDI,2),""))</f>
        <v/>
      </c>
      <c r="J36" s="23"/>
      <c r="K36" s="40" t="str">
        <f aca="false">IF(OR(J$4=0,J36=""),"",IFERROR(ROUND(J36/INDEX(Undirviðmið!$F$6:$F$205,J$4)*INDEX(Undirviðmið!$E$6:$E$205,J$4)*KVARDI,2),""))</f>
        <v/>
      </c>
      <c r="L36" s="23"/>
      <c r="M36" s="40" t="str">
        <f aca="false">IF(OR(L$4=0,L36=""),"",IFERROR(ROUND(L36/INDEX(Undirviðmið!$F$6:$F$205,L$4)*INDEX(Undirviðmið!$E$6:$E$205,L$4)*KVARDI,2),""))</f>
        <v/>
      </c>
      <c r="N36" s="23"/>
      <c r="O36" s="40" t="str">
        <f aca="false">IF(OR(N$4=0,N36=""),"",IFERROR(ROUND(N36/INDEX(Undirviðmið!$F$6:$F$205,N$4)*INDEX(Undirviðmið!$E$6:$E$205,N$4)*KVARDI,2),""))</f>
        <v/>
      </c>
      <c r="P36" s="23"/>
      <c r="Q36" s="40" t="str">
        <f aca="false">IF(OR(P$4=0,P36=""),"",IFERROR(ROUND(P36/INDEX(Undirviðmið!$F$6:$F$205,P$4)*INDEX(Undirviðmið!$E$6:$E$205,P$4)*KVARDI,2),""))</f>
        <v/>
      </c>
      <c r="R36" s="23"/>
      <c r="S36" s="40" t="str">
        <f aca="false">IF(OR(R$4=0,R36=""),"",IFERROR(ROUND(R36/INDEX(Undirviðmið!$F$6:$F$205,R$4)*INDEX(Undirviðmið!$E$6:$E$205,R$4)*KVARDI,2),""))</f>
        <v/>
      </c>
      <c r="T36" s="23"/>
      <c r="U36" s="40" t="str">
        <f aca="false">IF(OR(T$4=0,T36=""),"",IFERROR(ROUND(T36/INDEX(Undirviðmið!$F$6:$F$205,T$4)*INDEX(Undirviðmið!$E$6:$E$205,T$4)*KVARDI,2),""))</f>
        <v/>
      </c>
      <c r="V36" s="23"/>
      <c r="W36" s="40" t="str">
        <f aca="false">IF(OR(V$4=0,V36=""),"",IFERROR(ROUND(V36/INDEX(Undirviðmið!$F$6:$F$205,V$4)*INDEX(Undirviðmið!$E$6:$E$205,V$4)*KVARDI,2),""))</f>
        <v/>
      </c>
      <c r="X36" s="23"/>
      <c r="Y36" s="40" t="str">
        <f aca="false">IF(OR(X$4=0,X36=""),"",IFERROR(ROUND(X36/INDEX(Undirviðmið!$F$6:$F$205,X$4)*INDEX(Undirviðmið!$E$6:$E$205,X$4)*KVARDI,2),""))</f>
        <v/>
      </c>
      <c r="Z36" s="23"/>
      <c r="AA36" s="40" t="str">
        <f aca="false">IF(OR(Z$4=0,Z36=""),"",IFERROR(ROUND(Z36/INDEX(Undirviðmið!$F$6:$F$205,Z$4)*INDEX(Undirviðmið!$E$6:$E$205,Z$4)*KVARDI,2),""))</f>
        <v/>
      </c>
      <c r="AB36" s="23"/>
      <c r="AC36" s="40" t="str">
        <f aca="false">IF(OR(AB$4=0,AB36=""),"",IFERROR(ROUND(AB36/INDEX(Undirviðmið!$F$6:$F$205,AB$4)*INDEX(Undirviðmið!$E$6:$E$205,AB$4)*KVARDI,2),""))</f>
        <v/>
      </c>
      <c r="AD36" s="23"/>
      <c r="AE36" s="40" t="str">
        <f aca="false">IF(OR(AD$4=0,AD36=""),"",IFERROR(ROUND(AD36/INDEX(Undirviðmið!$F$6:$F$205,AD$4)*INDEX(Undirviðmið!$E$6:$E$205,AD$4)*KVARDI,2),""))</f>
        <v/>
      </c>
      <c r="AF36" s="23"/>
      <c r="AG36" s="40" t="str">
        <f aca="false">IF(OR(AF$4=0,AF36=""),"",IFERROR(ROUND(AF36/INDEX(Undirviðmið!$F$6:$F$205,AF$4)*INDEX(Undirviðmið!$E$6:$E$205,AF$4)*KVARDI,2),""))</f>
        <v/>
      </c>
      <c r="AH36" s="23"/>
      <c r="AI36" s="40" t="str">
        <f aca="false">IF(OR(AH$4=0,AH36=""),"",IFERROR(ROUND(AH36/INDEX(Undirviðmið!$F$6:$F$205,AH$4)*INDEX(Undirviðmið!$E$6:$E$205,AH$4)*KVARDI,2),""))</f>
        <v/>
      </c>
      <c r="AJ36" s="23"/>
      <c r="AK36" s="40" t="str">
        <f aca="false">IF(OR(AJ$4=0,AJ36=""),"",IFERROR(ROUND(AJ36/INDEX(Undirviðmið!$F$6:$F$205,AJ$4)*INDEX(Undirviðmið!$E$6:$E$205,AJ$4)*KVARDI,2),""))</f>
        <v/>
      </c>
      <c r="AL36" s="23"/>
      <c r="AM36" s="40" t="str">
        <f aca="false">IF(OR(AL$4=0,AL36=""),"",IFERROR(ROUND(AL36/INDEX(Undirviðmið!$F$6:$F$205,AL$4)*INDEX(Undirviðmið!$E$6:$E$205,AL$4)*KVARDI,2),""))</f>
        <v/>
      </c>
      <c r="AN36" s="23"/>
      <c r="AO36" s="40" t="str">
        <f aca="false">IF(OR(AN$4=0,AN36=""),"",IFERROR(ROUND(AN36/INDEX(Undirviðmið!$F$6:$F$205,AN$4)*INDEX(Undirviðmið!$E$6:$E$205,AN$4)*KVARDI,2),""))</f>
        <v/>
      </c>
      <c r="AP36" s="23"/>
      <c r="AQ36" s="40" t="str">
        <f aca="false">IF(OR(AP$4=0,AP36=""),"",IFERROR(ROUND(AP36/INDEX(Undirviðmið!$F$6:$F$205,AP$4)*INDEX(Undirviðmið!$E$6:$E$205,AP$4)*KVARDI,2),""))</f>
        <v/>
      </c>
      <c r="AR36" s="23"/>
      <c r="AS36" s="40" t="str">
        <f aca="false">IF(OR(AR$4=0,AR36=""),"",IFERROR(ROUND(AR36/INDEX(Undirviðmið!$F$6:$F$205,AR$4)*INDEX(Undirviðmið!$E$6:$E$205,AR$4)*KVARDI,2),""))</f>
        <v/>
      </c>
      <c r="AT36" s="23"/>
      <c r="AU36" s="40" t="str">
        <f aca="false">IF(OR(AT$4=0,AT36=""),"",IFERROR(ROUND(AT36/INDEX(Undirviðmið!$F$6:$F$205,AT$4)*INDEX(Undirviðmið!$E$6:$E$205,AT$4)*KVARDI,2),""))</f>
        <v/>
      </c>
      <c r="AV36" s="23"/>
      <c r="AW36" s="40" t="str">
        <f aca="false">IF(OR(AV$4=0,AV36=""),"",IFERROR(ROUND(AV36/INDEX(Undirviðmið!$F$6:$F$205,AV$4)*INDEX(Undirviðmið!$E$6:$E$205,AV$4)*KVARDI,2),""))</f>
        <v/>
      </c>
      <c r="AX36" s="23"/>
      <c r="AY36" s="40" t="str">
        <f aca="false">IF(OR(AX$4=0,AX36=""),"",IFERROR(ROUND(AX36/INDEX(Undirviðmið!$F$6:$F$205,AX$4)*INDEX(Undirviðmið!$E$6:$E$205,AX$4)*KVARDI,2),""))</f>
        <v/>
      </c>
      <c r="AZ36" s="23"/>
      <c r="BA36" s="40" t="str">
        <f aca="false">IF(OR(AZ$4=0,AZ36=""),"",IFERROR(ROUND(AZ36/INDEX(Undirviðmið!$F$6:$F$205,AZ$4)*INDEX(Undirviðmið!$E$6:$E$205,AZ$4)*KVARDI,2),""))</f>
        <v/>
      </c>
      <c r="BB36" s="23"/>
      <c r="BC36" s="40" t="str">
        <f aca="false">IF(OR(BB$4=0,BB36=""),"",IFERROR(ROUND(BB36/INDEX(Undirviðmið!$F$6:$F$205,BB$4)*INDEX(Undirviðmið!$E$6:$E$205,BB$4)*KVARDI,2),""))</f>
        <v/>
      </c>
      <c r="BD36" s="23"/>
      <c r="BE36" s="40" t="str">
        <f aca="false">IF(OR(BD$4=0,BD36=""),"",IFERROR(ROUND(BD36/INDEX(Undirviðmið!$F$6:$F$205,BD$4)*INDEX(Undirviðmið!$E$6:$E$205,BD$4)*KVARDI,2),""))</f>
        <v/>
      </c>
      <c r="BF36" s="23"/>
      <c r="BG36" s="40" t="str">
        <f aca="false">IF(OR(BF$4=0,BF36=""),"",IFERROR(ROUND(BF36/INDEX(Undirviðmið!$F$6:$F$205,BF$4)*INDEX(Undirviðmið!$E$6:$E$205,BF$4)*KVARDI,2),""))</f>
        <v/>
      </c>
      <c r="BH36" s="23"/>
      <c r="BI36" s="40" t="str">
        <f aca="false">IF(OR(BH$4=0,BH36=""),"",IFERROR(ROUND(BH36/INDEX(Undirviðmið!$F$6:$F$205,BH$4)*INDEX(Undirviðmið!$E$6:$E$205,BH$4)*KVARDI,2),""))</f>
        <v/>
      </c>
      <c r="BJ36" s="23"/>
      <c r="BK36" s="40" t="str">
        <f aca="false">IF(OR(BJ$4=0,BJ36=""),"",IFERROR(ROUND(BJ36/INDEX(Undirviðmið!$F$6:$F$205,BJ$4)*INDEX(Undirviðmið!$E$6:$E$205,BJ$4)*KVARDI,2),""))</f>
        <v/>
      </c>
      <c r="BL36" s="23"/>
      <c r="BM36" s="40" t="str">
        <f aca="false">IF(OR(BL$4=0,BL36=""),"",IFERROR(ROUND(BL36/INDEX(Undirviðmið!$F$6:$F$205,BL$4)*INDEX(Undirviðmið!$E$6:$E$205,BL$4)*KVARDI,2),""))</f>
        <v/>
      </c>
      <c r="BN36" s="23"/>
      <c r="BO36" s="40" t="str">
        <f aca="false">IF(OR(BN$4=0,BN36=""),"",IFERROR(ROUND(BN36/INDEX(Undirviðmið!$F$6:$F$205,BN$4)*INDEX(Undirviðmið!$E$6:$E$205,BN$4)*KVARDI,2),""))</f>
        <v/>
      </c>
      <c r="BP36" s="23"/>
      <c r="BQ36" s="40" t="str">
        <f aca="false">IF(OR(BP$4=0,BP36=""),"",IFERROR(ROUND(BP36/INDEX(Undirviðmið!$F$6:$F$205,BP$4)*INDEX(Undirviðmið!$E$6:$E$205,BP$4)*KVARDI,2),""))</f>
        <v/>
      </c>
      <c r="BR36" s="23"/>
      <c r="BS36" s="40" t="str">
        <f aca="false">IF(OR(BR$4=0,BR36=""),"",IFERROR(ROUND(BR36/INDEX(Undirviðmið!$F$6:$F$205,BR$4)*INDEX(Undirviðmið!$E$6:$E$205,BR$4)*KVARDI,2),""))</f>
        <v/>
      </c>
      <c r="BT36" s="23"/>
      <c r="BU36" s="40" t="str">
        <f aca="false">IF(OR(BT$4=0,BT36=""),"",IFERROR(ROUND(BT36/INDEX(Undirviðmið!$F$6:$F$205,BT$4)*INDEX(Undirviðmið!$E$6:$E$205,BT$4)*KVARDI,2),""))</f>
        <v/>
      </c>
      <c r="BV36" s="23"/>
      <c r="BW36" s="40" t="str">
        <f aca="false">IF(OR(BV$4=0,BV36=""),"",IFERROR(ROUND(BV36/INDEX(Undirviðmið!$F$6:$F$205,BV$4)*INDEX(Undirviðmið!$E$6:$E$205,BV$4)*KVARDI,2),""))</f>
        <v/>
      </c>
      <c r="BX36" s="23"/>
      <c r="BY36" s="40" t="str">
        <f aca="false">IF(OR(BX$4=0,BX36=""),"",IFERROR(ROUND(BX36/INDEX(Undirviðmið!$F$6:$F$205,BX$4)*INDEX(Undirviðmið!$E$6:$E$205,BX$4)*KVARDI,2),""))</f>
        <v/>
      </c>
      <c r="BZ36" s="23"/>
      <c r="CA36" s="40" t="str">
        <f aca="false">IF(OR(BZ$4=0,BZ36=""),"",IFERROR(ROUND(BZ36/INDEX(Undirviðmið!$F$6:$F$205,BZ$4)*INDEX(Undirviðmið!$E$6:$E$205,BZ$4)*KVARDI,2),""))</f>
        <v/>
      </c>
      <c r="CB36" s="23"/>
      <c r="CC36" s="40" t="str">
        <f aca="false">IF(OR(CB$4=0,CB36=""),"",IFERROR(ROUND(CB36/INDEX(Undirviðmið!$F$6:$F$205,CB$4)*INDEX(Undirviðmið!$E$6:$E$205,CB$4)*KVARDI,2),""))</f>
        <v/>
      </c>
      <c r="CD36" s="23"/>
      <c r="CE36" s="40" t="str">
        <f aca="false">IF(OR(CD$4=0,CD36=""),"",IFERROR(ROUND(CD36/INDEX(Undirviðmið!$F$6:$F$205,CD$4)*INDEX(Undirviðmið!$E$6:$E$205,CD$4)*KVARDI,2),""))</f>
        <v/>
      </c>
      <c r="CF36" s="23"/>
      <c r="CG36" s="40" t="str">
        <f aca="false">IF(OR(CF$4=0,CF36=""),"",IFERROR(ROUND(CF36/INDEX(Undirviðmið!$F$6:$F$205,CF$4)*INDEX(Undirviðmið!$E$6:$E$205,CF$4)*KVARDI,2),""))</f>
        <v/>
      </c>
      <c r="CH36" s="23"/>
      <c r="CI36" s="40" t="str">
        <f aca="false">IF(OR(CH$4=0,CH36=""),"",IFERROR(ROUND(CH36/INDEX(Undirviðmið!$F$6:$F$205,CH$4)*INDEX(Undirviðmið!$E$6:$E$205,CH$4)*KVARDI,2),""))</f>
        <v/>
      </c>
      <c r="CJ36" s="23"/>
      <c r="CK36" s="40" t="str">
        <f aca="false">IF(OR(CJ$4=0,CJ36=""),"",IFERROR(ROUND(CJ36/INDEX(Undirviðmið!$F$6:$F$205,CJ$4)*INDEX(Undirviðmið!$E$6:$E$205,CJ$4)*KVARDI,2),""))</f>
        <v/>
      </c>
      <c r="CL36" s="23"/>
      <c r="CM36" s="40" t="str">
        <f aca="false">IF(OR(CL$4=0,CL36=""),"",IFERROR(ROUND(CL36/INDEX(Undirviðmið!$F$6:$F$205,CL$4)*INDEX(Undirviðmið!$E$6:$E$205,CL$4)*KVARDI,2),""))</f>
        <v/>
      </c>
      <c r="CN36" s="23"/>
      <c r="CO36" s="40" t="str">
        <f aca="false">IF(OR(CN$4=0,CN36=""),"",IFERROR(ROUND(CN36/INDEX(Undirviðmið!$F$6:$F$205,CN$4)*INDEX(Undirviðmið!$E$6:$E$205,CN$4)*KVARDI,2),""))</f>
        <v/>
      </c>
      <c r="CP36" s="23"/>
      <c r="CQ36" s="40" t="str">
        <f aca="false">IF(OR(CP$4=0,CP36=""),"",IFERROR(ROUND(CP36/INDEX(Undirviðmið!$F$6:$F$205,CP$4)*INDEX(Undirviðmið!$E$6:$E$205,CP$4)*KVARDI,2),""))</f>
        <v/>
      </c>
      <c r="CR36" s="23"/>
      <c r="CS36" s="40" t="str">
        <f aca="false">IF(OR(CR$4=0,CR36=""),"",IFERROR(ROUND(CR36/INDEX(Undirviðmið!$F$6:$F$205,CR$4)*INDEX(Undirviðmið!$E$6:$E$205,CR$4)*KVARDI,2),""))</f>
        <v/>
      </c>
      <c r="CT36" s="23"/>
      <c r="CU36" s="40" t="str">
        <f aca="false">IF(OR(CT$4=0,CT36=""),"",IFERROR(ROUND(CT36/INDEX(Undirviðmið!$F$6:$F$205,CT$4)*INDEX(Undirviðmið!$E$6:$E$205,CT$4)*KVARDI,2),""))</f>
        <v/>
      </c>
      <c r="CV36" s="23"/>
      <c r="CW36" s="40" t="str">
        <f aca="false">IF(OR(CV$4=0,CV36=""),"",IFERROR(ROUND(CV36/INDEX(Undirviðmið!$F$6:$F$205,CV$4)*INDEX(Undirviðmið!$E$6:$E$205,CV$4)*KVARDI,2),""))</f>
        <v/>
      </c>
      <c r="CX36" s="23"/>
      <c r="CY36" s="40" t="str">
        <f aca="false">IF(OR(CX$4=0,CX36=""),"",IFERROR(ROUND(CX36/INDEX(Undirviðmið!$F$6:$F$205,CX$4)*INDEX(Undirviðmið!$E$6:$E$205,CX$4)*KVARDI,2),""))</f>
        <v/>
      </c>
      <c r="CZ36" s="23"/>
      <c r="DA36" s="40" t="str">
        <f aca="false">IF(OR(CZ$4=0,CZ36=""),"",IFERROR(ROUND(CZ36/INDEX(Undirviðmið!$F$6:$F$205,CZ$4)*INDEX(Undirviðmið!$E$6:$E$205,CZ$4)*KVARDI,2),""))</f>
        <v/>
      </c>
      <c r="DB36" s="23"/>
      <c r="DC36" s="40" t="str">
        <f aca="false">IF(OR(DB$4=0,DB36=""),"",IFERROR(ROUND(DB36/INDEX(Undirviðmið!$F$6:$F$205,DB$4)*INDEX(Undirviðmið!$E$6:$E$205,DB$4)*KVARDI,2),""))</f>
        <v/>
      </c>
      <c r="DD36" s="23"/>
      <c r="DE36" s="40" t="str">
        <f aca="false">IF(OR(DD$4=0,DD36=""),"",IFERROR(ROUND(DD36/INDEX(Undirviðmið!$F$6:$F$205,DD$4)*INDEX(Undirviðmið!$E$6:$E$205,DD$4)*KVARDI,2),""))</f>
        <v/>
      </c>
      <c r="DF36" s="23"/>
      <c r="DG36" s="40" t="str">
        <f aca="false">IF(OR(DF$4=0,DF36=""),"",IFERROR(ROUND(DF36/INDEX(Undirviðmið!$F$6:$F$205,DF$4)*INDEX(Undirviðmið!$E$6:$E$205,DF$4)*KVARDI,2),""))</f>
        <v/>
      </c>
      <c r="DH36" s="23"/>
      <c r="DI36" s="40" t="str">
        <f aca="false">IF(OR(DH$4=0,DH36=""),"",IFERROR(ROUND(DH36/INDEX(Undirviðmið!$F$6:$F$205,DH$4)*INDEX(Undirviðmið!$E$6:$E$205,DH$4)*KVARDI,2),""))</f>
        <v/>
      </c>
      <c r="DJ36" s="23"/>
      <c r="DK36" s="40" t="str">
        <f aca="false">IF(OR(DJ$4=0,DJ36=""),"",IFERROR(ROUND(DJ36/INDEX(Undirviðmið!$F$6:$F$205,DJ$4)*INDEX(Undirviðmið!$E$6:$E$205,DJ$4)*KVARDI,2),""))</f>
        <v/>
      </c>
      <c r="DL36" s="23"/>
      <c r="DM36" s="40" t="str">
        <f aca="false">IF(OR(DL$4=0,DL36=""),"",IFERROR(ROUND(DL36/INDEX(Undirviðmið!$F$6:$F$205,DL$4)*INDEX(Undirviðmið!$E$6:$E$205,DL$4)*KVARDI,2),""))</f>
        <v/>
      </c>
      <c r="DN36" s="23"/>
      <c r="DO36" s="40" t="str">
        <f aca="false">IF(OR(DN$4=0,DN36=""),"",IFERROR(ROUND(DN36/INDEX(Undirviðmið!$F$6:$F$205,DN$4)*INDEX(Undirviðmið!$E$6:$E$205,DN$4)*KVARDI,2),""))</f>
        <v/>
      </c>
      <c r="DP36" s="23"/>
      <c r="DQ36" s="40" t="str">
        <f aca="false">IF(OR(DP$4=0,DP36=""),"",IFERROR(ROUND(DP36/INDEX(Undirviðmið!$F$6:$F$205,DP$4)*INDEX(Undirviðmið!$E$6:$E$205,DP$4)*KVARDI,2),""))</f>
        <v/>
      </c>
      <c r="DR36" s="23"/>
      <c r="DS36" s="40" t="str">
        <f aca="false">IF(OR(DR$4=0,DR36=""),"",IFERROR(ROUND(DR36/INDEX(Undirviðmið!$F$6:$F$205,DR$4)*INDEX(Undirviðmið!$E$6:$E$205,DR$4)*KVARDI,2),""))</f>
        <v/>
      </c>
      <c r="DT36" s="23"/>
      <c r="DU36" s="40" t="str">
        <f aca="false">IF(OR(DT$4=0,DT36=""),"",IFERROR(ROUND(DT36/INDEX(Undirviðmið!$F$6:$F$205,DT$4)*INDEX(Undirviðmið!$E$6:$E$205,DT$4)*KVARDI,2),""))</f>
        <v/>
      </c>
      <c r="DV36" s="23"/>
      <c r="DW36" s="40" t="str">
        <f aca="false">IF(OR(DV$4=0,DV36=""),"",IFERROR(ROUND(DV36/INDEX(Undirviðmið!$F$6:$F$205,DV$4)*INDEX(Undirviðmið!$E$6:$E$205,DV$4)*KVARDI,2),""))</f>
        <v/>
      </c>
      <c r="DX36" s="23"/>
      <c r="DY36" s="40" t="str">
        <f aca="false">IF(OR(DX$4=0,DX36=""),"",IFERROR(ROUND(DX36/INDEX(Undirviðmið!$F$6:$F$205,DX$4)*INDEX(Undirviðmið!$E$6:$E$205,DX$4)*KVARDI,2),""))</f>
        <v/>
      </c>
      <c r="DZ36" s="23"/>
      <c r="EA36" s="40" t="str">
        <f aca="false">IF(OR(DZ$4=0,DZ36=""),"",IFERROR(ROUND(DZ36/INDEX(Undirviðmið!$F$6:$F$205,DZ$4)*INDEX(Undirviðmið!$E$6:$E$205,DZ$4)*KVARDI,2),""))</f>
        <v/>
      </c>
      <c r="EB36" s="23"/>
      <c r="EC36" s="40" t="str">
        <f aca="false">IF(OR(EB$4=0,EB36=""),"",IFERROR(ROUND(EB36/INDEX(Undirviðmið!$F$6:$F$205,EB$4)*INDEX(Undirviðmið!$E$6:$E$205,EB$4)*KVARDI,2),""))</f>
        <v/>
      </c>
      <c r="ED36" s="23"/>
      <c r="EE36" s="40" t="str">
        <f aca="false">IF(OR(ED$4=0,ED36=""),"",IFERROR(ROUND(ED36/INDEX(Undirviðmið!$F$6:$F$205,ED$4)*INDEX(Undirviðmið!$E$6:$E$205,ED$4)*KVARDI,2),""))</f>
        <v/>
      </c>
      <c r="EF36" s="23"/>
      <c r="EG36" s="40" t="str">
        <f aca="false">IF(OR(EF$4=0,EF36=""),"",IFERROR(ROUND(EF36/INDEX(Undirviðmið!$F$6:$F$205,EF$4)*INDEX(Undirviðmið!$E$6:$E$205,EF$4)*KVARDI,2),""))</f>
        <v/>
      </c>
      <c r="EH36" s="23"/>
      <c r="EI36" s="40" t="str">
        <f aca="false">IF(OR(EH$4=0,EH36=""),"",IFERROR(ROUND(EH36/INDEX(Undirviðmið!$F$6:$F$205,EH$4)*INDEX(Undirviðmið!$E$6:$E$205,EH$4)*KVARDI,2),""))</f>
        <v/>
      </c>
      <c r="EJ36" s="23"/>
      <c r="EK36" s="40" t="str">
        <f aca="false">IF(OR(EJ$4=0,EJ36=""),"",IFERROR(ROUND(EJ36/INDEX(Undirviðmið!$F$6:$F$205,EJ$4)*INDEX(Undirviðmið!$E$6:$E$205,EJ$4)*KVARDI,2),""))</f>
        <v/>
      </c>
      <c r="EL36" s="23"/>
      <c r="EM36" s="40" t="str">
        <f aca="false">IF(OR(EL$4=0,EL36=""),"",IFERROR(ROUND(EL36/INDEX(Undirviðmið!$F$6:$F$205,EL$4)*INDEX(Undirviðmið!$E$6:$E$205,EL$4)*KVARDI,2),""))</f>
        <v/>
      </c>
      <c r="EN36" s="23"/>
      <c r="EO36" s="40" t="str">
        <f aca="false">IF(OR(EN$4=0,EN36=""),"",IFERROR(ROUND(EN36/INDEX(Undirviðmið!$F$6:$F$205,EN$4)*INDEX(Undirviðmið!$E$6:$E$205,EN$4)*KVARDI,2),""))</f>
        <v/>
      </c>
      <c r="EP36" s="23"/>
      <c r="EQ36" s="40" t="str">
        <f aca="false">IF(OR(EP$4=0,EP36=""),"",IFERROR(ROUND(EP36/INDEX(Undirviðmið!$F$6:$F$205,EP$4)*INDEX(Undirviðmið!$E$6:$E$205,EP$4)*KVARDI,2),""))</f>
        <v/>
      </c>
      <c r="ER36" s="23"/>
      <c r="ES36" s="40" t="str">
        <f aca="false">IF(OR(ER$4=0,ER36=""),"",IFERROR(ROUND(ER36/INDEX(Undirviðmið!$F$6:$F$205,ER$4)*INDEX(Undirviðmið!$E$6:$E$205,ER$4)*KVARDI,2),""))</f>
        <v/>
      </c>
      <c r="ET36" s="23"/>
      <c r="EU36" s="40" t="str">
        <f aca="false">IF(OR(ET$4=0,ET36=""),"",IFERROR(ROUND(ET36/INDEX(Undirviðmið!$F$6:$F$205,ET$4)*INDEX(Undirviðmið!$E$6:$E$205,ET$4)*KVARDI,2),""))</f>
        <v/>
      </c>
      <c r="EV36" s="23"/>
      <c r="EW36" s="40" t="str">
        <f aca="false">IF(OR(EV$4=0,EV36=""),"",IFERROR(ROUND(EV36/INDEX(Undirviðmið!$F$6:$F$205,EV$4)*INDEX(Undirviðmið!$E$6:$E$205,EV$4)*KVARDI,2),""))</f>
        <v/>
      </c>
      <c r="EX36" s="23"/>
      <c r="EY36" s="40" t="str">
        <f aca="false">IF(OR(EX$4=0,EX36=""),"",IFERROR(ROUND(EX36/INDEX(Undirviðmið!$F$6:$F$205,EX$4)*INDEX(Undirviðmið!$E$6:$E$205,EX$4)*KVARDI,2),""))</f>
        <v/>
      </c>
      <c r="EZ36" s="23"/>
      <c r="FA36" s="40" t="str">
        <f aca="false">IF(OR(EZ$4=0,EZ36=""),"",IFERROR(ROUND(EZ36/INDEX(Undirviðmið!$F$6:$F$205,EZ$4)*INDEX(Undirviðmið!$E$6:$E$205,EZ$4)*KVARDI,2),""))</f>
        <v/>
      </c>
      <c r="FB36" s="23"/>
      <c r="FC36" s="40" t="str">
        <f aca="false">IF(OR(FB$4=0,FB36=""),"",IFERROR(ROUND(FB36/INDEX(Undirviðmið!$F$6:$F$205,FB$4)*INDEX(Undirviðmið!$E$6:$E$205,FB$4)*KVARDI,2),""))</f>
        <v/>
      </c>
      <c r="FD36" s="23"/>
      <c r="FE36" s="40" t="str">
        <f aca="false">IF(OR(FD$4=0,FD36=""),"",IFERROR(ROUND(FD36/INDEX(Undirviðmið!$F$6:$F$205,FD$4)*INDEX(Undirviðmið!$E$6:$E$205,FD$4)*KVARDI,2),""))</f>
        <v/>
      </c>
      <c r="FF36" s="23"/>
      <c r="FG36" s="40" t="str">
        <f aca="false">IF(OR(FF$4=0,FF36=""),"",IFERROR(ROUND(FF36/INDEX(Undirviðmið!$F$6:$F$205,FF$4)*INDEX(Undirviðmið!$E$6:$E$205,FF$4)*KVARDI,2),""))</f>
        <v/>
      </c>
      <c r="FH36" s="23"/>
      <c r="FI36" s="40" t="str">
        <f aca="false">IF(OR(FH$4=0,FH36=""),"",IFERROR(ROUND(FH36/INDEX(Undirviðmið!$F$6:$F$205,FH$4)*INDEX(Undirviðmið!$E$6:$E$205,FH$4)*KVARDI,2),""))</f>
        <v/>
      </c>
      <c r="FJ36" s="23"/>
      <c r="FK36" s="40" t="str">
        <f aca="false">IF(OR(FJ$4=0,FJ36=""),"",IFERROR(ROUND(FJ36/INDEX(Undirviðmið!$F$6:$F$205,FJ$4)*INDEX(Undirviðmið!$E$6:$E$205,FJ$4)*KVARDI,2),""))</f>
        <v/>
      </c>
      <c r="FL36" s="23"/>
      <c r="FM36" s="40" t="str">
        <f aca="false">IF(OR(FL$4=0,FL36=""),"",IFERROR(ROUND(FL36/INDEX(Undirviðmið!$F$6:$F$205,FL$4)*INDEX(Undirviðmið!$E$6:$E$205,FL$4)*KVARDI,2),""))</f>
        <v/>
      </c>
      <c r="FN36" s="23"/>
      <c r="FO36" s="40" t="str">
        <f aca="false">IF(OR(FN$4=0,FN36=""),"",IFERROR(ROUND(FN36/INDEX(Undirviðmið!$F$6:$F$205,FN$4)*INDEX(Undirviðmið!$E$6:$E$205,FN$4)*KVARDI,2),""))</f>
        <v/>
      </c>
      <c r="FP36" s="23"/>
      <c r="FQ36" s="40" t="str">
        <f aca="false">IF(OR(FP$4=0,FP36=""),"",IFERROR(ROUND(FP36/INDEX(Undirviðmið!$F$6:$F$205,FP$4)*INDEX(Undirviðmið!$E$6:$E$205,FP$4)*KVARDI,2),""))</f>
        <v/>
      </c>
      <c r="FR36" s="23"/>
      <c r="FS36" s="40" t="str">
        <f aca="false">IF(OR(FR$4=0,FR36=""),"",IFERROR(ROUND(FR36/INDEX(Undirviðmið!$F$6:$F$205,FR$4)*INDEX(Undirviðmið!$E$6:$E$205,FR$4)*KVARDI,2),""))</f>
        <v/>
      </c>
      <c r="FT36" s="23"/>
      <c r="FU36" s="40" t="str">
        <f aca="false">IF(OR(FT$4=0,FT36=""),"",IFERROR(ROUND(FT36/INDEX(Undirviðmið!$F$6:$F$205,FT$4)*INDEX(Undirviðmið!$E$6:$E$205,FT$4)*KVARDI,2),""))</f>
        <v/>
      </c>
      <c r="FV36" s="23"/>
      <c r="FW36" s="40" t="str">
        <f aca="false">IF(OR(FV$4=0,FV36=""),"",IFERROR(ROUND(FV36/INDEX(Undirviðmið!$F$6:$F$205,FV$4)*INDEX(Undirviðmið!$E$6:$E$205,FV$4)*KVARDI,2),""))</f>
        <v/>
      </c>
      <c r="FX36" s="23"/>
      <c r="FY36" s="40" t="str">
        <f aca="false">IF(OR(FX$4=0,FX36=""),"",IFERROR(ROUND(FX36/INDEX(Undirviðmið!$F$6:$F$205,FX$4)*INDEX(Undirviðmið!$E$6:$E$205,FX$4)*KVARDI,2),""))</f>
        <v/>
      </c>
      <c r="FZ36" s="23"/>
      <c r="GA36" s="40" t="str">
        <f aca="false">IF(OR(FZ$4=0,FZ36=""),"",IFERROR(ROUND(FZ36/INDEX(Undirviðmið!$F$6:$F$205,FZ$4)*INDEX(Undirviðmið!$E$6:$E$205,FZ$4)*KVARDI,2),""))</f>
        <v/>
      </c>
      <c r="GB36" s="23"/>
      <c r="GC36" s="40" t="str">
        <f aca="false">IF(OR(GB$4=0,GB36=""),"",IFERROR(ROUND(GB36/INDEX(Undirviðmið!$F$6:$F$205,GB$4)*INDEX(Undirviðmið!$E$6:$E$205,GB$4)*KVARDI,2),""))</f>
        <v/>
      </c>
      <c r="GD36" s="23"/>
      <c r="GE36" s="40" t="str">
        <f aca="false">IF(OR(GD$4=0,GD36=""),"",IFERROR(ROUND(GD36/INDEX(Undirviðmið!$F$6:$F$205,GD$4)*INDEX(Undirviðmið!$E$6:$E$205,GD$4)*KVARDI,2),""))</f>
        <v/>
      </c>
      <c r="GF36" s="23"/>
      <c r="GG36" s="40" t="str">
        <f aca="false">IF(OR(GF$4=0,GF36=""),"",IFERROR(ROUND(GF36/INDEX(Undirviðmið!$F$6:$F$205,GF$4)*INDEX(Undirviðmið!$E$6:$E$205,GF$4)*KVARDI,2),""))</f>
        <v/>
      </c>
      <c r="GH36" s="23"/>
      <c r="GI36" s="40" t="str">
        <f aca="false">IF(OR(GH$4=0,GH36=""),"",IFERROR(ROUND(GH36/INDEX(Undirviðmið!$F$6:$F$205,GH$4)*INDEX(Undirviðmið!$E$6:$E$205,GH$4)*KVARDI,2),""))</f>
        <v/>
      </c>
      <c r="GJ36" s="23"/>
      <c r="GK36" s="40" t="str">
        <f aca="false">IF(OR(GJ$4=0,GJ36=""),"",IFERROR(ROUND(GJ36/INDEX(Undirviðmið!$F$6:$F$205,GJ$4)*INDEX(Undirviðmið!$E$6:$E$205,GJ$4)*KVARDI,2),""))</f>
        <v/>
      </c>
      <c r="GL36" s="23"/>
      <c r="GM36" s="40" t="str">
        <f aca="false">IF(OR(GL$4=0,GL36=""),"",IFERROR(ROUND(GL36/INDEX(Undirviðmið!$F$6:$F$205,GL$4)*INDEX(Undirviðmið!$E$6:$E$205,GL$4)*KVARDI,2),""))</f>
        <v/>
      </c>
      <c r="GN36" s="23"/>
      <c r="GO36" s="40" t="str">
        <f aca="false">IF(OR(GN$4=0,GN36=""),"",IFERROR(ROUND(GN36/INDEX(Undirviðmið!$F$6:$F$205,GN$4)*INDEX(Undirviðmið!$E$6:$E$205,GN$4)*KVARDI,2),""))</f>
        <v/>
      </c>
      <c r="GP36" s="23"/>
      <c r="GQ36" s="40" t="str">
        <f aca="false">IF(OR(GP$4=0,GP36=""),"",IFERROR(ROUND(GP36/INDEX(Undirviðmið!$F$6:$F$205,GP$4)*INDEX(Undirviðmið!$E$6:$E$205,GP$4)*KVARDI,2),""))</f>
        <v/>
      </c>
      <c r="GR36" s="23"/>
      <c r="GS36" s="40" t="str">
        <f aca="false">IF(OR(GR$4=0,GR36=""),"",IFERROR(ROUND(GR36/INDEX(Undirviðmið!$F$6:$F$205,GR$4)*INDEX(Undirviðmið!$E$6:$E$205,GR$4)*KVARDI,2),""))</f>
        <v/>
      </c>
      <c r="GT36" s="23"/>
      <c r="GU36" s="40" t="str">
        <f aca="false">IF(OR(GT$4=0,GT36=""),"",IFERROR(ROUND(GT36/INDEX(Undirviðmið!$F$6:$F$205,GT$4)*INDEX(Undirviðmið!$E$6:$E$205,GT$4)*KVARDI,2),""))</f>
        <v/>
      </c>
      <c r="GV36" s="44" t="n">
        <f aca="false">IFERROR(SUMIF($D$6:GU$6,"Stig",$D36:GU36),0)</f>
        <v>0</v>
      </c>
    </row>
    <row r="37" customFormat="false" ht="15" hidden="false" customHeight="true" outlineLevel="0" collapsed="false">
      <c r="A37" s="22" t="n">
        <f aca="false">ROW()-6</f>
        <v>31</v>
      </c>
      <c r="B37" s="24" t="str">
        <f aca="false">IF(INDEX(Starfsmenn!$B$6:$B$10005,ROW()-6)="","",INDEX(Starfsmenn!$B$6:$B$10005,ROW()-6))</f>
        <v/>
      </c>
      <c r="C37" s="24" t="str">
        <f aca="false">IF(INDEX(Starfsmenn!$C$6:$C$10005,ROW()-6)="","",INDEX(Starfsmenn!$C$6:$C$10005,ROW()-6))</f>
        <v/>
      </c>
      <c r="D37" s="23"/>
      <c r="E37" s="40" t="str">
        <f aca="false">IF(OR(D$4=0,D37=""),"",IFERROR(ROUND(D37/INDEX(Undirviðmið!$F$6:$F$205,D$4)*INDEX(Undirviðmið!$E$6:$E$205,D$4)*KVARDI,2),""))</f>
        <v/>
      </c>
      <c r="F37" s="23"/>
      <c r="G37" s="40" t="str">
        <f aca="false">IF(OR(F$4=0,F37=""),"",IFERROR(ROUND(F37/INDEX(Undirviðmið!$F$6:$F$205,F$4)*INDEX(Undirviðmið!$E$6:$E$205,F$4)*KVARDI,2),""))</f>
        <v/>
      </c>
      <c r="H37" s="23"/>
      <c r="I37" s="40" t="str">
        <f aca="false">IF(OR(H$4=0,H37=""),"",IFERROR(ROUND(H37/INDEX(Undirviðmið!$F$6:$F$205,H$4)*INDEX(Undirviðmið!$E$6:$E$205,H$4)*KVARDI,2),""))</f>
        <v/>
      </c>
      <c r="J37" s="23"/>
      <c r="K37" s="40" t="str">
        <f aca="false">IF(OR(J$4=0,J37=""),"",IFERROR(ROUND(J37/INDEX(Undirviðmið!$F$6:$F$205,J$4)*INDEX(Undirviðmið!$E$6:$E$205,J$4)*KVARDI,2),""))</f>
        <v/>
      </c>
      <c r="L37" s="23"/>
      <c r="M37" s="40" t="str">
        <f aca="false">IF(OR(L$4=0,L37=""),"",IFERROR(ROUND(L37/INDEX(Undirviðmið!$F$6:$F$205,L$4)*INDEX(Undirviðmið!$E$6:$E$205,L$4)*KVARDI,2),""))</f>
        <v/>
      </c>
      <c r="N37" s="23"/>
      <c r="O37" s="40" t="str">
        <f aca="false">IF(OR(N$4=0,N37=""),"",IFERROR(ROUND(N37/INDEX(Undirviðmið!$F$6:$F$205,N$4)*INDEX(Undirviðmið!$E$6:$E$205,N$4)*KVARDI,2),""))</f>
        <v/>
      </c>
      <c r="P37" s="23"/>
      <c r="Q37" s="40" t="str">
        <f aca="false">IF(OR(P$4=0,P37=""),"",IFERROR(ROUND(P37/INDEX(Undirviðmið!$F$6:$F$205,P$4)*INDEX(Undirviðmið!$E$6:$E$205,P$4)*KVARDI,2),""))</f>
        <v/>
      </c>
      <c r="R37" s="23"/>
      <c r="S37" s="40" t="str">
        <f aca="false">IF(OR(R$4=0,R37=""),"",IFERROR(ROUND(R37/INDEX(Undirviðmið!$F$6:$F$205,R$4)*INDEX(Undirviðmið!$E$6:$E$205,R$4)*KVARDI,2),""))</f>
        <v/>
      </c>
      <c r="T37" s="23"/>
      <c r="U37" s="40" t="str">
        <f aca="false">IF(OR(T$4=0,T37=""),"",IFERROR(ROUND(T37/INDEX(Undirviðmið!$F$6:$F$205,T$4)*INDEX(Undirviðmið!$E$6:$E$205,T$4)*KVARDI,2),""))</f>
        <v/>
      </c>
      <c r="V37" s="23"/>
      <c r="W37" s="40" t="str">
        <f aca="false">IF(OR(V$4=0,V37=""),"",IFERROR(ROUND(V37/INDEX(Undirviðmið!$F$6:$F$205,V$4)*INDEX(Undirviðmið!$E$6:$E$205,V$4)*KVARDI,2),""))</f>
        <v/>
      </c>
      <c r="X37" s="23"/>
      <c r="Y37" s="40" t="str">
        <f aca="false">IF(OR(X$4=0,X37=""),"",IFERROR(ROUND(X37/INDEX(Undirviðmið!$F$6:$F$205,X$4)*INDEX(Undirviðmið!$E$6:$E$205,X$4)*KVARDI,2),""))</f>
        <v/>
      </c>
      <c r="Z37" s="23"/>
      <c r="AA37" s="40" t="str">
        <f aca="false">IF(OR(Z$4=0,Z37=""),"",IFERROR(ROUND(Z37/INDEX(Undirviðmið!$F$6:$F$205,Z$4)*INDEX(Undirviðmið!$E$6:$E$205,Z$4)*KVARDI,2),""))</f>
        <v/>
      </c>
      <c r="AB37" s="23"/>
      <c r="AC37" s="40" t="str">
        <f aca="false">IF(OR(AB$4=0,AB37=""),"",IFERROR(ROUND(AB37/INDEX(Undirviðmið!$F$6:$F$205,AB$4)*INDEX(Undirviðmið!$E$6:$E$205,AB$4)*KVARDI,2),""))</f>
        <v/>
      </c>
      <c r="AD37" s="23"/>
      <c r="AE37" s="40" t="str">
        <f aca="false">IF(OR(AD$4=0,AD37=""),"",IFERROR(ROUND(AD37/INDEX(Undirviðmið!$F$6:$F$205,AD$4)*INDEX(Undirviðmið!$E$6:$E$205,AD$4)*KVARDI,2),""))</f>
        <v/>
      </c>
      <c r="AF37" s="23"/>
      <c r="AG37" s="40" t="str">
        <f aca="false">IF(OR(AF$4=0,AF37=""),"",IFERROR(ROUND(AF37/INDEX(Undirviðmið!$F$6:$F$205,AF$4)*INDEX(Undirviðmið!$E$6:$E$205,AF$4)*KVARDI,2),""))</f>
        <v/>
      </c>
      <c r="AH37" s="23"/>
      <c r="AI37" s="40" t="str">
        <f aca="false">IF(OR(AH$4=0,AH37=""),"",IFERROR(ROUND(AH37/INDEX(Undirviðmið!$F$6:$F$205,AH$4)*INDEX(Undirviðmið!$E$6:$E$205,AH$4)*KVARDI,2),""))</f>
        <v/>
      </c>
      <c r="AJ37" s="23"/>
      <c r="AK37" s="40" t="str">
        <f aca="false">IF(OR(AJ$4=0,AJ37=""),"",IFERROR(ROUND(AJ37/INDEX(Undirviðmið!$F$6:$F$205,AJ$4)*INDEX(Undirviðmið!$E$6:$E$205,AJ$4)*KVARDI,2),""))</f>
        <v/>
      </c>
      <c r="AL37" s="23"/>
      <c r="AM37" s="40" t="str">
        <f aca="false">IF(OR(AL$4=0,AL37=""),"",IFERROR(ROUND(AL37/INDEX(Undirviðmið!$F$6:$F$205,AL$4)*INDEX(Undirviðmið!$E$6:$E$205,AL$4)*KVARDI,2),""))</f>
        <v/>
      </c>
      <c r="AN37" s="23"/>
      <c r="AO37" s="40" t="str">
        <f aca="false">IF(OR(AN$4=0,AN37=""),"",IFERROR(ROUND(AN37/INDEX(Undirviðmið!$F$6:$F$205,AN$4)*INDEX(Undirviðmið!$E$6:$E$205,AN$4)*KVARDI,2),""))</f>
        <v/>
      </c>
      <c r="AP37" s="23"/>
      <c r="AQ37" s="40" t="str">
        <f aca="false">IF(OR(AP$4=0,AP37=""),"",IFERROR(ROUND(AP37/INDEX(Undirviðmið!$F$6:$F$205,AP$4)*INDEX(Undirviðmið!$E$6:$E$205,AP$4)*KVARDI,2),""))</f>
        <v/>
      </c>
      <c r="AR37" s="23"/>
      <c r="AS37" s="40" t="str">
        <f aca="false">IF(OR(AR$4=0,AR37=""),"",IFERROR(ROUND(AR37/INDEX(Undirviðmið!$F$6:$F$205,AR$4)*INDEX(Undirviðmið!$E$6:$E$205,AR$4)*KVARDI,2),""))</f>
        <v/>
      </c>
      <c r="AT37" s="23"/>
      <c r="AU37" s="40" t="str">
        <f aca="false">IF(OR(AT$4=0,AT37=""),"",IFERROR(ROUND(AT37/INDEX(Undirviðmið!$F$6:$F$205,AT$4)*INDEX(Undirviðmið!$E$6:$E$205,AT$4)*KVARDI,2),""))</f>
        <v/>
      </c>
      <c r="AV37" s="23"/>
      <c r="AW37" s="40" t="str">
        <f aca="false">IF(OR(AV$4=0,AV37=""),"",IFERROR(ROUND(AV37/INDEX(Undirviðmið!$F$6:$F$205,AV$4)*INDEX(Undirviðmið!$E$6:$E$205,AV$4)*KVARDI,2),""))</f>
        <v/>
      </c>
      <c r="AX37" s="23"/>
      <c r="AY37" s="40" t="str">
        <f aca="false">IF(OR(AX$4=0,AX37=""),"",IFERROR(ROUND(AX37/INDEX(Undirviðmið!$F$6:$F$205,AX$4)*INDEX(Undirviðmið!$E$6:$E$205,AX$4)*KVARDI,2),""))</f>
        <v/>
      </c>
      <c r="AZ37" s="23"/>
      <c r="BA37" s="40" t="str">
        <f aca="false">IF(OR(AZ$4=0,AZ37=""),"",IFERROR(ROUND(AZ37/INDEX(Undirviðmið!$F$6:$F$205,AZ$4)*INDEX(Undirviðmið!$E$6:$E$205,AZ$4)*KVARDI,2),""))</f>
        <v/>
      </c>
      <c r="BB37" s="23"/>
      <c r="BC37" s="40" t="str">
        <f aca="false">IF(OR(BB$4=0,BB37=""),"",IFERROR(ROUND(BB37/INDEX(Undirviðmið!$F$6:$F$205,BB$4)*INDEX(Undirviðmið!$E$6:$E$205,BB$4)*KVARDI,2),""))</f>
        <v/>
      </c>
      <c r="BD37" s="23"/>
      <c r="BE37" s="40" t="str">
        <f aca="false">IF(OR(BD$4=0,BD37=""),"",IFERROR(ROUND(BD37/INDEX(Undirviðmið!$F$6:$F$205,BD$4)*INDEX(Undirviðmið!$E$6:$E$205,BD$4)*KVARDI,2),""))</f>
        <v/>
      </c>
      <c r="BF37" s="23"/>
      <c r="BG37" s="40" t="str">
        <f aca="false">IF(OR(BF$4=0,BF37=""),"",IFERROR(ROUND(BF37/INDEX(Undirviðmið!$F$6:$F$205,BF$4)*INDEX(Undirviðmið!$E$6:$E$205,BF$4)*KVARDI,2),""))</f>
        <v/>
      </c>
      <c r="BH37" s="23"/>
      <c r="BI37" s="40" t="str">
        <f aca="false">IF(OR(BH$4=0,BH37=""),"",IFERROR(ROUND(BH37/INDEX(Undirviðmið!$F$6:$F$205,BH$4)*INDEX(Undirviðmið!$E$6:$E$205,BH$4)*KVARDI,2),""))</f>
        <v/>
      </c>
      <c r="BJ37" s="23"/>
      <c r="BK37" s="40" t="str">
        <f aca="false">IF(OR(BJ$4=0,BJ37=""),"",IFERROR(ROUND(BJ37/INDEX(Undirviðmið!$F$6:$F$205,BJ$4)*INDEX(Undirviðmið!$E$6:$E$205,BJ$4)*KVARDI,2),""))</f>
        <v/>
      </c>
      <c r="BL37" s="23"/>
      <c r="BM37" s="40" t="str">
        <f aca="false">IF(OR(BL$4=0,BL37=""),"",IFERROR(ROUND(BL37/INDEX(Undirviðmið!$F$6:$F$205,BL$4)*INDEX(Undirviðmið!$E$6:$E$205,BL$4)*KVARDI,2),""))</f>
        <v/>
      </c>
      <c r="BN37" s="23"/>
      <c r="BO37" s="40" t="str">
        <f aca="false">IF(OR(BN$4=0,BN37=""),"",IFERROR(ROUND(BN37/INDEX(Undirviðmið!$F$6:$F$205,BN$4)*INDEX(Undirviðmið!$E$6:$E$205,BN$4)*KVARDI,2),""))</f>
        <v/>
      </c>
      <c r="BP37" s="23"/>
      <c r="BQ37" s="40" t="str">
        <f aca="false">IF(OR(BP$4=0,BP37=""),"",IFERROR(ROUND(BP37/INDEX(Undirviðmið!$F$6:$F$205,BP$4)*INDEX(Undirviðmið!$E$6:$E$205,BP$4)*KVARDI,2),""))</f>
        <v/>
      </c>
      <c r="BR37" s="23"/>
      <c r="BS37" s="40" t="str">
        <f aca="false">IF(OR(BR$4=0,BR37=""),"",IFERROR(ROUND(BR37/INDEX(Undirviðmið!$F$6:$F$205,BR$4)*INDEX(Undirviðmið!$E$6:$E$205,BR$4)*KVARDI,2),""))</f>
        <v/>
      </c>
      <c r="BT37" s="23"/>
      <c r="BU37" s="40" t="str">
        <f aca="false">IF(OR(BT$4=0,BT37=""),"",IFERROR(ROUND(BT37/INDEX(Undirviðmið!$F$6:$F$205,BT$4)*INDEX(Undirviðmið!$E$6:$E$205,BT$4)*KVARDI,2),""))</f>
        <v/>
      </c>
      <c r="BV37" s="23"/>
      <c r="BW37" s="40" t="str">
        <f aca="false">IF(OR(BV$4=0,BV37=""),"",IFERROR(ROUND(BV37/INDEX(Undirviðmið!$F$6:$F$205,BV$4)*INDEX(Undirviðmið!$E$6:$E$205,BV$4)*KVARDI,2),""))</f>
        <v/>
      </c>
      <c r="BX37" s="23"/>
      <c r="BY37" s="40" t="str">
        <f aca="false">IF(OR(BX$4=0,BX37=""),"",IFERROR(ROUND(BX37/INDEX(Undirviðmið!$F$6:$F$205,BX$4)*INDEX(Undirviðmið!$E$6:$E$205,BX$4)*KVARDI,2),""))</f>
        <v/>
      </c>
      <c r="BZ37" s="23"/>
      <c r="CA37" s="40" t="str">
        <f aca="false">IF(OR(BZ$4=0,BZ37=""),"",IFERROR(ROUND(BZ37/INDEX(Undirviðmið!$F$6:$F$205,BZ$4)*INDEX(Undirviðmið!$E$6:$E$205,BZ$4)*KVARDI,2),""))</f>
        <v/>
      </c>
      <c r="CB37" s="23"/>
      <c r="CC37" s="40" t="str">
        <f aca="false">IF(OR(CB$4=0,CB37=""),"",IFERROR(ROUND(CB37/INDEX(Undirviðmið!$F$6:$F$205,CB$4)*INDEX(Undirviðmið!$E$6:$E$205,CB$4)*KVARDI,2),""))</f>
        <v/>
      </c>
      <c r="CD37" s="23"/>
      <c r="CE37" s="40" t="str">
        <f aca="false">IF(OR(CD$4=0,CD37=""),"",IFERROR(ROUND(CD37/INDEX(Undirviðmið!$F$6:$F$205,CD$4)*INDEX(Undirviðmið!$E$6:$E$205,CD$4)*KVARDI,2),""))</f>
        <v/>
      </c>
      <c r="CF37" s="23"/>
      <c r="CG37" s="40" t="str">
        <f aca="false">IF(OR(CF$4=0,CF37=""),"",IFERROR(ROUND(CF37/INDEX(Undirviðmið!$F$6:$F$205,CF$4)*INDEX(Undirviðmið!$E$6:$E$205,CF$4)*KVARDI,2),""))</f>
        <v/>
      </c>
      <c r="CH37" s="23"/>
      <c r="CI37" s="40" t="str">
        <f aca="false">IF(OR(CH$4=0,CH37=""),"",IFERROR(ROUND(CH37/INDEX(Undirviðmið!$F$6:$F$205,CH$4)*INDEX(Undirviðmið!$E$6:$E$205,CH$4)*KVARDI,2),""))</f>
        <v/>
      </c>
      <c r="CJ37" s="23"/>
      <c r="CK37" s="40" t="str">
        <f aca="false">IF(OR(CJ$4=0,CJ37=""),"",IFERROR(ROUND(CJ37/INDEX(Undirviðmið!$F$6:$F$205,CJ$4)*INDEX(Undirviðmið!$E$6:$E$205,CJ$4)*KVARDI,2),""))</f>
        <v/>
      </c>
      <c r="CL37" s="23"/>
      <c r="CM37" s="40" t="str">
        <f aca="false">IF(OR(CL$4=0,CL37=""),"",IFERROR(ROUND(CL37/INDEX(Undirviðmið!$F$6:$F$205,CL$4)*INDEX(Undirviðmið!$E$6:$E$205,CL$4)*KVARDI,2),""))</f>
        <v/>
      </c>
      <c r="CN37" s="23"/>
      <c r="CO37" s="40" t="str">
        <f aca="false">IF(OR(CN$4=0,CN37=""),"",IFERROR(ROUND(CN37/INDEX(Undirviðmið!$F$6:$F$205,CN$4)*INDEX(Undirviðmið!$E$6:$E$205,CN$4)*KVARDI,2),""))</f>
        <v/>
      </c>
      <c r="CP37" s="23"/>
      <c r="CQ37" s="40" t="str">
        <f aca="false">IF(OR(CP$4=0,CP37=""),"",IFERROR(ROUND(CP37/INDEX(Undirviðmið!$F$6:$F$205,CP$4)*INDEX(Undirviðmið!$E$6:$E$205,CP$4)*KVARDI,2),""))</f>
        <v/>
      </c>
      <c r="CR37" s="23"/>
      <c r="CS37" s="40" t="str">
        <f aca="false">IF(OR(CR$4=0,CR37=""),"",IFERROR(ROUND(CR37/INDEX(Undirviðmið!$F$6:$F$205,CR$4)*INDEX(Undirviðmið!$E$6:$E$205,CR$4)*KVARDI,2),""))</f>
        <v/>
      </c>
      <c r="CT37" s="23"/>
      <c r="CU37" s="40" t="str">
        <f aca="false">IF(OR(CT$4=0,CT37=""),"",IFERROR(ROUND(CT37/INDEX(Undirviðmið!$F$6:$F$205,CT$4)*INDEX(Undirviðmið!$E$6:$E$205,CT$4)*KVARDI,2),""))</f>
        <v/>
      </c>
      <c r="CV37" s="23"/>
      <c r="CW37" s="40" t="str">
        <f aca="false">IF(OR(CV$4=0,CV37=""),"",IFERROR(ROUND(CV37/INDEX(Undirviðmið!$F$6:$F$205,CV$4)*INDEX(Undirviðmið!$E$6:$E$205,CV$4)*KVARDI,2),""))</f>
        <v/>
      </c>
      <c r="CX37" s="23"/>
      <c r="CY37" s="40" t="str">
        <f aca="false">IF(OR(CX$4=0,CX37=""),"",IFERROR(ROUND(CX37/INDEX(Undirviðmið!$F$6:$F$205,CX$4)*INDEX(Undirviðmið!$E$6:$E$205,CX$4)*KVARDI,2),""))</f>
        <v/>
      </c>
      <c r="CZ37" s="23"/>
      <c r="DA37" s="40" t="str">
        <f aca="false">IF(OR(CZ$4=0,CZ37=""),"",IFERROR(ROUND(CZ37/INDEX(Undirviðmið!$F$6:$F$205,CZ$4)*INDEX(Undirviðmið!$E$6:$E$205,CZ$4)*KVARDI,2),""))</f>
        <v/>
      </c>
      <c r="DB37" s="23"/>
      <c r="DC37" s="40" t="str">
        <f aca="false">IF(OR(DB$4=0,DB37=""),"",IFERROR(ROUND(DB37/INDEX(Undirviðmið!$F$6:$F$205,DB$4)*INDEX(Undirviðmið!$E$6:$E$205,DB$4)*KVARDI,2),""))</f>
        <v/>
      </c>
      <c r="DD37" s="23"/>
      <c r="DE37" s="40" t="str">
        <f aca="false">IF(OR(DD$4=0,DD37=""),"",IFERROR(ROUND(DD37/INDEX(Undirviðmið!$F$6:$F$205,DD$4)*INDEX(Undirviðmið!$E$6:$E$205,DD$4)*KVARDI,2),""))</f>
        <v/>
      </c>
      <c r="DF37" s="23"/>
      <c r="DG37" s="40" t="str">
        <f aca="false">IF(OR(DF$4=0,DF37=""),"",IFERROR(ROUND(DF37/INDEX(Undirviðmið!$F$6:$F$205,DF$4)*INDEX(Undirviðmið!$E$6:$E$205,DF$4)*KVARDI,2),""))</f>
        <v/>
      </c>
      <c r="DH37" s="23"/>
      <c r="DI37" s="40" t="str">
        <f aca="false">IF(OR(DH$4=0,DH37=""),"",IFERROR(ROUND(DH37/INDEX(Undirviðmið!$F$6:$F$205,DH$4)*INDEX(Undirviðmið!$E$6:$E$205,DH$4)*KVARDI,2),""))</f>
        <v/>
      </c>
      <c r="DJ37" s="23"/>
      <c r="DK37" s="40" t="str">
        <f aca="false">IF(OR(DJ$4=0,DJ37=""),"",IFERROR(ROUND(DJ37/INDEX(Undirviðmið!$F$6:$F$205,DJ$4)*INDEX(Undirviðmið!$E$6:$E$205,DJ$4)*KVARDI,2),""))</f>
        <v/>
      </c>
      <c r="DL37" s="23"/>
      <c r="DM37" s="40" t="str">
        <f aca="false">IF(OR(DL$4=0,DL37=""),"",IFERROR(ROUND(DL37/INDEX(Undirviðmið!$F$6:$F$205,DL$4)*INDEX(Undirviðmið!$E$6:$E$205,DL$4)*KVARDI,2),""))</f>
        <v/>
      </c>
      <c r="DN37" s="23"/>
      <c r="DO37" s="40" t="str">
        <f aca="false">IF(OR(DN$4=0,DN37=""),"",IFERROR(ROUND(DN37/INDEX(Undirviðmið!$F$6:$F$205,DN$4)*INDEX(Undirviðmið!$E$6:$E$205,DN$4)*KVARDI,2),""))</f>
        <v/>
      </c>
      <c r="DP37" s="23"/>
      <c r="DQ37" s="40" t="str">
        <f aca="false">IF(OR(DP$4=0,DP37=""),"",IFERROR(ROUND(DP37/INDEX(Undirviðmið!$F$6:$F$205,DP$4)*INDEX(Undirviðmið!$E$6:$E$205,DP$4)*KVARDI,2),""))</f>
        <v/>
      </c>
      <c r="DR37" s="23"/>
      <c r="DS37" s="40" t="str">
        <f aca="false">IF(OR(DR$4=0,DR37=""),"",IFERROR(ROUND(DR37/INDEX(Undirviðmið!$F$6:$F$205,DR$4)*INDEX(Undirviðmið!$E$6:$E$205,DR$4)*KVARDI,2),""))</f>
        <v/>
      </c>
      <c r="DT37" s="23"/>
      <c r="DU37" s="40" t="str">
        <f aca="false">IF(OR(DT$4=0,DT37=""),"",IFERROR(ROUND(DT37/INDEX(Undirviðmið!$F$6:$F$205,DT$4)*INDEX(Undirviðmið!$E$6:$E$205,DT$4)*KVARDI,2),""))</f>
        <v/>
      </c>
      <c r="DV37" s="23"/>
      <c r="DW37" s="40" t="str">
        <f aca="false">IF(OR(DV$4=0,DV37=""),"",IFERROR(ROUND(DV37/INDEX(Undirviðmið!$F$6:$F$205,DV$4)*INDEX(Undirviðmið!$E$6:$E$205,DV$4)*KVARDI,2),""))</f>
        <v/>
      </c>
      <c r="DX37" s="23"/>
      <c r="DY37" s="40" t="str">
        <f aca="false">IF(OR(DX$4=0,DX37=""),"",IFERROR(ROUND(DX37/INDEX(Undirviðmið!$F$6:$F$205,DX$4)*INDEX(Undirviðmið!$E$6:$E$205,DX$4)*KVARDI,2),""))</f>
        <v/>
      </c>
      <c r="DZ37" s="23"/>
      <c r="EA37" s="40" t="str">
        <f aca="false">IF(OR(DZ$4=0,DZ37=""),"",IFERROR(ROUND(DZ37/INDEX(Undirviðmið!$F$6:$F$205,DZ$4)*INDEX(Undirviðmið!$E$6:$E$205,DZ$4)*KVARDI,2),""))</f>
        <v/>
      </c>
      <c r="EB37" s="23"/>
      <c r="EC37" s="40" t="str">
        <f aca="false">IF(OR(EB$4=0,EB37=""),"",IFERROR(ROUND(EB37/INDEX(Undirviðmið!$F$6:$F$205,EB$4)*INDEX(Undirviðmið!$E$6:$E$205,EB$4)*KVARDI,2),""))</f>
        <v/>
      </c>
      <c r="ED37" s="23"/>
      <c r="EE37" s="40" t="str">
        <f aca="false">IF(OR(ED$4=0,ED37=""),"",IFERROR(ROUND(ED37/INDEX(Undirviðmið!$F$6:$F$205,ED$4)*INDEX(Undirviðmið!$E$6:$E$205,ED$4)*KVARDI,2),""))</f>
        <v/>
      </c>
      <c r="EF37" s="23"/>
      <c r="EG37" s="40" t="str">
        <f aca="false">IF(OR(EF$4=0,EF37=""),"",IFERROR(ROUND(EF37/INDEX(Undirviðmið!$F$6:$F$205,EF$4)*INDEX(Undirviðmið!$E$6:$E$205,EF$4)*KVARDI,2),""))</f>
        <v/>
      </c>
      <c r="EH37" s="23"/>
      <c r="EI37" s="40" t="str">
        <f aca="false">IF(OR(EH$4=0,EH37=""),"",IFERROR(ROUND(EH37/INDEX(Undirviðmið!$F$6:$F$205,EH$4)*INDEX(Undirviðmið!$E$6:$E$205,EH$4)*KVARDI,2),""))</f>
        <v/>
      </c>
      <c r="EJ37" s="23"/>
      <c r="EK37" s="40" t="str">
        <f aca="false">IF(OR(EJ$4=0,EJ37=""),"",IFERROR(ROUND(EJ37/INDEX(Undirviðmið!$F$6:$F$205,EJ$4)*INDEX(Undirviðmið!$E$6:$E$205,EJ$4)*KVARDI,2),""))</f>
        <v/>
      </c>
      <c r="EL37" s="23"/>
      <c r="EM37" s="40" t="str">
        <f aca="false">IF(OR(EL$4=0,EL37=""),"",IFERROR(ROUND(EL37/INDEX(Undirviðmið!$F$6:$F$205,EL$4)*INDEX(Undirviðmið!$E$6:$E$205,EL$4)*KVARDI,2),""))</f>
        <v/>
      </c>
      <c r="EN37" s="23"/>
      <c r="EO37" s="40" t="str">
        <f aca="false">IF(OR(EN$4=0,EN37=""),"",IFERROR(ROUND(EN37/INDEX(Undirviðmið!$F$6:$F$205,EN$4)*INDEX(Undirviðmið!$E$6:$E$205,EN$4)*KVARDI,2),""))</f>
        <v/>
      </c>
      <c r="EP37" s="23"/>
      <c r="EQ37" s="40" t="str">
        <f aca="false">IF(OR(EP$4=0,EP37=""),"",IFERROR(ROUND(EP37/INDEX(Undirviðmið!$F$6:$F$205,EP$4)*INDEX(Undirviðmið!$E$6:$E$205,EP$4)*KVARDI,2),""))</f>
        <v/>
      </c>
      <c r="ER37" s="23"/>
      <c r="ES37" s="40" t="str">
        <f aca="false">IF(OR(ER$4=0,ER37=""),"",IFERROR(ROUND(ER37/INDEX(Undirviðmið!$F$6:$F$205,ER$4)*INDEX(Undirviðmið!$E$6:$E$205,ER$4)*KVARDI,2),""))</f>
        <v/>
      </c>
      <c r="ET37" s="23"/>
      <c r="EU37" s="40" t="str">
        <f aca="false">IF(OR(ET$4=0,ET37=""),"",IFERROR(ROUND(ET37/INDEX(Undirviðmið!$F$6:$F$205,ET$4)*INDEX(Undirviðmið!$E$6:$E$205,ET$4)*KVARDI,2),""))</f>
        <v/>
      </c>
      <c r="EV37" s="23"/>
      <c r="EW37" s="40" t="str">
        <f aca="false">IF(OR(EV$4=0,EV37=""),"",IFERROR(ROUND(EV37/INDEX(Undirviðmið!$F$6:$F$205,EV$4)*INDEX(Undirviðmið!$E$6:$E$205,EV$4)*KVARDI,2),""))</f>
        <v/>
      </c>
      <c r="EX37" s="23"/>
      <c r="EY37" s="40" t="str">
        <f aca="false">IF(OR(EX$4=0,EX37=""),"",IFERROR(ROUND(EX37/INDEX(Undirviðmið!$F$6:$F$205,EX$4)*INDEX(Undirviðmið!$E$6:$E$205,EX$4)*KVARDI,2),""))</f>
        <v/>
      </c>
      <c r="EZ37" s="23"/>
      <c r="FA37" s="40" t="str">
        <f aca="false">IF(OR(EZ$4=0,EZ37=""),"",IFERROR(ROUND(EZ37/INDEX(Undirviðmið!$F$6:$F$205,EZ$4)*INDEX(Undirviðmið!$E$6:$E$205,EZ$4)*KVARDI,2),""))</f>
        <v/>
      </c>
      <c r="FB37" s="23"/>
      <c r="FC37" s="40" t="str">
        <f aca="false">IF(OR(FB$4=0,FB37=""),"",IFERROR(ROUND(FB37/INDEX(Undirviðmið!$F$6:$F$205,FB$4)*INDEX(Undirviðmið!$E$6:$E$205,FB$4)*KVARDI,2),""))</f>
        <v/>
      </c>
      <c r="FD37" s="23"/>
      <c r="FE37" s="40" t="str">
        <f aca="false">IF(OR(FD$4=0,FD37=""),"",IFERROR(ROUND(FD37/INDEX(Undirviðmið!$F$6:$F$205,FD$4)*INDEX(Undirviðmið!$E$6:$E$205,FD$4)*KVARDI,2),""))</f>
        <v/>
      </c>
      <c r="FF37" s="23"/>
      <c r="FG37" s="40" t="str">
        <f aca="false">IF(OR(FF$4=0,FF37=""),"",IFERROR(ROUND(FF37/INDEX(Undirviðmið!$F$6:$F$205,FF$4)*INDEX(Undirviðmið!$E$6:$E$205,FF$4)*KVARDI,2),""))</f>
        <v/>
      </c>
      <c r="FH37" s="23"/>
      <c r="FI37" s="40" t="str">
        <f aca="false">IF(OR(FH$4=0,FH37=""),"",IFERROR(ROUND(FH37/INDEX(Undirviðmið!$F$6:$F$205,FH$4)*INDEX(Undirviðmið!$E$6:$E$205,FH$4)*KVARDI,2),""))</f>
        <v/>
      </c>
      <c r="FJ37" s="23"/>
      <c r="FK37" s="40" t="str">
        <f aca="false">IF(OR(FJ$4=0,FJ37=""),"",IFERROR(ROUND(FJ37/INDEX(Undirviðmið!$F$6:$F$205,FJ$4)*INDEX(Undirviðmið!$E$6:$E$205,FJ$4)*KVARDI,2),""))</f>
        <v/>
      </c>
      <c r="FL37" s="23"/>
      <c r="FM37" s="40" t="str">
        <f aca="false">IF(OR(FL$4=0,FL37=""),"",IFERROR(ROUND(FL37/INDEX(Undirviðmið!$F$6:$F$205,FL$4)*INDEX(Undirviðmið!$E$6:$E$205,FL$4)*KVARDI,2),""))</f>
        <v/>
      </c>
      <c r="FN37" s="23"/>
      <c r="FO37" s="40" t="str">
        <f aca="false">IF(OR(FN$4=0,FN37=""),"",IFERROR(ROUND(FN37/INDEX(Undirviðmið!$F$6:$F$205,FN$4)*INDEX(Undirviðmið!$E$6:$E$205,FN$4)*KVARDI,2),""))</f>
        <v/>
      </c>
      <c r="FP37" s="23"/>
      <c r="FQ37" s="40" t="str">
        <f aca="false">IF(OR(FP$4=0,FP37=""),"",IFERROR(ROUND(FP37/INDEX(Undirviðmið!$F$6:$F$205,FP$4)*INDEX(Undirviðmið!$E$6:$E$205,FP$4)*KVARDI,2),""))</f>
        <v/>
      </c>
      <c r="FR37" s="23"/>
      <c r="FS37" s="40" t="str">
        <f aca="false">IF(OR(FR$4=0,FR37=""),"",IFERROR(ROUND(FR37/INDEX(Undirviðmið!$F$6:$F$205,FR$4)*INDEX(Undirviðmið!$E$6:$E$205,FR$4)*KVARDI,2),""))</f>
        <v/>
      </c>
      <c r="FT37" s="23"/>
      <c r="FU37" s="40" t="str">
        <f aca="false">IF(OR(FT$4=0,FT37=""),"",IFERROR(ROUND(FT37/INDEX(Undirviðmið!$F$6:$F$205,FT$4)*INDEX(Undirviðmið!$E$6:$E$205,FT$4)*KVARDI,2),""))</f>
        <v/>
      </c>
      <c r="FV37" s="23"/>
      <c r="FW37" s="40" t="str">
        <f aca="false">IF(OR(FV$4=0,FV37=""),"",IFERROR(ROUND(FV37/INDEX(Undirviðmið!$F$6:$F$205,FV$4)*INDEX(Undirviðmið!$E$6:$E$205,FV$4)*KVARDI,2),""))</f>
        <v/>
      </c>
      <c r="FX37" s="23"/>
      <c r="FY37" s="40" t="str">
        <f aca="false">IF(OR(FX$4=0,FX37=""),"",IFERROR(ROUND(FX37/INDEX(Undirviðmið!$F$6:$F$205,FX$4)*INDEX(Undirviðmið!$E$6:$E$205,FX$4)*KVARDI,2),""))</f>
        <v/>
      </c>
      <c r="FZ37" s="23"/>
      <c r="GA37" s="40" t="str">
        <f aca="false">IF(OR(FZ$4=0,FZ37=""),"",IFERROR(ROUND(FZ37/INDEX(Undirviðmið!$F$6:$F$205,FZ$4)*INDEX(Undirviðmið!$E$6:$E$205,FZ$4)*KVARDI,2),""))</f>
        <v/>
      </c>
      <c r="GB37" s="23"/>
      <c r="GC37" s="40" t="str">
        <f aca="false">IF(OR(GB$4=0,GB37=""),"",IFERROR(ROUND(GB37/INDEX(Undirviðmið!$F$6:$F$205,GB$4)*INDEX(Undirviðmið!$E$6:$E$205,GB$4)*KVARDI,2),""))</f>
        <v/>
      </c>
      <c r="GD37" s="23"/>
      <c r="GE37" s="40" t="str">
        <f aca="false">IF(OR(GD$4=0,GD37=""),"",IFERROR(ROUND(GD37/INDEX(Undirviðmið!$F$6:$F$205,GD$4)*INDEX(Undirviðmið!$E$6:$E$205,GD$4)*KVARDI,2),""))</f>
        <v/>
      </c>
      <c r="GF37" s="23"/>
      <c r="GG37" s="40" t="str">
        <f aca="false">IF(OR(GF$4=0,GF37=""),"",IFERROR(ROUND(GF37/INDEX(Undirviðmið!$F$6:$F$205,GF$4)*INDEX(Undirviðmið!$E$6:$E$205,GF$4)*KVARDI,2),""))</f>
        <v/>
      </c>
      <c r="GH37" s="23"/>
      <c r="GI37" s="40" t="str">
        <f aca="false">IF(OR(GH$4=0,GH37=""),"",IFERROR(ROUND(GH37/INDEX(Undirviðmið!$F$6:$F$205,GH$4)*INDEX(Undirviðmið!$E$6:$E$205,GH$4)*KVARDI,2),""))</f>
        <v/>
      </c>
      <c r="GJ37" s="23"/>
      <c r="GK37" s="40" t="str">
        <f aca="false">IF(OR(GJ$4=0,GJ37=""),"",IFERROR(ROUND(GJ37/INDEX(Undirviðmið!$F$6:$F$205,GJ$4)*INDEX(Undirviðmið!$E$6:$E$205,GJ$4)*KVARDI,2),""))</f>
        <v/>
      </c>
      <c r="GL37" s="23"/>
      <c r="GM37" s="40" t="str">
        <f aca="false">IF(OR(GL$4=0,GL37=""),"",IFERROR(ROUND(GL37/INDEX(Undirviðmið!$F$6:$F$205,GL$4)*INDEX(Undirviðmið!$E$6:$E$205,GL$4)*KVARDI,2),""))</f>
        <v/>
      </c>
      <c r="GN37" s="23"/>
      <c r="GO37" s="40" t="str">
        <f aca="false">IF(OR(GN$4=0,GN37=""),"",IFERROR(ROUND(GN37/INDEX(Undirviðmið!$F$6:$F$205,GN$4)*INDEX(Undirviðmið!$E$6:$E$205,GN$4)*KVARDI,2),""))</f>
        <v/>
      </c>
      <c r="GP37" s="23"/>
      <c r="GQ37" s="40" t="str">
        <f aca="false">IF(OR(GP$4=0,GP37=""),"",IFERROR(ROUND(GP37/INDEX(Undirviðmið!$F$6:$F$205,GP$4)*INDEX(Undirviðmið!$E$6:$E$205,GP$4)*KVARDI,2),""))</f>
        <v/>
      </c>
      <c r="GR37" s="23"/>
      <c r="GS37" s="40" t="str">
        <f aca="false">IF(OR(GR$4=0,GR37=""),"",IFERROR(ROUND(GR37/INDEX(Undirviðmið!$F$6:$F$205,GR$4)*INDEX(Undirviðmið!$E$6:$E$205,GR$4)*KVARDI,2),""))</f>
        <v/>
      </c>
      <c r="GT37" s="23"/>
      <c r="GU37" s="40" t="str">
        <f aca="false">IF(OR(GT$4=0,GT37=""),"",IFERROR(ROUND(GT37/INDEX(Undirviðmið!$F$6:$F$205,GT$4)*INDEX(Undirviðmið!$E$6:$E$205,GT$4)*KVARDI,2),""))</f>
        <v/>
      </c>
      <c r="GV37" s="44" t="n">
        <f aca="false">IFERROR(SUMIF($D$6:GU$6,"Stig",$D37:GU37),0)</f>
        <v>0</v>
      </c>
    </row>
    <row r="38" customFormat="false" ht="15" hidden="false" customHeight="true" outlineLevel="0" collapsed="false">
      <c r="A38" s="22" t="n">
        <f aca="false">ROW()-6</f>
        <v>32</v>
      </c>
      <c r="B38" s="24" t="str">
        <f aca="false">IF(INDEX(Starfsmenn!$B$6:$B$10005,ROW()-6)="","",INDEX(Starfsmenn!$B$6:$B$10005,ROW()-6))</f>
        <v/>
      </c>
      <c r="C38" s="24" t="str">
        <f aca="false">IF(INDEX(Starfsmenn!$C$6:$C$10005,ROW()-6)="","",INDEX(Starfsmenn!$C$6:$C$10005,ROW()-6))</f>
        <v/>
      </c>
      <c r="D38" s="23"/>
      <c r="E38" s="40" t="str">
        <f aca="false">IF(OR(D$4=0,D38=""),"",IFERROR(ROUND(D38/INDEX(Undirviðmið!$F$6:$F$205,D$4)*INDEX(Undirviðmið!$E$6:$E$205,D$4)*KVARDI,2),""))</f>
        <v/>
      </c>
      <c r="F38" s="23"/>
      <c r="G38" s="40" t="str">
        <f aca="false">IF(OR(F$4=0,F38=""),"",IFERROR(ROUND(F38/INDEX(Undirviðmið!$F$6:$F$205,F$4)*INDEX(Undirviðmið!$E$6:$E$205,F$4)*KVARDI,2),""))</f>
        <v/>
      </c>
      <c r="H38" s="23"/>
      <c r="I38" s="40" t="str">
        <f aca="false">IF(OR(H$4=0,H38=""),"",IFERROR(ROUND(H38/INDEX(Undirviðmið!$F$6:$F$205,H$4)*INDEX(Undirviðmið!$E$6:$E$205,H$4)*KVARDI,2),""))</f>
        <v/>
      </c>
      <c r="J38" s="23"/>
      <c r="K38" s="40" t="str">
        <f aca="false">IF(OR(J$4=0,J38=""),"",IFERROR(ROUND(J38/INDEX(Undirviðmið!$F$6:$F$205,J$4)*INDEX(Undirviðmið!$E$6:$E$205,J$4)*KVARDI,2),""))</f>
        <v/>
      </c>
      <c r="L38" s="23"/>
      <c r="M38" s="40" t="str">
        <f aca="false">IF(OR(L$4=0,L38=""),"",IFERROR(ROUND(L38/INDEX(Undirviðmið!$F$6:$F$205,L$4)*INDEX(Undirviðmið!$E$6:$E$205,L$4)*KVARDI,2),""))</f>
        <v/>
      </c>
      <c r="N38" s="23"/>
      <c r="O38" s="40" t="str">
        <f aca="false">IF(OR(N$4=0,N38=""),"",IFERROR(ROUND(N38/INDEX(Undirviðmið!$F$6:$F$205,N$4)*INDEX(Undirviðmið!$E$6:$E$205,N$4)*KVARDI,2),""))</f>
        <v/>
      </c>
      <c r="P38" s="23"/>
      <c r="Q38" s="40" t="str">
        <f aca="false">IF(OR(P$4=0,P38=""),"",IFERROR(ROUND(P38/INDEX(Undirviðmið!$F$6:$F$205,P$4)*INDEX(Undirviðmið!$E$6:$E$205,P$4)*KVARDI,2),""))</f>
        <v/>
      </c>
      <c r="R38" s="23"/>
      <c r="S38" s="40" t="str">
        <f aca="false">IF(OR(R$4=0,R38=""),"",IFERROR(ROUND(R38/INDEX(Undirviðmið!$F$6:$F$205,R$4)*INDEX(Undirviðmið!$E$6:$E$205,R$4)*KVARDI,2),""))</f>
        <v/>
      </c>
      <c r="T38" s="23"/>
      <c r="U38" s="40" t="str">
        <f aca="false">IF(OR(T$4=0,T38=""),"",IFERROR(ROUND(T38/INDEX(Undirviðmið!$F$6:$F$205,T$4)*INDEX(Undirviðmið!$E$6:$E$205,T$4)*KVARDI,2),""))</f>
        <v/>
      </c>
      <c r="V38" s="23"/>
      <c r="W38" s="40" t="str">
        <f aca="false">IF(OR(V$4=0,V38=""),"",IFERROR(ROUND(V38/INDEX(Undirviðmið!$F$6:$F$205,V$4)*INDEX(Undirviðmið!$E$6:$E$205,V$4)*KVARDI,2),""))</f>
        <v/>
      </c>
      <c r="X38" s="23"/>
      <c r="Y38" s="40" t="str">
        <f aca="false">IF(OR(X$4=0,X38=""),"",IFERROR(ROUND(X38/INDEX(Undirviðmið!$F$6:$F$205,X$4)*INDEX(Undirviðmið!$E$6:$E$205,X$4)*KVARDI,2),""))</f>
        <v/>
      </c>
      <c r="Z38" s="23"/>
      <c r="AA38" s="40" t="str">
        <f aca="false">IF(OR(Z$4=0,Z38=""),"",IFERROR(ROUND(Z38/INDEX(Undirviðmið!$F$6:$F$205,Z$4)*INDEX(Undirviðmið!$E$6:$E$205,Z$4)*KVARDI,2),""))</f>
        <v/>
      </c>
      <c r="AB38" s="23"/>
      <c r="AC38" s="40" t="str">
        <f aca="false">IF(OR(AB$4=0,AB38=""),"",IFERROR(ROUND(AB38/INDEX(Undirviðmið!$F$6:$F$205,AB$4)*INDEX(Undirviðmið!$E$6:$E$205,AB$4)*KVARDI,2),""))</f>
        <v/>
      </c>
      <c r="AD38" s="23"/>
      <c r="AE38" s="40" t="str">
        <f aca="false">IF(OR(AD$4=0,AD38=""),"",IFERROR(ROUND(AD38/INDEX(Undirviðmið!$F$6:$F$205,AD$4)*INDEX(Undirviðmið!$E$6:$E$205,AD$4)*KVARDI,2),""))</f>
        <v/>
      </c>
      <c r="AF38" s="23"/>
      <c r="AG38" s="40" t="str">
        <f aca="false">IF(OR(AF$4=0,AF38=""),"",IFERROR(ROUND(AF38/INDEX(Undirviðmið!$F$6:$F$205,AF$4)*INDEX(Undirviðmið!$E$6:$E$205,AF$4)*KVARDI,2),""))</f>
        <v/>
      </c>
      <c r="AH38" s="23"/>
      <c r="AI38" s="40" t="str">
        <f aca="false">IF(OR(AH$4=0,AH38=""),"",IFERROR(ROUND(AH38/INDEX(Undirviðmið!$F$6:$F$205,AH$4)*INDEX(Undirviðmið!$E$6:$E$205,AH$4)*KVARDI,2),""))</f>
        <v/>
      </c>
      <c r="AJ38" s="23"/>
      <c r="AK38" s="40" t="str">
        <f aca="false">IF(OR(AJ$4=0,AJ38=""),"",IFERROR(ROUND(AJ38/INDEX(Undirviðmið!$F$6:$F$205,AJ$4)*INDEX(Undirviðmið!$E$6:$E$205,AJ$4)*KVARDI,2),""))</f>
        <v/>
      </c>
      <c r="AL38" s="23"/>
      <c r="AM38" s="40" t="str">
        <f aca="false">IF(OR(AL$4=0,AL38=""),"",IFERROR(ROUND(AL38/INDEX(Undirviðmið!$F$6:$F$205,AL$4)*INDEX(Undirviðmið!$E$6:$E$205,AL$4)*KVARDI,2),""))</f>
        <v/>
      </c>
      <c r="AN38" s="23"/>
      <c r="AO38" s="40" t="str">
        <f aca="false">IF(OR(AN$4=0,AN38=""),"",IFERROR(ROUND(AN38/INDEX(Undirviðmið!$F$6:$F$205,AN$4)*INDEX(Undirviðmið!$E$6:$E$205,AN$4)*KVARDI,2),""))</f>
        <v/>
      </c>
      <c r="AP38" s="23"/>
      <c r="AQ38" s="40" t="str">
        <f aca="false">IF(OR(AP$4=0,AP38=""),"",IFERROR(ROUND(AP38/INDEX(Undirviðmið!$F$6:$F$205,AP$4)*INDEX(Undirviðmið!$E$6:$E$205,AP$4)*KVARDI,2),""))</f>
        <v/>
      </c>
      <c r="AR38" s="23"/>
      <c r="AS38" s="40" t="str">
        <f aca="false">IF(OR(AR$4=0,AR38=""),"",IFERROR(ROUND(AR38/INDEX(Undirviðmið!$F$6:$F$205,AR$4)*INDEX(Undirviðmið!$E$6:$E$205,AR$4)*KVARDI,2),""))</f>
        <v/>
      </c>
      <c r="AT38" s="23"/>
      <c r="AU38" s="40" t="str">
        <f aca="false">IF(OR(AT$4=0,AT38=""),"",IFERROR(ROUND(AT38/INDEX(Undirviðmið!$F$6:$F$205,AT$4)*INDEX(Undirviðmið!$E$6:$E$205,AT$4)*KVARDI,2),""))</f>
        <v/>
      </c>
      <c r="AV38" s="23"/>
      <c r="AW38" s="40" t="str">
        <f aca="false">IF(OR(AV$4=0,AV38=""),"",IFERROR(ROUND(AV38/INDEX(Undirviðmið!$F$6:$F$205,AV$4)*INDEX(Undirviðmið!$E$6:$E$205,AV$4)*KVARDI,2),""))</f>
        <v/>
      </c>
      <c r="AX38" s="23"/>
      <c r="AY38" s="40" t="str">
        <f aca="false">IF(OR(AX$4=0,AX38=""),"",IFERROR(ROUND(AX38/INDEX(Undirviðmið!$F$6:$F$205,AX$4)*INDEX(Undirviðmið!$E$6:$E$205,AX$4)*KVARDI,2),""))</f>
        <v/>
      </c>
      <c r="AZ38" s="23"/>
      <c r="BA38" s="40" t="str">
        <f aca="false">IF(OR(AZ$4=0,AZ38=""),"",IFERROR(ROUND(AZ38/INDEX(Undirviðmið!$F$6:$F$205,AZ$4)*INDEX(Undirviðmið!$E$6:$E$205,AZ$4)*KVARDI,2),""))</f>
        <v/>
      </c>
      <c r="BB38" s="23"/>
      <c r="BC38" s="40" t="str">
        <f aca="false">IF(OR(BB$4=0,BB38=""),"",IFERROR(ROUND(BB38/INDEX(Undirviðmið!$F$6:$F$205,BB$4)*INDEX(Undirviðmið!$E$6:$E$205,BB$4)*KVARDI,2),""))</f>
        <v/>
      </c>
      <c r="BD38" s="23"/>
      <c r="BE38" s="40" t="str">
        <f aca="false">IF(OR(BD$4=0,BD38=""),"",IFERROR(ROUND(BD38/INDEX(Undirviðmið!$F$6:$F$205,BD$4)*INDEX(Undirviðmið!$E$6:$E$205,BD$4)*KVARDI,2),""))</f>
        <v/>
      </c>
      <c r="BF38" s="23"/>
      <c r="BG38" s="40" t="str">
        <f aca="false">IF(OR(BF$4=0,BF38=""),"",IFERROR(ROUND(BF38/INDEX(Undirviðmið!$F$6:$F$205,BF$4)*INDEX(Undirviðmið!$E$6:$E$205,BF$4)*KVARDI,2),""))</f>
        <v/>
      </c>
      <c r="BH38" s="23"/>
      <c r="BI38" s="40" t="str">
        <f aca="false">IF(OR(BH$4=0,BH38=""),"",IFERROR(ROUND(BH38/INDEX(Undirviðmið!$F$6:$F$205,BH$4)*INDEX(Undirviðmið!$E$6:$E$205,BH$4)*KVARDI,2),""))</f>
        <v/>
      </c>
      <c r="BJ38" s="23"/>
      <c r="BK38" s="40" t="str">
        <f aca="false">IF(OR(BJ$4=0,BJ38=""),"",IFERROR(ROUND(BJ38/INDEX(Undirviðmið!$F$6:$F$205,BJ$4)*INDEX(Undirviðmið!$E$6:$E$205,BJ$4)*KVARDI,2),""))</f>
        <v/>
      </c>
      <c r="BL38" s="23"/>
      <c r="BM38" s="40" t="str">
        <f aca="false">IF(OR(BL$4=0,BL38=""),"",IFERROR(ROUND(BL38/INDEX(Undirviðmið!$F$6:$F$205,BL$4)*INDEX(Undirviðmið!$E$6:$E$205,BL$4)*KVARDI,2),""))</f>
        <v/>
      </c>
      <c r="BN38" s="23"/>
      <c r="BO38" s="40" t="str">
        <f aca="false">IF(OR(BN$4=0,BN38=""),"",IFERROR(ROUND(BN38/INDEX(Undirviðmið!$F$6:$F$205,BN$4)*INDEX(Undirviðmið!$E$6:$E$205,BN$4)*KVARDI,2),""))</f>
        <v/>
      </c>
      <c r="BP38" s="23"/>
      <c r="BQ38" s="40" t="str">
        <f aca="false">IF(OR(BP$4=0,BP38=""),"",IFERROR(ROUND(BP38/INDEX(Undirviðmið!$F$6:$F$205,BP$4)*INDEX(Undirviðmið!$E$6:$E$205,BP$4)*KVARDI,2),""))</f>
        <v/>
      </c>
      <c r="BR38" s="23"/>
      <c r="BS38" s="40" t="str">
        <f aca="false">IF(OR(BR$4=0,BR38=""),"",IFERROR(ROUND(BR38/INDEX(Undirviðmið!$F$6:$F$205,BR$4)*INDEX(Undirviðmið!$E$6:$E$205,BR$4)*KVARDI,2),""))</f>
        <v/>
      </c>
      <c r="BT38" s="23"/>
      <c r="BU38" s="40" t="str">
        <f aca="false">IF(OR(BT$4=0,BT38=""),"",IFERROR(ROUND(BT38/INDEX(Undirviðmið!$F$6:$F$205,BT$4)*INDEX(Undirviðmið!$E$6:$E$205,BT$4)*KVARDI,2),""))</f>
        <v/>
      </c>
      <c r="BV38" s="23"/>
      <c r="BW38" s="40" t="str">
        <f aca="false">IF(OR(BV$4=0,BV38=""),"",IFERROR(ROUND(BV38/INDEX(Undirviðmið!$F$6:$F$205,BV$4)*INDEX(Undirviðmið!$E$6:$E$205,BV$4)*KVARDI,2),""))</f>
        <v/>
      </c>
      <c r="BX38" s="23"/>
      <c r="BY38" s="40" t="str">
        <f aca="false">IF(OR(BX$4=0,BX38=""),"",IFERROR(ROUND(BX38/INDEX(Undirviðmið!$F$6:$F$205,BX$4)*INDEX(Undirviðmið!$E$6:$E$205,BX$4)*KVARDI,2),""))</f>
        <v/>
      </c>
      <c r="BZ38" s="23"/>
      <c r="CA38" s="40" t="str">
        <f aca="false">IF(OR(BZ$4=0,BZ38=""),"",IFERROR(ROUND(BZ38/INDEX(Undirviðmið!$F$6:$F$205,BZ$4)*INDEX(Undirviðmið!$E$6:$E$205,BZ$4)*KVARDI,2),""))</f>
        <v/>
      </c>
      <c r="CB38" s="23"/>
      <c r="CC38" s="40" t="str">
        <f aca="false">IF(OR(CB$4=0,CB38=""),"",IFERROR(ROUND(CB38/INDEX(Undirviðmið!$F$6:$F$205,CB$4)*INDEX(Undirviðmið!$E$6:$E$205,CB$4)*KVARDI,2),""))</f>
        <v/>
      </c>
      <c r="CD38" s="23"/>
      <c r="CE38" s="40" t="str">
        <f aca="false">IF(OR(CD$4=0,CD38=""),"",IFERROR(ROUND(CD38/INDEX(Undirviðmið!$F$6:$F$205,CD$4)*INDEX(Undirviðmið!$E$6:$E$205,CD$4)*KVARDI,2),""))</f>
        <v/>
      </c>
      <c r="CF38" s="23"/>
      <c r="CG38" s="40" t="str">
        <f aca="false">IF(OR(CF$4=0,CF38=""),"",IFERROR(ROUND(CF38/INDEX(Undirviðmið!$F$6:$F$205,CF$4)*INDEX(Undirviðmið!$E$6:$E$205,CF$4)*KVARDI,2),""))</f>
        <v/>
      </c>
      <c r="CH38" s="23"/>
      <c r="CI38" s="40" t="str">
        <f aca="false">IF(OR(CH$4=0,CH38=""),"",IFERROR(ROUND(CH38/INDEX(Undirviðmið!$F$6:$F$205,CH$4)*INDEX(Undirviðmið!$E$6:$E$205,CH$4)*KVARDI,2),""))</f>
        <v/>
      </c>
      <c r="CJ38" s="23"/>
      <c r="CK38" s="40" t="str">
        <f aca="false">IF(OR(CJ$4=0,CJ38=""),"",IFERROR(ROUND(CJ38/INDEX(Undirviðmið!$F$6:$F$205,CJ$4)*INDEX(Undirviðmið!$E$6:$E$205,CJ$4)*KVARDI,2),""))</f>
        <v/>
      </c>
      <c r="CL38" s="23"/>
      <c r="CM38" s="40" t="str">
        <f aca="false">IF(OR(CL$4=0,CL38=""),"",IFERROR(ROUND(CL38/INDEX(Undirviðmið!$F$6:$F$205,CL$4)*INDEX(Undirviðmið!$E$6:$E$205,CL$4)*KVARDI,2),""))</f>
        <v/>
      </c>
      <c r="CN38" s="23"/>
      <c r="CO38" s="40" t="str">
        <f aca="false">IF(OR(CN$4=0,CN38=""),"",IFERROR(ROUND(CN38/INDEX(Undirviðmið!$F$6:$F$205,CN$4)*INDEX(Undirviðmið!$E$6:$E$205,CN$4)*KVARDI,2),""))</f>
        <v/>
      </c>
      <c r="CP38" s="23"/>
      <c r="CQ38" s="40" t="str">
        <f aca="false">IF(OR(CP$4=0,CP38=""),"",IFERROR(ROUND(CP38/INDEX(Undirviðmið!$F$6:$F$205,CP$4)*INDEX(Undirviðmið!$E$6:$E$205,CP$4)*KVARDI,2),""))</f>
        <v/>
      </c>
      <c r="CR38" s="23"/>
      <c r="CS38" s="40" t="str">
        <f aca="false">IF(OR(CR$4=0,CR38=""),"",IFERROR(ROUND(CR38/INDEX(Undirviðmið!$F$6:$F$205,CR$4)*INDEX(Undirviðmið!$E$6:$E$205,CR$4)*KVARDI,2),""))</f>
        <v/>
      </c>
      <c r="CT38" s="23"/>
      <c r="CU38" s="40" t="str">
        <f aca="false">IF(OR(CT$4=0,CT38=""),"",IFERROR(ROUND(CT38/INDEX(Undirviðmið!$F$6:$F$205,CT$4)*INDEX(Undirviðmið!$E$6:$E$205,CT$4)*KVARDI,2),""))</f>
        <v/>
      </c>
      <c r="CV38" s="23"/>
      <c r="CW38" s="40" t="str">
        <f aca="false">IF(OR(CV$4=0,CV38=""),"",IFERROR(ROUND(CV38/INDEX(Undirviðmið!$F$6:$F$205,CV$4)*INDEX(Undirviðmið!$E$6:$E$205,CV$4)*KVARDI,2),""))</f>
        <v/>
      </c>
      <c r="CX38" s="23"/>
      <c r="CY38" s="40" t="str">
        <f aca="false">IF(OR(CX$4=0,CX38=""),"",IFERROR(ROUND(CX38/INDEX(Undirviðmið!$F$6:$F$205,CX$4)*INDEX(Undirviðmið!$E$6:$E$205,CX$4)*KVARDI,2),""))</f>
        <v/>
      </c>
      <c r="CZ38" s="23"/>
      <c r="DA38" s="40" t="str">
        <f aca="false">IF(OR(CZ$4=0,CZ38=""),"",IFERROR(ROUND(CZ38/INDEX(Undirviðmið!$F$6:$F$205,CZ$4)*INDEX(Undirviðmið!$E$6:$E$205,CZ$4)*KVARDI,2),""))</f>
        <v/>
      </c>
      <c r="DB38" s="23"/>
      <c r="DC38" s="40" t="str">
        <f aca="false">IF(OR(DB$4=0,DB38=""),"",IFERROR(ROUND(DB38/INDEX(Undirviðmið!$F$6:$F$205,DB$4)*INDEX(Undirviðmið!$E$6:$E$205,DB$4)*KVARDI,2),""))</f>
        <v/>
      </c>
      <c r="DD38" s="23"/>
      <c r="DE38" s="40" t="str">
        <f aca="false">IF(OR(DD$4=0,DD38=""),"",IFERROR(ROUND(DD38/INDEX(Undirviðmið!$F$6:$F$205,DD$4)*INDEX(Undirviðmið!$E$6:$E$205,DD$4)*KVARDI,2),""))</f>
        <v/>
      </c>
      <c r="DF38" s="23"/>
      <c r="DG38" s="40" t="str">
        <f aca="false">IF(OR(DF$4=0,DF38=""),"",IFERROR(ROUND(DF38/INDEX(Undirviðmið!$F$6:$F$205,DF$4)*INDEX(Undirviðmið!$E$6:$E$205,DF$4)*KVARDI,2),""))</f>
        <v/>
      </c>
      <c r="DH38" s="23"/>
      <c r="DI38" s="40" t="str">
        <f aca="false">IF(OR(DH$4=0,DH38=""),"",IFERROR(ROUND(DH38/INDEX(Undirviðmið!$F$6:$F$205,DH$4)*INDEX(Undirviðmið!$E$6:$E$205,DH$4)*KVARDI,2),""))</f>
        <v/>
      </c>
      <c r="DJ38" s="23"/>
      <c r="DK38" s="40" t="str">
        <f aca="false">IF(OR(DJ$4=0,DJ38=""),"",IFERROR(ROUND(DJ38/INDEX(Undirviðmið!$F$6:$F$205,DJ$4)*INDEX(Undirviðmið!$E$6:$E$205,DJ$4)*KVARDI,2),""))</f>
        <v/>
      </c>
      <c r="DL38" s="23"/>
      <c r="DM38" s="40" t="str">
        <f aca="false">IF(OR(DL$4=0,DL38=""),"",IFERROR(ROUND(DL38/INDEX(Undirviðmið!$F$6:$F$205,DL$4)*INDEX(Undirviðmið!$E$6:$E$205,DL$4)*KVARDI,2),""))</f>
        <v/>
      </c>
      <c r="DN38" s="23"/>
      <c r="DO38" s="40" t="str">
        <f aca="false">IF(OR(DN$4=0,DN38=""),"",IFERROR(ROUND(DN38/INDEX(Undirviðmið!$F$6:$F$205,DN$4)*INDEX(Undirviðmið!$E$6:$E$205,DN$4)*KVARDI,2),""))</f>
        <v/>
      </c>
      <c r="DP38" s="23"/>
      <c r="DQ38" s="40" t="str">
        <f aca="false">IF(OR(DP$4=0,DP38=""),"",IFERROR(ROUND(DP38/INDEX(Undirviðmið!$F$6:$F$205,DP$4)*INDEX(Undirviðmið!$E$6:$E$205,DP$4)*KVARDI,2),""))</f>
        <v/>
      </c>
      <c r="DR38" s="23"/>
      <c r="DS38" s="40" t="str">
        <f aca="false">IF(OR(DR$4=0,DR38=""),"",IFERROR(ROUND(DR38/INDEX(Undirviðmið!$F$6:$F$205,DR$4)*INDEX(Undirviðmið!$E$6:$E$205,DR$4)*KVARDI,2),""))</f>
        <v/>
      </c>
      <c r="DT38" s="23"/>
      <c r="DU38" s="40" t="str">
        <f aca="false">IF(OR(DT$4=0,DT38=""),"",IFERROR(ROUND(DT38/INDEX(Undirviðmið!$F$6:$F$205,DT$4)*INDEX(Undirviðmið!$E$6:$E$205,DT$4)*KVARDI,2),""))</f>
        <v/>
      </c>
      <c r="DV38" s="23"/>
      <c r="DW38" s="40" t="str">
        <f aca="false">IF(OR(DV$4=0,DV38=""),"",IFERROR(ROUND(DV38/INDEX(Undirviðmið!$F$6:$F$205,DV$4)*INDEX(Undirviðmið!$E$6:$E$205,DV$4)*KVARDI,2),""))</f>
        <v/>
      </c>
      <c r="DX38" s="23"/>
      <c r="DY38" s="40" t="str">
        <f aca="false">IF(OR(DX$4=0,DX38=""),"",IFERROR(ROUND(DX38/INDEX(Undirviðmið!$F$6:$F$205,DX$4)*INDEX(Undirviðmið!$E$6:$E$205,DX$4)*KVARDI,2),""))</f>
        <v/>
      </c>
      <c r="DZ38" s="23"/>
      <c r="EA38" s="40" t="str">
        <f aca="false">IF(OR(DZ$4=0,DZ38=""),"",IFERROR(ROUND(DZ38/INDEX(Undirviðmið!$F$6:$F$205,DZ$4)*INDEX(Undirviðmið!$E$6:$E$205,DZ$4)*KVARDI,2),""))</f>
        <v/>
      </c>
      <c r="EB38" s="23"/>
      <c r="EC38" s="40" t="str">
        <f aca="false">IF(OR(EB$4=0,EB38=""),"",IFERROR(ROUND(EB38/INDEX(Undirviðmið!$F$6:$F$205,EB$4)*INDEX(Undirviðmið!$E$6:$E$205,EB$4)*KVARDI,2),""))</f>
        <v/>
      </c>
      <c r="ED38" s="23"/>
      <c r="EE38" s="40" t="str">
        <f aca="false">IF(OR(ED$4=0,ED38=""),"",IFERROR(ROUND(ED38/INDEX(Undirviðmið!$F$6:$F$205,ED$4)*INDEX(Undirviðmið!$E$6:$E$205,ED$4)*KVARDI,2),""))</f>
        <v/>
      </c>
      <c r="EF38" s="23"/>
      <c r="EG38" s="40" t="str">
        <f aca="false">IF(OR(EF$4=0,EF38=""),"",IFERROR(ROUND(EF38/INDEX(Undirviðmið!$F$6:$F$205,EF$4)*INDEX(Undirviðmið!$E$6:$E$205,EF$4)*KVARDI,2),""))</f>
        <v/>
      </c>
      <c r="EH38" s="23"/>
      <c r="EI38" s="40" t="str">
        <f aca="false">IF(OR(EH$4=0,EH38=""),"",IFERROR(ROUND(EH38/INDEX(Undirviðmið!$F$6:$F$205,EH$4)*INDEX(Undirviðmið!$E$6:$E$205,EH$4)*KVARDI,2),""))</f>
        <v/>
      </c>
      <c r="EJ38" s="23"/>
      <c r="EK38" s="40" t="str">
        <f aca="false">IF(OR(EJ$4=0,EJ38=""),"",IFERROR(ROUND(EJ38/INDEX(Undirviðmið!$F$6:$F$205,EJ$4)*INDEX(Undirviðmið!$E$6:$E$205,EJ$4)*KVARDI,2),""))</f>
        <v/>
      </c>
      <c r="EL38" s="23"/>
      <c r="EM38" s="40" t="str">
        <f aca="false">IF(OR(EL$4=0,EL38=""),"",IFERROR(ROUND(EL38/INDEX(Undirviðmið!$F$6:$F$205,EL$4)*INDEX(Undirviðmið!$E$6:$E$205,EL$4)*KVARDI,2),""))</f>
        <v/>
      </c>
      <c r="EN38" s="23"/>
      <c r="EO38" s="40" t="str">
        <f aca="false">IF(OR(EN$4=0,EN38=""),"",IFERROR(ROUND(EN38/INDEX(Undirviðmið!$F$6:$F$205,EN$4)*INDEX(Undirviðmið!$E$6:$E$205,EN$4)*KVARDI,2),""))</f>
        <v/>
      </c>
      <c r="EP38" s="23"/>
      <c r="EQ38" s="40" t="str">
        <f aca="false">IF(OR(EP$4=0,EP38=""),"",IFERROR(ROUND(EP38/INDEX(Undirviðmið!$F$6:$F$205,EP$4)*INDEX(Undirviðmið!$E$6:$E$205,EP$4)*KVARDI,2),""))</f>
        <v/>
      </c>
      <c r="ER38" s="23"/>
      <c r="ES38" s="40" t="str">
        <f aca="false">IF(OR(ER$4=0,ER38=""),"",IFERROR(ROUND(ER38/INDEX(Undirviðmið!$F$6:$F$205,ER$4)*INDEX(Undirviðmið!$E$6:$E$205,ER$4)*KVARDI,2),""))</f>
        <v/>
      </c>
      <c r="ET38" s="23"/>
      <c r="EU38" s="40" t="str">
        <f aca="false">IF(OR(ET$4=0,ET38=""),"",IFERROR(ROUND(ET38/INDEX(Undirviðmið!$F$6:$F$205,ET$4)*INDEX(Undirviðmið!$E$6:$E$205,ET$4)*KVARDI,2),""))</f>
        <v/>
      </c>
      <c r="EV38" s="23"/>
      <c r="EW38" s="40" t="str">
        <f aca="false">IF(OR(EV$4=0,EV38=""),"",IFERROR(ROUND(EV38/INDEX(Undirviðmið!$F$6:$F$205,EV$4)*INDEX(Undirviðmið!$E$6:$E$205,EV$4)*KVARDI,2),""))</f>
        <v/>
      </c>
      <c r="EX38" s="23"/>
      <c r="EY38" s="40" t="str">
        <f aca="false">IF(OR(EX$4=0,EX38=""),"",IFERROR(ROUND(EX38/INDEX(Undirviðmið!$F$6:$F$205,EX$4)*INDEX(Undirviðmið!$E$6:$E$205,EX$4)*KVARDI,2),""))</f>
        <v/>
      </c>
      <c r="EZ38" s="23"/>
      <c r="FA38" s="40" t="str">
        <f aca="false">IF(OR(EZ$4=0,EZ38=""),"",IFERROR(ROUND(EZ38/INDEX(Undirviðmið!$F$6:$F$205,EZ$4)*INDEX(Undirviðmið!$E$6:$E$205,EZ$4)*KVARDI,2),""))</f>
        <v/>
      </c>
      <c r="FB38" s="23"/>
      <c r="FC38" s="40" t="str">
        <f aca="false">IF(OR(FB$4=0,FB38=""),"",IFERROR(ROUND(FB38/INDEX(Undirviðmið!$F$6:$F$205,FB$4)*INDEX(Undirviðmið!$E$6:$E$205,FB$4)*KVARDI,2),""))</f>
        <v/>
      </c>
      <c r="FD38" s="23"/>
      <c r="FE38" s="40" t="str">
        <f aca="false">IF(OR(FD$4=0,FD38=""),"",IFERROR(ROUND(FD38/INDEX(Undirviðmið!$F$6:$F$205,FD$4)*INDEX(Undirviðmið!$E$6:$E$205,FD$4)*KVARDI,2),""))</f>
        <v/>
      </c>
      <c r="FF38" s="23"/>
      <c r="FG38" s="40" t="str">
        <f aca="false">IF(OR(FF$4=0,FF38=""),"",IFERROR(ROUND(FF38/INDEX(Undirviðmið!$F$6:$F$205,FF$4)*INDEX(Undirviðmið!$E$6:$E$205,FF$4)*KVARDI,2),""))</f>
        <v/>
      </c>
      <c r="FH38" s="23"/>
      <c r="FI38" s="40" t="str">
        <f aca="false">IF(OR(FH$4=0,FH38=""),"",IFERROR(ROUND(FH38/INDEX(Undirviðmið!$F$6:$F$205,FH$4)*INDEX(Undirviðmið!$E$6:$E$205,FH$4)*KVARDI,2),""))</f>
        <v/>
      </c>
      <c r="FJ38" s="23"/>
      <c r="FK38" s="40" t="str">
        <f aca="false">IF(OR(FJ$4=0,FJ38=""),"",IFERROR(ROUND(FJ38/INDEX(Undirviðmið!$F$6:$F$205,FJ$4)*INDEX(Undirviðmið!$E$6:$E$205,FJ$4)*KVARDI,2),""))</f>
        <v/>
      </c>
      <c r="FL38" s="23"/>
      <c r="FM38" s="40" t="str">
        <f aca="false">IF(OR(FL$4=0,FL38=""),"",IFERROR(ROUND(FL38/INDEX(Undirviðmið!$F$6:$F$205,FL$4)*INDEX(Undirviðmið!$E$6:$E$205,FL$4)*KVARDI,2),""))</f>
        <v/>
      </c>
      <c r="FN38" s="23"/>
      <c r="FO38" s="40" t="str">
        <f aca="false">IF(OR(FN$4=0,FN38=""),"",IFERROR(ROUND(FN38/INDEX(Undirviðmið!$F$6:$F$205,FN$4)*INDEX(Undirviðmið!$E$6:$E$205,FN$4)*KVARDI,2),""))</f>
        <v/>
      </c>
      <c r="FP38" s="23"/>
      <c r="FQ38" s="40" t="str">
        <f aca="false">IF(OR(FP$4=0,FP38=""),"",IFERROR(ROUND(FP38/INDEX(Undirviðmið!$F$6:$F$205,FP$4)*INDEX(Undirviðmið!$E$6:$E$205,FP$4)*KVARDI,2),""))</f>
        <v/>
      </c>
      <c r="FR38" s="23"/>
      <c r="FS38" s="40" t="str">
        <f aca="false">IF(OR(FR$4=0,FR38=""),"",IFERROR(ROUND(FR38/INDEX(Undirviðmið!$F$6:$F$205,FR$4)*INDEX(Undirviðmið!$E$6:$E$205,FR$4)*KVARDI,2),""))</f>
        <v/>
      </c>
      <c r="FT38" s="23"/>
      <c r="FU38" s="40" t="str">
        <f aca="false">IF(OR(FT$4=0,FT38=""),"",IFERROR(ROUND(FT38/INDEX(Undirviðmið!$F$6:$F$205,FT$4)*INDEX(Undirviðmið!$E$6:$E$205,FT$4)*KVARDI,2),""))</f>
        <v/>
      </c>
      <c r="FV38" s="23"/>
      <c r="FW38" s="40" t="str">
        <f aca="false">IF(OR(FV$4=0,FV38=""),"",IFERROR(ROUND(FV38/INDEX(Undirviðmið!$F$6:$F$205,FV$4)*INDEX(Undirviðmið!$E$6:$E$205,FV$4)*KVARDI,2),""))</f>
        <v/>
      </c>
      <c r="FX38" s="23"/>
      <c r="FY38" s="40" t="str">
        <f aca="false">IF(OR(FX$4=0,FX38=""),"",IFERROR(ROUND(FX38/INDEX(Undirviðmið!$F$6:$F$205,FX$4)*INDEX(Undirviðmið!$E$6:$E$205,FX$4)*KVARDI,2),""))</f>
        <v/>
      </c>
      <c r="FZ38" s="23"/>
      <c r="GA38" s="40" t="str">
        <f aca="false">IF(OR(FZ$4=0,FZ38=""),"",IFERROR(ROUND(FZ38/INDEX(Undirviðmið!$F$6:$F$205,FZ$4)*INDEX(Undirviðmið!$E$6:$E$205,FZ$4)*KVARDI,2),""))</f>
        <v/>
      </c>
      <c r="GB38" s="23"/>
      <c r="GC38" s="40" t="str">
        <f aca="false">IF(OR(GB$4=0,GB38=""),"",IFERROR(ROUND(GB38/INDEX(Undirviðmið!$F$6:$F$205,GB$4)*INDEX(Undirviðmið!$E$6:$E$205,GB$4)*KVARDI,2),""))</f>
        <v/>
      </c>
      <c r="GD38" s="23"/>
      <c r="GE38" s="40" t="str">
        <f aca="false">IF(OR(GD$4=0,GD38=""),"",IFERROR(ROUND(GD38/INDEX(Undirviðmið!$F$6:$F$205,GD$4)*INDEX(Undirviðmið!$E$6:$E$205,GD$4)*KVARDI,2),""))</f>
        <v/>
      </c>
      <c r="GF38" s="23"/>
      <c r="GG38" s="40" t="str">
        <f aca="false">IF(OR(GF$4=0,GF38=""),"",IFERROR(ROUND(GF38/INDEX(Undirviðmið!$F$6:$F$205,GF$4)*INDEX(Undirviðmið!$E$6:$E$205,GF$4)*KVARDI,2),""))</f>
        <v/>
      </c>
      <c r="GH38" s="23"/>
      <c r="GI38" s="40" t="str">
        <f aca="false">IF(OR(GH$4=0,GH38=""),"",IFERROR(ROUND(GH38/INDEX(Undirviðmið!$F$6:$F$205,GH$4)*INDEX(Undirviðmið!$E$6:$E$205,GH$4)*KVARDI,2),""))</f>
        <v/>
      </c>
      <c r="GJ38" s="23"/>
      <c r="GK38" s="40" t="str">
        <f aca="false">IF(OR(GJ$4=0,GJ38=""),"",IFERROR(ROUND(GJ38/INDEX(Undirviðmið!$F$6:$F$205,GJ$4)*INDEX(Undirviðmið!$E$6:$E$205,GJ$4)*KVARDI,2),""))</f>
        <v/>
      </c>
      <c r="GL38" s="23"/>
      <c r="GM38" s="40" t="str">
        <f aca="false">IF(OR(GL$4=0,GL38=""),"",IFERROR(ROUND(GL38/INDEX(Undirviðmið!$F$6:$F$205,GL$4)*INDEX(Undirviðmið!$E$6:$E$205,GL$4)*KVARDI,2),""))</f>
        <v/>
      </c>
      <c r="GN38" s="23"/>
      <c r="GO38" s="40" t="str">
        <f aca="false">IF(OR(GN$4=0,GN38=""),"",IFERROR(ROUND(GN38/INDEX(Undirviðmið!$F$6:$F$205,GN$4)*INDEX(Undirviðmið!$E$6:$E$205,GN$4)*KVARDI,2),""))</f>
        <v/>
      </c>
      <c r="GP38" s="23"/>
      <c r="GQ38" s="40" t="str">
        <f aca="false">IF(OR(GP$4=0,GP38=""),"",IFERROR(ROUND(GP38/INDEX(Undirviðmið!$F$6:$F$205,GP$4)*INDEX(Undirviðmið!$E$6:$E$205,GP$4)*KVARDI,2),""))</f>
        <v/>
      </c>
      <c r="GR38" s="23"/>
      <c r="GS38" s="40" t="str">
        <f aca="false">IF(OR(GR$4=0,GR38=""),"",IFERROR(ROUND(GR38/INDEX(Undirviðmið!$F$6:$F$205,GR$4)*INDEX(Undirviðmið!$E$6:$E$205,GR$4)*KVARDI,2),""))</f>
        <v/>
      </c>
      <c r="GT38" s="23"/>
      <c r="GU38" s="40" t="str">
        <f aca="false">IF(OR(GT$4=0,GT38=""),"",IFERROR(ROUND(GT38/INDEX(Undirviðmið!$F$6:$F$205,GT$4)*INDEX(Undirviðmið!$E$6:$E$205,GT$4)*KVARDI,2),""))</f>
        <v/>
      </c>
      <c r="GV38" s="44" t="n">
        <f aca="false">IFERROR(SUMIF($D$6:GU$6,"Stig",$D38:GU38),0)</f>
        <v>0</v>
      </c>
    </row>
    <row r="39" customFormat="false" ht="15" hidden="false" customHeight="true" outlineLevel="0" collapsed="false">
      <c r="A39" s="22" t="n">
        <f aca="false">ROW()-6</f>
        <v>33</v>
      </c>
      <c r="B39" s="24" t="str">
        <f aca="false">IF(INDEX(Starfsmenn!$B$6:$B$10005,ROW()-6)="","",INDEX(Starfsmenn!$B$6:$B$10005,ROW()-6))</f>
        <v/>
      </c>
      <c r="C39" s="24" t="str">
        <f aca="false">IF(INDEX(Starfsmenn!$C$6:$C$10005,ROW()-6)="","",INDEX(Starfsmenn!$C$6:$C$10005,ROW()-6))</f>
        <v/>
      </c>
      <c r="D39" s="23"/>
      <c r="E39" s="40" t="str">
        <f aca="false">IF(OR(D$4=0,D39=""),"",IFERROR(ROUND(D39/INDEX(Undirviðmið!$F$6:$F$205,D$4)*INDEX(Undirviðmið!$E$6:$E$205,D$4)*KVARDI,2),""))</f>
        <v/>
      </c>
      <c r="F39" s="23"/>
      <c r="G39" s="40" t="str">
        <f aca="false">IF(OR(F$4=0,F39=""),"",IFERROR(ROUND(F39/INDEX(Undirviðmið!$F$6:$F$205,F$4)*INDEX(Undirviðmið!$E$6:$E$205,F$4)*KVARDI,2),""))</f>
        <v/>
      </c>
      <c r="H39" s="23"/>
      <c r="I39" s="40" t="str">
        <f aca="false">IF(OR(H$4=0,H39=""),"",IFERROR(ROUND(H39/INDEX(Undirviðmið!$F$6:$F$205,H$4)*INDEX(Undirviðmið!$E$6:$E$205,H$4)*KVARDI,2),""))</f>
        <v/>
      </c>
      <c r="J39" s="23"/>
      <c r="K39" s="40" t="str">
        <f aca="false">IF(OR(J$4=0,J39=""),"",IFERROR(ROUND(J39/INDEX(Undirviðmið!$F$6:$F$205,J$4)*INDEX(Undirviðmið!$E$6:$E$205,J$4)*KVARDI,2),""))</f>
        <v/>
      </c>
      <c r="L39" s="23"/>
      <c r="M39" s="40" t="str">
        <f aca="false">IF(OR(L$4=0,L39=""),"",IFERROR(ROUND(L39/INDEX(Undirviðmið!$F$6:$F$205,L$4)*INDEX(Undirviðmið!$E$6:$E$205,L$4)*KVARDI,2),""))</f>
        <v/>
      </c>
      <c r="N39" s="23"/>
      <c r="O39" s="40" t="str">
        <f aca="false">IF(OR(N$4=0,N39=""),"",IFERROR(ROUND(N39/INDEX(Undirviðmið!$F$6:$F$205,N$4)*INDEX(Undirviðmið!$E$6:$E$205,N$4)*KVARDI,2),""))</f>
        <v/>
      </c>
      <c r="P39" s="23"/>
      <c r="Q39" s="40" t="str">
        <f aca="false">IF(OR(P$4=0,P39=""),"",IFERROR(ROUND(P39/INDEX(Undirviðmið!$F$6:$F$205,P$4)*INDEX(Undirviðmið!$E$6:$E$205,P$4)*KVARDI,2),""))</f>
        <v/>
      </c>
      <c r="R39" s="23"/>
      <c r="S39" s="40" t="str">
        <f aca="false">IF(OR(R$4=0,R39=""),"",IFERROR(ROUND(R39/INDEX(Undirviðmið!$F$6:$F$205,R$4)*INDEX(Undirviðmið!$E$6:$E$205,R$4)*KVARDI,2),""))</f>
        <v/>
      </c>
      <c r="T39" s="23"/>
      <c r="U39" s="40" t="str">
        <f aca="false">IF(OR(T$4=0,T39=""),"",IFERROR(ROUND(T39/INDEX(Undirviðmið!$F$6:$F$205,T$4)*INDEX(Undirviðmið!$E$6:$E$205,T$4)*KVARDI,2),""))</f>
        <v/>
      </c>
      <c r="V39" s="23"/>
      <c r="W39" s="40" t="str">
        <f aca="false">IF(OR(V$4=0,V39=""),"",IFERROR(ROUND(V39/INDEX(Undirviðmið!$F$6:$F$205,V$4)*INDEX(Undirviðmið!$E$6:$E$205,V$4)*KVARDI,2),""))</f>
        <v/>
      </c>
      <c r="X39" s="23"/>
      <c r="Y39" s="40" t="str">
        <f aca="false">IF(OR(X$4=0,X39=""),"",IFERROR(ROUND(X39/INDEX(Undirviðmið!$F$6:$F$205,X$4)*INDEX(Undirviðmið!$E$6:$E$205,X$4)*KVARDI,2),""))</f>
        <v/>
      </c>
      <c r="Z39" s="23"/>
      <c r="AA39" s="40" t="str">
        <f aca="false">IF(OR(Z$4=0,Z39=""),"",IFERROR(ROUND(Z39/INDEX(Undirviðmið!$F$6:$F$205,Z$4)*INDEX(Undirviðmið!$E$6:$E$205,Z$4)*KVARDI,2),""))</f>
        <v/>
      </c>
      <c r="AB39" s="23"/>
      <c r="AC39" s="40" t="str">
        <f aca="false">IF(OR(AB$4=0,AB39=""),"",IFERROR(ROUND(AB39/INDEX(Undirviðmið!$F$6:$F$205,AB$4)*INDEX(Undirviðmið!$E$6:$E$205,AB$4)*KVARDI,2),""))</f>
        <v/>
      </c>
      <c r="AD39" s="23"/>
      <c r="AE39" s="40" t="str">
        <f aca="false">IF(OR(AD$4=0,AD39=""),"",IFERROR(ROUND(AD39/INDEX(Undirviðmið!$F$6:$F$205,AD$4)*INDEX(Undirviðmið!$E$6:$E$205,AD$4)*KVARDI,2),""))</f>
        <v/>
      </c>
      <c r="AF39" s="23"/>
      <c r="AG39" s="40" t="str">
        <f aca="false">IF(OR(AF$4=0,AF39=""),"",IFERROR(ROUND(AF39/INDEX(Undirviðmið!$F$6:$F$205,AF$4)*INDEX(Undirviðmið!$E$6:$E$205,AF$4)*KVARDI,2),""))</f>
        <v/>
      </c>
      <c r="AH39" s="23"/>
      <c r="AI39" s="40" t="str">
        <f aca="false">IF(OR(AH$4=0,AH39=""),"",IFERROR(ROUND(AH39/INDEX(Undirviðmið!$F$6:$F$205,AH$4)*INDEX(Undirviðmið!$E$6:$E$205,AH$4)*KVARDI,2),""))</f>
        <v/>
      </c>
      <c r="AJ39" s="23"/>
      <c r="AK39" s="40" t="str">
        <f aca="false">IF(OR(AJ$4=0,AJ39=""),"",IFERROR(ROUND(AJ39/INDEX(Undirviðmið!$F$6:$F$205,AJ$4)*INDEX(Undirviðmið!$E$6:$E$205,AJ$4)*KVARDI,2),""))</f>
        <v/>
      </c>
      <c r="AL39" s="23"/>
      <c r="AM39" s="40" t="str">
        <f aca="false">IF(OR(AL$4=0,AL39=""),"",IFERROR(ROUND(AL39/INDEX(Undirviðmið!$F$6:$F$205,AL$4)*INDEX(Undirviðmið!$E$6:$E$205,AL$4)*KVARDI,2),""))</f>
        <v/>
      </c>
      <c r="AN39" s="23"/>
      <c r="AO39" s="40" t="str">
        <f aca="false">IF(OR(AN$4=0,AN39=""),"",IFERROR(ROUND(AN39/INDEX(Undirviðmið!$F$6:$F$205,AN$4)*INDEX(Undirviðmið!$E$6:$E$205,AN$4)*KVARDI,2),""))</f>
        <v/>
      </c>
      <c r="AP39" s="23"/>
      <c r="AQ39" s="40" t="str">
        <f aca="false">IF(OR(AP$4=0,AP39=""),"",IFERROR(ROUND(AP39/INDEX(Undirviðmið!$F$6:$F$205,AP$4)*INDEX(Undirviðmið!$E$6:$E$205,AP$4)*KVARDI,2),""))</f>
        <v/>
      </c>
      <c r="AR39" s="23"/>
      <c r="AS39" s="40" t="str">
        <f aca="false">IF(OR(AR$4=0,AR39=""),"",IFERROR(ROUND(AR39/INDEX(Undirviðmið!$F$6:$F$205,AR$4)*INDEX(Undirviðmið!$E$6:$E$205,AR$4)*KVARDI,2),""))</f>
        <v/>
      </c>
      <c r="AT39" s="23"/>
      <c r="AU39" s="40" t="str">
        <f aca="false">IF(OR(AT$4=0,AT39=""),"",IFERROR(ROUND(AT39/INDEX(Undirviðmið!$F$6:$F$205,AT$4)*INDEX(Undirviðmið!$E$6:$E$205,AT$4)*KVARDI,2),""))</f>
        <v/>
      </c>
      <c r="AV39" s="23"/>
      <c r="AW39" s="40" t="str">
        <f aca="false">IF(OR(AV$4=0,AV39=""),"",IFERROR(ROUND(AV39/INDEX(Undirviðmið!$F$6:$F$205,AV$4)*INDEX(Undirviðmið!$E$6:$E$205,AV$4)*KVARDI,2),""))</f>
        <v/>
      </c>
      <c r="AX39" s="23"/>
      <c r="AY39" s="40" t="str">
        <f aca="false">IF(OR(AX$4=0,AX39=""),"",IFERROR(ROUND(AX39/INDEX(Undirviðmið!$F$6:$F$205,AX$4)*INDEX(Undirviðmið!$E$6:$E$205,AX$4)*KVARDI,2),""))</f>
        <v/>
      </c>
      <c r="AZ39" s="23"/>
      <c r="BA39" s="40" t="str">
        <f aca="false">IF(OR(AZ$4=0,AZ39=""),"",IFERROR(ROUND(AZ39/INDEX(Undirviðmið!$F$6:$F$205,AZ$4)*INDEX(Undirviðmið!$E$6:$E$205,AZ$4)*KVARDI,2),""))</f>
        <v/>
      </c>
      <c r="BB39" s="23"/>
      <c r="BC39" s="40" t="str">
        <f aca="false">IF(OR(BB$4=0,BB39=""),"",IFERROR(ROUND(BB39/INDEX(Undirviðmið!$F$6:$F$205,BB$4)*INDEX(Undirviðmið!$E$6:$E$205,BB$4)*KVARDI,2),""))</f>
        <v/>
      </c>
      <c r="BD39" s="23"/>
      <c r="BE39" s="40" t="str">
        <f aca="false">IF(OR(BD$4=0,BD39=""),"",IFERROR(ROUND(BD39/INDEX(Undirviðmið!$F$6:$F$205,BD$4)*INDEX(Undirviðmið!$E$6:$E$205,BD$4)*KVARDI,2),""))</f>
        <v/>
      </c>
      <c r="BF39" s="23"/>
      <c r="BG39" s="40" t="str">
        <f aca="false">IF(OR(BF$4=0,BF39=""),"",IFERROR(ROUND(BF39/INDEX(Undirviðmið!$F$6:$F$205,BF$4)*INDEX(Undirviðmið!$E$6:$E$205,BF$4)*KVARDI,2),""))</f>
        <v/>
      </c>
      <c r="BH39" s="23"/>
      <c r="BI39" s="40" t="str">
        <f aca="false">IF(OR(BH$4=0,BH39=""),"",IFERROR(ROUND(BH39/INDEX(Undirviðmið!$F$6:$F$205,BH$4)*INDEX(Undirviðmið!$E$6:$E$205,BH$4)*KVARDI,2),""))</f>
        <v/>
      </c>
      <c r="BJ39" s="23"/>
      <c r="BK39" s="40" t="str">
        <f aca="false">IF(OR(BJ$4=0,BJ39=""),"",IFERROR(ROUND(BJ39/INDEX(Undirviðmið!$F$6:$F$205,BJ$4)*INDEX(Undirviðmið!$E$6:$E$205,BJ$4)*KVARDI,2),""))</f>
        <v/>
      </c>
      <c r="BL39" s="23"/>
      <c r="BM39" s="40" t="str">
        <f aca="false">IF(OR(BL$4=0,BL39=""),"",IFERROR(ROUND(BL39/INDEX(Undirviðmið!$F$6:$F$205,BL$4)*INDEX(Undirviðmið!$E$6:$E$205,BL$4)*KVARDI,2),""))</f>
        <v/>
      </c>
      <c r="BN39" s="23"/>
      <c r="BO39" s="40" t="str">
        <f aca="false">IF(OR(BN$4=0,BN39=""),"",IFERROR(ROUND(BN39/INDEX(Undirviðmið!$F$6:$F$205,BN$4)*INDEX(Undirviðmið!$E$6:$E$205,BN$4)*KVARDI,2),""))</f>
        <v/>
      </c>
      <c r="BP39" s="23"/>
      <c r="BQ39" s="40" t="str">
        <f aca="false">IF(OR(BP$4=0,BP39=""),"",IFERROR(ROUND(BP39/INDEX(Undirviðmið!$F$6:$F$205,BP$4)*INDEX(Undirviðmið!$E$6:$E$205,BP$4)*KVARDI,2),""))</f>
        <v/>
      </c>
      <c r="BR39" s="23"/>
      <c r="BS39" s="40" t="str">
        <f aca="false">IF(OR(BR$4=0,BR39=""),"",IFERROR(ROUND(BR39/INDEX(Undirviðmið!$F$6:$F$205,BR$4)*INDEX(Undirviðmið!$E$6:$E$205,BR$4)*KVARDI,2),""))</f>
        <v/>
      </c>
      <c r="BT39" s="23"/>
      <c r="BU39" s="40" t="str">
        <f aca="false">IF(OR(BT$4=0,BT39=""),"",IFERROR(ROUND(BT39/INDEX(Undirviðmið!$F$6:$F$205,BT$4)*INDEX(Undirviðmið!$E$6:$E$205,BT$4)*KVARDI,2),""))</f>
        <v/>
      </c>
      <c r="BV39" s="23"/>
      <c r="BW39" s="40" t="str">
        <f aca="false">IF(OR(BV$4=0,BV39=""),"",IFERROR(ROUND(BV39/INDEX(Undirviðmið!$F$6:$F$205,BV$4)*INDEX(Undirviðmið!$E$6:$E$205,BV$4)*KVARDI,2),""))</f>
        <v/>
      </c>
      <c r="BX39" s="23"/>
      <c r="BY39" s="40" t="str">
        <f aca="false">IF(OR(BX$4=0,BX39=""),"",IFERROR(ROUND(BX39/INDEX(Undirviðmið!$F$6:$F$205,BX$4)*INDEX(Undirviðmið!$E$6:$E$205,BX$4)*KVARDI,2),""))</f>
        <v/>
      </c>
      <c r="BZ39" s="23"/>
      <c r="CA39" s="40" t="str">
        <f aca="false">IF(OR(BZ$4=0,BZ39=""),"",IFERROR(ROUND(BZ39/INDEX(Undirviðmið!$F$6:$F$205,BZ$4)*INDEX(Undirviðmið!$E$6:$E$205,BZ$4)*KVARDI,2),""))</f>
        <v/>
      </c>
      <c r="CB39" s="23"/>
      <c r="CC39" s="40" t="str">
        <f aca="false">IF(OR(CB$4=0,CB39=""),"",IFERROR(ROUND(CB39/INDEX(Undirviðmið!$F$6:$F$205,CB$4)*INDEX(Undirviðmið!$E$6:$E$205,CB$4)*KVARDI,2),""))</f>
        <v/>
      </c>
      <c r="CD39" s="23"/>
      <c r="CE39" s="40" t="str">
        <f aca="false">IF(OR(CD$4=0,CD39=""),"",IFERROR(ROUND(CD39/INDEX(Undirviðmið!$F$6:$F$205,CD$4)*INDEX(Undirviðmið!$E$6:$E$205,CD$4)*KVARDI,2),""))</f>
        <v/>
      </c>
      <c r="CF39" s="23"/>
      <c r="CG39" s="40" t="str">
        <f aca="false">IF(OR(CF$4=0,CF39=""),"",IFERROR(ROUND(CF39/INDEX(Undirviðmið!$F$6:$F$205,CF$4)*INDEX(Undirviðmið!$E$6:$E$205,CF$4)*KVARDI,2),""))</f>
        <v/>
      </c>
      <c r="CH39" s="23"/>
      <c r="CI39" s="40" t="str">
        <f aca="false">IF(OR(CH$4=0,CH39=""),"",IFERROR(ROUND(CH39/INDEX(Undirviðmið!$F$6:$F$205,CH$4)*INDEX(Undirviðmið!$E$6:$E$205,CH$4)*KVARDI,2),""))</f>
        <v/>
      </c>
      <c r="CJ39" s="23"/>
      <c r="CK39" s="40" t="str">
        <f aca="false">IF(OR(CJ$4=0,CJ39=""),"",IFERROR(ROUND(CJ39/INDEX(Undirviðmið!$F$6:$F$205,CJ$4)*INDEX(Undirviðmið!$E$6:$E$205,CJ$4)*KVARDI,2),""))</f>
        <v/>
      </c>
      <c r="CL39" s="23"/>
      <c r="CM39" s="40" t="str">
        <f aca="false">IF(OR(CL$4=0,CL39=""),"",IFERROR(ROUND(CL39/INDEX(Undirviðmið!$F$6:$F$205,CL$4)*INDEX(Undirviðmið!$E$6:$E$205,CL$4)*KVARDI,2),""))</f>
        <v/>
      </c>
      <c r="CN39" s="23"/>
      <c r="CO39" s="40" t="str">
        <f aca="false">IF(OR(CN$4=0,CN39=""),"",IFERROR(ROUND(CN39/INDEX(Undirviðmið!$F$6:$F$205,CN$4)*INDEX(Undirviðmið!$E$6:$E$205,CN$4)*KVARDI,2),""))</f>
        <v/>
      </c>
      <c r="CP39" s="23"/>
      <c r="CQ39" s="40" t="str">
        <f aca="false">IF(OR(CP$4=0,CP39=""),"",IFERROR(ROUND(CP39/INDEX(Undirviðmið!$F$6:$F$205,CP$4)*INDEX(Undirviðmið!$E$6:$E$205,CP$4)*KVARDI,2),""))</f>
        <v/>
      </c>
      <c r="CR39" s="23"/>
      <c r="CS39" s="40" t="str">
        <f aca="false">IF(OR(CR$4=0,CR39=""),"",IFERROR(ROUND(CR39/INDEX(Undirviðmið!$F$6:$F$205,CR$4)*INDEX(Undirviðmið!$E$6:$E$205,CR$4)*KVARDI,2),""))</f>
        <v/>
      </c>
      <c r="CT39" s="23"/>
      <c r="CU39" s="40" t="str">
        <f aca="false">IF(OR(CT$4=0,CT39=""),"",IFERROR(ROUND(CT39/INDEX(Undirviðmið!$F$6:$F$205,CT$4)*INDEX(Undirviðmið!$E$6:$E$205,CT$4)*KVARDI,2),""))</f>
        <v/>
      </c>
      <c r="CV39" s="23"/>
      <c r="CW39" s="40" t="str">
        <f aca="false">IF(OR(CV$4=0,CV39=""),"",IFERROR(ROUND(CV39/INDEX(Undirviðmið!$F$6:$F$205,CV$4)*INDEX(Undirviðmið!$E$6:$E$205,CV$4)*KVARDI,2),""))</f>
        <v/>
      </c>
      <c r="CX39" s="23"/>
      <c r="CY39" s="40" t="str">
        <f aca="false">IF(OR(CX$4=0,CX39=""),"",IFERROR(ROUND(CX39/INDEX(Undirviðmið!$F$6:$F$205,CX$4)*INDEX(Undirviðmið!$E$6:$E$205,CX$4)*KVARDI,2),""))</f>
        <v/>
      </c>
      <c r="CZ39" s="23"/>
      <c r="DA39" s="40" t="str">
        <f aca="false">IF(OR(CZ$4=0,CZ39=""),"",IFERROR(ROUND(CZ39/INDEX(Undirviðmið!$F$6:$F$205,CZ$4)*INDEX(Undirviðmið!$E$6:$E$205,CZ$4)*KVARDI,2),""))</f>
        <v/>
      </c>
      <c r="DB39" s="23"/>
      <c r="DC39" s="40" t="str">
        <f aca="false">IF(OR(DB$4=0,DB39=""),"",IFERROR(ROUND(DB39/INDEX(Undirviðmið!$F$6:$F$205,DB$4)*INDEX(Undirviðmið!$E$6:$E$205,DB$4)*KVARDI,2),""))</f>
        <v/>
      </c>
      <c r="DD39" s="23"/>
      <c r="DE39" s="40" t="str">
        <f aca="false">IF(OR(DD$4=0,DD39=""),"",IFERROR(ROUND(DD39/INDEX(Undirviðmið!$F$6:$F$205,DD$4)*INDEX(Undirviðmið!$E$6:$E$205,DD$4)*KVARDI,2),""))</f>
        <v/>
      </c>
      <c r="DF39" s="23"/>
      <c r="DG39" s="40" t="str">
        <f aca="false">IF(OR(DF$4=0,DF39=""),"",IFERROR(ROUND(DF39/INDEX(Undirviðmið!$F$6:$F$205,DF$4)*INDEX(Undirviðmið!$E$6:$E$205,DF$4)*KVARDI,2),""))</f>
        <v/>
      </c>
      <c r="DH39" s="23"/>
      <c r="DI39" s="40" t="str">
        <f aca="false">IF(OR(DH$4=0,DH39=""),"",IFERROR(ROUND(DH39/INDEX(Undirviðmið!$F$6:$F$205,DH$4)*INDEX(Undirviðmið!$E$6:$E$205,DH$4)*KVARDI,2),""))</f>
        <v/>
      </c>
      <c r="DJ39" s="23"/>
      <c r="DK39" s="40" t="str">
        <f aca="false">IF(OR(DJ$4=0,DJ39=""),"",IFERROR(ROUND(DJ39/INDEX(Undirviðmið!$F$6:$F$205,DJ$4)*INDEX(Undirviðmið!$E$6:$E$205,DJ$4)*KVARDI,2),""))</f>
        <v/>
      </c>
      <c r="DL39" s="23"/>
      <c r="DM39" s="40" t="str">
        <f aca="false">IF(OR(DL$4=0,DL39=""),"",IFERROR(ROUND(DL39/INDEX(Undirviðmið!$F$6:$F$205,DL$4)*INDEX(Undirviðmið!$E$6:$E$205,DL$4)*KVARDI,2),""))</f>
        <v/>
      </c>
      <c r="DN39" s="23"/>
      <c r="DO39" s="40" t="str">
        <f aca="false">IF(OR(DN$4=0,DN39=""),"",IFERROR(ROUND(DN39/INDEX(Undirviðmið!$F$6:$F$205,DN$4)*INDEX(Undirviðmið!$E$6:$E$205,DN$4)*KVARDI,2),""))</f>
        <v/>
      </c>
      <c r="DP39" s="23"/>
      <c r="DQ39" s="40" t="str">
        <f aca="false">IF(OR(DP$4=0,DP39=""),"",IFERROR(ROUND(DP39/INDEX(Undirviðmið!$F$6:$F$205,DP$4)*INDEX(Undirviðmið!$E$6:$E$205,DP$4)*KVARDI,2),""))</f>
        <v/>
      </c>
      <c r="DR39" s="23"/>
      <c r="DS39" s="40" t="str">
        <f aca="false">IF(OR(DR$4=0,DR39=""),"",IFERROR(ROUND(DR39/INDEX(Undirviðmið!$F$6:$F$205,DR$4)*INDEX(Undirviðmið!$E$6:$E$205,DR$4)*KVARDI,2),""))</f>
        <v/>
      </c>
      <c r="DT39" s="23"/>
      <c r="DU39" s="40" t="str">
        <f aca="false">IF(OR(DT$4=0,DT39=""),"",IFERROR(ROUND(DT39/INDEX(Undirviðmið!$F$6:$F$205,DT$4)*INDEX(Undirviðmið!$E$6:$E$205,DT$4)*KVARDI,2),""))</f>
        <v/>
      </c>
      <c r="DV39" s="23"/>
      <c r="DW39" s="40" t="str">
        <f aca="false">IF(OR(DV$4=0,DV39=""),"",IFERROR(ROUND(DV39/INDEX(Undirviðmið!$F$6:$F$205,DV$4)*INDEX(Undirviðmið!$E$6:$E$205,DV$4)*KVARDI,2),""))</f>
        <v/>
      </c>
      <c r="DX39" s="23"/>
      <c r="DY39" s="40" t="str">
        <f aca="false">IF(OR(DX$4=0,DX39=""),"",IFERROR(ROUND(DX39/INDEX(Undirviðmið!$F$6:$F$205,DX$4)*INDEX(Undirviðmið!$E$6:$E$205,DX$4)*KVARDI,2),""))</f>
        <v/>
      </c>
      <c r="DZ39" s="23"/>
      <c r="EA39" s="40" t="str">
        <f aca="false">IF(OR(DZ$4=0,DZ39=""),"",IFERROR(ROUND(DZ39/INDEX(Undirviðmið!$F$6:$F$205,DZ$4)*INDEX(Undirviðmið!$E$6:$E$205,DZ$4)*KVARDI,2),""))</f>
        <v/>
      </c>
      <c r="EB39" s="23"/>
      <c r="EC39" s="40" t="str">
        <f aca="false">IF(OR(EB$4=0,EB39=""),"",IFERROR(ROUND(EB39/INDEX(Undirviðmið!$F$6:$F$205,EB$4)*INDEX(Undirviðmið!$E$6:$E$205,EB$4)*KVARDI,2),""))</f>
        <v/>
      </c>
      <c r="ED39" s="23"/>
      <c r="EE39" s="40" t="str">
        <f aca="false">IF(OR(ED$4=0,ED39=""),"",IFERROR(ROUND(ED39/INDEX(Undirviðmið!$F$6:$F$205,ED$4)*INDEX(Undirviðmið!$E$6:$E$205,ED$4)*KVARDI,2),""))</f>
        <v/>
      </c>
      <c r="EF39" s="23"/>
      <c r="EG39" s="40" t="str">
        <f aca="false">IF(OR(EF$4=0,EF39=""),"",IFERROR(ROUND(EF39/INDEX(Undirviðmið!$F$6:$F$205,EF$4)*INDEX(Undirviðmið!$E$6:$E$205,EF$4)*KVARDI,2),""))</f>
        <v/>
      </c>
      <c r="EH39" s="23"/>
      <c r="EI39" s="40" t="str">
        <f aca="false">IF(OR(EH$4=0,EH39=""),"",IFERROR(ROUND(EH39/INDEX(Undirviðmið!$F$6:$F$205,EH$4)*INDEX(Undirviðmið!$E$6:$E$205,EH$4)*KVARDI,2),""))</f>
        <v/>
      </c>
      <c r="EJ39" s="23"/>
      <c r="EK39" s="40" t="str">
        <f aca="false">IF(OR(EJ$4=0,EJ39=""),"",IFERROR(ROUND(EJ39/INDEX(Undirviðmið!$F$6:$F$205,EJ$4)*INDEX(Undirviðmið!$E$6:$E$205,EJ$4)*KVARDI,2),""))</f>
        <v/>
      </c>
      <c r="EL39" s="23"/>
      <c r="EM39" s="40" t="str">
        <f aca="false">IF(OR(EL$4=0,EL39=""),"",IFERROR(ROUND(EL39/INDEX(Undirviðmið!$F$6:$F$205,EL$4)*INDEX(Undirviðmið!$E$6:$E$205,EL$4)*KVARDI,2),""))</f>
        <v/>
      </c>
      <c r="EN39" s="23"/>
      <c r="EO39" s="40" t="str">
        <f aca="false">IF(OR(EN$4=0,EN39=""),"",IFERROR(ROUND(EN39/INDEX(Undirviðmið!$F$6:$F$205,EN$4)*INDEX(Undirviðmið!$E$6:$E$205,EN$4)*KVARDI,2),""))</f>
        <v/>
      </c>
      <c r="EP39" s="23"/>
      <c r="EQ39" s="40" t="str">
        <f aca="false">IF(OR(EP$4=0,EP39=""),"",IFERROR(ROUND(EP39/INDEX(Undirviðmið!$F$6:$F$205,EP$4)*INDEX(Undirviðmið!$E$6:$E$205,EP$4)*KVARDI,2),""))</f>
        <v/>
      </c>
      <c r="ER39" s="23"/>
      <c r="ES39" s="40" t="str">
        <f aca="false">IF(OR(ER$4=0,ER39=""),"",IFERROR(ROUND(ER39/INDEX(Undirviðmið!$F$6:$F$205,ER$4)*INDEX(Undirviðmið!$E$6:$E$205,ER$4)*KVARDI,2),""))</f>
        <v/>
      </c>
      <c r="ET39" s="23"/>
      <c r="EU39" s="40" t="str">
        <f aca="false">IF(OR(ET$4=0,ET39=""),"",IFERROR(ROUND(ET39/INDEX(Undirviðmið!$F$6:$F$205,ET$4)*INDEX(Undirviðmið!$E$6:$E$205,ET$4)*KVARDI,2),""))</f>
        <v/>
      </c>
      <c r="EV39" s="23"/>
      <c r="EW39" s="40" t="str">
        <f aca="false">IF(OR(EV$4=0,EV39=""),"",IFERROR(ROUND(EV39/INDEX(Undirviðmið!$F$6:$F$205,EV$4)*INDEX(Undirviðmið!$E$6:$E$205,EV$4)*KVARDI,2),""))</f>
        <v/>
      </c>
      <c r="EX39" s="23"/>
      <c r="EY39" s="40" t="str">
        <f aca="false">IF(OR(EX$4=0,EX39=""),"",IFERROR(ROUND(EX39/INDEX(Undirviðmið!$F$6:$F$205,EX$4)*INDEX(Undirviðmið!$E$6:$E$205,EX$4)*KVARDI,2),""))</f>
        <v/>
      </c>
      <c r="EZ39" s="23"/>
      <c r="FA39" s="40" t="str">
        <f aca="false">IF(OR(EZ$4=0,EZ39=""),"",IFERROR(ROUND(EZ39/INDEX(Undirviðmið!$F$6:$F$205,EZ$4)*INDEX(Undirviðmið!$E$6:$E$205,EZ$4)*KVARDI,2),""))</f>
        <v/>
      </c>
      <c r="FB39" s="23"/>
      <c r="FC39" s="40" t="str">
        <f aca="false">IF(OR(FB$4=0,FB39=""),"",IFERROR(ROUND(FB39/INDEX(Undirviðmið!$F$6:$F$205,FB$4)*INDEX(Undirviðmið!$E$6:$E$205,FB$4)*KVARDI,2),""))</f>
        <v/>
      </c>
      <c r="FD39" s="23"/>
      <c r="FE39" s="40" t="str">
        <f aca="false">IF(OR(FD$4=0,FD39=""),"",IFERROR(ROUND(FD39/INDEX(Undirviðmið!$F$6:$F$205,FD$4)*INDEX(Undirviðmið!$E$6:$E$205,FD$4)*KVARDI,2),""))</f>
        <v/>
      </c>
      <c r="FF39" s="23"/>
      <c r="FG39" s="40" t="str">
        <f aca="false">IF(OR(FF$4=0,FF39=""),"",IFERROR(ROUND(FF39/INDEX(Undirviðmið!$F$6:$F$205,FF$4)*INDEX(Undirviðmið!$E$6:$E$205,FF$4)*KVARDI,2),""))</f>
        <v/>
      </c>
      <c r="FH39" s="23"/>
      <c r="FI39" s="40" t="str">
        <f aca="false">IF(OR(FH$4=0,FH39=""),"",IFERROR(ROUND(FH39/INDEX(Undirviðmið!$F$6:$F$205,FH$4)*INDEX(Undirviðmið!$E$6:$E$205,FH$4)*KVARDI,2),""))</f>
        <v/>
      </c>
      <c r="FJ39" s="23"/>
      <c r="FK39" s="40" t="str">
        <f aca="false">IF(OR(FJ$4=0,FJ39=""),"",IFERROR(ROUND(FJ39/INDEX(Undirviðmið!$F$6:$F$205,FJ$4)*INDEX(Undirviðmið!$E$6:$E$205,FJ$4)*KVARDI,2),""))</f>
        <v/>
      </c>
      <c r="FL39" s="23"/>
      <c r="FM39" s="40" t="str">
        <f aca="false">IF(OR(FL$4=0,FL39=""),"",IFERROR(ROUND(FL39/INDEX(Undirviðmið!$F$6:$F$205,FL$4)*INDEX(Undirviðmið!$E$6:$E$205,FL$4)*KVARDI,2),""))</f>
        <v/>
      </c>
      <c r="FN39" s="23"/>
      <c r="FO39" s="40" t="str">
        <f aca="false">IF(OR(FN$4=0,FN39=""),"",IFERROR(ROUND(FN39/INDEX(Undirviðmið!$F$6:$F$205,FN$4)*INDEX(Undirviðmið!$E$6:$E$205,FN$4)*KVARDI,2),""))</f>
        <v/>
      </c>
      <c r="FP39" s="23"/>
      <c r="FQ39" s="40" t="str">
        <f aca="false">IF(OR(FP$4=0,FP39=""),"",IFERROR(ROUND(FP39/INDEX(Undirviðmið!$F$6:$F$205,FP$4)*INDEX(Undirviðmið!$E$6:$E$205,FP$4)*KVARDI,2),""))</f>
        <v/>
      </c>
      <c r="FR39" s="23"/>
      <c r="FS39" s="40" t="str">
        <f aca="false">IF(OR(FR$4=0,FR39=""),"",IFERROR(ROUND(FR39/INDEX(Undirviðmið!$F$6:$F$205,FR$4)*INDEX(Undirviðmið!$E$6:$E$205,FR$4)*KVARDI,2),""))</f>
        <v/>
      </c>
      <c r="FT39" s="23"/>
      <c r="FU39" s="40" t="str">
        <f aca="false">IF(OR(FT$4=0,FT39=""),"",IFERROR(ROUND(FT39/INDEX(Undirviðmið!$F$6:$F$205,FT$4)*INDEX(Undirviðmið!$E$6:$E$205,FT$4)*KVARDI,2),""))</f>
        <v/>
      </c>
      <c r="FV39" s="23"/>
      <c r="FW39" s="40" t="str">
        <f aca="false">IF(OR(FV$4=0,FV39=""),"",IFERROR(ROUND(FV39/INDEX(Undirviðmið!$F$6:$F$205,FV$4)*INDEX(Undirviðmið!$E$6:$E$205,FV$4)*KVARDI,2),""))</f>
        <v/>
      </c>
      <c r="FX39" s="23"/>
      <c r="FY39" s="40" t="str">
        <f aca="false">IF(OR(FX$4=0,FX39=""),"",IFERROR(ROUND(FX39/INDEX(Undirviðmið!$F$6:$F$205,FX$4)*INDEX(Undirviðmið!$E$6:$E$205,FX$4)*KVARDI,2),""))</f>
        <v/>
      </c>
      <c r="FZ39" s="23"/>
      <c r="GA39" s="40" t="str">
        <f aca="false">IF(OR(FZ$4=0,FZ39=""),"",IFERROR(ROUND(FZ39/INDEX(Undirviðmið!$F$6:$F$205,FZ$4)*INDEX(Undirviðmið!$E$6:$E$205,FZ$4)*KVARDI,2),""))</f>
        <v/>
      </c>
      <c r="GB39" s="23"/>
      <c r="GC39" s="40" t="str">
        <f aca="false">IF(OR(GB$4=0,GB39=""),"",IFERROR(ROUND(GB39/INDEX(Undirviðmið!$F$6:$F$205,GB$4)*INDEX(Undirviðmið!$E$6:$E$205,GB$4)*KVARDI,2),""))</f>
        <v/>
      </c>
      <c r="GD39" s="23"/>
      <c r="GE39" s="40" t="str">
        <f aca="false">IF(OR(GD$4=0,GD39=""),"",IFERROR(ROUND(GD39/INDEX(Undirviðmið!$F$6:$F$205,GD$4)*INDEX(Undirviðmið!$E$6:$E$205,GD$4)*KVARDI,2),""))</f>
        <v/>
      </c>
      <c r="GF39" s="23"/>
      <c r="GG39" s="40" t="str">
        <f aca="false">IF(OR(GF$4=0,GF39=""),"",IFERROR(ROUND(GF39/INDEX(Undirviðmið!$F$6:$F$205,GF$4)*INDEX(Undirviðmið!$E$6:$E$205,GF$4)*KVARDI,2),""))</f>
        <v/>
      </c>
      <c r="GH39" s="23"/>
      <c r="GI39" s="40" t="str">
        <f aca="false">IF(OR(GH$4=0,GH39=""),"",IFERROR(ROUND(GH39/INDEX(Undirviðmið!$F$6:$F$205,GH$4)*INDEX(Undirviðmið!$E$6:$E$205,GH$4)*KVARDI,2),""))</f>
        <v/>
      </c>
      <c r="GJ39" s="23"/>
      <c r="GK39" s="40" t="str">
        <f aca="false">IF(OR(GJ$4=0,GJ39=""),"",IFERROR(ROUND(GJ39/INDEX(Undirviðmið!$F$6:$F$205,GJ$4)*INDEX(Undirviðmið!$E$6:$E$205,GJ$4)*KVARDI,2),""))</f>
        <v/>
      </c>
      <c r="GL39" s="23"/>
      <c r="GM39" s="40" t="str">
        <f aca="false">IF(OR(GL$4=0,GL39=""),"",IFERROR(ROUND(GL39/INDEX(Undirviðmið!$F$6:$F$205,GL$4)*INDEX(Undirviðmið!$E$6:$E$205,GL$4)*KVARDI,2),""))</f>
        <v/>
      </c>
      <c r="GN39" s="23"/>
      <c r="GO39" s="40" t="str">
        <f aca="false">IF(OR(GN$4=0,GN39=""),"",IFERROR(ROUND(GN39/INDEX(Undirviðmið!$F$6:$F$205,GN$4)*INDEX(Undirviðmið!$E$6:$E$205,GN$4)*KVARDI,2),""))</f>
        <v/>
      </c>
      <c r="GP39" s="23"/>
      <c r="GQ39" s="40" t="str">
        <f aca="false">IF(OR(GP$4=0,GP39=""),"",IFERROR(ROUND(GP39/INDEX(Undirviðmið!$F$6:$F$205,GP$4)*INDEX(Undirviðmið!$E$6:$E$205,GP$4)*KVARDI,2),""))</f>
        <v/>
      </c>
      <c r="GR39" s="23"/>
      <c r="GS39" s="40" t="str">
        <f aca="false">IF(OR(GR$4=0,GR39=""),"",IFERROR(ROUND(GR39/INDEX(Undirviðmið!$F$6:$F$205,GR$4)*INDEX(Undirviðmið!$E$6:$E$205,GR$4)*KVARDI,2),""))</f>
        <v/>
      </c>
      <c r="GT39" s="23"/>
      <c r="GU39" s="40" t="str">
        <f aca="false">IF(OR(GT$4=0,GT39=""),"",IFERROR(ROUND(GT39/INDEX(Undirviðmið!$F$6:$F$205,GT$4)*INDEX(Undirviðmið!$E$6:$E$205,GT$4)*KVARDI,2),""))</f>
        <v/>
      </c>
      <c r="GV39" s="44" t="n">
        <f aca="false">IFERROR(SUMIF($D$6:GU$6,"Stig",$D39:GU39),0)</f>
        <v>0</v>
      </c>
    </row>
    <row r="40" customFormat="false" ht="15" hidden="false" customHeight="true" outlineLevel="0" collapsed="false">
      <c r="A40" s="22" t="n">
        <f aca="false">ROW()-6</f>
        <v>34</v>
      </c>
      <c r="B40" s="24" t="str">
        <f aca="false">IF(INDEX(Starfsmenn!$B$6:$B$10005,ROW()-6)="","",INDEX(Starfsmenn!$B$6:$B$10005,ROW()-6))</f>
        <v/>
      </c>
      <c r="C40" s="24" t="str">
        <f aca="false">IF(INDEX(Starfsmenn!$C$6:$C$10005,ROW()-6)="","",INDEX(Starfsmenn!$C$6:$C$10005,ROW()-6))</f>
        <v/>
      </c>
      <c r="D40" s="23"/>
      <c r="E40" s="40" t="str">
        <f aca="false">IF(OR(D$4=0,D40=""),"",IFERROR(ROUND(D40/INDEX(Undirviðmið!$F$6:$F$205,D$4)*INDEX(Undirviðmið!$E$6:$E$205,D$4)*KVARDI,2),""))</f>
        <v/>
      </c>
      <c r="F40" s="23"/>
      <c r="G40" s="40" t="str">
        <f aca="false">IF(OR(F$4=0,F40=""),"",IFERROR(ROUND(F40/INDEX(Undirviðmið!$F$6:$F$205,F$4)*INDEX(Undirviðmið!$E$6:$E$205,F$4)*KVARDI,2),""))</f>
        <v/>
      </c>
      <c r="H40" s="23"/>
      <c r="I40" s="40" t="str">
        <f aca="false">IF(OR(H$4=0,H40=""),"",IFERROR(ROUND(H40/INDEX(Undirviðmið!$F$6:$F$205,H$4)*INDEX(Undirviðmið!$E$6:$E$205,H$4)*KVARDI,2),""))</f>
        <v/>
      </c>
      <c r="J40" s="23"/>
      <c r="K40" s="40" t="str">
        <f aca="false">IF(OR(J$4=0,J40=""),"",IFERROR(ROUND(J40/INDEX(Undirviðmið!$F$6:$F$205,J$4)*INDEX(Undirviðmið!$E$6:$E$205,J$4)*KVARDI,2),""))</f>
        <v/>
      </c>
      <c r="L40" s="23"/>
      <c r="M40" s="40" t="str">
        <f aca="false">IF(OR(L$4=0,L40=""),"",IFERROR(ROUND(L40/INDEX(Undirviðmið!$F$6:$F$205,L$4)*INDEX(Undirviðmið!$E$6:$E$205,L$4)*KVARDI,2),""))</f>
        <v/>
      </c>
      <c r="N40" s="23"/>
      <c r="O40" s="40" t="str">
        <f aca="false">IF(OR(N$4=0,N40=""),"",IFERROR(ROUND(N40/INDEX(Undirviðmið!$F$6:$F$205,N$4)*INDEX(Undirviðmið!$E$6:$E$205,N$4)*KVARDI,2),""))</f>
        <v/>
      </c>
      <c r="P40" s="23"/>
      <c r="Q40" s="40" t="str">
        <f aca="false">IF(OR(P$4=0,P40=""),"",IFERROR(ROUND(P40/INDEX(Undirviðmið!$F$6:$F$205,P$4)*INDEX(Undirviðmið!$E$6:$E$205,P$4)*KVARDI,2),""))</f>
        <v/>
      </c>
      <c r="R40" s="23"/>
      <c r="S40" s="40" t="str">
        <f aca="false">IF(OR(R$4=0,R40=""),"",IFERROR(ROUND(R40/INDEX(Undirviðmið!$F$6:$F$205,R$4)*INDEX(Undirviðmið!$E$6:$E$205,R$4)*KVARDI,2),""))</f>
        <v/>
      </c>
      <c r="T40" s="23"/>
      <c r="U40" s="40" t="str">
        <f aca="false">IF(OR(T$4=0,T40=""),"",IFERROR(ROUND(T40/INDEX(Undirviðmið!$F$6:$F$205,T$4)*INDEX(Undirviðmið!$E$6:$E$205,T$4)*KVARDI,2),""))</f>
        <v/>
      </c>
      <c r="V40" s="23"/>
      <c r="W40" s="40" t="str">
        <f aca="false">IF(OR(V$4=0,V40=""),"",IFERROR(ROUND(V40/INDEX(Undirviðmið!$F$6:$F$205,V$4)*INDEX(Undirviðmið!$E$6:$E$205,V$4)*KVARDI,2),""))</f>
        <v/>
      </c>
      <c r="X40" s="23"/>
      <c r="Y40" s="40" t="str">
        <f aca="false">IF(OR(X$4=0,X40=""),"",IFERROR(ROUND(X40/INDEX(Undirviðmið!$F$6:$F$205,X$4)*INDEX(Undirviðmið!$E$6:$E$205,X$4)*KVARDI,2),""))</f>
        <v/>
      </c>
      <c r="Z40" s="23"/>
      <c r="AA40" s="40" t="str">
        <f aca="false">IF(OR(Z$4=0,Z40=""),"",IFERROR(ROUND(Z40/INDEX(Undirviðmið!$F$6:$F$205,Z$4)*INDEX(Undirviðmið!$E$6:$E$205,Z$4)*KVARDI,2),""))</f>
        <v/>
      </c>
      <c r="AB40" s="23"/>
      <c r="AC40" s="40" t="str">
        <f aca="false">IF(OR(AB$4=0,AB40=""),"",IFERROR(ROUND(AB40/INDEX(Undirviðmið!$F$6:$F$205,AB$4)*INDEX(Undirviðmið!$E$6:$E$205,AB$4)*KVARDI,2),""))</f>
        <v/>
      </c>
      <c r="AD40" s="23"/>
      <c r="AE40" s="40" t="str">
        <f aca="false">IF(OR(AD$4=0,AD40=""),"",IFERROR(ROUND(AD40/INDEX(Undirviðmið!$F$6:$F$205,AD$4)*INDEX(Undirviðmið!$E$6:$E$205,AD$4)*KVARDI,2),""))</f>
        <v/>
      </c>
      <c r="AF40" s="23"/>
      <c r="AG40" s="40" t="str">
        <f aca="false">IF(OR(AF$4=0,AF40=""),"",IFERROR(ROUND(AF40/INDEX(Undirviðmið!$F$6:$F$205,AF$4)*INDEX(Undirviðmið!$E$6:$E$205,AF$4)*KVARDI,2),""))</f>
        <v/>
      </c>
      <c r="AH40" s="23"/>
      <c r="AI40" s="40" t="str">
        <f aca="false">IF(OR(AH$4=0,AH40=""),"",IFERROR(ROUND(AH40/INDEX(Undirviðmið!$F$6:$F$205,AH$4)*INDEX(Undirviðmið!$E$6:$E$205,AH$4)*KVARDI,2),""))</f>
        <v/>
      </c>
      <c r="AJ40" s="23"/>
      <c r="AK40" s="40" t="str">
        <f aca="false">IF(OR(AJ$4=0,AJ40=""),"",IFERROR(ROUND(AJ40/INDEX(Undirviðmið!$F$6:$F$205,AJ$4)*INDEX(Undirviðmið!$E$6:$E$205,AJ$4)*KVARDI,2),""))</f>
        <v/>
      </c>
      <c r="AL40" s="23"/>
      <c r="AM40" s="40" t="str">
        <f aca="false">IF(OR(AL$4=0,AL40=""),"",IFERROR(ROUND(AL40/INDEX(Undirviðmið!$F$6:$F$205,AL$4)*INDEX(Undirviðmið!$E$6:$E$205,AL$4)*KVARDI,2),""))</f>
        <v/>
      </c>
      <c r="AN40" s="23"/>
      <c r="AO40" s="40" t="str">
        <f aca="false">IF(OR(AN$4=0,AN40=""),"",IFERROR(ROUND(AN40/INDEX(Undirviðmið!$F$6:$F$205,AN$4)*INDEX(Undirviðmið!$E$6:$E$205,AN$4)*KVARDI,2),""))</f>
        <v/>
      </c>
      <c r="AP40" s="23"/>
      <c r="AQ40" s="40" t="str">
        <f aca="false">IF(OR(AP$4=0,AP40=""),"",IFERROR(ROUND(AP40/INDEX(Undirviðmið!$F$6:$F$205,AP$4)*INDEX(Undirviðmið!$E$6:$E$205,AP$4)*KVARDI,2),""))</f>
        <v/>
      </c>
      <c r="AR40" s="23"/>
      <c r="AS40" s="40" t="str">
        <f aca="false">IF(OR(AR$4=0,AR40=""),"",IFERROR(ROUND(AR40/INDEX(Undirviðmið!$F$6:$F$205,AR$4)*INDEX(Undirviðmið!$E$6:$E$205,AR$4)*KVARDI,2),""))</f>
        <v/>
      </c>
      <c r="AT40" s="23"/>
      <c r="AU40" s="40" t="str">
        <f aca="false">IF(OR(AT$4=0,AT40=""),"",IFERROR(ROUND(AT40/INDEX(Undirviðmið!$F$6:$F$205,AT$4)*INDEX(Undirviðmið!$E$6:$E$205,AT$4)*KVARDI,2),""))</f>
        <v/>
      </c>
      <c r="AV40" s="23"/>
      <c r="AW40" s="40" t="str">
        <f aca="false">IF(OR(AV$4=0,AV40=""),"",IFERROR(ROUND(AV40/INDEX(Undirviðmið!$F$6:$F$205,AV$4)*INDEX(Undirviðmið!$E$6:$E$205,AV$4)*KVARDI,2),""))</f>
        <v/>
      </c>
      <c r="AX40" s="23"/>
      <c r="AY40" s="40" t="str">
        <f aca="false">IF(OR(AX$4=0,AX40=""),"",IFERROR(ROUND(AX40/INDEX(Undirviðmið!$F$6:$F$205,AX$4)*INDEX(Undirviðmið!$E$6:$E$205,AX$4)*KVARDI,2),""))</f>
        <v/>
      </c>
      <c r="AZ40" s="23"/>
      <c r="BA40" s="40" t="str">
        <f aca="false">IF(OR(AZ$4=0,AZ40=""),"",IFERROR(ROUND(AZ40/INDEX(Undirviðmið!$F$6:$F$205,AZ$4)*INDEX(Undirviðmið!$E$6:$E$205,AZ$4)*KVARDI,2),""))</f>
        <v/>
      </c>
      <c r="BB40" s="23"/>
      <c r="BC40" s="40" t="str">
        <f aca="false">IF(OR(BB$4=0,BB40=""),"",IFERROR(ROUND(BB40/INDEX(Undirviðmið!$F$6:$F$205,BB$4)*INDEX(Undirviðmið!$E$6:$E$205,BB$4)*KVARDI,2),""))</f>
        <v/>
      </c>
      <c r="BD40" s="23"/>
      <c r="BE40" s="40" t="str">
        <f aca="false">IF(OR(BD$4=0,BD40=""),"",IFERROR(ROUND(BD40/INDEX(Undirviðmið!$F$6:$F$205,BD$4)*INDEX(Undirviðmið!$E$6:$E$205,BD$4)*KVARDI,2),""))</f>
        <v/>
      </c>
      <c r="BF40" s="23"/>
      <c r="BG40" s="40" t="str">
        <f aca="false">IF(OR(BF$4=0,BF40=""),"",IFERROR(ROUND(BF40/INDEX(Undirviðmið!$F$6:$F$205,BF$4)*INDEX(Undirviðmið!$E$6:$E$205,BF$4)*KVARDI,2),""))</f>
        <v/>
      </c>
      <c r="BH40" s="23"/>
      <c r="BI40" s="40" t="str">
        <f aca="false">IF(OR(BH$4=0,BH40=""),"",IFERROR(ROUND(BH40/INDEX(Undirviðmið!$F$6:$F$205,BH$4)*INDEX(Undirviðmið!$E$6:$E$205,BH$4)*KVARDI,2),""))</f>
        <v/>
      </c>
      <c r="BJ40" s="23"/>
      <c r="BK40" s="40" t="str">
        <f aca="false">IF(OR(BJ$4=0,BJ40=""),"",IFERROR(ROUND(BJ40/INDEX(Undirviðmið!$F$6:$F$205,BJ$4)*INDEX(Undirviðmið!$E$6:$E$205,BJ$4)*KVARDI,2),""))</f>
        <v/>
      </c>
      <c r="BL40" s="23"/>
      <c r="BM40" s="40" t="str">
        <f aca="false">IF(OR(BL$4=0,BL40=""),"",IFERROR(ROUND(BL40/INDEX(Undirviðmið!$F$6:$F$205,BL$4)*INDEX(Undirviðmið!$E$6:$E$205,BL$4)*KVARDI,2),""))</f>
        <v/>
      </c>
      <c r="BN40" s="23"/>
      <c r="BO40" s="40" t="str">
        <f aca="false">IF(OR(BN$4=0,BN40=""),"",IFERROR(ROUND(BN40/INDEX(Undirviðmið!$F$6:$F$205,BN$4)*INDEX(Undirviðmið!$E$6:$E$205,BN$4)*KVARDI,2),""))</f>
        <v/>
      </c>
      <c r="BP40" s="23"/>
      <c r="BQ40" s="40" t="str">
        <f aca="false">IF(OR(BP$4=0,BP40=""),"",IFERROR(ROUND(BP40/INDEX(Undirviðmið!$F$6:$F$205,BP$4)*INDEX(Undirviðmið!$E$6:$E$205,BP$4)*KVARDI,2),""))</f>
        <v/>
      </c>
      <c r="BR40" s="23"/>
      <c r="BS40" s="40" t="str">
        <f aca="false">IF(OR(BR$4=0,BR40=""),"",IFERROR(ROUND(BR40/INDEX(Undirviðmið!$F$6:$F$205,BR$4)*INDEX(Undirviðmið!$E$6:$E$205,BR$4)*KVARDI,2),""))</f>
        <v/>
      </c>
      <c r="BT40" s="23"/>
      <c r="BU40" s="40" t="str">
        <f aca="false">IF(OR(BT$4=0,BT40=""),"",IFERROR(ROUND(BT40/INDEX(Undirviðmið!$F$6:$F$205,BT$4)*INDEX(Undirviðmið!$E$6:$E$205,BT$4)*KVARDI,2),""))</f>
        <v/>
      </c>
      <c r="BV40" s="23"/>
      <c r="BW40" s="40" t="str">
        <f aca="false">IF(OR(BV$4=0,BV40=""),"",IFERROR(ROUND(BV40/INDEX(Undirviðmið!$F$6:$F$205,BV$4)*INDEX(Undirviðmið!$E$6:$E$205,BV$4)*KVARDI,2),""))</f>
        <v/>
      </c>
      <c r="BX40" s="23"/>
      <c r="BY40" s="40" t="str">
        <f aca="false">IF(OR(BX$4=0,BX40=""),"",IFERROR(ROUND(BX40/INDEX(Undirviðmið!$F$6:$F$205,BX$4)*INDEX(Undirviðmið!$E$6:$E$205,BX$4)*KVARDI,2),""))</f>
        <v/>
      </c>
      <c r="BZ40" s="23"/>
      <c r="CA40" s="40" t="str">
        <f aca="false">IF(OR(BZ$4=0,BZ40=""),"",IFERROR(ROUND(BZ40/INDEX(Undirviðmið!$F$6:$F$205,BZ$4)*INDEX(Undirviðmið!$E$6:$E$205,BZ$4)*KVARDI,2),""))</f>
        <v/>
      </c>
      <c r="CB40" s="23"/>
      <c r="CC40" s="40" t="str">
        <f aca="false">IF(OR(CB$4=0,CB40=""),"",IFERROR(ROUND(CB40/INDEX(Undirviðmið!$F$6:$F$205,CB$4)*INDEX(Undirviðmið!$E$6:$E$205,CB$4)*KVARDI,2),""))</f>
        <v/>
      </c>
      <c r="CD40" s="23"/>
      <c r="CE40" s="40" t="str">
        <f aca="false">IF(OR(CD$4=0,CD40=""),"",IFERROR(ROUND(CD40/INDEX(Undirviðmið!$F$6:$F$205,CD$4)*INDEX(Undirviðmið!$E$6:$E$205,CD$4)*KVARDI,2),""))</f>
        <v/>
      </c>
      <c r="CF40" s="23"/>
      <c r="CG40" s="40" t="str">
        <f aca="false">IF(OR(CF$4=0,CF40=""),"",IFERROR(ROUND(CF40/INDEX(Undirviðmið!$F$6:$F$205,CF$4)*INDEX(Undirviðmið!$E$6:$E$205,CF$4)*KVARDI,2),""))</f>
        <v/>
      </c>
      <c r="CH40" s="23"/>
      <c r="CI40" s="40" t="str">
        <f aca="false">IF(OR(CH$4=0,CH40=""),"",IFERROR(ROUND(CH40/INDEX(Undirviðmið!$F$6:$F$205,CH$4)*INDEX(Undirviðmið!$E$6:$E$205,CH$4)*KVARDI,2),""))</f>
        <v/>
      </c>
      <c r="CJ40" s="23"/>
      <c r="CK40" s="40" t="str">
        <f aca="false">IF(OR(CJ$4=0,CJ40=""),"",IFERROR(ROUND(CJ40/INDEX(Undirviðmið!$F$6:$F$205,CJ$4)*INDEX(Undirviðmið!$E$6:$E$205,CJ$4)*KVARDI,2),""))</f>
        <v/>
      </c>
      <c r="CL40" s="23"/>
      <c r="CM40" s="40" t="str">
        <f aca="false">IF(OR(CL$4=0,CL40=""),"",IFERROR(ROUND(CL40/INDEX(Undirviðmið!$F$6:$F$205,CL$4)*INDEX(Undirviðmið!$E$6:$E$205,CL$4)*KVARDI,2),""))</f>
        <v/>
      </c>
      <c r="CN40" s="23"/>
      <c r="CO40" s="40" t="str">
        <f aca="false">IF(OR(CN$4=0,CN40=""),"",IFERROR(ROUND(CN40/INDEX(Undirviðmið!$F$6:$F$205,CN$4)*INDEX(Undirviðmið!$E$6:$E$205,CN$4)*KVARDI,2),""))</f>
        <v/>
      </c>
      <c r="CP40" s="23"/>
      <c r="CQ40" s="40" t="str">
        <f aca="false">IF(OR(CP$4=0,CP40=""),"",IFERROR(ROUND(CP40/INDEX(Undirviðmið!$F$6:$F$205,CP$4)*INDEX(Undirviðmið!$E$6:$E$205,CP$4)*KVARDI,2),""))</f>
        <v/>
      </c>
      <c r="CR40" s="23"/>
      <c r="CS40" s="40" t="str">
        <f aca="false">IF(OR(CR$4=0,CR40=""),"",IFERROR(ROUND(CR40/INDEX(Undirviðmið!$F$6:$F$205,CR$4)*INDEX(Undirviðmið!$E$6:$E$205,CR$4)*KVARDI,2),""))</f>
        <v/>
      </c>
      <c r="CT40" s="23"/>
      <c r="CU40" s="40" t="str">
        <f aca="false">IF(OR(CT$4=0,CT40=""),"",IFERROR(ROUND(CT40/INDEX(Undirviðmið!$F$6:$F$205,CT$4)*INDEX(Undirviðmið!$E$6:$E$205,CT$4)*KVARDI,2),""))</f>
        <v/>
      </c>
      <c r="CV40" s="23"/>
      <c r="CW40" s="40" t="str">
        <f aca="false">IF(OR(CV$4=0,CV40=""),"",IFERROR(ROUND(CV40/INDEX(Undirviðmið!$F$6:$F$205,CV$4)*INDEX(Undirviðmið!$E$6:$E$205,CV$4)*KVARDI,2),""))</f>
        <v/>
      </c>
      <c r="CX40" s="23"/>
      <c r="CY40" s="40" t="str">
        <f aca="false">IF(OR(CX$4=0,CX40=""),"",IFERROR(ROUND(CX40/INDEX(Undirviðmið!$F$6:$F$205,CX$4)*INDEX(Undirviðmið!$E$6:$E$205,CX$4)*KVARDI,2),""))</f>
        <v/>
      </c>
      <c r="CZ40" s="23"/>
      <c r="DA40" s="40" t="str">
        <f aca="false">IF(OR(CZ$4=0,CZ40=""),"",IFERROR(ROUND(CZ40/INDEX(Undirviðmið!$F$6:$F$205,CZ$4)*INDEX(Undirviðmið!$E$6:$E$205,CZ$4)*KVARDI,2),""))</f>
        <v/>
      </c>
      <c r="DB40" s="23"/>
      <c r="DC40" s="40" t="str">
        <f aca="false">IF(OR(DB$4=0,DB40=""),"",IFERROR(ROUND(DB40/INDEX(Undirviðmið!$F$6:$F$205,DB$4)*INDEX(Undirviðmið!$E$6:$E$205,DB$4)*KVARDI,2),""))</f>
        <v/>
      </c>
      <c r="DD40" s="23"/>
      <c r="DE40" s="40" t="str">
        <f aca="false">IF(OR(DD$4=0,DD40=""),"",IFERROR(ROUND(DD40/INDEX(Undirviðmið!$F$6:$F$205,DD$4)*INDEX(Undirviðmið!$E$6:$E$205,DD$4)*KVARDI,2),""))</f>
        <v/>
      </c>
      <c r="DF40" s="23"/>
      <c r="DG40" s="40" t="str">
        <f aca="false">IF(OR(DF$4=0,DF40=""),"",IFERROR(ROUND(DF40/INDEX(Undirviðmið!$F$6:$F$205,DF$4)*INDEX(Undirviðmið!$E$6:$E$205,DF$4)*KVARDI,2),""))</f>
        <v/>
      </c>
      <c r="DH40" s="23"/>
      <c r="DI40" s="40" t="str">
        <f aca="false">IF(OR(DH$4=0,DH40=""),"",IFERROR(ROUND(DH40/INDEX(Undirviðmið!$F$6:$F$205,DH$4)*INDEX(Undirviðmið!$E$6:$E$205,DH$4)*KVARDI,2),""))</f>
        <v/>
      </c>
      <c r="DJ40" s="23"/>
      <c r="DK40" s="40" t="str">
        <f aca="false">IF(OR(DJ$4=0,DJ40=""),"",IFERROR(ROUND(DJ40/INDEX(Undirviðmið!$F$6:$F$205,DJ$4)*INDEX(Undirviðmið!$E$6:$E$205,DJ$4)*KVARDI,2),""))</f>
        <v/>
      </c>
      <c r="DL40" s="23"/>
      <c r="DM40" s="40" t="str">
        <f aca="false">IF(OR(DL$4=0,DL40=""),"",IFERROR(ROUND(DL40/INDEX(Undirviðmið!$F$6:$F$205,DL$4)*INDEX(Undirviðmið!$E$6:$E$205,DL$4)*KVARDI,2),""))</f>
        <v/>
      </c>
      <c r="DN40" s="23"/>
      <c r="DO40" s="40" t="str">
        <f aca="false">IF(OR(DN$4=0,DN40=""),"",IFERROR(ROUND(DN40/INDEX(Undirviðmið!$F$6:$F$205,DN$4)*INDEX(Undirviðmið!$E$6:$E$205,DN$4)*KVARDI,2),""))</f>
        <v/>
      </c>
      <c r="DP40" s="23"/>
      <c r="DQ40" s="40" t="str">
        <f aca="false">IF(OR(DP$4=0,DP40=""),"",IFERROR(ROUND(DP40/INDEX(Undirviðmið!$F$6:$F$205,DP$4)*INDEX(Undirviðmið!$E$6:$E$205,DP$4)*KVARDI,2),""))</f>
        <v/>
      </c>
      <c r="DR40" s="23"/>
      <c r="DS40" s="40" t="str">
        <f aca="false">IF(OR(DR$4=0,DR40=""),"",IFERROR(ROUND(DR40/INDEX(Undirviðmið!$F$6:$F$205,DR$4)*INDEX(Undirviðmið!$E$6:$E$205,DR$4)*KVARDI,2),""))</f>
        <v/>
      </c>
      <c r="DT40" s="23"/>
      <c r="DU40" s="40" t="str">
        <f aca="false">IF(OR(DT$4=0,DT40=""),"",IFERROR(ROUND(DT40/INDEX(Undirviðmið!$F$6:$F$205,DT$4)*INDEX(Undirviðmið!$E$6:$E$205,DT$4)*KVARDI,2),""))</f>
        <v/>
      </c>
      <c r="DV40" s="23"/>
      <c r="DW40" s="40" t="str">
        <f aca="false">IF(OR(DV$4=0,DV40=""),"",IFERROR(ROUND(DV40/INDEX(Undirviðmið!$F$6:$F$205,DV$4)*INDEX(Undirviðmið!$E$6:$E$205,DV$4)*KVARDI,2),""))</f>
        <v/>
      </c>
      <c r="DX40" s="23"/>
      <c r="DY40" s="40" t="str">
        <f aca="false">IF(OR(DX$4=0,DX40=""),"",IFERROR(ROUND(DX40/INDEX(Undirviðmið!$F$6:$F$205,DX$4)*INDEX(Undirviðmið!$E$6:$E$205,DX$4)*KVARDI,2),""))</f>
        <v/>
      </c>
      <c r="DZ40" s="23"/>
      <c r="EA40" s="40" t="str">
        <f aca="false">IF(OR(DZ$4=0,DZ40=""),"",IFERROR(ROUND(DZ40/INDEX(Undirviðmið!$F$6:$F$205,DZ$4)*INDEX(Undirviðmið!$E$6:$E$205,DZ$4)*KVARDI,2),""))</f>
        <v/>
      </c>
      <c r="EB40" s="23"/>
      <c r="EC40" s="40" t="str">
        <f aca="false">IF(OR(EB$4=0,EB40=""),"",IFERROR(ROUND(EB40/INDEX(Undirviðmið!$F$6:$F$205,EB$4)*INDEX(Undirviðmið!$E$6:$E$205,EB$4)*KVARDI,2),""))</f>
        <v/>
      </c>
      <c r="ED40" s="23"/>
      <c r="EE40" s="40" t="str">
        <f aca="false">IF(OR(ED$4=0,ED40=""),"",IFERROR(ROUND(ED40/INDEX(Undirviðmið!$F$6:$F$205,ED$4)*INDEX(Undirviðmið!$E$6:$E$205,ED$4)*KVARDI,2),""))</f>
        <v/>
      </c>
      <c r="EF40" s="23"/>
      <c r="EG40" s="40" t="str">
        <f aca="false">IF(OR(EF$4=0,EF40=""),"",IFERROR(ROUND(EF40/INDEX(Undirviðmið!$F$6:$F$205,EF$4)*INDEX(Undirviðmið!$E$6:$E$205,EF$4)*KVARDI,2),""))</f>
        <v/>
      </c>
      <c r="EH40" s="23"/>
      <c r="EI40" s="40" t="str">
        <f aca="false">IF(OR(EH$4=0,EH40=""),"",IFERROR(ROUND(EH40/INDEX(Undirviðmið!$F$6:$F$205,EH$4)*INDEX(Undirviðmið!$E$6:$E$205,EH$4)*KVARDI,2),""))</f>
        <v/>
      </c>
      <c r="EJ40" s="23"/>
      <c r="EK40" s="40" t="str">
        <f aca="false">IF(OR(EJ$4=0,EJ40=""),"",IFERROR(ROUND(EJ40/INDEX(Undirviðmið!$F$6:$F$205,EJ$4)*INDEX(Undirviðmið!$E$6:$E$205,EJ$4)*KVARDI,2),""))</f>
        <v/>
      </c>
      <c r="EL40" s="23"/>
      <c r="EM40" s="40" t="str">
        <f aca="false">IF(OR(EL$4=0,EL40=""),"",IFERROR(ROUND(EL40/INDEX(Undirviðmið!$F$6:$F$205,EL$4)*INDEX(Undirviðmið!$E$6:$E$205,EL$4)*KVARDI,2),""))</f>
        <v/>
      </c>
      <c r="EN40" s="23"/>
      <c r="EO40" s="40" t="str">
        <f aca="false">IF(OR(EN$4=0,EN40=""),"",IFERROR(ROUND(EN40/INDEX(Undirviðmið!$F$6:$F$205,EN$4)*INDEX(Undirviðmið!$E$6:$E$205,EN$4)*KVARDI,2),""))</f>
        <v/>
      </c>
      <c r="EP40" s="23"/>
      <c r="EQ40" s="40" t="str">
        <f aca="false">IF(OR(EP$4=0,EP40=""),"",IFERROR(ROUND(EP40/INDEX(Undirviðmið!$F$6:$F$205,EP$4)*INDEX(Undirviðmið!$E$6:$E$205,EP$4)*KVARDI,2),""))</f>
        <v/>
      </c>
      <c r="ER40" s="23"/>
      <c r="ES40" s="40" t="str">
        <f aca="false">IF(OR(ER$4=0,ER40=""),"",IFERROR(ROUND(ER40/INDEX(Undirviðmið!$F$6:$F$205,ER$4)*INDEX(Undirviðmið!$E$6:$E$205,ER$4)*KVARDI,2),""))</f>
        <v/>
      </c>
      <c r="ET40" s="23"/>
      <c r="EU40" s="40" t="str">
        <f aca="false">IF(OR(ET$4=0,ET40=""),"",IFERROR(ROUND(ET40/INDEX(Undirviðmið!$F$6:$F$205,ET$4)*INDEX(Undirviðmið!$E$6:$E$205,ET$4)*KVARDI,2),""))</f>
        <v/>
      </c>
      <c r="EV40" s="23"/>
      <c r="EW40" s="40" t="str">
        <f aca="false">IF(OR(EV$4=0,EV40=""),"",IFERROR(ROUND(EV40/INDEX(Undirviðmið!$F$6:$F$205,EV$4)*INDEX(Undirviðmið!$E$6:$E$205,EV$4)*KVARDI,2),""))</f>
        <v/>
      </c>
      <c r="EX40" s="23"/>
      <c r="EY40" s="40" t="str">
        <f aca="false">IF(OR(EX$4=0,EX40=""),"",IFERROR(ROUND(EX40/INDEX(Undirviðmið!$F$6:$F$205,EX$4)*INDEX(Undirviðmið!$E$6:$E$205,EX$4)*KVARDI,2),""))</f>
        <v/>
      </c>
      <c r="EZ40" s="23"/>
      <c r="FA40" s="40" t="str">
        <f aca="false">IF(OR(EZ$4=0,EZ40=""),"",IFERROR(ROUND(EZ40/INDEX(Undirviðmið!$F$6:$F$205,EZ$4)*INDEX(Undirviðmið!$E$6:$E$205,EZ$4)*KVARDI,2),""))</f>
        <v/>
      </c>
      <c r="FB40" s="23"/>
      <c r="FC40" s="40" t="str">
        <f aca="false">IF(OR(FB$4=0,FB40=""),"",IFERROR(ROUND(FB40/INDEX(Undirviðmið!$F$6:$F$205,FB$4)*INDEX(Undirviðmið!$E$6:$E$205,FB$4)*KVARDI,2),""))</f>
        <v/>
      </c>
      <c r="FD40" s="23"/>
      <c r="FE40" s="40" t="str">
        <f aca="false">IF(OR(FD$4=0,FD40=""),"",IFERROR(ROUND(FD40/INDEX(Undirviðmið!$F$6:$F$205,FD$4)*INDEX(Undirviðmið!$E$6:$E$205,FD$4)*KVARDI,2),""))</f>
        <v/>
      </c>
      <c r="FF40" s="23"/>
      <c r="FG40" s="40" t="str">
        <f aca="false">IF(OR(FF$4=0,FF40=""),"",IFERROR(ROUND(FF40/INDEX(Undirviðmið!$F$6:$F$205,FF$4)*INDEX(Undirviðmið!$E$6:$E$205,FF$4)*KVARDI,2),""))</f>
        <v/>
      </c>
      <c r="FH40" s="23"/>
      <c r="FI40" s="40" t="str">
        <f aca="false">IF(OR(FH$4=0,FH40=""),"",IFERROR(ROUND(FH40/INDEX(Undirviðmið!$F$6:$F$205,FH$4)*INDEX(Undirviðmið!$E$6:$E$205,FH$4)*KVARDI,2),""))</f>
        <v/>
      </c>
      <c r="FJ40" s="23"/>
      <c r="FK40" s="40" t="str">
        <f aca="false">IF(OR(FJ$4=0,FJ40=""),"",IFERROR(ROUND(FJ40/INDEX(Undirviðmið!$F$6:$F$205,FJ$4)*INDEX(Undirviðmið!$E$6:$E$205,FJ$4)*KVARDI,2),""))</f>
        <v/>
      </c>
      <c r="FL40" s="23"/>
      <c r="FM40" s="40" t="str">
        <f aca="false">IF(OR(FL$4=0,FL40=""),"",IFERROR(ROUND(FL40/INDEX(Undirviðmið!$F$6:$F$205,FL$4)*INDEX(Undirviðmið!$E$6:$E$205,FL$4)*KVARDI,2),""))</f>
        <v/>
      </c>
      <c r="FN40" s="23"/>
      <c r="FO40" s="40" t="str">
        <f aca="false">IF(OR(FN$4=0,FN40=""),"",IFERROR(ROUND(FN40/INDEX(Undirviðmið!$F$6:$F$205,FN$4)*INDEX(Undirviðmið!$E$6:$E$205,FN$4)*KVARDI,2),""))</f>
        <v/>
      </c>
      <c r="FP40" s="23"/>
      <c r="FQ40" s="40" t="str">
        <f aca="false">IF(OR(FP$4=0,FP40=""),"",IFERROR(ROUND(FP40/INDEX(Undirviðmið!$F$6:$F$205,FP$4)*INDEX(Undirviðmið!$E$6:$E$205,FP$4)*KVARDI,2),""))</f>
        <v/>
      </c>
      <c r="FR40" s="23"/>
      <c r="FS40" s="40" t="str">
        <f aca="false">IF(OR(FR$4=0,FR40=""),"",IFERROR(ROUND(FR40/INDEX(Undirviðmið!$F$6:$F$205,FR$4)*INDEX(Undirviðmið!$E$6:$E$205,FR$4)*KVARDI,2),""))</f>
        <v/>
      </c>
      <c r="FT40" s="23"/>
      <c r="FU40" s="40" t="str">
        <f aca="false">IF(OR(FT$4=0,FT40=""),"",IFERROR(ROUND(FT40/INDEX(Undirviðmið!$F$6:$F$205,FT$4)*INDEX(Undirviðmið!$E$6:$E$205,FT$4)*KVARDI,2),""))</f>
        <v/>
      </c>
      <c r="FV40" s="23"/>
      <c r="FW40" s="40" t="str">
        <f aca="false">IF(OR(FV$4=0,FV40=""),"",IFERROR(ROUND(FV40/INDEX(Undirviðmið!$F$6:$F$205,FV$4)*INDEX(Undirviðmið!$E$6:$E$205,FV$4)*KVARDI,2),""))</f>
        <v/>
      </c>
      <c r="FX40" s="23"/>
      <c r="FY40" s="40" t="str">
        <f aca="false">IF(OR(FX$4=0,FX40=""),"",IFERROR(ROUND(FX40/INDEX(Undirviðmið!$F$6:$F$205,FX$4)*INDEX(Undirviðmið!$E$6:$E$205,FX$4)*KVARDI,2),""))</f>
        <v/>
      </c>
      <c r="FZ40" s="23"/>
      <c r="GA40" s="40" t="str">
        <f aca="false">IF(OR(FZ$4=0,FZ40=""),"",IFERROR(ROUND(FZ40/INDEX(Undirviðmið!$F$6:$F$205,FZ$4)*INDEX(Undirviðmið!$E$6:$E$205,FZ$4)*KVARDI,2),""))</f>
        <v/>
      </c>
      <c r="GB40" s="23"/>
      <c r="GC40" s="40" t="str">
        <f aca="false">IF(OR(GB$4=0,GB40=""),"",IFERROR(ROUND(GB40/INDEX(Undirviðmið!$F$6:$F$205,GB$4)*INDEX(Undirviðmið!$E$6:$E$205,GB$4)*KVARDI,2),""))</f>
        <v/>
      </c>
      <c r="GD40" s="23"/>
      <c r="GE40" s="40" t="str">
        <f aca="false">IF(OR(GD$4=0,GD40=""),"",IFERROR(ROUND(GD40/INDEX(Undirviðmið!$F$6:$F$205,GD$4)*INDEX(Undirviðmið!$E$6:$E$205,GD$4)*KVARDI,2),""))</f>
        <v/>
      </c>
      <c r="GF40" s="23"/>
      <c r="GG40" s="40" t="str">
        <f aca="false">IF(OR(GF$4=0,GF40=""),"",IFERROR(ROUND(GF40/INDEX(Undirviðmið!$F$6:$F$205,GF$4)*INDEX(Undirviðmið!$E$6:$E$205,GF$4)*KVARDI,2),""))</f>
        <v/>
      </c>
      <c r="GH40" s="23"/>
      <c r="GI40" s="40" t="str">
        <f aca="false">IF(OR(GH$4=0,GH40=""),"",IFERROR(ROUND(GH40/INDEX(Undirviðmið!$F$6:$F$205,GH$4)*INDEX(Undirviðmið!$E$6:$E$205,GH$4)*KVARDI,2),""))</f>
        <v/>
      </c>
      <c r="GJ40" s="23"/>
      <c r="GK40" s="40" t="str">
        <f aca="false">IF(OR(GJ$4=0,GJ40=""),"",IFERROR(ROUND(GJ40/INDEX(Undirviðmið!$F$6:$F$205,GJ$4)*INDEX(Undirviðmið!$E$6:$E$205,GJ$4)*KVARDI,2),""))</f>
        <v/>
      </c>
      <c r="GL40" s="23"/>
      <c r="GM40" s="40" t="str">
        <f aca="false">IF(OR(GL$4=0,GL40=""),"",IFERROR(ROUND(GL40/INDEX(Undirviðmið!$F$6:$F$205,GL$4)*INDEX(Undirviðmið!$E$6:$E$205,GL$4)*KVARDI,2),""))</f>
        <v/>
      </c>
      <c r="GN40" s="23"/>
      <c r="GO40" s="40" t="str">
        <f aca="false">IF(OR(GN$4=0,GN40=""),"",IFERROR(ROUND(GN40/INDEX(Undirviðmið!$F$6:$F$205,GN$4)*INDEX(Undirviðmið!$E$6:$E$205,GN$4)*KVARDI,2),""))</f>
        <v/>
      </c>
      <c r="GP40" s="23"/>
      <c r="GQ40" s="40" t="str">
        <f aca="false">IF(OR(GP$4=0,GP40=""),"",IFERROR(ROUND(GP40/INDEX(Undirviðmið!$F$6:$F$205,GP$4)*INDEX(Undirviðmið!$E$6:$E$205,GP$4)*KVARDI,2),""))</f>
        <v/>
      </c>
      <c r="GR40" s="23"/>
      <c r="GS40" s="40" t="str">
        <f aca="false">IF(OR(GR$4=0,GR40=""),"",IFERROR(ROUND(GR40/INDEX(Undirviðmið!$F$6:$F$205,GR$4)*INDEX(Undirviðmið!$E$6:$E$205,GR$4)*KVARDI,2),""))</f>
        <v/>
      </c>
      <c r="GT40" s="23"/>
      <c r="GU40" s="40" t="str">
        <f aca="false">IF(OR(GT$4=0,GT40=""),"",IFERROR(ROUND(GT40/INDEX(Undirviðmið!$F$6:$F$205,GT$4)*INDEX(Undirviðmið!$E$6:$E$205,GT$4)*KVARDI,2),""))</f>
        <v/>
      </c>
      <c r="GV40" s="44" t="n">
        <f aca="false">IFERROR(SUMIF($D$6:GU$6,"Stig",$D40:GU40),0)</f>
        <v>0</v>
      </c>
    </row>
    <row r="41" customFormat="false" ht="15" hidden="false" customHeight="true" outlineLevel="0" collapsed="false">
      <c r="A41" s="22" t="n">
        <f aca="false">ROW()-6</f>
        <v>35</v>
      </c>
      <c r="B41" s="24" t="str">
        <f aca="false">IF(INDEX(Starfsmenn!$B$6:$B$10005,ROW()-6)="","",INDEX(Starfsmenn!$B$6:$B$10005,ROW()-6))</f>
        <v/>
      </c>
      <c r="C41" s="24" t="str">
        <f aca="false">IF(INDEX(Starfsmenn!$C$6:$C$10005,ROW()-6)="","",INDEX(Starfsmenn!$C$6:$C$10005,ROW()-6))</f>
        <v/>
      </c>
      <c r="D41" s="23"/>
      <c r="E41" s="40" t="str">
        <f aca="false">IF(OR(D$4=0,D41=""),"",IFERROR(ROUND(D41/INDEX(Undirviðmið!$F$6:$F$205,D$4)*INDEX(Undirviðmið!$E$6:$E$205,D$4)*KVARDI,2),""))</f>
        <v/>
      </c>
      <c r="F41" s="23"/>
      <c r="G41" s="40" t="str">
        <f aca="false">IF(OR(F$4=0,F41=""),"",IFERROR(ROUND(F41/INDEX(Undirviðmið!$F$6:$F$205,F$4)*INDEX(Undirviðmið!$E$6:$E$205,F$4)*KVARDI,2),""))</f>
        <v/>
      </c>
      <c r="H41" s="23"/>
      <c r="I41" s="40" t="str">
        <f aca="false">IF(OR(H$4=0,H41=""),"",IFERROR(ROUND(H41/INDEX(Undirviðmið!$F$6:$F$205,H$4)*INDEX(Undirviðmið!$E$6:$E$205,H$4)*KVARDI,2),""))</f>
        <v/>
      </c>
      <c r="J41" s="23"/>
      <c r="K41" s="40" t="str">
        <f aca="false">IF(OR(J$4=0,J41=""),"",IFERROR(ROUND(J41/INDEX(Undirviðmið!$F$6:$F$205,J$4)*INDEX(Undirviðmið!$E$6:$E$205,J$4)*KVARDI,2),""))</f>
        <v/>
      </c>
      <c r="L41" s="23"/>
      <c r="M41" s="40" t="str">
        <f aca="false">IF(OR(L$4=0,L41=""),"",IFERROR(ROUND(L41/INDEX(Undirviðmið!$F$6:$F$205,L$4)*INDEX(Undirviðmið!$E$6:$E$205,L$4)*KVARDI,2),""))</f>
        <v/>
      </c>
      <c r="N41" s="23"/>
      <c r="O41" s="40" t="str">
        <f aca="false">IF(OR(N$4=0,N41=""),"",IFERROR(ROUND(N41/INDEX(Undirviðmið!$F$6:$F$205,N$4)*INDEX(Undirviðmið!$E$6:$E$205,N$4)*KVARDI,2),""))</f>
        <v/>
      </c>
      <c r="P41" s="23"/>
      <c r="Q41" s="40" t="str">
        <f aca="false">IF(OR(P$4=0,P41=""),"",IFERROR(ROUND(P41/INDEX(Undirviðmið!$F$6:$F$205,P$4)*INDEX(Undirviðmið!$E$6:$E$205,P$4)*KVARDI,2),""))</f>
        <v/>
      </c>
      <c r="R41" s="23"/>
      <c r="S41" s="40" t="str">
        <f aca="false">IF(OR(R$4=0,R41=""),"",IFERROR(ROUND(R41/INDEX(Undirviðmið!$F$6:$F$205,R$4)*INDEX(Undirviðmið!$E$6:$E$205,R$4)*KVARDI,2),""))</f>
        <v/>
      </c>
      <c r="T41" s="23"/>
      <c r="U41" s="40" t="str">
        <f aca="false">IF(OR(T$4=0,T41=""),"",IFERROR(ROUND(T41/INDEX(Undirviðmið!$F$6:$F$205,T$4)*INDEX(Undirviðmið!$E$6:$E$205,T$4)*KVARDI,2),""))</f>
        <v/>
      </c>
      <c r="V41" s="23"/>
      <c r="W41" s="40" t="str">
        <f aca="false">IF(OR(V$4=0,V41=""),"",IFERROR(ROUND(V41/INDEX(Undirviðmið!$F$6:$F$205,V$4)*INDEX(Undirviðmið!$E$6:$E$205,V$4)*KVARDI,2),""))</f>
        <v/>
      </c>
      <c r="X41" s="23"/>
      <c r="Y41" s="40" t="str">
        <f aca="false">IF(OR(X$4=0,X41=""),"",IFERROR(ROUND(X41/INDEX(Undirviðmið!$F$6:$F$205,X$4)*INDEX(Undirviðmið!$E$6:$E$205,X$4)*KVARDI,2),""))</f>
        <v/>
      </c>
      <c r="Z41" s="23"/>
      <c r="AA41" s="40" t="str">
        <f aca="false">IF(OR(Z$4=0,Z41=""),"",IFERROR(ROUND(Z41/INDEX(Undirviðmið!$F$6:$F$205,Z$4)*INDEX(Undirviðmið!$E$6:$E$205,Z$4)*KVARDI,2),""))</f>
        <v/>
      </c>
      <c r="AB41" s="23"/>
      <c r="AC41" s="40" t="str">
        <f aca="false">IF(OR(AB$4=0,AB41=""),"",IFERROR(ROUND(AB41/INDEX(Undirviðmið!$F$6:$F$205,AB$4)*INDEX(Undirviðmið!$E$6:$E$205,AB$4)*KVARDI,2),""))</f>
        <v/>
      </c>
      <c r="AD41" s="23"/>
      <c r="AE41" s="40" t="str">
        <f aca="false">IF(OR(AD$4=0,AD41=""),"",IFERROR(ROUND(AD41/INDEX(Undirviðmið!$F$6:$F$205,AD$4)*INDEX(Undirviðmið!$E$6:$E$205,AD$4)*KVARDI,2),""))</f>
        <v/>
      </c>
      <c r="AF41" s="23"/>
      <c r="AG41" s="40" t="str">
        <f aca="false">IF(OR(AF$4=0,AF41=""),"",IFERROR(ROUND(AF41/INDEX(Undirviðmið!$F$6:$F$205,AF$4)*INDEX(Undirviðmið!$E$6:$E$205,AF$4)*KVARDI,2),""))</f>
        <v/>
      </c>
      <c r="AH41" s="23"/>
      <c r="AI41" s="40" t="str">
        <f aca="false">IF(OR(AH$4=0,AH41=""),"",IFERROR(ROUND(AH41/INDEX(Undirviðmið!$F$6:$F$205,AH$4)*INDEX(Undirviðmið!$E$6:$E$205,AH$4)*KVARDI,2),""))</f>
        <v/>
      </c>
      <c r="AJ41" s="23"/>
      <c r="AK41" s="40" t="str">
        <f aca="false">IF(OR(AJ$4=0,AJ41=""),"",IFERROR(ROUND(AJ41/INDEX(Undirviðmið!$F$6:$F$205,AJ$4)*INDEX(Undirviðmið!$E$6:$E$205,AJ$4)*KVARDI,2),""))</f>
        <v/>
      </c>
      <c r="AL41" s="23"/>
      <c r="AM41" s="40" t="str">
        <f aca="false">IF(OR(AL$4=0,AL41=""),"",IFERROR(ROUND(AL41/INDEX(Undirviðmið!$F$6:$F$205,AL$4)*INDEX(Undirviðmið!$E$6:$E$205,AL$4)*KVARDI,2),""))</f>
        <v/>
      </c>
      <c r="AN41" s="23"/>
      <c r="AO41" s="40" t="str">
        <f aca="false">IF(OR(AN$4=0,AN41=""),"",IFERROR(ROUND(AN41/INDEX(Undirviðmið!$F$6:$F$205,AN$4)*INDEX(Undirviðmið!$E$6:$E$205,AN$4)*KVARDI,2),""))</f>
        <v/>
      </c>
      <c r="AP41" s="23"/>
      <c r="AQ41" s="40" t="str">
        <f aca="false">IF(OR(AP$4=0,AP41=""),"",IFERROR(ROUND(AP41/INDEX(Undirviðmið!$F$6:$F$205,AP$4)*INDEX(Undirviðmið!$E$6:$E$205,AP$4)*KVARDI,2),""))</f>
        <v/>
      </c>
      <c r="AR41" s="23"/>
      <c r="AS41" s="40" t="str">
        <f aca="false">IF(OR(AR$4=0,AR41=""),"",IFERROR(ROUND(AR41/INDEX(Undirviðmið!$F$6:$F$205,AR$4)*INDEX(Undirviðmið!$E$6:$E$205,AR$4)*KVARDI,2),""))</f>
        <v/>
      </c>
      <c r="AT41" s="23"/>
      <c r="AU41" s="40" t="str">
        <f aca="false">IF(OR(AT$4=0,AT41=""),"",IFERROR(ROUND(AT41/INDEX(Undirviðmið!$F$6:$F$205,AT$4)*INDEX(Undirviðmið!$E$6:$E$205,AT$4)*KVARDI,2),""))</f>
        <v/>
      </c>
      <c r="AV41" s="23"/>
      <c r="AW41" s="40" t="str">
        <f aca="false">IF(OR(AV$4=0,AV41=""),"",IFERROR(ROUND(AV41/INDEX(Undirviðmið!$F$6:$F$205,AV$4)*INDEX(Undirviðmið!$E$6:$E$205,AV$4)*KVARDI,2),""))</f>
        <v/>
      </c>
      <c r="AX41" s="23"/>
      <c r="AY41" s="40" t="str">
        <f aca="false">IF(OR(AX$4=0,AX41=""),"",IFERROR(ROUND(AX41/INDEX(Undirviðmið!$F$6:$F$205,AX$4)*INDEX(Undirviðmið!$E$6:$E$205,AX$4)*KVARDI,2),""))</f>
        <v/>
      </c>
      <c r="AZ41" s="23"/>
      <c r="BA41" s="40" t="str">
        <f aca="false">IF(OR(AZ$4=0,AZ41=""),"",IFERROR(ROUND(AZ41/INDEX(Undirviðmið!$F$6:$F$205,AZ$4)*INDEX(Undirviðmið!$E$6:$E$205,AZ$4)*KVARDI,2),""))</f>
        <v/>
      </c>
      <c r="BB41" s="23"/>
      <c r="BC41" s="40" t="str">
        <f aca="false">IF(OR(BB$4=0,BB41=""),"",IFERROR(ROUND(BB41/INDEX(Undirviðmið!$F$6:$F$205,BB$4)*INDEX(Undirviðmið!$E$6:$E$205,BB$4)*KVARDI,2),""))</f>
        <v/>
      </c>
      <c r="BD41" s="23"/>
      <c r="BE41" s="40" t="str">
        <f aca="false">IF(OR(BD$4=0,BD41=""),"",IFERROR(ROUND(BD41/INDEX(Undirviðmið!$F$6:$F$205,BD$4)*INDEX(Undirviðmið!$E$6:$E$205,BD$4)*KVARDI,2),""))</f>
        <v/>
      </c>
      <c r="BF41" s="23"/>
      <c r="BG41" s="40" t="str">
        <f aca="false">IF(OR(BF$4=0,BF41=""),"",IFERROR(ROUND(BF41/INDEX(Undirviðmið!$F$6:$F$205,BF$4)*INDEX(Undirviðmið!$E$6:$E$205,BF$4)*KVARDI,2),""))</f>
        <v/>
      </c>
      <c r="BH41" s="23"/>
      <c r="BI41" s="40" t="str">
        <f aca="false">IF(OR(BH$4=0,BH41=""),"",IFERROR(ROUND(BH41/INDEX(Undirviðmið!$F$6:$F$205,BH$4)*INDEX(Undirviðmið!$E$6:$E$205,BH$4)*KVARDI,2),""))</f>
        <v/>
      </c>
      <c r="BJ41" s="23"/>
      <c r="BK41" s="40" t="str">
        <f aca="false">IF(OR(BJ$4=0,BJ41=""),"",IFERROR(ROUND(BJ41/INDEX(Undirviðmið!$F$6:$F$205,BJ$4)*INDEX(Undirviðmið!$E$6:$E$205,BJ$4)*KVARDI,2),""))</f>
        <v/>
      </c>
      <c r="BL41" s="23"/>
      <c r="BM41" s="40" t="str">
        <f aca="false">IF(OR(BL$4=0,BL41=""),"",IFERROR(ROUND(BL41/INDEX(Undirviðmið!$F$6:$F$205,BL$4)*INDEX(Undirviðmið!$E$6:$E$205,BL$4)*KVARDI,2),""))</f>
        <v/>
      </c>
      <c r="BN41" s="23"/>
      <c r="BO41" s="40" t="str">
        <f aca="false">IF(OR(BN$4=0,BN41=""),"",IFERROR(ROUND(BN41/INDEX(Undirviðmið!$F$6:$F$205,BN$4)*INDEX(Undirviðmið!$E$6:$E$205,BN$4)*KVARDI,2),""))</f>
        <v/>
      </c>
      <c r="BP41" s="23"/>
      <c r="BQ41" s="40" t="str">
        <f aca="false">IF(OR(BP$4=0,BP41=""),"",IFERROR(ROUND(BP41/INDEX(Undirviðmið!$F$6:$F$205,BP$4)*INDEX(Undirviðmið!$E$6:$E$205,BP$4)*KVARDI,2),""))</f>
        <v/>
      </c>
      <c r="BR41" s="23"/>
      <c r="BS41" s="40" t="str">
        <f aca="false">IF(OR(BR$4=0,BR41=""),"",IFERROR(ROUND(BR41/INDEX(Undirviðmið!$F$6:$F$205,BR$4)*INDEX(Undirviðmið!$E$6:$E$205,BR$4)*KVARDI,2),""))</f>
        <v/>
      </c>
      <c r="BT41" s="23"/>
      <c r="BU41" s="40" t="str">
        <f aca="false">IF(OR(BT$4=0,BT41=""),"",IFERROR(ROUND(BT41/INDEX(Undirviðmið!$F$6:$F$205,BT$4)*INDEX(Undirviðmið!$E$6:$E$205,BT$4)*KVARDI,2),""))</f>
        <v/>
      </c>
      <c r="BV41" s="23"/>
      <c r="BW41" s="40" t="str">
        <f aca="false">IF(OR(BV$4=0,BV41=""),"",IFERROR(ROUND(BV41/INDEX(Undirviðmið!$F$6:$F$205,BV$4)*INDEX(Undirviðmið!$E$6:$E$205,BV$4)*KVARDI,2),""))</f>
        <v/>
      </c>
      <c r="BX41" s="23"/>
      <c r="BY41" s="40" t="str">
        <f aca="false">IF(OR(BX$4=0,BX41=""),"",IFERROR(ROUND(BX41/INDEX(Undirviðmið!$F$6:$F$205,BX$4)*INDEX(Undirviðmið!$E$6:$E$205,BX$4)*KVARDI,2),""))</f>
        <v/>
      </c>
      <c r="BZ41" s="23"/>
      <c r="CA41" s="40" t="str">
        <f aca="false">IF(OR(BZ$4=0,BZ41=""),"",IFERROR(ROUND(BZ41/INDEX(Undirviðmið!$F$6:$F$205,BZ$4)*INDEX(Undirviðmið!$E$6:$E$205,BZ$4)*KVARDI,2),""))</f>
        <v/>
      </c>
      <c r="CB41" s="23"/>
      <c r="CC41" s="40" t="str">
        <f aca="false">IF(OR(CB$4=0,CB41=""),"",IFERROR(ROUND(CB41/INDEX(Undirviðmið!$F$6:$F$205,CB$4)*INDEX(Undirviðmið!$E$6:$E$205,CB$4)*KVARDI,2),""))</f>
        <v/>
      </c>
      <c r="CD41" s="23"/>
      <c r="CE41" s="40" t="str">
        <f aca="false">IF(OR(CD$4=0,CD41=""),"",IFERROR(ROUND(CD41/INDEX(Undirviðmið!$F$6:$F$205,CD$4)*INDEX(Undirviðmið!$E$6:$E$205,CD$4)*KVARDI,2),""))</f>
        <v/>
      </c>
      <c r="CF41" s="23"/>
      <c r="CG41" s="40" t="str">
        <f aca="false">IF(OR(CF$4=0,CF41=""),"",IFERROR(ROUND(CF41/INDEX(Undirviðmið!$F$6:$F$205,CF$4)*INDEX(Undirviðmið!$E$6:$E$205,CF$4)*KVARDI,2),""))</f>
        <v/>
      </c>
      <c r="CH41" s="23"/>
      <c r="CI41" s="40" t="str">
        <f aca="false">IF(OR(CH$4=0,CH41=""),"",IFERROR(ROUND(CH41/INDEX(Undirviðmið!$F$6:$F$205,CH$4)*INDEX(Undirviðmið!$E$6:$E$205,CH$4)*KVARDI,2),""))</f>
        <v/>
      </c>
      <c r="CJ41" s="23"/>
      <c r="CK41" s="40" t="str">
        <f aca="false">IF(OR(CJ$4=0,CJ41=""),"",IFERROR(ROUND(CJ41/INDEX(Undirviðmið!$F$6:$F$205,CJ$4)*INDEX(Undirviðmið!$E$6:$E$205,CJ$4)*KVARDI,2),""))</f>
        <v/>
      </c>
      <c r="CL41" s="23"/>
      <c r="CM41" s="40" t="str">
        <f aca="false">IF(OR(CL$4=0,CL41=""),"",IFERROR(ROUND(CL41/INDEX(Undirviðmið!$F$6:$F$205,CL$4)*INDEX(Undirviðmið!$E$6:$E$205,CL$4)*KVARDI,2),""))</f>
        <v/>
      </c>
      <c r="CN41" s="23"/>
      <c r="CO41" s="40" t="str">
        <f aca="false">IF(OR(CN$4=0,CN41=""),"",IFERROR(ROUND(CN41/INDEX(Undirviðmið!$F$6:$F$205,CN$4)*INDEX(Undirviðmið!$E$6:$E$205,CN$4)*KVARDI,2),""))</f>
        <v/>
      </c>
      <c r="CP41" s="23"/>
      <c r="CQ41" s="40" t="str">
        <f aca="false">IF(OR(CP$4=0,CP41=""),"",IFERROR(ROUND(CP41/INDEX(Undirviðmið!$F$6:$F$205,CP$4)*INDEX(Undirviðmið!$E$6:$E$205,CP$4)*KVARDI,2),""))</f>
        <v/>
      </c>
      <c r="CR41" s="23"/>
      <c r="CS41" s="40" t="str">
        <f aca="false">IF(OR(CR$4=0,CR41=""),"",IFERROR(ROUND(CR41/INDEX(Undirviðmið!$F$6:$F$205,CR$4)*INDEX(Undirviðmið!$E$6:$E$205,CR$4)*KVARDI,2),""))</f>
        <v/>
      </c>
      <c r="CT41" s="23"/>
      <c r="CU41" s="40" t="str">
        <f aca="false">IF(OR(CT$4=0,CT41=""),"",IFERROR(ROUND(CT41/INDEX(Undirviðmið!$F$6:$F$205,CT$4)*INDEX(Undirviðmið!$E$6:$E$205,CT$4)*KVARDI,2),""))</f>
        <v/>
      </c>
      <c r="CV41" s="23"/>
      <c r="CW41" s="40" t="str">
        <f aca="false">IF(OR(CV$4=0,CV41=""),"",IFERROR(ROUND(CV41/INDEX(Undirviðmið!$F$6:$F$205,CV$4)*INDEX(Undirviðmið!$E$6:$E$205,CV$4)*KVARDI,2),""))</f>
        <v/>
      </c>
      <c r="CX41" s="23"/>
      <c r="CY41" s="40" t="str">
        <f aca="false">IF(OR(CX$4=0,CX41=""),"",IFERROR(ROUND(CX41/INDEX(Undirviðmið!$F$6:$F$205,CX$4)*INDEX(Undirviðmið!$E$6:$E$205,CX$4)*KVARDI,2),""))</f>
        <v/>
      </c>
      <c r="CZ41" s="23"/>
      <c r="DA41" s="40" t="str">
        <f aca="false">IF(OR(CZ$4=0,CZ41=""),"",IFERROR(ROUND(CZ41/INDEX(Undirviðmið!$F$6:$F$205,CZ$4)*INDEX(Undirviðmið!$E$6:$E$205,CZ$4)*KVARDI,2),""))</f>
        <v/>
      </c>
      <c r="DB41" s="23"/>
      <c r="DC41" s="40" t="str">
        <f aca="false">IF(OR(DB$4=0,DB41=""),"",IFERROR(ROUND(DB41/INDEX(Undirviðmið!$F$6:$F$205,DB$4)*INDEX(Undirviðmið!$E$6:$E$205,DB$4)*KVARDI,2),""))</f>
        <v/>
      </c>
      <c r="DD41" s="23"/>
      <c r="DE41" s="40" t="str">
        <f aca="false">IF(OR(DD$4=0,DD41=""),"",IFERROR(ROUND(DD41/INDEX(Undirviðmið!$F$6:$F$205,DD$4)*INDEX(Undirviðmið!$E$6:$E$205,DD$4)*KVARDI,2),""))</f>
        <v/>
      </c>
      <c r="DF41" s="23"/>
      <c r="DG41" s="40" t="str">
        <f aca="false">IF(OR(DF$4=0,DF41=""),"",IFERROR(ROUND(DF41/INDEX(Undirviðmið!$F$6:$F$205,DF$4)*INDEX(Undirviðmið!$E$6:$E$205,DF$4)*KVARDI,2),""))</f>
        <v/>
      </c>
      <c r="DH41" s="23"/>
      <c r="DI41" s="40" t="str">
        <f aca="false">IF(OR(DH$4=0,DH41=""),"",IFERROR(ROUND(DH41/INDEX(Undirviðmið!$F$6:$F$205,DH$4)*INDEX(Undirviðmið!$E$6:$E$205,DH$4)*KVARDI,2),""))</f>
        <v/>
      </c>
      <c r="DJ41" s="23"/>
      <c r="DK41" s="40" t="str">
        <f aca="false">IF(OR(DJ$4=0,DJ41=""),"",IFERROR(ROUND(DJ41/INDEX(Undirviðmið!$F$6:$F$205,DJ$4)*INDEX(Undirviðmið!$E$6:$E$205,DJ$4)*KVARDI,2),""))</f>
        <v/>
      </c>
      <c r="DL41" s="23"/>
      <c r="DM41" s="40" t="str">
        <f aca="false">IF(OR(DL$4=0,DL41=""),"",IFERROR(ROUND(DL41/INDEX(Undirviðmið!$F$6:$F$205,DL$4)*INDEX(Undirviðmið!$E$6:$E$205,DL$4)*KVARDI,2),""))</f>
        <v/>
      </c>
      <c r="DN41" s="23"/>
      <c r="DO41" s="40" t="str">
        <f aca="false">IF(OR(DN$4=0,DN41=""),"",IFERROR(ROUND(DN41/INDEX(Undirviðmið!$F$6:$F$205,DN$4)*INDEX(Undirviðmið!$E$6:$E$205,DN$4)*KVARDI,2),""))</f>
        <v/>
      </c>
      <c r="DP41" s="23"/>
      <c r="DQ41" s="40" t="str">
        <f aca="false">IF(OR(DP$4=0,DP41=""),"",IFERROR(ROUND(DP41/INDEX(Undirviðmið!$F$6:$F$205,DP$4)*INDEX(Undirviðmið!$E$6:$E$205,DP$4)*KVARDI,2),""))</f>
        <v/>
      </c>
      <c r="DR41" s="23"/>
      <c r="DS41" s="40" t="str">
        <f aca="false">IF(OR(DR$4=0,DR41=""),"",IFERROR(ROUND(DR41/INDEX(Undirviðmið!$F$6:$F$205,DR$4)*INDEX(Undirviðmið!$E$6:$E$205,DR$4)*KVARDI,2),""))</f>
        <v/>
      </c>
      <c r="DT41" s="23"/>
      <c r="DU41" s="40" t="str">
        <f aca="false">IF(OR(DT$4=0,DT41=""),"",IFERROR(ROUND(DT41/INDEX(Undirviðmið!$F$6:$F$205,DT$4)*INDEX(Undirviðmið!$E$6:$E$205,DT$4)*KVARDI,2),""))</f>
        <v/>
      </c>
      <c r="DV41" s="23"/>
      <c r="DW41" s="40" t="str">
        <f aca="false">IF(OR(DV$4=0,DV41=""),"",IFERROR(ROUND(DV41/INDEX(Undirviðmið!$F$6:$F$205,DV$4)*INDEX(Undirviðmið!$E$6:$E$205,DV$4)*KVARDI,2),""))</f>
        <v/>
      </c>
      <c r="DX41" s="23"/>
      <c r="DY41" s="40" t="str">
        <f aca="false">IF(OR(DX$4=0,DX41=""),"",IFERROR(ROUND(DX41/INDEX(Undirviðmið!$F$6:$F$205,DX$4)*INDEX(Undirviðmið!$E$6:$E$205,DX$4)*KVARDI,2),""))</f>
        <v/>
      </c>
      <c r="DZ41" s="23"/>
      <c r="EA41" s="40" t="str">
        <f aca="false">IF(OR(DZ$4=0,DZ41=""),"",IFERROR(ROUND(DZ41/INDEX(Undirviðmið!$F$6:$F$205,DZ$4)*INDEX(Undirviðmið!$E$6:$E$205,DZ$4)*KVARDI,2),""))</f>
        <v/>
      </c>
      <c r="EB41" s="23"/>
      <c r="EC41" s="40" t="str">
        <f aca="false">IF(OR(EB$4=0,EB41=""),"",IFERROR(ROUND(EB41/INDEX(Undirviðmið!$F$6:$F$205,EB$4)*INDEX(Undirviðmið!$E$6:$E$205,EB$4)*KVARDI,2),""))</f>
        <v/>
      </c>
      <c r="ED41" s="23"/>
      <c r="EE41" s="40" t="str">
        <f aca="false">IF(OR(ED$4=0,ED41=""),"",IFERROR(ROUND(ED41/INDEX(Undirviðmið!$F$6:$F$205,ED$4)*INDEX(Undirviðmið!$E$6:$E$205,ED$4)*KVARDI,2),""))</f>
        <v/>
      </c>
      <c r="EF41" s="23"/>
      <c r="EG41" s="40" t="str">
        <f aca="false">IF(OR(EF$4=0,EF41=""),"",IFERROR(ROUND(EF41/INDEX(Undirviðmið!$F$6:$F$205,EF$4)*INDEX(Undirviðmið!$E$6:$E$205,EF$4)*KVARDI,2),""))</f>
        <v/>
      </c>
      <c r="EH41" s="23"/>
      <c r="EI41" s="40" t="str">
        <f aca="false">IF(OR(EH$4=0,EH41=""),"",IFERROR(ROUND(EH41/INDEX(Undirviðmið!$F$6:$F$205,EH$4)*INDEX(Undirviðmið!$E$6:$E$205,EH$4)*KVARDI,2),""))</f>
        <v/>
      </c>
      <c r="EJ41" s="23"/>
      <c r="EK41" s="40" t="str">
        <f aca="false">IF(OR(EJ$4=0,EJ41=""),"",IFERROR(ROUND(EJ41/INDEX(Undirviðmið!$F$6:$F$205,EJ$4)*INDEX(Undirviðmið!$E$6:$E$205,EJ$4)*KVARDI,2),""))</f>
        <v/>
      </c>
      <c r="EL41" s="23"/>
      <c r="EM41" s="40" t="str">
        <f aca="false">IF(OR(EL$4=0,EL41=""),"",IFERROR(ROUND(EL41/INDEX(Undirviðmið!$F$6:$F$205,EL$4)*INDEX(Undirviðmið!$E$6:$E$205,EL$4)*KVARDI,2),""))</f>
        <v/>
      </c>
      <c r="EN41" s="23"/>
      <c r="EO41" s="40" t="str">
        <f aca="false">IF(OR(EN$4=0,EN41=""),"",IFERROR(ROUND(EN41/INDEX(Undirviðmið!$F$6:$F$205,EN$4)*INDEX(Undirviðmið!$E$6:$E$205,EN$4)*KVARDI,2),""))</f>
        <v/>
      </c>
      <c r="EP41" s="23"/>
      <c r="EQ41" s="40" t="str">
        <f aca="false">IF(OR(EP$4=0,EP41=""),"",IFERROR(ROUND(EP41/INDEX(Undirviðmið!$F$6:$F$205,EP$4)*INDEX(Undirviðmið!$E$6:$E$205,EP$4)*KVARDI,2),""))</f>
        <v/>
      </c>
      <c r="ER41" s="23"/>
      <c r="ES41" s="40" t="str">
        <f aca="false">IF(OR(ER$4=0,ER41=""),"",IFERROR(ROUND(ER41/INDEX(Undirviðmið!$F$6:$F$205,ER$4)*INDEX(Undirviðmið!$E$6:$E$205,ER$4)*KVARDI,2),""))</f>
        <v/>
      </c>
      <c r="ET41" s="23"/>
      <c r="EU41" s="40" t="str">
        <f aca="false">IF(OR(ET$4=0,ET41=""),"",IFERROR(ROUND(ET41/INDEX(Undirviðmið!$F$6:$F$205,ET$4)*INDEX(Undirviðmið!$E$6:$E$205,ET$4)*KVARDI,2),""))</f>
        <v/>
      </c>
      <c r="EV41" s="23"/>
      <c r="EW41" s="40" t="str">
        <f aca="false">IF(OR(EV$4=0,EV41=""),"",IFERROR(ROUND(EV41/INDEX(Undirviðmið!$F$6:$F$205,EV$4)*INDEX(Undirviðmið!$E$6:$E$205,EV$4)*KVARDI,2),""))</f>
        <v/>
      </c>
      <c r="EX41" s="23"/>
      <c r="EY41" s="40" t="str">
        <f aca="false">IF(OR(EX$4=0,EX41=""),"",IFERROR(ROUND(EX41/INDEX(Undirviðmið!$F$6:$F$205,EX$4)*INDEX(Undirviðmið!$E$6:$E$205,EX$4)*KVARDI,2),""))</f>
        <v/>
      </c>
      <c r="EZ41" s="23"/>
      <c r="FA41" s="40" t="str">
        <f aca="false">IF(OR(EZ$4=0,EZ41=""),"",IFERROR(ROUND(EZ41/INDEX(Undirviðmið!$F$6:$F$205,EZ$4)*INDEX(Undirviðmið!$E$6:$E$205,EZ$4)*KVARDI,2),""))</f>
        <v/>
      </c>
      <c r="FB41" s="23"/>
      <c r="FC41" s="40" t="str">
        <f aca="false">IF(OR(FB$4=0,FB41=""),"",IFERROR(ROUND(FB41/INDEX(Undirviðmið!$F$6:$F$205,FB$4)*INDEX(Undirviðmið!$E$6:$E$205,FB$4)*KVARDI,2),""))</f>
        <v/>
      </c>
      <c r="FD41" s="23"/>
      <c r="FE41" s="40" t="str">
        <f aca="false">IF(OR(FD$4=0,FD41=""),"",IFERROR(ROUND(FD41/INDEX(Undirviðmið!$F$6:$F$205,FD$4)*INDEX(Undirviðmið!$E$6:$E$205,FD$4)*KVARDI,2),""))</f>
        <v/>
      </c>
      <c r="FF41" s="23"/>
      <c r="FG41" s="40" t="str">
        <f aca="false">IF(OR(FF$4=0,FF41=""),"",IFERROR(ROUND(FF41/INDEX(Undirviðmið!$F$6:$F$205,FF$4)*INDEX(Undirviðmið!$E$6:$E$205,FF$4)*KVARDI,2),""))</f>
        <v/>
      </c>
      <c r="FH41" s="23"/>
      <c r="FI41" s="40" t="str">
        <f aca="false">IF(OR(FH$4=0,FH41=""),"",IFERROR(ROUND(FH41/INDEX(Undirviðmið!$F$6:$F$205,FH$4)*INDEX(Undirviðmið!$E$6:$E$205,FH$4)*KVARDI,2),""))</f>
        <v/>
      </c>
      <c r="FJ41" s="23"/>
      <c r="FK41" s="40" t="str">
        <f aca="false">IF(OR(FJ$4=0,FJ41=""),"",IFERROR(ROUND(FJ41/INDEX(Undirviðmið!$F$6:$F$205,FJ$4)*INDEX(Undirviðmið!$E$6:$E$205,FJ$4)*KVARDI,2),""))</f>
        <v/>
      </c>
      <c r="FL41" s="23"/>
      <c r="FM41" s="40" t="str">
        <f aca="false">IF(OR(FL$4=0,FL41=""),"",IFERROR(ROUND(FL41/INDEX(Undirviðmið!$F$6:$F$205,FL$4)*INDEX(Undirviðmið!$E$6:$E$205,FL$4)*KVARDI,2),""))</f>
        <v/>
      </c>
      <c r="FN41" s="23"/>
      <c r="FO41" s="40" t="str">
        <f aca="false">IF(OR(FN$4=0,FN41=""),"",IFERROR(ROUND(FN41/INDEX(Undirviðmið!$F$6:$F$205,FN$4)*INDEX(Undirviðmið!$E$6:$E$205,FN$4)*KVARDI,2),""))</f>
        <v/>
      </c>
      <c r="FP41" s="23"/>
      <c r="FQ41" s="40" t="str">
        <f aca="false">IF(OR(FP$4=0,FP41=""),"",IFERROR(ROUND(FP41/INDEX(Undirviðmið!$F$6:$F$205,FP$4)*INDEX(Undirviðmið!$E$6:$E$205,FP$4)*KVARDI,2),""))</f>
        <v/>
      </c>
      <c r="FR41" s="23"/>
      <c r="FS41" s="40" t="str">
        <f aca="false">IF(OR(FR$4=0,FR41=""),"",IFERROR(ROUND(FR41/INDEX(Undirviðmið!$F$6:$F$205,FR$4)*INDEX(Undirviðmið!$E$6:$E$205,FR$4)*KVARDI,2),""))</f>
        <v/>
      </c>
      <c r="FT41" s="23"/>
      <c r="FU41" s="40" t="str">
        <f aca="false">IF(OR(FT$4=0,FT41=""),"",IFERROR(ROUND(FT41/INDEX(Undirviðmið!$F$6:$F$205,FT$4)*INDEX(Undirviðmið!$E$6:$E$205,FT$4)*KVARDI,2),""))</f>
        <v/>
      </c>
      <c r="FV41" s="23"/>
      <c r="FW41" s="40" t="str">
        <f aca="false">IF(OR(FV$4=0,FV41=""),"",IFERROR(ROUND(FV41/INDEX(Undirviðmið!$F$6:$F$205,FV$4)*INDEX(Undirviðmið!$E$6:$E$205,FV$4)*KVARDI,2),""))</f>
        <v/>
      </c>
      <c r="FX41" s="23"/>
      <c r="FY41" s="40" t="str">
        <f aca="false">IF(OR(FX$4=0,FX41=""),"",IFERROR(ROUND(FX41/INDEX(Undirviðmið!$F$6:$F$205,FX$4)*INDEX(Undirviðmið!$E$6:$E$205,FX$4)*KVARDI,2),""))</f>
        <v/>
      </c>
      <c r="FZ41" s="23"/>
      <c r="GA41" s="40" t="str">
        <f aca="false">IF(OR(FZ$4=0,FZ41=""),"",IFERROR(ROUND(FZ41/INDEX(Undirviðmið!$F$6:$F$205,FZ$4)*INDEX(Undirviðmið!$E$6:$E$205,FZ$4)*KVARDI,2),""))</f>
        <v/>
      </c>
      <c r="GB41" s="23"/>
      <c r="GC41" s="40" t="str">
        <f aca="false">IF(OR(GB$4=0,GB41=""),"",IFERROR(ROUND(GB41/INDEX(Undirviðmið!$F$6:$F$205,GB$4)*INDEX(Undirviðmið!$E$6:$E$205,GB$4)*KVARDI,2),""))</f>
        <v/>
      </c>
      <c r="GD41" s="23"/>
      <c r="GE41" s="40" t="str">
        <f aca="false">IF(OR(GD$4=0,GD41=""),"",IFERROR(ROUND(GD41/INDEX(Undirviðmið!$F$6:$F$205,GD$4)*INDEX(Undirviðmið!$E$6:$E$205,GD$4)*KVARDI,2),""))</f>
        <v/>
      </c>
      <c r="GF41" s="23"/>
      <c r="GG41" s="40" t="str">
        <f aca="false">IF(OR(GF$4=0,GF41=""),"",IFERROR(ROUND(GF41/INDEX(Undirviðmið!$F$6:$F$205,GF$4)*INDEX(Undirviðmið!$E$6:$E$205,GF$4)*KVARDI,2),""))</f>
        <v/>
      </c>
      <c r="GH41" s="23"/>
      <c r="GI41" s="40" t="str">
        <f aca="false">IF(OR(GH$4=0,GH41=""),"",IFERROR(ROUND(GH41/INDEX(Undirviðmið!$F$6:$F$205,GH$4)*INDEX(Undirviðmið!$E$6:$E$205,GH$4)*KVARDI,2),""))</f>
        <v/>
      </c>
      <c r="GJ41" s="23"/>
      <c r="GK41" s="40" t="str">
        <f aca="false">IF(OR(GJ$4=0,GJ41=""),"",IFERROR(ROUND(GJ41/INDEX(Undirviðmið!$F$6:$F$205,GJ$4)*INDEX(Undirviðmið!$E$6:$E$205,GJ$4)*KVARDI,2),""))</f>
        <v/>
      </c>
      <c r="GL41" s="23"/>
      <c r="GM41" s="40" t="str">
        <f aca="false">IF(OR(GL$4=0,GL41=""),"",IFERROR(ROUND(GL41/INDEX(Undirviðmið!$F$6:$F$205,GL$4)*INDEX(Undirviðmið!$E$6:$E$205,GL$4)*KVARDI,2),""))</f>
        <v/>
      </c>
      <c r="GN41" s="23"/>
      <c r="GO41" s="40" t="str">
        <f aca="false">IF(OR(GN$4=0,GN41=""),"",IFERROR(ROUND(GN41/INDEX(Undirviðmið!$F$6:$F$205,GN$4)*INDEX(Undirviðmið!$E$6:$E$205,GN$4)*KVARDI,2),""))</f>
        <v/>
      </c>
      <c r="GP41" s="23"/>
      <c r="GQ41" s="40" t="str">
        <f aca="false">IF(OR(GP$4=0,GP41=""),"",IFERROR(ROUND(GP41/INDEX(Undirviðmið!$F$6:$F$205,GP$4)*INDEX(Undirviðmið!$E$6:$E$205,GP$4)*KVARDI,2),""))</f>
        <v/>
      </c>
      <c r="GR41" s="23"/>
      <c r="GS41" s="40" t="str">
        <f aca="false">IF(OR(GR$4=0,GR41=""),"",IFERROR(ROUND(GR41/INDEX(Undirviðmið!$F$6:$F$205,GR$4)*INDEX(Undirviðmið!$E$6:$E$205,GR$4)*KVARDI,2),""))</f>
        <v/>
      </c>
      <c r="GT41" s="23"/>
      <c r="GU41" s="40" t="str">
        <f aca="false">IF(OR(GT$4=0,GT41=""),"",IFERROR(ROUND(GT41/INDEX(Undirviðmið!$F$6:$F$205,GT$4)*INDEX(Undirviðmið!$E$6:$E$205,GT$4)*KVARDI,2),""))</f>
        <v/>
      </c>
      <c r="GV41" s="44" t="n">
        <f aca="false">IFERROR(SUMIF($D$6:GU$6,"Stig",$D41:GU41),0)</f>
        <v>0</v>
      </c>
    </row>
    <row r="42" customFormat="false" ht="15" hidden="false" customHeight="true" outlineLevel="0" collapsed="false">
      <c r="A42" s="22" t="n">
        <f aca="false">ROW()-6</f>
        <v>36</v>
      </c>
      <c r="B42" s="24" t="str">
        <f aca="false">IF(INDEX(Starfsmenn!$B$6:$B$10005,ROW()-6)="","",INDEX(Starfsmenn!$B$6:$B$10005,ROW()-6))</f>
        <v/>
      </c>
      <c r="C42" s="24" t="str">
        <f aca="false">IF(INDEX(Starfsmenn!$C$6:$C$10005,ROW()-6)="","",INDEX(Starfsmenn!$C$6:$C$10005,ROW()-6))</f>
        <v/>
      </c>
      <c r="D42" s="23"/>
      <c r="E42" s="40" t="str">
        <f aca="false">IF(OR(D$4=0,D42=""),"",IFERROR(ROUND(D42/INDEX(Undirviðmið!$F$6:$F$205,D$4)*INDEX(Undirviðmið!$E$6:$E$205,D$4)*KVARDI,2),""))</f>
        <v/>
      </c>
      <c r="F42" s="23"/>
      <c r="G42" s="40" t="str">
        <f aca="false">IF(OR(F$4=0,F42=""),"",IFERROR(ROUND(F42/INDEX(Undirviðmið!$F$6:$F$205,F$4)*INDEX(Undirviðmið!$E$6:$E$205,F$4)*KVARDI,2),""))</f>
        <v/>
      </c>
      <c r="H42" s="23"/>
      <c r="I42" s="40" t="str">
        <f aca="false">IF(OR(H$4=0,H42=""),"",IFERROR(ROUND(H42/INDEX(Undirviðmið!$F$6:$F$205,H$4)*INDEX(Undirviðmið!$E$6:$E$205,H$4)*KVARDI,2),""))</f>
        <v/>
      </c>
      <c r="J42" s="23"/>
      <c r="K42" s="40" t="str">
        <f aca="false">IF(OR(J$4=0,J42=""),"",IFERROR(ROUND(J42/INDEX(Undirviðmið!$F$6:$F$205,J$4)*INDEX(Undirviðmið!$E$6:$E$205,J$4)*KVARDI,2),""))</f>
        <v/>
      </c>
      <c r="L42" s="23"/>
      <c r="M42" s="40" t="str">
        <f aca="false">IF(OR(L$4=0,L42=""),"",IFERROR(ROUND(L42/INDEX(Undirviðmið!$F$6:$F$205,L$4)*INDEX(Undirviðmið!$E$6:$E$205,L$4)*KVARDI,2),""))</f>
        <v/>
      </c>
      <c r="N42" s="23"/>
      <c r="O42" s="40" t="str">
        <f aca="false">IF(OR(N$4=0,N42=""),"",IFERROR(ROUND(N42/INDEX(Undirviðmið!$F$6:$F$205,N$4)*INDEX(Undirviðmið!$E$6:$E$205,N$4)*KVARDI,2),""))</f>
        <v/>
      </c>
      <c r="P42" s="23"/>
      <c r="Q42" s="40" t="str">
        <f aca="false">IF(OR(P$4=0,P42=""),"",IFERROR(ROUND(P42/INDEX(Undirviðmið!$F$6:$F$205,P$4)*INDEX(Undirviðmið!$E$6:$E$205,P$4)*KVARDI,2),""))</f>
        <v/>
      </c>
      <c r="R42" s="23"/>
      <c r="S42" s="40" t="str">
        <f aca="false">IF(OR(R$4=0,R42=""),"",IFERROR(ROUND(R42/INDEX(Undirviðmið!$F$6:$F$205,R$4)*INDEX(Undirviðmið!$E$6:$E$205,R$4)*KVARDI,2),""))</f>
        <v/>
      </c>
      <c r="T42" s="23"/>
      <c r="U42" s="40" t="str">
        <f aca="false">IF(OR(T$4=0,T42=""),"",IFERROR(ROUND(T42/INDEX(Undirviðmið!$F$6:$F$205,T$4)*INDEX(Undirviðmið!$E$6:$E$205,T$4)*KVARDI,2),""))</f>
        <v/>
      </c>
      <c r="V42" s="23"/>
      <c r="W42" s="40" t="str">
        <f aca="false">IF(OR(V$4=0,V42=""),"",IFERROR(ROUND(V42/INDEX(Undirviðmið!$F$6:$F$205,V$4)*INDEX(Undirviðmið!$E$6:$E$205,V$4)*KVARDI,2),""))</f>
        <v/>
      </c>
      <c r="X42" s="23"/>
      <c r="Y42" s="40" t="str">
        <f aca="false">IF(OR(X$4=0,X42=""),"",IFERROR(ROUND(X42/INDEX(Undirviðmið!$F$6:$F$205,X$4)*INDEX(Undirviðmið!$E$6:$E$205,X$4)*KVARDI,2),""))</f>
        <v/>
      </c>
      <c r="Z42" s="23"/>
      <c r="AA42" s="40" t="str">
        <f aca="false">IF(OR(Z$4=0,Z42=""),"",IFERROR(ROUND(Z42/INDEX(Undirviðmið!$F$6:$F$205,Z$4)*INDEX(Undirviðmið!$E$6:$E$205,Z$4)*KVARDI,2),""))</f>
        <v/>
      </c>
      <c r="AB42" s="23"/>
      <c r="AC42" s="40" t="str">
        <f aca="false">IF(OR(AB$4=0,AB42=""),"",IFERROR(ROUND(AB42/INDEX(Undirviðmið!$F$6:$F$205,AB$4)*INDEX(Undirviðmið!$E$6:$E$205,AB$4)*KVARDI,2),""))</f>
        <v/>
      </c>
      <c r="AD42" s="23"/>
      <c r="AE42" s="40" t="str">
        <f aca="false">IF(OR(AD$4=0,AD42=""),"",IFERROR(ROUND(AD42/INDEX(Undirviðmið!$F$6:$F$205,AD$4)*INDEX(Undirviðmið!$E$6:$E$205,AD$4)*KVARDI,2),""))</f>
        <v/>
      </c>
      <c r="AF42" s="23"/>
      <c r="AG42" s="40" t="str">
        <f aca="false">IF(OR(AF$4=0,AF42=""),"",IFERROR(ROUND(AF42/INDEX(Undirviðmið!$F$6:$F$205,AF$4)*INDEX(Undirviðmið!$E$6:$E$205,AF$4)*KVARDI,2),""))</f>
        <v/>
      </c>
      <c r="AH42" s="23"/>
      <c r="AI42" s="40" t="str">
        <f aca="false">IF(OR(AH$4=0,AH42=""),"",IFERROR(ROUND(AH42/INDEX(Undirviðmið!$F$6:$F$205,AH$4)*INDEX(Undirviðmið!$E$6:$E$205,AH$4)*KVARDI,2),""))</f>
        <v/>
      </c>
      <c r="AJ42" s="23"/>
      <c r="AK42" s="40" t="str">
        <f aca="false">IF(OR(AJ$4=0,AJ42=""),"",IFERROR(ROUND(AJ42/INDEX(Undirviðmið!$F$6:$F$205,AJ$4)*INDEX(Undirviðmið!$E$6:$E$205,AJ$4)*KVARDI,2),""))</f>
        <v/>
      </c>
      <c r="AL42" s="23"/>
      <c r="AM42" s="40" t="str">
        <f aca="false">IF(OR(AL$4=0,AL42=""),"",IFERROR(ROUND(AL42/INDEX(Undirviðmið!$F$6:$F$205,AL$4)*INDEX(Undirviðmið!$E$6:$E$205,AL$4)*KVARDI,2),""))</f>
        <v/>
      </c>
      <c r="AN42" s="23"/>
      <c r="AO42" s="40" t="str">
        <f aca="false">IF(OR(AN$4=0,AN42=""),"",IFERROR(ROUND(AN42/INDEX(Undirviðmið!$F$6:$F$205,AN$4)*INDEX(Undirviðmið!$E$6:$E$205,AN$4)*KVARDI,2),""))</f>
        <v/>
      </c>
      <c r="AP42" s="23"/>
      <c r="AQ42" s="40" t="str">
        <f aca="false">IF(OR(AP$4=0,AP42=""),"",IFERROR(ROUND(AP42/INDEX(Undirviðmið!$F$6:$F$205,AP$4)*INDEX(Undirviðmið!$E$6:$E$205,AP$4)*KVARDI,2),""))</f>
        <v/>
      </c>
      <c r="AR42" s="23"/>
      <c r="AS42" s="40" t="str">
        <f aca="false">IF(OR(AR$4=0,AR42=""),"",IFERROR(ROUND(AR42/INDEX(Undirviðmið!$F$6:$F$205,AR$4)*INDEX(Undirviðmið!$E$6:$E$205,AR$4)*KVARDI,2),""))</f>
        <v/>
      </c>
      <c r="AT42" s="23"/>
      <c r="AU42" s="40" t="str">
        <f aca="false">IF(OR(AT$4=0,AT42=""),"",IFERROR(ROUND(AT42/INDEX(Undirviðmið!$F$6:$F$205,AT$4)*INDEX(Undirviðmið!$E$6:$E$205,AT$4)*KVARDI,2),""))</f>
        <v/>
      </c>
      <c r="AV42" s="23"/>
      <c r="AW42" s="40" t="str">
        <f aca="false">IF(OR(AV$4=0,AV42=""),"",IFERROR(ROUND(AV42/INDEX(Undirviðmið!$F$6:$F$205,AV$4)*INDEX(Undirviðmið!$E$6:$E$205,AV$4)*KVARDI,2),""))</f>
        <v/>
      </c>
      <c r="AX42" s="23"/>
      <c r="AY42" s="40" t="str">
        <f aca="false">IF(OR(AX$4=0,AX42=""),"",IFERROR(ROUND(AX42/INDEX(Undirviðmið!$F$6:$F$205,AX$4)*INDEX(Undirviðmið!$E$6:$E$205,AX$4)*KVARDI,2),""))</f>
        <v/>
      </c>
      <c r="AZ42" s="23"/>
      <c r="BA42" s="40" t="str">
        <f aca="false">IF(OR(AZ$4=0,AZ42=""),"",IFERROR(ROUND(AZ42/INDEX(Undirviðmið!$F$6:$F$205,AZ$4)*INDEX(Undirviðmið!$E$6:$E$205,AZ$4)*KVARDI,2),""))</f>
        <v/>
      </c>
      <c r="BB42" s="23"/>
      <c r="BC42" s="40" t="str">
        <f aca="false">IF(OR(BB$4=0,BB42=""),"",IFERROR(ROUND(BB42/INDEX(Undirviðmið!$F$6:$F$205,BB$4)*INDEX(Undirviðmið!$E$6:$E$205,BB$4)*KVARDI,2),""))</f>
        <v/>
      </c>
      <c r="BD42" s="23"/>
      <c r="BE42" s="40" t="str">
        <f aca="false">IF(OR(BD$4=0,BD42=""),"",IFERROR(ROUND(BD42/INDEX(Undirviðmið!$F$6:$F$205,BD$4)*INDEX(Undirviðmið!$E$6:$E$205,BD$4)*KVARDI,2),""))</f>
        <v/>
      </c>
      <c r="BF42" s="23"/>
      <c r="BG42" s="40" t="str">
        <f aca="false">IF(OR(BF$4=0,BF42=""),"",IFERROR(ROUND(BF42/INDEX(Undirviðmið!$F$6:$F$205,BF$4)*INDEX(Undirviðmið!$E$6:$E$205,BF$4)*KVARDI,2),""))</f>
        <v/>
      </c>
      <c r="BH42" s="23"/>
      <c r="BI42" s="40" t="str">
        <f aca="false">IF(OR(BH$4=0,BH42=""),"",IFERROR(ROUND(BH42/INDEX(Undirviðmið!$F$6:$F$205,BH$4)*INDEX(Undirviðmið!$E$6:$E$205,BH$4)*KVARDI,2),""))</f>
        <v/>
      </c>
      <c r="BJ42" s="23"/>
      <c r="BK42" s="40" t="str">
        <f aca="false">IF(OR(BJ$4=0,BJ42=""),"",IFERROR(ROUND(BJ42/INDEX(Undirviðmið!$F$6:$F$205,BJ$4)*INDEX(Undirviðmið!$E$6:$E$205,BJ$4)*KVARDI,2),""))</f>
        <v/>
      </c>
      <c r="BL42" s="23"/>
      <c r="BM42" s="40" t="str">
        <f aca="false">IF(OR(BL$4=0,BL42=""),"",IFERROR(ROUND(BL42/INDEX(Undirviðmið!$F$6:$F$205,BL$4)*INDEX(Undirviðmið!$E$6:$E$205,BL$4)*KVARDI,2),""))</f>
        <v/>
      </c>
      <c r="BN42" s="23"/>
      <c r="BO42" s="40" t="str">
        <f aca="false">IF(OR(BN$4=0,BN42=""),"",IFERROR(ROUND(BN42/INDEX(Undirviðmið!$F$6:$F$205,BN$4)*INDEX(Undirviðmið!$E$6:$E$205,BN$4)*KVARDI,2),""))</f>
        <v/>
      </c>
      <c r="BP42" s="23"/>
      <c r="BQ42" s="40" t="str">
        <f aca="false">IF(OR(BP$4=0,BP42=""),"",IFERROR(ROUND(BP42/INDEX(Undirviðmið!$F$6:$F$205,BP$4)*INDEX(Undirviðmið!$E$6:$E$205,BP$4)*KVARDI,2),""))</f>
        <v/>
      </c>
      <c r="BR42" s="23"/>
      <c r="BS42" s="40" t="str">
        <f aca="false">IF(OR(BR$4=0,BR42=""),"",IFERROR(ROUND(BR42/INDEX(Undirviðmið!$F$6:$F$205,BR$4)*INDEX(Undirviðmið!$E$6:$E$205,BR$4)*KVARDI,2),""))</f>
        <v/>
      </c>
      <c r="BT42" s="23"/>
      <c r="BU42" s="40" t="str">
        <f aca="false">IF(OR(BT$4=0,BT42=""),"",IFERROR(ROUND(BT42/INDEX(Undirviðmið!$F$6:$F$205,BT$4)*INDEX(Undirviðmið!$E$6:$E$205,BT$4)*KVARDI,2),""))</f>
        <v/>
      </c>
      <c r="BV42" s="23"/>
      <c r="BW42" s="40" t="str">
        <f aca="false">IF(OR(BV$4=0,BV42=""),"",IFERROR(ROUND(BV42/INDEX(Undirviðmið!$F$6:$F$205,BV$4)*INDEX(Undirviðmið!$E$6:$E$205,BV$4)*KVARDI,2),""))</f>
        <v/>
      </c>
      <c r="BX42" s="23"/>
      <c r="BY42" s="40" t="str">
        <f aca="false">IF(OR(BX$4=0,BX42=""),"",IFERROR(ROUND(BX42/INDEX(Undirviðmið!$F$6:$F$205,BX$4)*INDEX(Undirviðmið!$E$6:$E$205,BX$4)*KVARDI,2),""))</f>
        <v/>
      </c>
      <c r="BZ42" s="23"/>
      <c r="CA42" s="40" t="str">
        <f aca="false">IF(OR(BZ$4=0,BZ42=""),"",IFERROR(ROUND(BZ42/INDEX(Undirviðmið!$F$6:$F$205,BZ$4)*INDEX(Undirviðmið!$E$6:$E$205,BZ$4)*KVARDI,2),""))</f>
        <v/>
      </c>
      <c r="CB42" s="23"/>
      <c r="CC42" s="40" t="str">
        <f aca="false">IF(OR(CB$4=0,CB42=""),"",IFERROR(ROUND(CB42/INDEX(Undirviðmið!$F$6:$F$205,CB$4)*INDEX(Undirviðmið!$E$6:$E$205,CB$4)*KVARDI,2),""))</f>
        <v/>
      </c>
      <c r="CD42" s="23"/>
      <c r="CE42" s="40" t="str">
        <f aca="false">IF(OR(CD$4=0,CD42=""),"",IFERROR(ROUND(CD42/INDEX(Undirviðmið!$F$6:$F$205,CD$4)*INDEX(Undirviðmið!$E$6:$E$205,CD$4)*KVARDI,2),""))</f>
        <v/>
      </c>
      <c r="CF42" s="23"/>
      <c r="CG42" s="40" t="str">
        <f aca="false">IF(OR(CF$4=0,CF42=""),"",IFERROR(ROUND(CF42/INDEX(Undirviðmið!$F$6:$F$205,CF$4)*INDEX(Undirviðmið!$E$6:$E$205,CF$4)*KVARDI,2),""))</f>
        <v/>
      </c>
      <c r="CH42" s="23"/>
      <c r="CI42" s="40" t="str">
        <f aca="false">IF(OR(CH$4=0,CH42=""),"",IFERROR(ROUND(CH42/INDEX(Undirviðmið!$F$6:$F$205,CH$4)*INDEX(Undirviðmið!$E$6:$E$205,CH$4)*KVARDI,2),""))</f>
        <v/>
      </c>
      <c r="CJ42" s="23"/>
      <c r="CK42" s="40" t="str">
        <f aca="false">IF(OR(CJ$4=0,CJ42=""),"",IFERROR(ROUND(CJ42/INDEX(Undirviðmið!$F$6:$F$205,CJ$4)*INDEX(Undirviðmið!$E$6:$E$205,CJ$4)*KVARDI,2),""))</f>
        <v/>
      </c>
      <c r="CL42" s="23"/>
      <c r="CM42" s="40" t="str">
        <f aca="false">IF(OR(CL$4=0,CL42=""),"",IFERROR(ROUND(CL42/INDEX(Undirviðmið!$F$6:$F$205,CL$4)*INDEX(Undirviðmið!$E$6:$E$205,CL$4)*KVARDI,2),""))</f>
        <v/>
      </c>
      <c r="CN42" s="23"/>
      <c r="CO42" s="40" t="str">
        <f aca="false">IF(OR(CN$4=0,CN42=""),"",IFERROR(ROUND(CN42/INDEX(Undirviðmið!$F$6:$F$205,CN$4)*INDEX(Undirviðmið!$E$6:$E$205,CN$4)*KVARDI,2),""))</f>
        <v/>
      </c>
      <c r="CP42" s="23"/>
      <c r="CQ42" s="40" t="str">
        <f aca="false">IF(OR(CP$4=0,CP42=""),"",IFERROR(ROUND(CP42/INDEX(Undirviðmið!$F$6:$F$205,CP$4)*INDEX(Undirviðmið!$E$6:$E$205,CP$4)*KVARDI,2),""))</f>
        <v/>
      </c>
      <c r="CR42" s="23"/>
      <c r="CS42" s="40" t="str">
        <f aca="false">IF(OR(CR$4=0,CR42=""),"",IFERROR(ROUND(CR42/INDEX(Undirviðmið!$F$6:$F$205,CR$4)*INDEX(Undirviðmið!$E$6:$E$205,CR$4)*KVARDI,2),""))</f>
        <v/>
      </c>
      <c r="CT42" s="23"/>
      <c r="CU42" s="40" t="str">
        <f aca="false">IF(OR(CT$4=0,CT42=""),"",IFERROR(ROUND(CT42/INDEX(Undirviðmið!$F$6:$F$205,CT$4)*INDEX(Undirviðmið!$E$6:$E$205,CT$4)*KVARDI,2),""))</f>
        <v/>
      </c>
      <c r="CV42" s="23"/>
      <c r="CW42" s="40" t="str">
        <f aca="false">IF(OR(CV$4=0,CV42=""),"",IFERROR(ROUND(CV42/INDEX(Undirviðmið!$F$6:$F$205,CV$4)*INDEX(Undirviðmið!$E$6:$E$205,CV$4)*KVARDI,2),""))</f>
        <v/>
      </c>
      <c r="CX42" s="23"/>
      <c r="CY42" s="40" t="str">
        <f aca="false">IF(OR(CX$4=0,CX42=""),"",IFERROR(ROUND(CX42/INDEX(Undirviðmið!$F$6:$F$205,CX$4)*INDEX(Undirviðmið!$E$6:$E$205,CX$4)*KVARDI,2),""))</f>
        <v/>
      </c>
      <c r="CZ42" s="23"/>
      <c r="DA42" s="40" t="str">
        <f aca="false">IF(OR(CZ$4=0,CZ42=""),"",IFERROR(ROUND(CZ42/INDEX(Undirviðmið!$F$6:$F$205,CZ$4)*INDEX(Undirviðmið!$E$6:$E$205,CZ$4)*KVARDI,2),""))</f>
        <v/>
      </c>
      <c r="DB42" s="23"/>
      <c r="DC42" s="40" t="str">
        <f aca="false">IF(OR(DB$4=0,DB42=""),"",IFERROR(ROUND(DB42/INDEX(Undirviðmið!$F$6:$F$205,DB$4)*INDEX(Undirviðmið!$E$6:$E$205,DB$4)*KVARDI,2),""))</f>
        <v/>
      </c>
      <c r="DD42" s="23"/>
      <c r="DE42" s="40" t="str">
        <f aca="false">IF(OR(DD$4=0,DD42=""),"",IFERROR(ROUND(DD42/INDEX(Undirviðmið!$F$6:$F$205,DD$4)*INDEX(Undirviðmið!$E$6:$E$205,DD$4)*KVARDI,2),""))</f>
        <v/>
      </c>
      <c r="DF42" s="23"/>
      <c r="DG42" s="40" t="str">
        <f aca="false">IF(OR(DF$4=0,DF42=""),"",IFERROR(ROUND(DF42/INDEX(Undirviðmið!$F$6:$F$205,DF$4)*INDEX(Undirviðmið!$E$6:$E$205,DF$4)*KVARDI,2),""))</f>
        <v/>
      </c>
      <c r="DH42" s="23"/>
      <c r="DI42" s="40" t="str">
        <f aca="false">IF(OR(DH$4=0,DH42=""),"",IFERROR(ROUND(DH42/INDEX(Undirviðmið!$F$6:$F$205,DH$4)*INDEX(Undirviðmið!$E$6:$E$205,DH$4)*KVARDI,2),""))</f>
        <v/>
      </c>
      <c r="DJ42" s="23"/>
      <c r="DK42" s="40" t="str">
        <f aca="false">IF(OR(DJ$4=0,DJ42=""),"",IFERROR(ROUND(DJ42/INDEX(Undirviðmið!$F$6:$F$205,DJ$4)*INDEX(Undirviðmið!$E$6:$E$205,DJ$4)*KVARDI,2),""))</f>
        <v/>
      </c>
      <c r="DL42" s="23"/>
      <c r="DM42" s="40" t="str">
        <f aca="false">IF(OR(DL$4=0,DL42=""),"",IFERROR(ROUND(DL42/INDEX(Undirviðmið!$F$6:$F$205,DL$4)*INDEX(Undirviðmið!$E$6:$E$205,DL$4)*KVARDI,2),""))</f>
        <v/>
      </c>
      <c r="DN42" s="23"/>
      <c r="DO42" s="40" t="str">
        <f aca="false">IF(OR(DN$4=0,DN42=""),"",IFERROR(ROUND(DN42/INDEX(Undirviðmið!$F$6:$F$205,DN$4)*INDEX(Undirviðmið!$E$6:$E$205,DN$4)*KVARDI,2),""))</f>
        <v/>
      </c>
      <c r="DP42" s="23"/>
      <c r="DQ42" s="40" t="str">
        <f aca="false">IF(OR(DP$4=0,DP42=""),"",IFERROR(ROUND(DP42/INDEX(Undirviðmið!$F$6:$F$205,DP$4)*INDEX(Undirviðmið!$E$6:$E$205,DP$4)*KVARDI,2),""))</f>
        <v/>
      </c>
      <c r="DR42" s="23"/>
      <c r="DS42" s="40" t="str">
        <f aca="false">IF(OR(DR$4=0,DR42=""),"",IFERROR(ROUND(DR42/INDEX(Undirviðmið!$F$6:$F$205,DR$4)*INDEX(Undirviðmið!$E$6:$E$205,DR$4)*KVARDI,2),""))</f>
        <v/>
      </c>
      <c r="DT42" s="23"/>
      <c r="DU42" s="40" t="str">
        <f aca="false">IF(OR(DT$4=0,DT42=""),"",IFERROR(ROUND(DT42/INDEX(Undirviðmið!$F$6:$F$205,DT$4)*INDEX(Undirviðmið!$E$6:$E$205,DT$4)*KVARDI,2),""))</f>
        <v/>
      </c>
      <c r="DV42" s="23"/>
      <c r="DW42" s="40" t="str">
        <f aca="false">IF(OR(DV$4=0,DV42=""),"",IFERROR(ROUND(DV42/INDEX(Undirviðmið!$F$6:$F$205,DV$4)*INDEX(Undirviðmið!$E$6:$E$205,DV$4)*KVARDI,2),""))</f>
        <v/>
      </c>
      <c r="DX42" s="23"/>
      <c r="DY42" s="40" t="str">
        <f aca="false">IF(OR(DX$4=0,DX42=""),"",IFERROR(ROUND(DX42/INDEX(Undirviðmið!$F$6:$F$205,DX$4)*INDEX(Undirviðmið!$E$6:$E$205,DX$4)*KVARDI,2),""))</f>
        <v/>
      </c>
      <c r="DZ42" s="23"/>
      <c r="EA42" s="40" t="str">
        <f aca="false">IF(OR(DZ$4=0,DZ42=""),"",IFERROR(ROUND(DZ42/INDEX(Undirviðmið!$F$6:$F$205,DZ$4)*INDEX(Undirviðmið!$E$6:$E$205,DZ$4)*KVARDI,2),""))</f>
        <v/>
      </c>
      <c r="EB42" s="23"/>
      <c r="EC42" s="40" t="str">
        <f aca="false">IF(OR(EB$4=0,EB42=""),"",IFERROR(ROUND(EB42/INDEX(Undirviðmið!$F$6:$F$205,EB$4)*INDEX(Undirviðmið!$E$6:$E$205,EB$4)*KVARDI,2),""))</f>
        <v/>
      </c>
      <c r="ED42" s="23"/>
      <c r="EE42" s="40" t="str">
        <f aca="false">IF(OR(ED$4=0,ED42=""),"",IFERROR(ROUND(ED42/INDEX(Undirviðmið!$F$6:$F$205,ED$4)*INDEX(Undirviðmið!$E$6:$E$205,ED$4)*KVARDI,2),""))</f>
        <v/>
      </c>
      <c r="EF42" s="23"/>
      <c r="EG42" s="40" t="str">
        <f aca="false">IF(OR(EF$4=0,EF42=""),"",IFERROR(ROUND(EF42/INDEX(Undirviðmið!$F$6:$F$205,EF$4)*INDEX(Undirviðmið!$E$6:$E$205,EF$4)*KVARDI,2),""))</f>
        <v/>
      </c>
      <c r="EH42" s="23"/>
      <c r="EI42" s="40" t="str">
        <f aca="false">IF(OR(EH$4=0,EH42=""),"",IFERROR(ROUND(EH42/INDEX(Undirviðmið!$F$6:$F$205,EH$4)*INDEX(Undirviðmið!$E$6:$E$205,EH$4)*KVARDI,2),""))</f>
        <v/>
      </c>
      <c r="EJ42" s="23"/>
      <c r="EK42" s="40" t="str">
        <f aca="false">IF(OR(EJ$4=0,EJ42=""),"",IFERROR(ROUND(EJ42/INDEX(Undirviðmið!$F$6:$F$205,EJ$4)*INDEX(Undirviðmið!$E$6:$E$205,EJ$4)*KVARDI,2),""))</f>
        <v/>
      </c>
      <c r="EL42" s="23"/>
      <c r="EM42" s="40" t="str">
        <f aca="false">IF(OR(EL$4=0,EL42=""),"",IFERROR(ROUND(EL42/INDEX(Undirviðmið!$F$6:$F$205,EL$4)*INDEX(Undirviðmið!$E$6:$E$205,EL$4)*KVARDI,2),""))</f>
        <v/>
      </c>
      <c r="EN42" s="23"/>
      <c r="EO42" s="40" t="str">
        <f aca="false">IF(OR(EN$4=0,EN42=""),"",IFERROR(ROUND(EN42/INDEX(Undirviðmið!$F$6:$F$205,EN$4)*INDEX(Undirviðmið!$E$6:$E$205,EN$4)*KVARDI,2),""))</f>
        <v/>
      </c>
      <c r="EP42" s="23"/>
      <c r="EQ42" s="40" t="str">
        <f aca="false">IF(OR(EP$4=0,EP42=""),"",IFERROR(ROUND(EP42/INDEX(Undirviðmið!$F$6:$F$205,EP$4)*INDEX(Undirviðmið!$E$6:$E$205,EP$4)*KVARDI,2),""))</f>
        <v/>
      </c>
      <c r="ER42" s="23"/>
      <c r="ES42" s="40" t="str">
        <f aca="false">IF(OR(ER$4=0,ER42=""),"",IFERROR(ROUND(ER42/INDEX(Undirviðmið!$F$6:$F$205,ER$4)*INDEX(Undirviðmið!$E$6:$E$205,ER$4)*KVARDI,2),""))</f>
        <v/>
      </c>
      <c r="ET42" s="23"/>
      <c r="EU42" s="40" t="str">
        <f aca="false">IF(OR(ET$4=0,ET42=""),"",IFERROR(ROUND(ET42/INDEX(Undirviðmið!$F$6:$F$205,ET$4)*INDEX(Undirviðmið!$E$6:$E$205,ET$4)*KVARDI,2),""))</f>
        <v/>
      </c>
      <c r="EV42" s="23"/>
      <c r="EW42" s="40" t="str">
        <f aca="false">IF(OR(EV$4=0,EV42=""),"",IFERROR(ROUND(EV42/INDEX(Undirviðmið!$F$6:$F$205,EV$4)*INDEX(Undirviðmið!$E$6:$E$205,EV$4)*KVARDI,2),""))</f>
        <v/>
      </c>
      <c r="EX42" s="23"/>
      <c r="EY42" s="40" t="str">
        <f aca="false">IF(OR(EX$4=0,EX42=""),"",IFERROR(ROUND(EX42/INDEX(Undirviðmið!$F$6:$F$205,EX$4)*INDEX(Undirviðmið!$E$6:$E$205,EX$4)*KVARDI,2),""))</f>
        <v/>
      </c>
      <c r="EZ42" s="23"/>
      <c r="FA42" s="40" t="str">
        <f aca="false">IF(OR(EZ$4=0,EZ42=""),"",IFERROR(ROUND(EZ42/INDEX(Undirviðmið!$F$6:$F$205,EZ$4)*INDEX(Undirviðmið!$E$6:$E$205,EZ$4)*KVARDI,2),""))</f>
        <v/>
      </c>
      <c r="FB42" s="23"/>
      <c r="FC42" s="40" t="str">
        <f aca="false">IF(OR(FB$4=0,FB42=""),"",IFERROR(ROUND(FB42/INDEX(Undirviðmið!$F$6:$F$205,FB$4)*INDEX(Undirviðmið!$E$6:$E$205,FB$4)*KVARDI,2),""))</f>
        <v/>
      </c>
      <c r="FD42" s="23"/>
      <c r="FE42" s="40" t="str">
        <f aca="false">IF(OR(FD$4=0,FD42=""),"",IFERROR(ROUND(FD42/INDEX(Undirviðmið!$F$6:$F$205,FD$4)*INDEX(Undirviðmið!$E$6:$E$205,FD$4)*KVARDI,2),""))</f>
        <v/>
      </c>
      <c r="FF42" s="23"/>
      <c r="FG42" s="40" t="str">
        <f aca="false">IF(OR(FF$4=0,FF42=""),"",IFERROR(ROUND(FF42/INDEX(Undirviðmið!$F$6:$F$205,FF$4)*INDEX(Undirviðmið!$E$6:$E$205,FF$4)*KVARDI,2),""))</f>
        <v/>
      </c>
      <c r="FH42" s="23"/>
      <c r="FI42" s="40" t="str">
        <f aca="false">IF(OR(FH$4=0,FH42=""),"",IFERROR(ROUND(FH42/INDEX(Undirviðmið!$F$6:$F$205,FH$4)*INDEX(Undirviðmið!$E$6:$E$205,FH$4)*KVARDI,2),""))</f>
        <v/>
      </c>
      <c r="FJ42" s="23"/>
      <c r="FK42" s="40" t="str">
        <f aca="false">IF(OR(FJ$4=0,FJ42=""),"",IFERROR(ROUND(FJ42/INDEX(Undirviðmið!$F$6:$F$205,FJ$4)*INDEX(Undirviðmið!$E$6:$E$205,FJ$4)*KVARDI,2),""))</f>
        <v/>
      </c>
      <c r="FL42" s="23"/>
      <c r="FM42" s="40" t="str">
        <f aca="false">IF(OR(FL$4=0,FL42=""),"",IFERROR(ROUND(FL42/INDEX(Undirviðmið!$F$6:$F$205,FL$4)*INDEX(Undirviðmið!$E$6:$E$205,FL$4)*KVARDI,2),""))</f>
        <v/>
      </c>
      <c r="FN42" s="23"/>
      <c r="FO42" s="40" t="str">
        <f aca="false">IF(OR(FN$4=0,FN42=""),"",IFERROR(ROUND(FN42/INDEX(Undirviðmið!$F$6:$F$205,FN$4)*INDEX(Undirviðmið!$E$6:$E$205,FN$4)*KVARDI,2),""))</f>
        <v/>
      </c>
      <c r="FP42" s="23"/>
      <c r="FQ42" s="40" t="str">
        <f aca="false">IF(OR(FP$4=0,FP42=""),"",IFERROR(ROUND(FP42/INDEX(Undirviðmið!$F$6:$F$205,FP$4)*INDEX(Undirviðmið!$E$6:$E$205,FP$4)*KVARDI,2),""))</f>
        <v/>
      </c>
      <c r="FR42" s="23"/>
      <c r="FS42" s="40" t="str">
        <f aca="false">IF(OR(FR$4=0,FR42=""),"",IFERROR(ROUND(FR42/INDEX(Undirviðmið!$F$6:$F$205,FR$4)*INDEX(Undirviðmið!$E$6:$E$205,FR$4)*KVARDI,2),""))</f>
        <v/>
      </c>
      <c r="FT42" s="23"/>
      <c r="FU42" s="40" t="str">
        <f aca="false">IF(OR(FT$4=0,FT42=""),"",IFERROR(ROUND(FT42/INDEX(Undirviðmið!$F$6:$F$205,FT$4)*INDEX(Undirviðmið!$E$6:$E$205,FT$4)*KVARDI,2),""))</f>
        <v/>
      </c>
      <c r="FV42" s="23"/>
      <c r="FW42" s="40" t="str">
        <f aca="false">IF(OR(FV$4=0,FV42=""),"",IFERROR(ROUND(FV42/INDEX(Undirviðmið!$F$6:$F$205,FV$4)*INDEX(Undirviðmið!$E$6:$E$205,FV$4)*KVARDI,2),""))</f>
        <v/>
      </c>
      <c r="FX42" s="23"/>
      <c r="FY42" s="40" t="str">
        <f aca="false">IF(OR(FX$4=0,FX42=""),"",IFERROR(ROUND(FX42/INDEX(Undirviðmið!$F$6:$F$205,FX$4)*INDEX(Undirviðmið!$E$6:$E$205,FX$4)*KVARDI,2),""))</f>
        <v/>
      </c>
      <c r="FZ42" s="23"/>
      <c r="GA42" s="40" t="str">
        <f aca="false">IF(OR(FZ$4=0,FZ42=""),"",IFERROR(ROUND(FZ42/INDEX(Undirviðmið!$F$6:$F$205,FZ$4)*INDEX(Undirviðmið!$E$6:$E$205,FZ$4)*KVARDI,2),""))</f>
        <v/>
      </c>
      <c r="GB42" s="23"/>
      <c r="GC42" s="40" t="str">
        <f aca="false">IF(OR(GB$4=0,GB42=""),"",IFERROR(ROUND(GB42/INDEX(Undirviðmið!$F$6:$F$205,GB$4)*INDEX(Undirviðmið!$E$6:$E$205,GB$4)*KVARDI,2),""))</f>
        <v/>
      </c>
      <c r="GD42" s="23"/>
      <c r="GE42" s="40" t="str">
        <f aca="false">IF(OR(GD$4=0,GD42=""),"",IFERROR(ROUND(GD42/INDEX(Undirviðmið!$F$6:$F$205,GD$4)*INDEX(Undirviðmið!$E$6:$E$205,GD$4)*KVARDI,2),""))</f>
        <v/>
      </c>
      <c r="GF42" s="23"/>
      <c r="GG42" s="40" t="str">
        <f aca="false">IF(OR(GF$4=0,GF42=""),"",IFERROR(ROUND(GF42/INDEX(Undirviðmið!$F$6:$F$205,GF$4)*INDEX(Undirviðmið!$E$6:$E$205,GF$4)*KVARDI,2),""))</f>
        <v/>
      </c>
      <c r="GH42" s="23"/>
      <c r="GI42" s="40" t="str">
        <f aca="false">IF(OR(GH$4=0,GH42=""),"",IFERROR(ROUND(GH42/INDEX(Undirviðmið!$F$6:$F$205,GH$4)*INDEX(Undirviðmið!$E$6:$E$205,GH$4)*KVARDI,2),""))</f>
        <v/>
      </c>
      <c r="GJ42" s="23"/>
      <c r="GK42" s="40" t="str">
        <f aca="false">IF(OR(GJ$4=0,GJ42=""),"",IFERROR(ROUND(GJ42/INDEX(Undirviðmið!$F$6:$F$205,GJ$4)*INDEX(Undirviðmið!$E$6:$E$205,GJ$4)*KVARDI,2),""))</f>
        <v/>
      </c>
      <c r="GL42" s="23"/>
      <c r="GM42" s="40" t="str">
        <f aca="false">IF(OR(GL$4=0,GL42=""),"",IFERROR(ROUND(GL42/INDEX(Undirviðmið!$F$6:$F$205,GL$4)*INDEX(Undirviðmið!$E$6:$E$205,GL$4)*KVARDI,2),""))</f>
        <v/>
      </c>
      <c r="GN42" s="23"/>
      <c r="GO42" s="40" t="str">
        <f aca="false">IF(OR(GN$4=0,GN42=""),"",IFERROR(ROUND(GN42/INDEX(Undirviðmið!$F$6:$F$205,GN$4)*INDEX(Undirviðmið!$E$6:$E$205,GN$4)*KVARDI,2),""))</f>
        <v/>
      </c>
      <c r="GP42" s="23"/>
      <c r="GQ42" s="40" t="str">
        <f aca="false">IF(OR(GP$4=0,GP42=""),"",IFERROR(ROUND(GP42/INDEX(Undirviðmið!$F$6:$F$205,GP$4)*INDEX(Undirviðmið!$E$6:$E$205,GP$4)*KVARDI,2),""))</f>
        <v/>
      </c>
      <c r="GR42" s="23"/>
      <c r="GS42" s="40" t="str">
        <f aca="false">IF(OR(GR$4=0,GR42=""),"",IFERROR(ROUND(GR42/INDEX(Undirviðmið!$F$6:$F$205,GR$4)*INDEX(Undirviðmið!$E$6:$E$205,GR$4)*KVARDI,2),""))</f>
        <v/>
      </c>
      <c r="GT42" s="23"/>
      <c r="GU42" s="40" t="str">
        <f aca="false">IF(OR(GT$4=0,GT42=""),"",IFERROR(ROUND(GT42/INDEX(Undirviðmið!$F$6:$F$205,GT$4)*INDEX(Undirviðmið!$E$6:$E$205,GT$4)*KVARDI,2),""))</f>
        <v/>
      </c>
      <c r="GV42" s="44" t="n">
        <f aca="false">IFERROR(SUMIF($D$6:GU$6,"Stig",$D42:GU42),0)</f>
        <v>0</v>
      </c>
    </row>
    <row r="43" customFormat="false" ht="15" hidden="false" customHeight="true" outlineLevel="0" collapsed="false">
      <c r="A43" s="22" t="n">
        <f aca="false">ROW()-6</f>
        <v>37</v>
      </c>
      <c r="B43" s="24" t="str">
        <f aca="false">IF(INDEX(Starfsmenn!$B$6:$B$10005,ROW()-6)="","",INDEX(Starfsmenn!$B$6:$B$10005,ROW()-6))</f>
        <v/>
      </c>
      <c r="C43" s="24" t="str">
        <f aca="false">IF(INDEX(Starfsmenn!$C$6:$C$10005,ROW()-6)="","",INDEX(Starfsmenn!$C$6:$C$10005,ROW()-6))</f>
        <v/>
      </c>
      <c r="D43" s="23"/>
      <c r="E43" s="40" t="str">
        <f aca="false">IF(OR(D$4=0,D43=""),"",IFERROR(ROUND(D43/INDEX(Undirviðmið!$F$6:$F$205,D$4)*INDEX(Undirviðmið!$E$6:$E$205,D$4)*KVARDI,2),""))</f>
        <v/>
      </c>
      <c r="F43" s="23"/>
      <c r="G43" s="40" t="str">
        <f aca="false">IF(OR(F$4=0,F43=""),"",IFERROR(ROUND(F43/INDEX(Undirviðmið!$F$6:$F$205,F$4)*INDEX(Undirviðmið!$E$6:$E$205,F$4)*KVARDI,2),""))</f>
        <v/>
      </c>
      <c r="H43" s="23"/>
      <c r="I43" s="40" t="str">
        <f aca="false">IF(OR(H$4=0,H43=""),"",IFERROR(ROUND(H43/INDEX(Undirviðmið!$F$6:$F$205,H$4)*INDEX(Undirviðmið!$E$6:$E$205,H$4)*KVARDI,2),""))</f>
        <v/>
      </c>
      <c r="J43" s="23"/>
      <c r="K43" s="40" t="str">
        <f aca="false">IF(OR(J$4=0,J43=""),"",IFERROR(ROUND(J43/INDEX(Undirviðmið!$F$6:$F$205,J$4)*INDEX(Undirviðmið!$E$6:$E$205,J$4)*KVARDI,2),""))</f>
        <v/>
      </c>
      <c r="L43" s="23"/>
      <c r="M43" s="40" t="str">
        <f aca="false">IF(OR(L$4=0,L43=""),"",IFERROR(ROUND(L43/INDEX(Undirviðmið!$F$6:$F$205,L$4)*INDEX(Undirviðmið!$E$6:$E$205,L$4)*KVARDI,2),""))</f>
        <v/>
      </c>
      <c r="N43" s="23"/>
      <c r="O43" s="40" t="str">
        <f aca="false">IF(OR(N$4=0,N43=""),"",IFERROR(ROUND(N43/INDEX(Undirviðmið!$F$6:$F$205,N$4)*INDEX(Undirviðmið!$E$6:$E$205,N$4)*KVARDI,2),""))</f>
        <v/>
      </c>
      <c r="P43" s="23"/>
      <c r="Q43" s="40" t="str">
        <f aca="false">IF(OR(P$4=0,P43=""),"",IFERROR(ROUND(P43/INDEX(Undirviðmið!$F$6:$F$205,P$4)*INDEX(Undirviðmið!$E$6:$E$205,P$4)*KVARDI,2),""))</f>
        <v/>
      </c>
      <c r="R43" s="23"/>
      <c r="S43" s="40" t="str">
        <f aca="false">IF(OR(R$4=0,R43=""),"",IFERROR(ROUND(R43/INDEX(Undirviðmið!$F$6:$F$205,R$4)*INDEX(Undirviðmið!$E$6:$E$205,R$4)*KVARDI,2),""))</f>
        <v/>
      </c>
      <c r="T43" s="23"/>
      <c r="U43" s="40" t="str">
        <f aca="false">IF(OR(T$4=0,T43=""),"",IFERROR(ROUND(T43/INDEX(Undirviðmið!$F$6:$F$205,T$4)*INDEX(Undirviðmið!$E$6:$E$205,T$4)*KVARDI,2),""))</f>
        <v/>
      </c>
      <c r="V43" s="23"/>
      <c r="W43" s="40" t="str">
        <f aca="false">IF(OR(V$4=0,V43=""),"",IFERROR(ROUND(V43/INDEX(Undirviðmið!$F$6:$F$205,V$4)*INDEX(Undirviðmið!$E$6:$E$205,V$4)*KVARDI,2),""))</f>
        <v/>
      </c>
      <c r="X43" s="23"/>
      <c r="Y43" s="40" t="str">
        <f aca="false">IF(OR(X$4=0,X43=""),"",IFERROR(ROUND(X43/INDEX(Undirviðmið!$F$6:$F$205,X$4)*INDEX(Undirviðmið!$E$6:$E$205,X$4)*KVARDI,2),""))</f>
        <v/>
      </c>
      <c r="Z43" s="23"/>
      <c r="AA43" s="40" t="str">
        <f aca="false">IF(OR(Z$4=0,Z43=""),"",IFERROR(ROUND(Z43/INDEX(Undirviðmið!$F$6:$F$205,Z$4)*INDEX(Undirviðmið!$E$6:$E$205,Z$4)*KVARDI,2),""))</f>
        <v/>
      </c>
      <c r="AB43" s="23"/>
      <c r="AC43" s="40" t="str">
        <f aca="false">IF(OR(AB$4=0,AB43=""),"",IFERROR(ROUND(AB43/INDEX(Undirviðmið!$F$6:$F$205,AB$4)*INDEX(Undirviðmið!$E$6:$E$205,AB$4)*KVARDI,2),""))</f>
        <v/>
      </c>
      <c r="AD43" s="23"/>
      <c r="AE43" s="40" t="str">
        <f aca="false">IF(OR(AD$4=0,AD43=""),"",IFERROR(ROUND(AD43/INDEX(Undirviðmið!$F$6:$F$205,AD$4)*INDEX(Undirviðmið!$E$6:$E$205,AD$4)*KVARDI,2),""))</f>
        <v/>
      </c>
      <c r="AF43" s="23"/>
      <c r="AG43" s="40" t="str">
        <f aca="false">IF(OR(AF$4=0,AF43=""),"",IFERROR(ROUND(AF43/INDEX(Undirviðmið!$F$6:$F$205,AF$4)*INDEX(Undirviðmið!$E$6:$E$205,AF$4)*KVARDI,2),""))</f>
        <v/>
      </c>
      <c r="AH43" s="23"/>
      <c r="AI43" s="40" t="str">
        <f aca="false">IF(OR(AH$4=0,AH43=""),"",IFERROR(ROUND(AH43/INDEX(Undirviðmið!$F$6:$F$205,AH$4)*INDEX(Undirviðmið!$E$6:$E$205,AH$4)*KVARDI,2),""))</f>
        <v/>
      </c>
      <c r="AJ43" s="23"/>
      <c r="AK43" s="40" t="str">
        <f aca="false">IF(OR(AJ$4=0,AJ43=""),"",IFERROR(ROUND(AJ43/INDEX(Undirviðmið!$F$6:$F$205,AJ$4)*INDEX(Undirviðmið!$E$6:$E$205,AJ$4)*KVARDI,2),""))</f>
        <v/>
      </c>
      <c r="AL43" s="23"/>
      <c r="AM43" s="40" t="str">
        <f aca="false">IF(OR(AL$4=0,AL43=""),"",IFERROR(ROUND(AL43/INDEX(Undirviðmið!$F$6:$F$205,AL$4)*INDEX(Undirviðmið!$E$6:$E$205,AL$4)*KVARDI,2),""))</f>
        <v/>
      </c>
      <c r="AN43" s="23"/>
      <c r="AO43" s="40" t="str">
        <f aca="false">IF(OR(AN$4=0,AN43=""),"",IFERROR(ROUND(AN43/INDEX(Undirviðmið!$F$6:$F$205,AN$4)*INDEX(Undirviðmið!$E$6:$E$205,AN$4)*KVARDI,2),""))</f>
        <v/>
      </c>
      <c r="AP43" s="23"/>
      <c r="AQ43" s="40" t="str">
        <f aca="false">IF(OR(AP$4=0,AP43=""),"",IFERROR(ROUND(AP43/INDEX(Undirviðmið!$F$6:$F$205,AP$4)*INDEX(Undirviðmið!$E$6:$E$205,AP$4)*KVARDI,2),""))</f>
        <v/>
      </c>
      <c r="AR43" s="23"/>
      <c r="AS43" s="40" t="str">
        <f aca="false">IF(OR(AR$4=0,AR43=""),"",IFERROR(ROUND(AR43/INDEX(Undirviðmið!$F$6:$F$205,AR$4)*INDEX(Undirviðmið!$E$6:$E$205,AR$4)*KVARDI,2),""))</f>
        <v/>
      </c>
      <c r="AT43" s="23"/>
      <c r="AU43" s="40" t="str">
        <f aca="false">IF(OR(AT$4=0,AT43=""),"",IFERROR(ROUND(AT43/INDEX(Undirviðmið!$F$6:$F$205,AT$4)*INDEX(Undirviðmið!$E$6:$E$205,AT$4)*KVARDI,2),""))</f>
        <v/>
      </c>
      <c r="AV43" s="23"/>
      <c r="AW43" s="40" t="str">
        <f aca="false">IF(OR(AV$4=0,AV43=""),"",IFERROR(ROUND(AV43/INDEX(Undirviðmið!$F$6:$F$205,AV$4)*INDEX(Undirviðmið!$E$6:$E$205,AV$4)*KVARDI,2),""))</f>
        <v/>
      </c>
      <c r="AX43" s="23"/>
      <c r="AY43" s="40" t="str">
        <f aca="false">IF(OR(AX$4=0,AX43=""),"",IFERROR(ROUND(AX43/INDEX(Undirviðmið!$F$6:$F$205,AX$4)*INDEX(Undirviðmið!$E$6:$E$205,AX$4)*KVARDI,2),""))</f>
        <v/>
      </c>
      <c r="AZ43" s="23"/>
      <c r="BA43" s="40" t="str">
        <f aca="false">IF(OR(AZ$4=0,AZ43=""),"",IFERROR(ROUND(AZ43/INDEX(Undirviðmið!$F$6:$F$205,AZ$4)*INDEX(Undirviðmið!$E$6:$E$205,AZ$4)*KVARDI,2),""))</f>
        <v/>
      </c>
      <c r="BB43" s="23"/>
      <c r="BC43" s="40" t="str">
        <f aca="false">IF(OR(BB$4=0,BB43=""),"",IFERROR(ROUND(BB43/INDEX(Undirviðmið!$F$6:$F$205,BB$4)*INDEX(Undirviðmið!$E$6:$E$205,BB$4)*KVARDI,2),""))</f>
        <v/>
      </c>
      <c r="BD43" s="23"/>
      <c r="BE43" s="40" t="str">
        <f aca="false">IF(OR(BD$4=0,BD43=""),"",IFERROR(ROUND(BD43/INDEX(Undirviðmið!$F$6:$F$205,BD$4)*INDEX(Undirviðmið!$E$6:$E$205,BD$4)*KVARDI,2),""))</f>
        <v/>
      </c>
      <c r="BF43" s="23"/>
      <c r="BG43" s="40" t="str">
        <f aca="false">IF(OR(BF$4=0,BF43=""),"",IFERROR(ROUND(BF43/INDEX(Undirviðmið!$F$6:$F$205,BF$4)*INDEX(Undirviðmið!$E$6:$E$205,BF$4)*KVARDI,2),""))</f>
        <v/>
      </c>
      <c r="BH43" s="23"/>
      <c r="BI43" s="40" t="str">
        <f aca="false">IF(OR(BH$4=0,BH43=""),"",IFERROR(ROUND(BH43/INDEX(Undirviðmið!$F$6:$F$205,BH$4)*INDEX(Undirviðmið!$E$6:$E$205,BH$4)*KVARDI,2),""))</f>
        <v/>
      </c>
      <c r="BJ43" s="23"/>
      <c r="BK43" s="40" t="str">
        <f aca="false">IF(OR(BJ$4=0,BJ43=""),"",IFERROR(ROUND(BJ43/INDEX(Undirviðmið!$F$6:$F$205,BJ$4)*INDEX(Undirviðmið!$E$6:$E$205,BJ$4)*KVARDI,2),""))</f>
        <v/>
      </c>
      <c r="BL43" s="23"/>
      <c r="BM43" s="40" t="str">
        <f aca="false">IF(OR(BL$4=0,BL43=""),"",IFERROR(ROUND(BL43/INDEX(Undirviðmið!$F$6:$F$205,BL$4)*INDEX(Undirviðmið!$E$6:$E$205,BL$4)*KVARDI,2),""))</f>
        <v/>
      </c>
      <c r="BN43" s="23"/>
      <c r="BO43" s="40" t="str">
        <f aca="false">IF(OR(BN$4=0,BN43=""),"",IFERROR(ROUND(BN43/INDEX(Undirviðmið!$F$6:$F$205,BN$4)*INDEX(Undirviðmið!$E$6:$E$205,BN$4)*KVARDI,2),""))</f>
        <v/>
      </c>
      <c r="BP43" s="23"/>
      <c r="BQ43" s="40" t="str">
        <f aca="false">IF(OR(BP$4=0,BP43=""),"",IFERROR(ROUND(BP43/INDEX(Undirviðmið!$F$6:$F$205,BP$4)*INDEX(Undirviðmið!$E$6:$E$205,BP$4)*KVARDI,2),""))</f>
        <v/>
      </c>
      <c r="BR43" s="23"/>
      <c r="BS43" s="40" t="str">
        <f aca="false">IF(OR(BR$4=0,BR43=""),"",IFERROR(ROUND(BR43/INDEX(Undirviðmið!$F$6:$F$205,BR$4)*INDEX(Undirviðmið!$E$6:$E$205,BR$4)*KVARDI,2),""))</f>
        <v/>
      </c>
      <c r="BT43" s="23"/>
      <c r="BU43" s="40" t="str">
        <f aca="false">IF(OR(BT$4=0,BT43=""),"",IFERROR(ROUND(BT43/INDEX(Undirviðmið!$F$6:$F$205,BT$4)*INDEX(Undirviðmið!$E$6:$E$205,BT$4)*KVARDI,2),""))</f>
        <v/>
      </c>
      <c r="BV43" s="23"/>
      <c r="BW43" s="40" t="str">
        <f aca="false">IF(OR(BV$4=0,BV43=""),"",IFERROR(ROUND(BV43/INDEX(Undirviðmið!$F$6:$F$205,BV$4)*INDEX(Undirviðmið!$E$6:$E$205,BV$4)*KVARDI,2),""))</f>
        <v/>
      </c>
      <c r="BX43" s="23"/>
      <c r="BY43" s="40" t="str">
        <f aca="false">IF(OR(BX$4=0,BX43=""),"",IFERROR(ROUND(BX43/INDEX(Undirviðmið!$F$6:$F$205,BX$4)*INDEX(Undirviðmið!$E$6:$E$205,BX$4)*KVARDI,2),""))</f>
        <v/>
      </c>
      <c r="BZ43" s="23"/>
      <c r="CA43" s="40" t="str">
        <f aca="false">IF(OR(BZ$4=0,BZ43=""),"",IFERROR(ROUND(BZ43/INDEX(Undirviðmið!$F$6:$F$205,BZ$4)*INDEX(Undirviðmið!$E$6:$E$205,BZ$4)*KVARDI,2),""))</f>
        <v/>
      </c>
      <c r="CB43" s="23"/>
      <c r="CC43" s="40" t="str">
        <f aca="false">IF(OR(CB$4=0,CB43=""),"",IFERROR(ROUND(CB43/INDEX(Undirviðmið!$F$6:$F$205,CB$4)*INDEX(Undirviðmið!$E$6:$E$205,CB$4)*KVARDI,2),""))</f>
        <v/>
      </c>
      <c r="CD43" s="23"/>
      <c r="CE43" s="40" t="str">
        <f aca="false">IF(OR(CD$4=0,CD43=""),"",IFERROR(ROUND(CD43/INDEX(Undirviðmið!$F$6:$F$205,CD$4)*INDEX(Undirviðmið!$E$6:$E$205,CD$4)*KVARDI,2),""))</f>
        <v/>
      </c>
      <c r="CF43" s="23"/>
      <c r="CG43" s="40" t="str">
        <f aca="false">IF(OR(CF$4=0,CF43=""),"",IFERROR(ROUND(CF43/INDEX(Undirviðmið!$F$6:$F$205,CF$4)*INDEX(Undirviðmið!$E$6:$E$205,CF$4)*KVARDI,2),""))</f>
        <v/>
      </c>
      <c r="CH43" s="23"/>
      <c r="CI43" s="40" t="str">
        <f aca="false">IF(OR(CH$4=0,CH43=""),"",IFERROR(ROUND(CH43/INDEX(Undirviðmið!$F$6:$F$205,CH$4)*INDEX(Undirviðmið!$E$6:$E$205,CH$4)*KVARDI,2),""))</f>
        <v/>
      </c>
      <c r="CJ43" s="23"/>
      <c r="CK43" s="40" t="str">
        <f aca="false">IF(OR(CJ$4=0,CJ43=""),"",IFERROR(ROUND(CJ43/INDEX(Undirviðmið!$F$6:$F$205,CJ$4)*INDEX(Undirviðmið!$E$6:$E$205,CJ$4)*KVARDI,2),""))</f>
        <v/>
      </c>
      <c r="CL43" s="23"/>
      <c r="CM43" s="40" t="str">
        <f aca="false">IF(OR(CL$4=0,CL43=""),"",IFERROR(ROUND(CL43/INDEX(Undirviðmið!$F$6:$F$205,CL$4)*INDEX(Undirviðmið!$E$6:$E$205,CL$4)*KVARDI,2),""))</f>
        <v/>
      </c>
      <c r="CN43" s="23"/>
      <c r="CO43" s="40" t="str">
        <f aca="false">IF(OR(CN$4=0,CN43=""),"",IFERROR(ROUND(CN43/INDEX(Undirviðmið!$F$6:$F$205,CN$4)*INDEX(Undirviðmið!$E$6:$E$205,CN$4)*KVARDI,2),""))</f>
        <v/>
      </c>
      <c r="CP43" s="23"/>
      <c r="CQ43" s="40" t="str">
        <f aca="false">IF(OR(CP$4=0,CP43=""),"",IFERROR(ROUND(CP43/INDEX(Undirviðmið!$F$6:$F$205,CP$4)*INDEX(Undirviðmið!$E$6:$E$205,CP$4)*KVARDI,2),""))</f>
        <v/>
      </c>
      <c r="CR43" s="23"/>
      <c r="CS43" s="40" t="str">
        <f aca="false">IF(OR(CR$4=0,CR43=""),"",IFERROR(ROUND(CR43/INDEX(Undirviðmið!$F$6:$F$205,CR$4)*INDEX(Undirviðmið!$E$6:$E$205,CR$4)*KVARDI,2),""))</f>
        <v/>
      </c>
      <c r="CT43" s="23"/>
      <c r="CU43" s="40" t="str">
        <f aca="false">IF(OR(CT$4=0,CT43=""),"",IFERROR(ROUND(CT43/INDEX(Undirviðmið!$F$6:$F$205,CT$4)*INDEX(Undirviðmið!$E$6:$E$205,CT$4)*KVARDI,2),""))</f>
        <v/>
      </c>
      <c r="CV43" s="23"/>
      <c r="CW43" s="40" t="str">
        <f aca="false">IF(OR(CV$4=0,CV43=""),"",IFERROR(ROUND(CV43/INDEX(Undirviðmið!$F$6:$F$205,CV$4)*INDEX(Undirviðmið!$E$6:$E$205,CV$4)*KVARDI,2),""))</f>
        <v/>
      </c>
      <c r="CX43" s="23"/>
      <c r="CY43" s="40" t="str">
        <f aca="false">IF(OR(CX$4=0,CX43=""),"",IFERROR(ROUND(CX43/INDEX(Undirviðmið!$F$6:$F$205,CX$4)*INDEX(Undirviðmið!$E$6:$E$205,CX$4)*KVARDI,2),""))</f>
        <v/>
      </c>
      <c r="CZ43" s="23"/>
      <c r="DA43" s="40" t="str">
        <f aca="false">IF(OR(CZ$4=0,CZ43=""),"",IFERROR(ROUND(CZ43/INDEX(Undirviðmið!$F$6:$F$205,CZ$4)*INDEX(Undirviðmið!$E$6:$E$205,CZ$4)*KVARDI,2),""))</f>
        <v/>
      </c>
      <c r="DB43" s="23"/>
      <c r="DC43" s="40" t="str">
        <f aca="false">IF(OR(DB$4=0,DB43=""),"",IFERROR(ROUND(DB43/INDEX(Undirviðmið!$F$6:$F$205,DB$4)*INDEX(Undirviðmið!$E$6:$E$205,DB$4)*KVARDI,2),""))</f>
        <v/>
      </c>
      <c r="DD43" s="23"/>
      <c r="DE43" s="40" t="str">
        <f aca="false">IF(OR(DD$4=0,DD43=""),"",IFERROR(ROUND(DD43/INDEX(Undirviðmið!$F$6:$F$205,DD$4)*INDEX(Undirviðmið!$E$6:$E$205,DD$4)*KVARDI,2),""))</f>
        <v/>
      </c>
      <c r="DF43" s="23"/>
      <c r="DG43" s="40" t="str">
        <f aca="false">IF(OR(DF$4=0,DF43=""),"",IFERROR(ROUND(DF43/INDEX(Undirviðmið!$F$6:$F$205,DF$4)*INDEX(Undirviðmið!$E$6:$E$205,DF$4)*KVARDI,2),""))</f>
        <v/>
      </c>
      <c r="DH43" s="23"/>
      <c r="DI43" s="40" t="str">
        <f aca="false">IF(OR(DH$4=0,DH43=""),"",IFERROR(ROUND(DH43/INDEX(Undirviðmið!$F$6:$F$205,DH$4)*INDEX(Undirviðmið!$E$6:$E$205,DH$4)*KVARDI,2),""))</f>
        <v/>
      </c>
      <c r="DJ43" s="23"/>
      <c r="DK43" s="40" t="str">
        <f aca="false">IF(OR(DJ$4=0,DJ43=""),"",IFERROR(ROUND(DJ43/INDEX(Undirviðmið!$F$6:$F$205,DJ$4)*INDEX(Undirviðmið!$E$6:$E$205,DJ$4)*KVARDI,2),""))</f>
        <v/>
      </c>
      <c r="DL43" s="23"/>
      <c r="DM43" s="40" t="str">
        <f aca="false">IF(OR(DL$4=0,DL43=""),"",IFERROR(ROUND(DL43/INDEX(Undirviðmið!$F$6:$F$205,DL$4)*INDEX(Undirviðmið!$E$6:$E$205,DL$4)*KVARDI,2),""))</f>
        <v/>
      </c>
      <c r="DN43" s="23"/>
      <c r="DO43" s="40" t="str">
        <f aca="false">IF(OR(DN$4=0,DN43=""),"",IFERROR(ROUND(DN43/INDEX(Undirviðmið!$F$6:$F$205,DN$4)*INDEX(Undirviðmið!$E$6:$E$205,DN$4)*KVARDI,2),""))</f>
        <v/>
      </c>
      <c r="DP43" s="23"/>
      <c r="DQ43" s="40" t="str">
        <f aca="false">IF(OR(DP$4=0,DP43=""),"",IFERROR(ROUND(DP43/INDEX(Undirviðmið!$F$6:$F$205,DP$4)*INDEX(Undirviðmið!$E$6:$E$205,DP$4)*KVARDI,2),""))</f>
        <v/>
      </c>
      <c r="DR43" s="23"/>
      <c r="DS43" s="40" t="str">
        <f aca="false">IF(OR(DR$4=0,DR43=""),"",IFERROR(ROUND(DR43/INDEX(Undirviðmið!$F$6:$F$205,DR$4)*INDEX(Undirviðmið!$E$6:$E$205,DR$4)*KVARDI,2),""))</f>
        <v/>
      </c>
      <c r="DT43" s="23"/>
      <c r="DU43" s="40" t="str">
        <f aca="false">IF(OR(DT$4=0,DT43=""),"",IFERROR(ROUND(DT43/INDEX(Undirviðmið!$F$6:$F$205,DT$4)*INDEX(Undirviðmið!$E$6:$E$205,DT$4)*KVARDI,2),""))</f>
        <v/>
      </c>
      <c r="DV43" s="23"/>
      <c r="DW43" s="40" t="str">
        <f aca="false">IF(OR(DV$4=0,DV43=""),"",IFERROR(ROUND(DV43/INDEX(Undirviðmið!$F$6:$F$205,DV$4)*INDEX(Undirviðmið!$E$6:$E$205,DV$4)*KVARDI,2),""))</f>
        <v/>
      </c>
      <c r="DX43" s="23"/>
      <c r="DY43" s="40" t="str">
        <f aca="false">IF(OR(DX$4=0,DX43=""),"",IFERROR(ROUND(DX43/INDEX(Undirviðmið!$F$6:$F$205,DX$4)*INDEX(Undirviðmið!$E$6:$E$205,DX$4)*KVARDI,2),""))</f>
        <v/>
      </c>
      <c r="DZ43" s="23"/>
      <c r="EA43" s="40" t="str">
        <f aca="false">IF(OR(DZ$4=0,DZ43=""),"",IFERROR(ROUND(DZ43/INDEX(Undirviðmið!$F$6:$F$205,DZ$4)*INDEX(Undirviðmið!$E$6:$E$205,DZ$4)*KVARDI,2),""))</f>
        <v/>
      </c>
      <c r="EB43" s="23"/>
      <c r="EC43" s="40" t="str">
        <f aca="false">IF(OR(EB$4=0,EB43=""),"",IFERROR(ROUND(EB43/INDEX(Undirviðmið!$F$6:$F$205,EB$4)*INDEX(Undirviðmið!$E$6:$E$205,EB$4)*KVARDI,2),""))</f>
        <v/>
      </c>
      <c r="ED43" s="23"/>
      <c r="EE43" s="40" t="str">
        <f aca="false">IF(OR(ED$4=0,ED43=""),"",IFERROR(ROUND(ED43/INDEX(Undirviðmið!$F$6:$F$205,ED$4)*INDEX(Undirviðmið!$E$6:$E$205,ED$4)*KVARDI,2),""))</f>
        <v/>
      </c>
      <c r="EF43" s="23"/>
      <c r="EG43" s="40" t="str">
        <f aca="false">IF(OR(EF$4=0,EF43=""),"",IFERROR(ROUND(EF43/INDEX(Undirviðmið!$F$6:$F$205,EF$4)*INDEX(Undirviðmið!$E$6:$E$205,EF$4)*KVARDI,2),""))</f>
        <v/>
      </c>
      <c r="EH43" s="23"/>
      <c r="EI43" s="40" t="str">
        <f aca="false">IF(OR(EH$4=0,EH43=""),"",IFERROR(ROUND(EH43/INDEX(Undirviðmið!$F$6:$F$205,EH$4)*INDEX(Undirviðmið!$E$6:$E$205,EH$4)*KVARDI,2),""))</f>
        <v/>
      </c>
      <c r="EJ43" s="23"/>
      <c r="EK43" s="40" t="str">
        <f aca="false">IF(OR(EJ$4=0,EJ43=""),"",IFERROR(ROUND(EJ43/INDEX(Undirviðmið!$F$6:$F$205,EJ$4)*INDEX(Undirviðmið!$E$6:$E$205,EJ$4)*KVARDI,2),""))</f>
        <v/>
      </c>
      <c r="EL43" s="23"/>
      <c r="EM43" s="40" t="str">
        <f aca="false">IF(OR(EL$4=0,EL43=""),"",IFERROR(ROUND(EL43/INDEX(Undirviðmið!$F$6:$F$205,EL$4)*INDEX(Undirviðmið!$E$6:$E$205,EL$4)*KVARDI,2),""))</f>
        <v/>
      </c>
      <c r="EN43" s="23"/>
      <c r="EO43" s="40" t="str">
        <f aca="false">IF(OR(EN$4=0,EN43=""),"",IFERROR(ROUND(EN43/INDEX(Undirviðmið!$F$6:$F$205,EN$4)*INDEX(Undirviðmið!$E$6:$E$205,EN$4)*KVARDI,2),""))</f>
        <v/>
      </c>
      <c r="EP43" s="23"/>
      <c r="EQ43" s="40" t="str">
        <f aca="false">IF(OR(EP$4=0,EP43=""),"",IFERROR(ROUND(EP43/INDEX(Undirviðmið!$F$6:$F$205,EP$4)*INDEX(Undirviðmið!$E$6:$E$205,EP$4)*KVARDI,2),""))</f>
        <v/>
      </c>
      <c r="ER43" s="23"/>
      <c r="ES43" s="40" t="str">
        <f aca="false">IF(OR(ER$4=0,ER43=""),"",IFERROR(ROUND(ER43/INDEX(Undirviðmið!$F$6:$F$205,ER$4)*INDEX(Undirviðmið!$E$6:$E$205,ER$4)*KVARDI,2),""))</f>
        <v/>
      </c>
      <c r="ET43" s="23"/>
      <c r="EU43" s="40" t="str">
        <f aca="false">IF(OR(ET$4=0,ET43=""),"",IFERROR(ROUND(ET43/INDEX(Undirviðmið!$F$6:$F$205,ET$4)*INDEX(Undirviðmið!$E$6:$E$205,ET$4)*KVARDI,2),""))</f>
        <v/>
      </c>
      <c r="EV43" s="23"/>
      <c r="EW43" s="40" t="str">
        <f aca="false">IF(OR(EV$4=0,EV43=""),"",IFERROR(ROUND(EV43/INDEX(Undirviðmið!$F$6:$F$205,EV$4)*INDEX(Undirviðmið!$E$6:$E$205,EV$4)*KVARDI,2),""))</f>
        <v/>
      </c>
      <c r="EX43" s="23"/>
      <c r="EY43" s="40" t="str">
        <f aca="false">IF(OR(EX$4=0,EX43=""),"",IFERROR(ROUND(EX43/INDEX(Undirviðmið!$F$6:$F$205,EX$4)*INDEX(Undirviðmið!$E$6:$E$205,EX$4)*KVARDI,2),""))</f>
        <v/>
      </c>
      <c r="EZ43" s="23"/>
      <c r="FA43" s="40" t="str">
        <f aca="false">IF(OR(EZ$4=0,EZ43=""),"",IFERROR(ROUND(EZ43/INDEX(Undirviðmið!$F$6:$F$205,EZ$4)*INDEX(Undirviðmið!$E$6:$E$205,EZ$4)*KVARDI,2),""))</f>
        <v/>
      </c>
      <c r="FB43" s="23"/>
      <c r="FC43" s="40" t="str">
        <f aca="false">IF(OR(FB$4=0,FB43=""),"",IFERROR(ROUND(FB43/INDEX(Undirviðmið!$F$6:$F$205,FB$4)*INDEX(Undirviðmið!$E$6:$E$205,FB$4)*KVARDI,2),""))</f>
        <v/>
      </c>
      <c r="FD43" s="23"/>
      <c r="FE43" s="40" t="str">
        <f aca="false">IF(OR(FD$4=0,FD43=""),"",IFERROR(ROUND(FD43/INDEX(Undirviðmið!$F$6:$F$205,FD$4)*INDEX(Undirviðmið!$E$6:$E$205,FD$4)*KVARDI,2),""))</f>
        <v/>
      </c>
      <c r="FF43" s="23"/>
      <c r="FG43" s="40" t="str">
        <f aca="false">IF(OR(FF$4=0,FF43=""),"",IFERROR(ROUND(FF43/INDEX(Undirviðmið!$F$6:$F$205,FF$4)*INDEX(Undirviðmið!$E$6:$E$205,FF$4)*KVARDI,2),""))</f>
        <v/>
      </c>
      <c r="FH43" s="23"/>
      <c r="FI43" s="40" t="str">
        <f aca="false">IF(OR(FH$4=0,FH43=""),"",IFERROR(ROUND(FH43/INDEX(Undirviðmið!$F$6:$F$205,FH$4)*INDEX(Undirviðmið!$E$6:$E$205,FH$4)*KVARDI,2),""))</f>
        <v/>
      </c>
      <c r="FJ43" s="23"/>
      <c r="FK43" s="40" t="str">
        <f aca="false">IF(OR(FJ$4=0,FJ43=""),"",IFERROR(ROUND(FJ43/INDEX(Undirviðmið!$F$6:$F$205,FJ$4)*INDEX(Undirviðmið!$E$6:$E$205,FJ$4)*KVARDI,2),""))</f>
        <v/>
      </c>
      <c r="FL43" s="23"/>
      <c r="FM43" s="40" t="str">
        <f aca="false">IF(OR(FL$4=0,FL43=""),"",IFERROR(ROUND(FL43/INDEX(Undirviðmið!$F$6:$F$205,FL$4)*INDEX(Undirviðmið!$E$6:$E$205,FL$4)*KVARDI,2),""))</f>
        <v/>
      </c>
      <c r="FN43" s="23"/>
      <c r="FO43" s="40" t="str">
        <f aca="false">IF(OR(FN$4=0,FN43=""),"",IFERROR(ROUND(FN43/INDEX(Undirviðmið!$F$6:$F$205,FN$4)*INDEX(Undirviðmið!$E$6:$E$205,FN$4)*KVARDI,2),""))</f>
        <v/>
      </c>
      <c r="FP43" s="23"/>
      <c r="FQ43" s="40" t="str">
        <f aca="false">IF(OR(FP$4=0,FP43=""),"",IFERROR(ROUND(FP43/INDEX(Undirviðmið!$F$6:$F$205,FP$4)*INDEX(Undirviðmið!$E$6:$E$205,FP$4)*KVARDI,2),""))</f>
        <v/>
      </c>
      <c r="FR43" s="23"/>
      <c r="FS43" s="40" t="str">
        <f aca="false">IF(OR(FR$4=0,FR43=""),"",IFERROR(ROUND(FR43/INDEX(Undirviðmið!$F$6:$F$205,FR$4)*INDEX(Undirviðmið!$E$6:$E$205,FR$4)*KVARDI,2),""))</f>
        <v/>
      </c>
      <c r="FT43" s="23"/>
      <c r="FU43" s="40" t="str">
        <f aca="false">IF(OR(FT$4=0,FT43=""),"",IFERROR(ROUND(FT43/INDEX(Undirviðmið!$F$6:$F$205,FT$4)*INDEX(Undirviðmið!$E$6:$E$205,FT$4)*KVARDI,2),""))</f>
        <v/>
      </c>
      <c r="FV43" s="23"/>
      <c r="FW43" s="40" t="str">
        <f aca="false">IF(OR(FV$4=0,FV43=""),"",IFERROR(ROUND(FV43/INDEX(Undirviðmið!$F$6:$F$205,FV$4)*INDEX(Undirviðmið!$E$6:$E$205,FV$4)*KVARDI,2),""))</f>
        <v/>
      </c>
      <c r="FX43" s="23"/>
      <c r="FY43" s="40" t="str">
        <f aca="false">IF(OR(FX$4=0,FX43=""),"",IFERROR(ROUND(FX43/INDEX(Undirviðmið!$F$6:$F$205,FX$4)*INDEX(Undirviðmið!$E$6:$E$205,FX$4)*KVARDI,2),""))</f>
        <v/>
      </c>
      <c r="FZ43" s="23"/>
      <c r="GA43" s="40" t="str">
        <f aca="false">IF(OR(FZ$4=0,FZ43=""),"",IFERROR(ROUND(FZ43/INDEX(Undirviðmið!$F$6:$F$205,FZ$4)*INDEX(Undirviðmið!$E$6:$E$205,FZ$4)*KVARDI,2),""))</f>
        <v/>
      </c>
      <c r="GB43" s="23"/>
      <c r="GC43" s="40" t="str">
        <f aca="false">IF(OR(GB$4=0,GB43=""),"",IFERROR(ROUND(GB43/INDEX(Undirviðmið!$F$6:$F$205,GB$4)*INDEX(Undirviðmið!$E$6:$E$205,GB$4)*KVARDI,2),""))</f>
        <v/>
      </c>
      <c r="GD43" s="23"/>
      <c r="GE43" s="40" t="str">
        <f aca="false">IF(OR(GD$4=0,GD43=""),"",IFERROR(ROUND(GD43/INDEX(Undirviðmið!$F$6:$F$205,GD$4)*INDEX(Undirviðmið!$E$6:$E$205,GD$4)*KVARDI,2),""))</f>
        <v/>
      </c>
      <c r="GF43" s="23"/>
      <c r="GG43" s="40" t="str">
        <f aca="false">IF(OR(GF$4=0,GF43=""),"",IFERROR(ROUND(GF43/INDEX(Undirviðmið!$F$6:$F$205,GF$4)*INDEX(Undirviðmið!$E$6:$E$205,GF$4)*KVARDI,2),""))</f>
        <v/>
      </c>
      <c r="GH43" s="23"/>
      <c r="GI43" s="40" t="str">
        <f aca="false">IF(OR(GH$4=0,GH43=""),"",IFERROR(ROUND(GH43/INDEX(Undirviðmið!$F$6:$F$205,GH$4)*INDEX(Undirviðmið!$E$6:$E$205,GH$4)*KVARDI,2),""))</f>
        <v/>
      </c>
      <c r="GJ43" s="23"/>
      <c r="GK43" s="40" t="str">
        <f aca="false">IF(OR(GJ$4=0,GJ43=""),"",IFERROR(ROUND(GJ43/INDEX(Undirviðmið!$F$6:$F$205,GJ$4)*INDEX(Undirviðmið!$E$6:$E$205,GJ$4)*KVARDI,2),""))</f>
        <v/>
      </c>
      <c r="GL43" s="23"/>
      <c r="GM43" s="40" t="str">
        <f aca="false">IF(OR(GL$4=0,GL43=""),"",IFERROR(ROUND(GL43/INDEX(Undirviðmið!$F$6:$F$205,GL$4)*INDEX(Undirviðmið!$E$6:$E$205,GL$4)*KVARDI,2),""))</f>
        <v/>
      </c>
      <c r="GN43" s="23"/>
      <c r="GO43" s="40" t="str">
        <f aca="false">IF(OR(GN$4=0,GN43=""),"",IFERROR(ROUND(GN43/INDEX(Undirviðmið!$F$6:$F$205,GN$4)*INDEX(Undirviðmið!$E$6:$E$205,GN$4)*KVARDI,2),""))</f>
        <v/>
      </c>
      <c r="GP43" s="23"/>
      <c r="GQ43" s="40" t="str">
        <f aca="false">IF(OR(GP$4=0,GP43=""),"",IFERROR(ROUND(GP43/INDEX(Undirviðmið!$F$6:$F$205,GP$4)*INDEX(Undirviðmið!$E$6:$E$205,GP$4)*KVARDI,2),""))</f>
        <v/>
      </c>
      <c r="GR43" s="23"/>
      <c r="GS43" s="40" t="str">
        <f aca="false">IF(OR(GR$4=0,GR43=""),"",IFERROR(ROUND(GR43/INDEX(Undirviðmið!$F$6:$F$205,GR$4)*INDEX(Undirviðmið!$E$6:$E$205,GR$4)*KVARDI,2),""))</f>
        <v/>
      </c>
      <c r="GT43" s="23"/>
      <c r="GU43" s="40" t="str">
        <f aca="false">IF(OR(GT$4=0,GT43=""),"",IFERROR(ROUND(GT43/INDEX(Undirviðmið!$F$6:$F$205,GT$4)*INDEX(Undirviðmið!$E$6:$E$205,GT$4)*KVARDI,2),""))</f>
        <v/>
      </c>
      <c r="GV43" s="44" t="n">
        <f aca="false">IFERROR(SUMIF($D$6:GU$6,"Stig",$D43:GU43),0)</f>
        <v>0</v>
      </c>
    </row>
    <row r="44" customFormat="false" ht="15" hidden="false" customHeight="true" outlineLevel="0" collapsed="false">
      <c r="A44" s="22" t="n">
        <f aca="false">ROW()-6</f>
        <v>38</v>
      </c>
      <c r="B44" s="24" t="str">
        <f aca="false">IF(INDEX(Starfsmenn!$B$6:$B$10005,ROW()-6)="","",INDEX(Starfsmenn!$B$6:$B$10005,ROW()-6))</f>
        <v/>
      </c>
      <c r="C44" s="24" t="str">
        <f aca="false">IF(INDEX(Starfsmenn!$C$6:$C$10005,ROW()-6)="","",INDEX(Starfsmenn!$C$6:$C$10005,ROW()-6))</f>
        <v/>
      </c>
      <c r="D44" s="23"/>
      <c r="E44" s="40" t="str">
        <f aca="false">IF(OR(D$4=0,D44=""),"",IFERROR(ROUND(D44/INDEX(Undirviðmið!$F$6:$F$205,D$4)*INDEX(Undirviðmið!$E$6:$E$205,D$4)*KVARDI,2),""))</f>
        <v/>
      </c>
      <c r="F44" s="23"/>
      <c r="G44" s="40" t="str">
        <f aca="false">IF(OR(F$4=0,F44=""),"",IFERROR(ROUND(F44/INDEX(Undirviðmið!$F$6:$F$205,F$4)*INDEX(Undirviðmið!$E$6:$E$205,F$4)*KVARDI,2),""))</f>
        <v/>
      </c>
      <c r="H44" s="23"/>
      <c r="I44" s="40" t="str">
        <f aca="false">IF(OR(H$4=0,H44=""),"",IFERROR(ROUND(H44/INDEX(Undirviðmið!$F$6:$F$205,H$4)*INDEX(Undirviðmið!$E$6:$E$205,H$4)*KVARDI,2),""))</f>
        <v/>
      </c>
      <c r="J44" s="23"/>
      <c r="K44" s="40" t="str">
        <f aca="false">IF(OR(J$4=0,J44=""),"",IFERROR(ROUND(J44/INDEX(Undirviðmið!$F$6:$F$205,J$4)*INDEX(Undirviðmið!$E$6:$E$205,J$4)*KVARDI,2),""))</f>
        <v/>
      </c>
      <c r="L44" s="23"/>
      <c r="M44" s="40" t="str">
        <f aca="false">IF(OR(L$4=0,L44=""),"",IFERROR(ROUND(L44/INDEX(Undirviðmið!$F$6:$F$205,L$4)*INDEX(Undirviðmið!$E$6:$E$205,L$4)*KVARDI,2),""))</f>
        <v/>
      </c>
      <c r="N44" s="23"/>
      <c r="O44" s="40" t="str">
        <f aca="false">IF(OR(N$4=0,N44=""),"",IFERROR(ROUND(N44/INDEX(Undirviðmið!$F$6:$F$205,N$4)*INDEX(Undirviðmið!$E$6:$E$205,N$4)*KVARDI,2),""))</f>
        <v/>
      </c>
      <c r="P44" s="23"/>
      <c r="Q44" s="40" t="str">
        <f aca="false">IF(OR(P$4=0,P44=""),"",IFERROR(ROUND(P44/INDEX(Undirviðmið!$F$6:$F$205,P$4)*INDEX(Undirviðmið!$E$6:$E$205,P$4)*KVARDI,2),""))</f>
        <v/>
      </c>
      <c r="R44" s="23"/>
      <c r="S44" s="40" t="str">
        <f aca="false">IF(OR(R$4=0,R44=""),"",IFERROR(ROUND(R44/INDEX(Undirviðmið!$F$6:$F$205,R$4)*INDEX(Undirviðmið!$E$6:$E$205,R$4)*KVARDI,2),""))</f>
        <v/>
      </c>
      <c r="T44" s="23"/>
      <c r="U44" s="40" t="str">
        <f aca="false">IF(OR(T$4=0,T44=""),"",IFERROR(ROUND(T44/INDEX(Undirviðmið!$F$6:$F$205,T$4)*INDEX(Undirviðmið!$E$6:$E$205,T$4)*KVARDI,2),""))</f>
        <v/>
      </c>
      <c r="V44" s="23"/>
      <c r="W44" s="40" t="str">
        <f aca="false">IF(OR(V$4=0,V44=""),"",IFERROR(ROUND(V44/INDEX(Undirviðmið!$F$6:$F$205,V$4)*INDEX(Undirviðmið!$E$6:$E$205,V$4)*KVARDI,2),""))</f>
        <v/>
      </c>
      <c r="X44" s="23"/>
      <c r="Y44" s="40" t="str">
        <f aca="false">IF(OR(X$4=0,X44=""),"",IFERROR(ROUND(X44/INDEX(Undirviðmið!$F$6:$F$205,X$4)*INDEX(Undirviðmið!$E$6:$E$205,X$4)*KVARDI,2),""))</f>
        <v/>
      </c>
      <c r="Z44" s="23"/>
      <c r="AA44" s="40" t="str">
        <f aca="false">IF(OR(Z$4=0,Z44=""),"",IFERROR(ROUND(Z44/INDEX(Undirviðmið!$F$6:$F$205,Z$4)*INDEX(Undirviðmið!$E$6:$E$205,Z$4)*KVARDI,2),""))</f>
        <v/>
      </c>
      <c r="AB44" s="23"/>
      <c r="AC44" s="40" t="str">
        <f aca="false">IF(OR(AB$4=0,AB44=""),"",IFERROR(ROUND(AB44/INDEX(Undirviðmið!$F$6:$F$205,AB$4)*INDEX(Undirviðmið!$E$6:$E$205,AB$4)*KVARDI,2),""))</f>
        <v/>
      </c>
      <c r="AD44" s="23"/>
      <c r="AE44" s="40" t="str">
        <f aca="false">IF(OR(AD$4=0,AD44=""),"",IFERROR(ROUND(AD44/INDEX(Undirviðmið!$F$6:$F$205,AD$4)*INDEX(Undirviðmið!$E$6:$E$205,AD$4)*KVARDI,2),""))</f>
        <v/>
      </c>
      <c r="AF44" s="23"/>
      <c r="AG44" s="40" t="str">
        <f aca="false">IF(OR(AF$4=0,AF44=""),"",IFERROR(ROUND(AF44/INDEX(Undirviðmið!$F$6:$F$205,AF$4)*INDEX(Undirviðmið!$E$6:$E$205,AF$4)*KVARDI,2),""))</f>
        <v/>
      </c>
      <c r="AH44" s="23"/>
      <c r="AI44" s="40" t="str">
        <f aca="false">IF(OR(AH$4=0,AH44=""),"",IFERROR(ROUND(AH44/INDEX(Undirviðmið!$F$6:$F$205,AH$4)*INDEX(Undirviðmið!$E$6:$E$205,AH$4)*KVARDI,2),""))</f>
        <v/>
      </c>
      <c r="AJ44" s="23"/>
      <c r="AK44" s="40" t="str">
        <f aca="false">IF(OR(AJ$4=0,AJ44=""),"",IFERROR(ROUND(AJ44/INDEX(Undirviðmið!$F$6:$F$205,AJ$4)*INDEX(Undirviðmið!$E$6:$E$205,AJ$4)*KVARDI,2),""))</f>
        <v/>
      </c>
      <c r="AL44" s="23"/>
      <c r="AM44" s="40" t="str">
        <f aca="false">IF(OR(AL$4=0,AL44=""),"",IFERROR(ROUND(AL44/INDEX(Undirviðmið!$F$6:$F$205,AL$4)*INDEX(Undirviðmið!$E$6:$E$205,AL$4)*KVARDI,2),""))</f>
        <v/>
      </c>
      <c r="AN44" s="23"/>
      <c r="AO44" s="40" t="str">
        <f aca="false">IF(OR(AN$4=0,AN44=""),"",IFERROR(ROUND(AN44/INDEX(Undirviðmið!$F$6:$F$205,AN$4)*INDEX(Undirviðmið!$E$6:$E$205,AN$4)*KVARDI,2),""))</f>
        <v/>
      </c>
      <c r="AP44" s="23"/>
      <c r="AQ44" s="40" t="str">
        <f aca="false">IF(OR(AP$4=0,AP44=""),"",IFERROR(ROUND(AP44/INDEX(Undirviðmið!$F$6:$F$205,AP$4)*INDEX(Undirviðmið!$E$6:$E$205,AP$4)*KVARDI,2),""))</f>
        <v/>
      </c>
      <c r="AR44" s="23"/>
      <c r="AS44" s="40" t="str">
        <f aca="false">IF(OR(AR$4=0,AR44=""),"",IFERROR(ROUND(AR44/INDEX(Undirviðmið!$F$6:$F$205,AR$4)*INDEX(Undirviðmið!$E$6:$E$205,AR$4)*KVARDI,2),""))</f>
        <v/>
      </c>
      <c r="AT44" s="23"/>
      <c r="AU44" s="40" t="str">
        <f aca="false">IF(OR(AT$4=0,AT44=""),"",IFERROR(ROUND(AT44/INDEX(Undirviðmið!$F$6:$F$205,AT$4)*INDEX(Undirviðmið!$E$6:$E$205,AT$4)*KVARDI,2),""))</f>
        <v/>
      </c>
      <c r="AV44" s="23"/>
      <c r="AW44" s="40" t="str">
        <f aca="false">IF(OR(AV$4=0,AV44=""),"",IFERROR(ROUND(AV44/INDEX(Undirviðmið!$F$6:$F$205,AV$4)*INDEX(Undirviðmið!$E$6:$E$205,AV$4)*KVARDI,2),""))</f>
        <v/>
      </c>
      <c r="AX44" s="23"/>
      <c r="AY44" s="40" t="str">
        <f aca="false">IF(OR(AX$4=0,AX44=""),"",IFERROR(ROUND(AX44/INDEX(Undirviðmið!$F$6:$F$205,AX$4)*INDEX(Undirviðmið!$E$6:$E$205,AX$4)*KVARDI,2),""))</f>
        <v/>
      </c>
      <c r="AZ44" s="23"/>
      <c r="BA44" s="40" t="str">
        <f aca="false">IF(OR(AZ$4=0,AZ44=""),"",IFERROR(ROUND(AZ44/INDEX(Undirviðmið!$F$6:$F$205,AZ$4)*INDEX(Undirviðmið!$E$6:$E$205,AZ$4)*KVARDI,2),""))</f>
        <v/>
      </c>
      <c r="BB44" s="23"/>
      <c r="BC44" s="40" t="str">
        <f aca="false">IF(OR(BB$4=0,BB44=""),"",IFERROR(ROUND(BB44/INDEX(Undirviðmið!$F$6:$F$205,BB$4)*INDEX(Undirviðmið!$E$6:$E$205,BB$4)*KVARDI,2),""))</f>
        <v/>
      </c>
      <c r="BD44" s="23"/>
      <c r="BE44" s="40" t="str">
        <f aca="false">IF(OR(BD$4=0,BD44=""),"",IFERROR(ROUND(BD44/INDEX(Undirviðmið!$F$6:$F$205,BD$4)*INDEX(Undirviðmið!$E$6:$E$205,BD$4)*KVARDI,2),""))</f>
        <v/>
      </c>
      <c r="BF44" s="23"/>
      <c r="BG44" s="40" t="str">
        <f aca="false">IF(OR(BF$4=0,BF44=""),"",IFERROR(ROUND(BF44/INDEX(Undirviðmið!$F$6:$F$205,BF$4)*INDEX(Undirviðmið!$E$6:$E$205,BF$4)*KVARDI,2),""))</f>
        <v/>
      </c>
      <c r="BH44" s="23"/>
      <c r="BI44" s="40" t="str">
        <f aca="false">IF(OR(BH$4=0,BH44=""),"",IFERROR(ROUND(BH44/INDEX(Undirviðmið!$F$6:$F$205,BH$4)*INDEX(Undirviðmið!$E$6:$E$205,BH$4)*KVARDI,2),""))</f>
        <v/>
      </c>
      <c r="BJ44" s="23"/>
      <c r="BK44" s="40" t="str">
        <f aca="false">IF(OR(BJ$4=0,BJ44=""),"",IFERROR(ROUND(BJ44/INDEX(Undirviðmið!$F$6:$F$205,BJ$4)*INDEX(Undirviðmið!$E$6:$E$205,BJ$4)*KVARDI,2),""))</f>
        <v/>
      </c>
      <c r="BL44" s="23"/>
      <c r="BM44" s="40" t="str">
        <f aca="false">IF(OR(BL$4=0,BL44=""),"",IFERROR(ROUND(BL44/INDEX(Undirviðmið!$F$6:$F$205,BL$4)*INDEX(Undirviðmið!$E$6:$E$205,BL$4)*KVARDI,2),""))</f>
        <v/>
      </c>
      <c r="BN44" s="23"/>
      <c r="BO44" s="40" t="str">
        <f aca="false">IF(OR(BN$4=0,BN44=""),"",IFERROR(ROUND(BN44/INDEX(Undirviðmið!$F$6:$F$205,BN$4)*INDEX(Undirviðmið!$E$6:$E$205,BN$4)*KVARDI,2),""))</f>
        <v/>
      </c>
      <c r="BP44" s="23"/>
      <c r="BQ44" s="40" t="str">
        <f aca="false">IF(OR(BP$4=0,BP44=""),"",IFERROR(ROUND(BP44/INDEX(Undirviðmið!$F$6:$F$205,BP$4)*INDEX(Undirviðmið!$E$6:$E$205,BP$4)*KVARDI,2),""))</f>
        <v/>
      </c>
      <c r="BR44" s="23"/>
      <c r="BS44" s="40" t="str">
        <f aca="false">IF(OR(BR$4=0,BR44=""),"",IFERROR(ROUND(BR44/INDEX(Undirviðmið!$F$6:$F$205,BR$4)*INDEX(Undirviðmið!$E$6:$E$205,BR$4)*KVARDI,2),""))</f>
        <v/>
      </c>
      <c r="BT44" s="23"/>
      <c r="BU44" s="40" t="str">
        <f aca="false">IF(OR(BT$4=0,BT44=""),"",IFERROR(ROUND(BT44/INDEX(Undirviðmið!$F$6:$F$205,BT$4)*INDEX(Undirviðmið!$E$6:$E$205,BT$4)*KVARDI,2),""))</f>
        <v/>
      </c>
      <c r="BV44" s="23"/>
      <c r="BW44" s="40" t="str">
        <f aca="false">IF(OR(BV$4=0,BV44=""),"",IFERROR(ROUND(BV44/INDEX(Undirviðmið!$F$6:$F$205,BV$4)*INDEX(Undirviðmið!$E$6:$E$205,BV$4)*KVARDI,2),""))</f>
        <v/>
      </c>
      <c r="BX44" s="23"/>
      <c r="BY44" s="40" t="str">
        <f aca="false">IF(OR(BX$4=0,BX44=""),"",IFERROR(ROUND(BX44/INDEX(Undirviðmið!$F$6:$F$205,BX$4)*INDEX(Undirviðmið!$E$6:$E$205,BX$4)*KVARDI,2),""))</f>
        <v/>
      </c>
      <c r="BZ44" s="23"/>
      <c r="CA44" s="40" t="str">
        <f aca="false">IF(OR(BZ$4=0,BZ44=""),"",IFERROR(ROUND(BZ44/INDEX(Undirviðmið!$F$6:$F$205,BZ$4)*INDEX(Undirviðmið!$E$6:$E$205,BZ$4)*KVARDI,2),""))</f>
        <v/>
      </c>
      <c r="CB44" s="23"/>
      <c r="CC44" s="40" t="str">
        <f aca="false">IF(OR(CB$4=0,CB44=""),"",IFERROR(ROUND(CB44/INDEX(Undirviðmið!$F$6:$F$205,CB$4)*INDEX(Undirviðmið!$E$6:$E$205,CB$4)*KVARDI,2),""))</f>
        <v/>
      </c>
      <c r="CD44" s="23"/>
      <c r="CE44" s="40" t="str">
        <f aca="false">IF(OR(CD$4=0,CD44=""),"",IFERROR(ROUND(CD44/INDEX(Undirviðmið!$F$6:$F$205,CD$4)*INDEX(Undirviðmið!$E$6:$E$205,CD$4)*KVARDI,2),""))</f>
        <v/>
      </c>
      <c r="CF44" s="23"/>
      <c r="CG44" s="40" t="str">
        <f aca="false">IF(OR(CF$4=0,CF44=""),"",IFERROR(ROUND(CF44/INDEX(Undirviðmið!$F$6:$F$205,CF$4)*INDEX(Undirviðmið!$E$6:$E$205,CF$4)*KVARDI,2),""))</f>
        <v/>
      </c>
      <c r="CH44" s="23"/>
      <c r="CI44" s="40" t="str">
        <f aca="false">IF(OR(CH$4=0,CH44=""),"",IFERROR(ROUND(CH44/INDEX(Undirviðmið!$F$6:$F$205,CH$4)*INDEX(Undirviðmið!$E$6:$E$205,CH$4)*KVARDI,2),""))</f>
        <v/>
      </c>
      <c r="CJ44" s="23"/>
      <c r="CK44" s="40" t="str">
        <f aca="false">IF(OR(CJ$4=0,CJ44=""),"",IFERROR(ROUND(CJ44/INDEX(Undirviðmið!$F$6:$F$205,CJ$4)*INDEX(Undirviðmið!$E$6:$E$205,CJ$4)*KVARDI,2),""))</f>
        <v/>
      </c>
      <c r="CL44" s="23"/>
      <c r="CM44" s="40" t="str">
        <f aca="false">IF(OR(CL$4=0,CL44=""),"",IFERROR(ROUND(CL44/INDEX(Undirviðmið!$F$6:$F$205,CL$4)*INDEX(Undirviðmið!$E$6:$E$205,CL$4)*KVARDI,2),""))</f>
        <v/>
      </c>
      <c r="CN44" s="23"/>
      <c r="CO44" s="40" t="str">
        <f aca="false">IF(OR(CN$4=0,CN44=""),"",IFERROR(ROUND(CN44/INDEX(Undirviðmið!$F$6:$F$205,CN$4)*INDEX(Undirviðmið!$E$6:$E$205,CN$4)*KVARDI,2),""))</f>
        <v/>
      </c>
      <c r="CP44" s="23"/>
      <c r="CQ44" s="40" t="str">
        <f aca="false">IF(OR(CP$4=0,CP44=""),"",IFERROR(ROUND(CP44/INDEX(Undirviðmið!$F$6:$F$205,CP$4)*INDEX(Undirviðmið!$E$6:$E$205,CP$4)*KVARDI,2),""))</f>
        <v/>
      </c>
      <c r="CR44" s="23"/>
      <c r="CS44" s="40" t="str">
        <f aca="false">IF(OR(CR$4=0,CR44=""),"",IFERROR(ROUND(CR44/INDEX(Undirviðmið!$F$6:$F$205,CR$4)*INDEX(Undirviðmið!$E$6:$E$205,CR$4)*KVARDI,2),""))</f>
        <v/>
      </c>
      <c r="CT44" s="23"/>
      <c r="CU44" s="40" t="str">
        <f aca="false">IF(OR(CT$4=0,CT44=""),"",IFERROR(ROUND(CT44/INDEX(Undirviðmið!$F$6:$F$205,CT$4)*INDEX(Undirviðmið!$E$6:$E$205,CT$4)*KVARDI,2),""))</f>
        <v/>
      </c>
      <c r="CV44" s="23"/>
      <c r="CW44" s="40" t="str">
        <f aca="false">IF(OR(CV$4=0,CV44=""),"",IFERROR(ROUND(CV44/INDEX(Undirviðmið!$F$6:$F$205,CV$4)*INDEX(Undirviðmið!$E$6:$E$205,CV$4)*KVARDI,2),""))</f>
        <v/>
      </c>
      <c r="CX44" s="23"/>
      <c r="CY44" s="40" t="str">
        <f aca="false">IF(OR(CX$4=0,CX44=""),"",IFERROR(ROUND(CX44/INDEX(Undirviðmið!$F$6:$F$205,CX$4)*INDEX(Undirviðmið!$E$6:$E$205,CX$4)*KVARDI,2),""))</f>
        <v/>
      </c>
      <c r="CZ44" s="23"/>
      <c r="DA44" s="40" t="str">
        <f aca="false">IF(OR(CZ$4=0,CZ44=""),"",IFERROR(ROUND(CZ44/INDEX(Undirviðmið!$F$6:$F$205,CZ$4)*INDEX(Undirviðmið!$E$6:$E$205,CZ$4)*KVARDI,2),""))</f>
        <v/>
      </c>
      <c r="DB44" s="23"/>
      <c r="DC44" s="40" t="str">
        <f aca="false">IF(OR(DB$4=0,DB44=""),"",IFERROR(ROUND(DB44/INDEX(Undirviðmið!$F$6:$F$205,DB$4)*INDEX(Undirviðmið!$E$6:$E$205,DB$4)*KVARDI,2),""))</f>
        <v/>
      </c>
      <c r="DD44" s="23"/>
      <c r="DE44" s="40" t="str">
        <f aca="false">IF(OR(DD$4=0,DD44=""),"",IFERROR(ROUND(DD44/INDEX(Undirviðmið!$F$6:$F$205,DD$4)*INDEX(Undirviðmið!$E$6:$E$205,DD$4)*KVARDI,2),""))</f>
        <v/>
      </c>
      <c r="DF44" s="23"/>
      <c r="DG44" s="40" t="str">
        <f aca="false">IF(OR(DF$4=0,DF44=""),"",IFERROR(ROUND(DF44/INDEX(Undirviðmið!$F$6:$F$205,DF$4)*INDEX(Undirviðmið!$E$6:$E$205,DF$4)*KVARDI,2),""))</f>
        <v/>
      </c>
      <c r="DH44" s="23"/>
      <c r="DI44" s="40" t="str">
        <f aca="false">IF(OR(DH$4=0,DH44=""),"",IFERROR(ROUND(DH44/INDEX(Undirviðmið!$F$6:$F$205,DH$4)*INDEX(Undirviðmið!$E$6:$E$205,DH$4)*KVARDI,2),""))</f>
        <v/>
      </c>
      <c r="DJ44" s="23"/>
      <c r="DK44" s="40" t="str">
        <f aca="false">IF(OR(DJ$4=0,DJ44=""),"",IFERROR(ROUND(DJ44/INDEX(Undirviðmið!$F$6:$F$205,DJ$4)*INDEX(Undirviðmið!$E$6:$E$205,DJ$4)*KVARDI,2),""))</f>
        <v/>
      </c>
      <c r="DL44" s="23"/>
      <c r="DM44" s="40" t="str">
        <f aca="false">IF(OR(DL$4=0,DL44=""),"",IFERROR(ROUND(DL44/INDEX(Undirviðmið!$F$6:$F$205,DL$4)*INDEX(Undirviðmið!$E$6:$E$205,DL$4)*KVARDI,2),""))</f>
        <v/>
      </c>
      <c r="DN44" s="23"/>
      <c r="DO44" s="40" t="str">
        <f aca="false">IF(OR(DN$4=0,DN44=""),"",IFERROR(ROUND(DN44/INDEX(Undirviðmið!$F$6:$F$205,DN$4)*INDEX(Undirviðmið!$E$6:$E$205,DN$4)*KVARDI,2),""))</f>
        <v/>
      </c>
      <c r="DP44" s="23"/>
      <c r="DQ44" s="40" t="str">
        <f aca="false">IF(OR(DP$4=0,DP44=""),"",IFERROR(ROUND(DP44/INDEX(Undirviðmið!$F$6:$F$205,DP$4)*INDEX(Undirviðmið!$E$6:$E$205,DP$4)*KVARDI,2),""))</f>
        <v/>
      </c>
      <c r="DR44" s="23"/>
      <c r="DS44" s="40" t="str">
        <f aca="false">IF(OR(DR$4=0,DR44=""),"",IFERROR(ROUND(DR44/INDEX(Undirviðmið!$F$6:$F$205,DR$4)*INDEX(Undirviðmið!$E$6:$E$205,DR$4)*KVARDI,2),""))</f>
        <v/>
      </c>
      <c r="DT44" s="23"/>
      <c r="DU44" s="40" t="str">
        <f aca="false">IF(OR(DT$4=0,DT44=""),"",IFERROR(ROUND(DT44/INDEX(Undirviðmið!$F$6:$F$205,DT$4)*INDEX(Undirviðmið!$E$6:$E$205,DT$4)*KVARDI,2),""))</f>
        <v/>
      </c>
      <c r="DV44" s="23"/>
      <c r="DW44" s="40" t="str">
        <f aca="false">IF(OR(DV$4=0,DV44=""),"",IFERROR(ROUND(DV44/INDEX(Undirviðmið!$F$6:$F$205,DV$4)*INDEX(Undirviðmið!$E$6:$E$205,DV$4)*KVARDI,2),""))</f>
        <v/>
      </c>
      <c r="DX44" s="23"/>
      <c r="DY44" s="40" t="str">
        <f aca="false">IF(OR(DX$4=0,DX44=""),"",IFERROR(ROUND(DX44/INDEX(Undirviðmið!$F$6:$F$205,DX$4)*INDEX(Undirviðmið!$E$6:$E$205,DX$4)*KVARDI,2),""))</f>
        <v/>
      </c>
      <c r="DZ44" s="23"/>
      <c r="EA44" s="40" t="str">
        <f aca="false">IF(OR(DZ$4=0,DZ44=""),"",IFERROR(ROUND(DZ44/INDEX(Undirviðmið!$F$6:$F$205,DZ$4)*INDEX(Undirviðmið!$E$6:$E$205,DZ$4)*KVARDI,2),""))</f>
        <v/>
      </c>
      <c r="EB44" s="23"/>
      <c r="EC44" s="40" t="str">
        <f aca="false">IF(OR(EB$4=0,EB44=""),"",IFERROR(ROUND(EB44/INDEX(Undirviðmið!$F$6:$F$205,EB$4)*INDEX(Undirviðmið!$E$6:$E$205,EB$4)*KVARDI,2),""))</f>
        <v/>
      </c>
      <c r="ED44" s="23"/>
      <c r="EE44" s="40" t="str">
        <f aca="false">IF(OR(ED$4=0,ED44=""),"",IFERROR(ROUND(ED44/INDEX(Undirviðmið!$F$6:$F$205,ED$4)*INDEX(Undirviðmið!$E$6:$E$205,ED$4)*KVARDI,2),""))</f>
        <v/>
      </c>
      <c r="EF44" s="23"/>
      <c r="EG44" s="40" t="str">
        <f aca="false">IF(OR(EF$4=0,EF44=""),"",IFERROR(ROUND(EF44/INDEX(Undirviðmið!$F$6:$F$205,EF$4)*INDEX(Undirviðmið!$E$6:$E$205,EF$4)*KVARDI,2),""))</f>
        <v/>
      </c>
      <c r="EH44" s="23"/>
      <c r="EI44" s="40" t="str">
        <f aca="false">IF(OR(EH$4=0,EH44=""),"",IFERROR(ROUND(EH44/INDEX(Undirviðmið!$F$6:$F$205,EH$4)*INDEX(Undirviðmið!$E$6:$E$205,EH$4)*KVARDI,2),""))</f>
        <v/>
      </c>
      <c r="EJ44" s="23"/>
      <c r="EK44" s="40" t="str">
        <f aca="false">IF(OR(EJ$4=0,EJ44=""),"",IFERROR(ROUND(EJ44/INDEX(Undirviðmið!$F$6:$F$205,EJ$4)*INDEX(Undirviðmið!$E$6:$E$205,EJ$4)*KVARDI,2),""))</f>
        <v/>
      </c>
      <c r="EL44" s="23"/>
      <c r="EM44" s="40" t="str">
        <f aca="false">IF(OR(EL$4=0,EL44=""),"",IFERROR(ROUND(EL44/INDEX(Undirviðmið!$F$6:$F$205,EL$4)*INDEX(Undirviðmið!$E$6:$E$205,EL$4)*KVARDI,2),""))</f>
        <v/>
      </c>
      <c r="EN44" s="23"/>
      <c r="EO44" s="40" t="str">
        <f aca="false">IF(OR(EN$4=0,EN44=""),"",IFERROR(ROUND(EN44/INDEX(Undirviðmið!$F$6:$F$205,EN$4)*INDEX(Undirviðmið!$E$6:$E$205,EN$4)*KVARDI,2),""))</f>
        <v/>
      </c>
      <c r="EP44" s="23"/>
      <c r="EQ44" s="40" t="str">
        <f aca="false">IF(OR(EP$4=0,EP44=""),"",IFERROR(ROUND(EP44/INDEX(Undirviðmið!$F$6:$F$205,EP$4)*INDEX(Undirviðmið!$E$6:$E$205,EP$4)*KVARDI,2),""))</f>
        <v/>
      </c>
      <c r="ER44" s="23"/>
      <c r="ES44" s="40" t="str">
        <f aca="false">IF(OR(ER$4=0,ER44=""),"",IFERROR(ROUND(ER44/INDEX(Undirviðmið!$F$6:$F$205,ER$4)*INDEX(Undirviðmið!$E$6:$E$205,ER$4)*KVARDI,2),""))</f>
        <v/>
      </c>
      <c r="ET44" s="23"/>
      <c r="EU44" s="40" t="str">
        <f aca="false">IF(OR(ET$4=0,ET44=""),"",IFERROR(ROUND(ET44/INDEX(Undirviðmið!$F$6:$F$205,ET$4)*INDEX(Undirviðmið!$E$6:$E$205,ET$4)*KVARDI,2),""))</f>
        <v/>
      </c>
      <c r="EV44" s="23"/>
      <c r="EW44" s="40" t="str">
        <f aca="false">IF(OR(EV$4=0,EV44=""),"",IFERROR(ROUND(EV44/INDEX(Undirviðmið!$F$6:$F$205,EV$4)*INDEX(Undirviðmið!$E$6:$E$205,EV$4)*KVARDI,2),""))</f>
        <v/>
      </c>
      <c r="EX44" s="23"/>
      <c r="EY44" s="40" t="str">
        <f aca="false">IF(OR(EX$4=0,EX44=""),"",IFERROR(ROUND(EX44/INDEX(Undirviðmið!$F$6:$F$205,EX$4)*INDEX(Undirviðmið!$E$6:$E$205,EX$4)*KVARDI,2),""))</f>
        <v/>
      </c>
      <c r="EZ44" s="23"/>
      <c r="FA44" s="40" t="str">
        <f aca="false">IF(OR(EZ$4=0,EZ44=""),"",IFERROR(ROUND(EZ44/INDEX(Undirviðmið!$F$6:$F$205,EZ$4)*INDEX(Undirviðmið!$E$6:$E$205,EZ$4)*KVARDI,2),""))</f>
        <v/>
      </c>
      <c r="FB44" s="23"/>
      <c r="FC44" s="40" t="str">
        <f aca="false">IF(OR(FB$4=0,FB44=""),"",IFERROR(ROUND(FB44/INDEX(Undirviðmið!$F$6:$F$205,FB$4)*INDEX(Undirviðmið!$E$6:$E$205,FB$4)*KVARDI,2),""))</f>
        <v/>
      </c>
      <c r="FD44" s="23"/>
      <c r="FE44" s="40" t="str">
        <f aca="false">IF(OR(FD$4=0,FD44=""),"",IFERROR(ROUND(FD44/INDEX(Undirviðmið!$F$6:$F$205,FD$4)*INDEX(Undirviðmið!$E$6:$E$205,FD$4)*KVARDI,2),""))</f>
        <v/>
      </c>
      <c r="FF44" s="23"/>
      <c r="FG44" s="40" t="str">
        <f aca="false">IF(OR(FF$4=0,FF44=""),"",IFERROR(ROUND(FF44/INDEX(Undirviðmið!$F$6:$F$205,FF$4)*INDEX(Undirviðmið!$E$6:$E$205,FF$4)*KVARDI,2),""))</f>
        <v/>
      </c>
      <c r="FH44" s="23"/>
      <c r="FI44" s="40" t="str">
        <f aca="false">IF(OR(FH$4=0,FH44=""),"",IFERROR(ROUND(FH44/INDEX(Undirviðmið!$F$6:$F$205,FH$4)*INDEX(Undirviðmið!$E$6:$E$205,FH$4)*KVARDI,2),""))</f>
        <v/>
      </c>
      <c r="FJ44" s="23"/>
      <c r="FK44" s="40" t="str">
        <f aca="false">IF(OR(FJ$4=0,FJ44=""),"",IFERROR(ROUND(FJ44/INDEX(Undirviðmið!$F$6:$F$205,FJ$4)*INDEX(Undirviðmið!$E$6:$E$205,FJ$4)*KVARDI,2),""))</f>
        <v/>
      </c>
      <c r="FL44" s="23"/>
      <c r="FM44" s="40" t="str">
        <f aca="false">IF(OR(FL$4=0,FL44=""),"",IFERROR(ROUND(FL44/INDEX(Undirviðmið!$F$6:$F$205,FL$4)*INDEX(Undirviðmið!$E$6:$E$205,FL$4)*KVARDI,2),""))</f>
        <v/>
      </c>
      <c r="FN44" s="23"/>
      <c r="FO44" s="40" t="str">
        <f aca="false">IF(OR(FN$4=0,FN44=""),"",IFERROR(ROUND(FN44/INDEX(Undirviðmið!$F$6:$F$205,FN$4)*INDEX(Undirviðmið!$E$6:$E$205,FN$4)*KVARDI,2),""))</f>
        <v/>
      </c>
      <c r="FP44" s="23"/>
      <c r="FQ44" s="40" t="str">
        <f aca="false">IF(OR(FP$4=0,FP44=""),"",IFERROR(ROUND(FP44/INDEX(Undirviðmið!$F$6:$F$205,FP$4)*INDEX(Undirviðmið!$E$6:$E$205,FP$4)*KVARDI,2),""))</f>
        <v/>
      </c>
      <c r="FR44" s="23"/>
      <c r="FS44" s="40" t="str">
        <f aca="false">IF(OR(FR$4=0,FR44=""),"",IFERROR(ROUND(FR44/INDEX(Undirviðmið!$F$6:$F$205,FR$4)*INDEX(Undirviðmið!$E$6:$E$205,FR$4)*KVARDI,2),""))</f>
        <v/>
      </c>
      <c r="FT44" s="23"/>
      <c r="FU44" s="40" t="str">
        <f aca="false">IF(OR(FT$4=0,FT44=""),"",IFERROR(ROUND(FT44/INDEX(Undirviðmið!$F$6:$F$205,FT$4)*INDEX(Undirviðmið!$E$6:$E$205,FT$4)*KVARDI,2),""))</f>
        <v/>
      </c>
      <c r="FV44" s="23"/>
      <c r="FW44" s="40" t="str">
        <f aca="false">IF(OR(FV$4=0,FV44=""),"",IFERROR(ROUND(FV44/INDEX(Undirviðmið!$F$6:$F$205,FV$4)*INDEX(Undirviðmið!$E$6:$E$205,FV$4)*KVARDI,2),""))</f>
        <v/>
      </c>
      <c r="FX44" s="23"/>
      <c r="FY44" s="40" t="str">
        <f aca="false">IF(OR(FX$4=0,FX44=""),"",IFERROR(ROUND(FX44/INDEX(Undirviðmið!$F$6:$F$205,FX$4)*INDEX(Undirviðmið!$E$6:$E$205,FX$4)*KVARDI,2),""))</f>
        <v/>
      </c>
      <c r="FZ44" s="23"/>
      <c r="GA44" s="40" t="str">
        <f aca="false">IF(OR(FZ$4=0,FZ44=""),"",IFERROR(ROUND(FZ44/INDEX(Undirviðmið!$F$6:$F$205,FZ$4)*INDEX(Undirviðmið!$E$6:$E$205,FZ$4)*KVARDI,2),""))</f>
        <v/>
      </c>
      <c r="GB44" s="23"/>
      <c r="GC44" s="40" t="str">
        <f aca="false">IF(OR(GB$4=0,GB44=""),"",IFERROR(ROUND(GB44/INDEX(Undirviðmið!$F$6:$F$205,GB$4)*INDEX(Undirviðmið!$E$6:$E$205,GB$4)*KVARDI,2),""))</f>
        <v/>
      </c>
      <c r="GD44" s="23"/>
      <c r="GE44" s="40" t="str">
        <f aca="false">IF(OR(GD$4=0,GD44=""),"",IFERROR(ROUND(GD44/INDEX(Undirviðmið!$F$6:$F$205,GD$4)*INDEX(Undirviðmið!$E$6:$E$205,GD$4)*KVARDI,2),""))</f>
        <v/>
      </c>
      <c r="GF44" s="23"/>
      <c r="GG44" s="40" t="str">
        <f aca="false">IF(OR(GF$4=0,GF44=""),"",IFERROR(ROUND(GF44/INDEX(Undirviðmið!$F$6:$F$205,GF$4)*INDEX(Undirviðmið!$E$6:$E$205,GF$4)*KVARDI,2),""))</f>
        <v/>
      </c>
      <c r="GH44" s="23"/>
      <c r="GI44" s="40" t="str">
        <f aca="false">IF(OR(GH$4=0,GH44=""),"",IFERROR(ROUND(GH44/INDEX(Undirviðmið!$F$6:$F$205,GH$4)*INDEX(Undirviðmið!$E$6:$E$205,GH$4)*KVARDI,2),""))</f>
        <v/>
      </c>
      <c r="GJ44" s="23"/>
      <c r="GK44" s="40" t="str">
        <f aca="false">IF(OR(GJ$4=0,GJ44=""),"",IFERROR(ROUND(GJ44/INDEX(Undirviðmið!$F$6:$F$205,GJ$4)*INDEX(Undirviðmið!$E$6:$E$205,GJ$4)*KVARDI,2),""))</f>
        <v/>
      </c>
      <c r="GL44" s="23"/>
      <c r="GM44" s="40" t="str">
        <f aca="false">IF(OR(GL$4=0,GL44=""),"",IFERROR(ROUND(GL44/INDEX(Undirviðmið!$F$6:$F$205,GL$4)*INDEX(Undirviðmið!$E$6:$E$205,GL$4)*KVARDI,2),""))</f>
        <v/>
      </c>
      <c r="GN44" s="23"/>
      <c r="GO44" s="40" t="str">
        <f aca="false">IF(OR(GN$4=0,GN44=""),"",IFERROR(ROUND(GN44/INDEX(Undirviðmið!$F$6:$F$205,GN$4)*INDEX(Undirviðmið!$E$6:$E$205,GN$4)*KVARDI,2),""))</f>
        <v/>
      </c>
      <c r="GP44" s="23"/>
      <c r="GQ44" s="40" t="str">
        <f aca="false">IF(OR(GP$4=0,GP44=""),"",IFERROR(ROUND(GP44/INDEX(Undirviðmið!$F$6:$F$205,GP$4)*INDEX(Undirviðmið!$E$6:$E$205,GP$4)*KVARDI,2),""))</f>
        <v/>
      </c>
      <c r="GR44" s="23"/>
      <c r="GS44" s="40" t="str">
        <f aca="false">IF(OR(GR$4=0,GR44=""),"",IFERROR(ROUND(GR44/INDEX(Undirviðmið!$F$6:$F$205,GR$4)*INDEX(Undirviðmið!$E$6:$E$205,GR$4)*KVARDI,2),""))</f>
        <v/>
      </c>
      <c r="GT44" s="23"/>
      <c r="GU44" s="40" t="str">
        <f aca="false">IF(OR(GT$4=0,GT44=""),"",IFERROR(ROUND(GT44/INDEX(Undirviðmið!$F$6:$F$205,GT$4)*INDEX(Undirviðmið!$E$6:$E$205,GT$4)*KVARDI,2),""))</f>
        <v/>
      </c>
      <c r="GV44" s="44" t="n">
        <f aca="false">IFERROR(SUMIF($D$6:GU$6,"Stig",$D44:GU44),0)</f>
        <v>0</v>
      </c>
    </row>
    <row r="45" customFormat="false" ht="15" hidden="false" customHeight="true" outlineLevel="0" collapsed="false">
      <c r="A45" s="22" t="n">
        <f aca="false">ROW()-6</f>
        <v>39</v>
      </c>
      <c r="B45" s="24" t="str">
        <f aca="false">IF(INDEX(Starfsmenn!$B$6:$B$10005,ROW()-6)="","",INDEX(Starfsmenn!$B$6:$B$10005,ROW()-6))</f>
        <v/>
      </c>
      <c r="C45" s="24" t="str">
        <f aca="false">IF(INDEX(Starfsmenn!$C$6:$C$10005,ROW()-6)="","",INDEX(Starfsmenn!$C$6:$C$10005,ROW()-6))</f>
        <v/>
      </c>
      <c r="D45" s="23"/>
      <c r="E45" s="40" t="str">
        <f aca="false">IF(OR(D$4=0,D45=""),"",IFERROR(ROUND(D45/INDEX(Undirviðmið!$F$6:$F$205,D$4)*INDEX(Undirviðmið!$E$6:$E$205,D$4)*KVARDI,2),""))</f>
        <v/>
      </c>
      <c r="F45" s="23"/>
      <c r="G45" s="40" t="str">
        <f aca="false">IF(OR(F$4=0,F45=""),"",IFERROR(ROUND(F45/INDEX(Undirviðmið!$F$6:$F$205,F$4)*INDEX(Undirviðmið!$E$6:$E$205,F$4)*KVARDI,2),""))</f>
        <v/>
      </c>
      <c r="H45" s="23"/>
      <c r="I45" s="40" t="str">
        <f aca="false">IF(OR(H$4=0,H45=""),"",IFERROR(ROUND(H45/INDEX(Undirviðmið!$F$6:$F$205,H$4)*INDEX(Undirviðmið!$E$6:$E$205,H$4)*KVARDI,2),""))</f>
        <v/>
      </c>
      <c r="J45" s="23"/>
      <c r="K45" s="40" t="str">
        <f aca="false">IF(OR(J$4=0,J45=""),"",IFERROR(ROUND(J45/INDEX(Undirviðmið!$F$6:$F$205,J$4)*INDEX(Undirviðmið!$E$6:$E$205,J$4)*KVARDI,2),""))</f>
        <v/>
      </c>
      <c r="L45" s="23"/>
      <c r="M45" s="40" t="str">
        <f aca="false">IF(OR(L$4=0,L45=""),"",IFERROR(ROUND(L45/INDEX(Undirviðmið!$F$6:$F$205,L$4)*INDEX(Undirviðmið!$E$6:$E$205,L$4)*KVARDI,2),""))</f>
        <v/>
      </c>
      <c r="N45" s="23"/>
      <c r="O45" s="40" t="str">
        <f aca="false">IF(OR(N$4=0,N45=""),"",IFERROR(ROUND(N45/INDEX(Undirviðmið!$F$6:$F$205,N$4)*INDEX(Undirviðmið!$E$6:$E$205,N$4)*KVARDI,2),""))</f>
        <v/>
      </c>
      <c r="P45" s="23"/>
      <c r="Q45" s="40" t="str">
        <f aca="false">IF(OR(P$4=0,P45=""),"",IFERROR(ROUND(P45/INDEX(Undirviðmið!$F$6:$F$205,P$4)*INDEX(Undirviðmið!$E$6:$E$205,P$4)*KVARDI,2),""))</f>
        <v/>
      </c>
      <c r="R45" s="23"/>
      <c r="S45" s="40" t="str">
        <f aca="false">IF(OR(R$4=0,R45=""),"",IFERROR(ROUND(R45/INDEX(Undirviðmið!$F$6:$F$205,R$4)*INDEX(Undirviðmið!$E$6:$E$205,R$4)*KVARDI,2),""))</f>
        <v/>
      </c>
      <c r="T45" s="23"/>
      <c r="U45" s="40" t="str">
        <f aca="false">IF(OR(T$4=0,T45=""),"",IFERROR(ROUND(T45/INDEX(Undirviðmið!$F$6:$F$205,T$4)*INDEX(Undirviðmið!$E$6:$E$205,T$4)*KVARDI,2),""))</f>
        <v/>
      </c>
      <c r="V45" s="23"/>
      <c r="W45" s="40" t="str">
        <f aca="false">IF(OR(V$4=0,V45=""),"",IFERROR(ROUND(V45/INDEX(Undirviðmið!$F$6:$F$205,V$4)*INDEX(Undirviðmið!$E$6:$E$205,V$4)*KVARDI,2),""))</f>
        <v/>
      </c>
      <c r="X45" s="23"/>
      <c r="Y45" s="40" t="str">
        <f aca="false">IF(OR(X$4=0,X45=""),"",IFERROR(ROUND(X45/INDEX(Undirviðmið!$F$6:$F$205,X$4)*INDEX(Undirviðmið!$E$6:$E$205,X$4)*KVARDI,2),""))</f>
        <v/>
      </c>
      <c r="Z45" s="23"/>
      <c r="AA45" s="40" t="str">
        <f aca="false">IF(OR(Z$4=0,Z45=""),"",IFERROR(ROUND(Z45/INDEX(Undirviðmið!$F$6:$F$205,Z$4)*INDEX(Undirviðmið!$E$6:$E$205,Z$4)*KVARDI,2),""))</f>
        <v/>
      </c>
      <c r="AB45" s="23"/>
      <c r="AC45" s="40" t="str">
        <f aca="false">IF(OR(AB$4=0,AB45=""),"",IFERROR(ROUND(AB45/INDEX(Undirviðmið!$F$6:$F$205,AB$4)*INDEX(Undirviðmið!$E$6:$E$205,AB$4)*KVARDI,2),""))</f>
        <v/>
      </c>
      <c r="AD45" s="23"/>
      <c r="AE45" s="40" t="str">
        <f aca="false">IF(OR(AD$4=0,AD45=""),"",IFERROR(ROUND(AD45/INDEX(Undirviðmið!$F$6:$F$205,AD$4)*INDEX(Undirviðmið!$E$6:$E$205,AD$4)*KVARDI,2),""))</f>
        <v/>
      </c>
      <c r="AF45" s="23"/>
      <c r="AG45" s="40" t="str">
        <f aca="false">IF(OR(AF$4=0,AF45=""),"",IFERROR(ROUND(AF45/INDEX(Undirviðmið!$F$6:$F$205,AF$4)*INDEX(Undirviðmið!$E$6:$E$205,AF$4)*KVARDI,2),""))</f>
        <v/>
      </c>
      <c r="AH45" s="23"/>
      <c r="AI45" s="40" t="str">
        <f aca="false">IF(OR(AH$4=0,AH45=""),"",IFERROR(ROUND(AH45/INDEX(Undirviðmið!$F$6:$F$205,AH$4)*INDEX(Undirviðmið!$E$6:$E$205,AH$4)*KVARDI,2),""))</f>
        <v/>
      </c>
      <c r="AJ45" s="23"/>
      <c r="AK45" s="40" t="str">
        <f aca="false">IF(OR(AJ$4=0,AJ45=""),"",IFERROR(ROUND(AJ45/INDEX(Undirviðmið!$F$6:$F$205,AJ$4)*INDEX(Undirviðmið!$E$6:$E$205,AJ$4)*KVARDI,2),""))</f>
        <v/>
      </c>
      <c r="AL45" s="23"/>
      <c r="AM45" s="40" t="str">
        <f aca="false">IF(OR(AL$4=0,AL45=""),"",IFERROR(ROUND(AL45/INDEX(Undirviðmið!$F$6:$F$205,AL$4)*INDEX(Undirviðmið!$E$6:$E$205,AL$4)*KVARDI,2),""))</f>
        <v/>
      </c>
      <c r="AN45" s="23"/>
      <c r="AO45" s="40" t="str">
        <f aca="false">IF(OR(AN$4=0,AN45=""),"",IFERROR(ROUND(AN45/INDEX(Undirviðmið!$F$6:$F$205,AN$4)*INDEX(Undirviðmið!$E$6:$E$205,AN$4)*KVARDI,2),""))</f>
        <v/>
      </c>
      <c r="AP45" s="23"/>
      <c r="AQ45" s="40" t="str">
        <f aca="false">IF(OR(AP$4=0,AP45=""),"",IFERROR(ROUND(AP45/INDEX(Undirviðmið!$F$6:$F$205,AP$4)*INDEX(Undirviðmið!$E$6:$E$205,AP$4)*KVARDI,2),""))</f>
        <v/>
      </c>
      <c r="AR45" s="23"/>
      <c r="AS45" s="40" t="str">
        <f aca="false">IF(OR(AR$4=0,AR45=""),"",IFERROR(ROUND(AR45/INDEX(Undirviðmið!$F$6:$F$205,AR$4)*INDEX(Undirviðmið!$E$6:$E$205,AR$4)*KVARDI,2),""))</f>
        <v/>
      </c>
      <c r="AT45" s="23"/>
      <c r="AU45" s="40" t="str">
        <f aca="false">IF(OR(AT$4=0,AT45=""),"",IFERROR(ROUND(AT45/INDEX(Undirviðmið!$F$6:$F$205,AT$4)*INDEX(Undirviðmið!$E$6:$E$205,AT$4)*KVARDI,2),""))</f>
        <v/>
      </c>
      <c r="AV45" s="23"/>
      <c r="AW45" s="40" t="str">
        <f aca="false">IF(OR(AV$4=0,AV45=""),"",IFERROR(ROUND(AV45/INDEX(Undirviðmið!$F$6:$F$205,AV$4)*INDEX(Undirviðmið!$E$6:$E$205,AV$4)*KVARDI,2),""))</f>
        <v/>
      </c>
      <c r="AX45" s="23"/>
      <c r="AY45" s="40" t="str">
        <f aca="false">IF(OR(AX$4=0,AX45=""),"",IFERROR(ROUND(AX45/INDEX(Undirviðmið!$F$6:$F$205,AX$4)*INDEX(Undirviðmið!$E$6:$E$205,AX$4)*KVARDI,2),""))</f>
        <v/>
      </c>
      <c r="AZ45" s="23"/>
      <c r="BA45" s="40" t="str">
        <f aca="false">IF(OR(AZ$4=0,AZ45=""),"",IFERROR(ROUND(AZ45/INDEX(Undirviðmið!$F$6:$F$205,AZ$4)*INDEX(Undirviðmið!$E$6:$E$205,AZ$4)*KVARDI,2),""))</f>
        <v/>
      </c>
      <c r="BB45" s="23"/>
      <c r="BC45" s="40" t="str">
        <f aca="false">IF(OR(BB$4=0,BB45=""),"",IFERROR(ROUND(BB45/INDEX(Undirviðmið!$F$6:$F$205,BB$4)*INDEX(Undirviðmið!$E$6:$E$205,BB$4)*KVARDI,2),""))</f>
        <v/>
      </c>
      <c r="BD45" s="23"/>
      <c r="BE45" s="40" t="str">
        <f aca="false">IF(OR(BD$4=0,BD45=""),"",IFERROR(ROUND(BD45/INDEX(Undirviðmið!$F$6:$F$205,BD$4)*INDEX(Undirviðmið!$E$6:$E$205,BD$4)*KVARDI,2),""))</f>
        <v/>
      </c>
      <c r="BF45" s="23"/>
      <c r="BG45" s="40" t="str">
        <f aca="false">IF(OR(BF$4=0,BF45=""),"",IFERROR(ROUND(BF45/INDEX(Undirviðmið!$F$6:$F$205,BF$4)*INDEX(Undirviðmið!$E$6:$E$205,BF$4)*KVARDI,2),""))</f>
        <v/>
      </c>
      <c r="BH45" s="23"/>
      <c r="BI45" s="40" t="str">
        <f aca="false">IF(OR(BH$4=0,BH45=""),"",IFERROR(ROUND(BH45/INDEX(Undirviðmið!$F$6:$F$205,BH$4)*INDEX(Undirviðmið!$E$6:$E$205,BH$4)*KVARDI,2),""))</f>
        <v/>
      </c>
      <c r="BJ45" s="23"/>
      <c r="BK45" s="40" t="str">
        <f aca="false">IF(OR(BJ$4=0,BJ45=""),"",IFERROR(ROUND(BJ45/INDEX(Undirviðmið!$F$6:$F$205,BJ$4)*INDEX(Undirviðmið!$E$6:$E$205,BJ$4)*KVARDI,2),""))</f>
        <v/>
      </c>
      <c r="BL45" s="23"/>
      <c r="BM45" s="40" t="str">
        <f aca="false">IF(OR(BL$4=0,BL45=""),"",IFERROR(ROUND(BL45/INDEX(Undirviðmið!$F$6:$F$205,BL$4)*INDEX(Undirviðmið!$E$6:$E$205,BL$4)*KVARDI,2),""))</f>
        <v/>
      </c>
      <c r="BN45" s="23"/>
      <c r="BO45" s="40" t="str">
        <f aca="false">IF(OR(BN$4=0,BN45=""),"",IFERROR(ROUND(BN45/INDEX(Undirviðmið!$F$6:$F$205,BN$4)*INDEX(Undirviðmið!$E$6:$E$205,BN$4)*KVARDI,2),""))</f>
        <v/>
      </c>
      <c r="BP45" s="23"/>
      <c r="BQ45" s="40" t="str">
        <f aca="false">IF(OR(BP$4=0,BP45=""),"",IFERROR(ROUND(BP45/INDEX(Undirviðmið!$F$6:$F$205,BP$4)*INDEX(Undirviðmið!$E$6:$E$205,BP$4)*KVARDI,2),""))</f>
        <v/>
      </c>
      <c r="BR45" s="23"/>
      <c r="BS45" s="40" t="str">
        <f aca="false">IF(OR(BR$4=0,BR45=""),"",IFERROR(ROUND(BR45/INDEX(Undirviðmið!$F$6:$F$205,BR$4)*INDEX(Undirviðmið!$E$6:$E$205,BR$4)*KVARDI,2),""))</f>
        <v/>
      </c>
      <c r="BT45" s="23"/>
      <c r="BU45" s="40" t="str">
        <f aca="false">IF(OR(BT$4=0,BT45=""),"",IFERROR(ROUND(BT45/INDEX(Undirviðmið!$F$6:$F$205,BT$4)*INDEX(Undirviðmið!$E$6:$E$205,BT$4)*KVARDI,2),""))</f>
        <v/>
      </c>
      <c r="BV45" s="23"/>
      <c r="BW45" s="40" t="str">
        <f aca="false">IF(OR(BV$4=0,BV45=""),"",IFERROR(ROUND(BV45/INDEX(Undirviðmið!$F$6:$F$205,BV$4)*INDEX(Undirviðmið!$E$6:$E$205,BV$4)*KVARDI,2),""))</f>
        <v/>
      </c>
      <c r="BX45" s="23"/>
      <c r="BY45" s="40" t="str">
        <f aca="false">IF(OR(BX$4=0,BX45=""),"",IFERROR(ROUND(BX45/INDEX(Undirviðmið!$F$6:$F$205,BX$4)*INDEX(Undirviðmið!$E$6:$E$205,BX$4)*KVARDI,2),""))</f>
        <v/>
      </c>
      <c r="BZ45" s="23"/>
      <c r="CA45" s="40" t="str">
        <f aca="false">IF(OR(BZ$4=0,BZ45=""),"",IFERROR(ROUND(BZ45/INDEX(Undirviðmið!$F$6:$F$205,BZ$4)*INDEX(Undirviðmið!$E$6:$E$205,BZ$4)*KVARDI,2),""))</f>
        <v/>
      </c>
      <c r="CB45" s="23"/>
      <c r="CC45" s="40" t="str">
        <f aca="false">IF(OR(CB$4=0,CB45=""),"",IFERROR(ROUND(CB45/INDEX(Undirviðmið!$F$6:$F$205,CB$4)*INDEX(Undirviðmið!$E$6:$E$205,CB$4)*KVARDI,2),""))</f>
        <v/>
      </c>
      <c r="CD45" s="23"/>
      <c r="CE45" s="40" t="str">
        <f aca="false">IF(OR(CD$4=0,CD45=""),"",IFERROR(ROUND(CD45/INDEX(Undirviðmið!$F$6:$F$205,CD$4)*INDEX(Undirviðmið!$E$6:$E$205,CD$4)*KVARDI,2),""))</f>
        <v/>
      </c>
      <c r="CF45" s="23"/>
      <c r="CG45" s="40" t="str">
        <f aca="false">IF(OR(CF$4=0,CF45=""),"",IFERROR(ROUND(CF45/INDEX(Undirviðmið!$F$6:$F$205,CF$4)*INDEX(Undirviðmið!$E$6:$E$205,CF$4)*KVARDI,2),""))</f>
        <v/>
      </c>
      <c r="CH45" s="23"/>
      <c r="CI45" s="40" t="str">
        <f aca="false">IF(OR(CH$4=0,CH45=""),"",IFERROR(ROUND(CH45/INDEX(Undirviðmið!$F$6:$F$205,CH$4)*INDEX(Undirviðmið!$E$6:$E$205,CH$4)*KVARDI,2),""))</f>
        <v/>
      </c>
      <c r="CJ45" s="23"/>
      <c r="CK45" s="40" t="str">
        <f aca="false">IF(OR(CJ$4=0,CJ45=""),"",IFERROR(ROUND(CJ45/INDEX(Undirviðmið!$F$6:$F$205,CJ$4)*INDEX(Undirviðmið!$E$6:$E$205,CJ$4)*KVARDI,2),""))</f>
        <v/>
      </c>
      <c r="CL45" s="23"/>
      <c r="CM45" s="40" t="str">
        <f aca="false">IF(OR(CL$4=0,CL45=""),"",IFERROR(ROUND(CL45/INDEX(Undirviðmið!$F$6:$F$205,CL$4)*INDEX(Undirviðmið!$E$6:$E$205,CL$4)*KVARDI,2),""))</f>
        <v/>
      </c>
      <c r="CN45" s="23"/>
      <c r="CO45" s="40" t="str">
        <f aca="false">IF(OR(CN$4=0,CN45=""),"",IFERROR(ROUND(CN45/INDEX(Undirviðmið!$F$6:$F$205,CN$4)*INDEX(Undirviðmið!$E$6:$E$205,CN$4)*KVARDI,2),""))</f>
        <v/>
      </c>
      <c r="CP45" s="23"/>
      <c r="CQ45" s="40" t="str">
        <f aca="false">IF(OR(CP$4=0,CP45=""),"",IFERROR(ROUND(CP45/INDEX(Undirviðmið!$F$6:$F$205,CP$4)*INDEX(Undirviðmið!$E$6:$E$205,CP$4)*KVARDI,2),""))</f>
        <v/>
      </c>
      <c r="CR45" s="23"/>
      <c r="CS45" s="40" t="str">
        <f aca="false">IF(OR(CR$4=0,CR45=""),"",IFERROR(ROUND(CR45/INDEX(Undirviðmið!$F$6:$F$205,CR$4)*INDEX(Undirviðmið!$E$6:$E$205,CR$4)*KVARDI,2),""))</f>
        <v/>
      </c>
      <c r="CT45" s="23"/>
      <c r="CU45" s="40" t="str">
        <f aca="false">IF(OR(CT$4=0,CT45=""),"",IFERROR(ROUND(CT45/INDEX(Undirviðmið!$F$6:$F$205,CT$4)*INDEX(Undirviðmið!$E$6:$E$205,CT$4)*KVARDI,2),""))</f>
        <v/>
      </c>
      <c r="CV45" s="23"/>
      <c r="CW45" s="40" t="str">
        <f aca="false">IF(OR(CV$4=0,CV45=""),"",IFERROR(ROUND(CV45/INDEX(Undirviðmið!$F$6:$F$205,CV$4)*INDEX(Undirviðmið!$E$6:$E$205,CV$4)*KVARDI,2),""))</f>
        <v/>
      </c>
      <c r="CX45" s="23"/>
      <c r="CY45" s="40" t="str">
        <f aca="false">IF(OR(CX$4=0,CX45=""),"",IFERROR(ROUND(CX45/INDEX(Undirviðmið!$F$6:$F$205,CX$4)*INDEX(Undirviðmið!$E$6:$E$205,CX$4)*KVARDI,2),""))</f>
        <v/>
      </c>
      <c r="CZ45" s="23"/>
      <c r="DA45" s="40" t="str">
        <f aca="false">IF(OR(CZ$4=0,CZ45=""),"",IFERROR(ROUND(CZ45/INDEX(Undirviðmið!$F$6:$F$205,CZ$4)*INDEX(Undirviðmið!$E$6:$E$205,CZ$4)*KVARDI,2),""))</f>
        <v/>
      </c>
      <c r="DB45" s="23"/>
      <c r="DC45" s="40" t="str">
        <f aca="false">IF(OR(DB$4=0,DB45=""),"",IFERROR(ROUND(DB45/INDEX(Undirviðmið!$F$6:$F$205,DB$4)*INDEX(Undirviðmið!$E$6:$E$205,DB$4)*KVARDI,2),""))</f>
        <v/>
      </c>
      <c r="DD45" s="23"/>
      <c r="DE45" s="40" t="str">
        <f aca="false">IF(OR(DD$4=0,DD45=""),"",IFERROR(ROUND(DD45/INDEX(Undirviðmið!$F$6:$F$205,DD$4)*INDEX(Undirviðmið!$E$6:$E$205,DD$4)*KVARDI,2),""))</f>
        <v/>
      </c>
      <c r="DF45" s="23"/>
      <c r="DG45" s="40" t="str">
        <f aca="false">IF(OR(DF$4=0,DF45=""),"",IFERROR(ROUND(DF45/INDEX(Undirviðmið!$F$6:$F$205,DF$4)*INDEX(Undirviðmið!$E$6:$E$205,DF$4)*KVARDI,2),""))</f>
        <v/>
      </c>
      <c r="DH45" s="23"/>
      <c r="DI45" s="40" t="str">
        <f aca="false">IF(OR(DH$4=0,DH45=""),"",IFERROR(ROUND(DH45/INDEX(Undirviðmið!$F$6:$F$205,DH$4)*INDEX(Undirviðmið!$E$6:$E$205,DH$4)*KVARDI,2),""))</f>
        <v/>
      </c>
      <c r="DJ45" s="23"/>
      <c r="DK45" s="40" t="str">
        <f aca="false">IF(OR(DJ$4=0,DJ45=""),"",IFERROR(ROUND(DJ45/INDEX(Undirviðmið!$F$6:$F$205,DJ$4)*INDEX(Undirviðmið!$E$6:$E$205,DJ$4)*KVARDI,2),""))</f>
        <v/>
      </c>
      <c r="DL45" s="23"/>
      <c r="DM45" s="40" t="str">
        <f aca="false">IF(OR(DL$4=0,DL45=""),"",IFERROR(ROUND(DL45/INDEX(Undirviðmið!$F$6:$F$205,DL$4)*INDEX(Undirviðmið!$E$6:$E$205,DL$4)*KVARDI,2),""))</f>
        <v/>
      </c>
      <c r="DN45" s="23"/>
      <c r="DO45" s="40" t="str">
        <f aca="false">IF(OR(DN$4=0,DN45=""),"",IFERROR(ROUND(DN45/INDEX(Undirviðmið!$F$6:$F$205,DN$4)*INDEX(Undirviðmið!$E$6:$E$205,DN$4)*KVARDI,2),""))</f>
        <v/>
      </c>
      <c r="DP45" s="23"/>
      <c r="DQ45" s="40" t="str">
        <f aca="false">IF(OR(DP$4=0,DP45=""),"",IFERROR(ROUND(DP45/INDEX(Undirviðmið!$F$6:$F$205,DP$4)*INDEX(Undirviðmið!$E$6:$E$205,DP$4)*KVARDI,2),""))</f>
        <v/>
      </c>
      <c r="DR45" s="23"/>
      <c r="DS45" s="40" t="str">
        <f aca="false">IF(OR(DR$4=0,DR45=""),"",IFERROR(ROUND(DR45/INDEX(Undirviðmið!$F$6:$F$205,DR$4)*INDEX(Undirviðmið!$E$6:$E$205,DR$4)*KVARDI,2),""))</f>
        <v/>
      </c>
      <c r="DT45" s="23"/>
      <c r="DU45" s="40" t="str">
        <f aca="false">IF(OR(DT$4=0,DT45=""),"",IFERROR(ROUND(DT45/INDEX(Undirviðmið!$F$6:$F$205,DT$4)*INDEX(Undirviðmið!$E$6:$E$205,DT$4)*KVARDI,2),""))</f>
        <v/>
      </c>
      <c r="DV45" s="23"/>
      <c r="DW45" s="40" t="str">
        <f aca="false">IF(OR(DV$4=0,DV45=""),"",IFERROR(ROUND(DV45/INDEX(Undirviðmið!$F$6:$F$205,DV$4)*INDEX(Undirviðmið!$E$6:$E$205,DV$4)*KVARDI,2),""))</f>
        <v/>
      </c>
      <c r="DX45" s="23"/>
      <c r="DY45" s="40" t="str">
        <f aca="false">IF(OR(DX$4=0,DX45=""),"",IFERROR(ROUND(DX45/INDEX(Undirviðmið!$F$6:$F$205,DX$4)*INDEX(Undirviðmið!$E$6:$E$205,DX$4)*KVARDI,2),""))</f>
        <v/>
      </c>
      <c r="DZ45" s="23"/>
      <c r="EA45" s="40" t="str">
        <f aca="false">IF(OR(DZ$4=0,DZ45=""),"",IFERROR(ROUND(DZ45/INDEX(Undirviðmið!$F$6:$F$205,DZ$4)*INDEX(Undirviðmið!$E$6:$E$205,DZ$4)*KVARDI,2),""))</f>
        <v/>
      </c>
      <c r="EB45" s="23"/>
      <c r="EC45" s="40" t="str">
        <f aca="false">IF(OR(EB$4=0,EB45=""),"",IFERROR(ROUND(EB45/INDEX(Undirviðmið!$F$6:$F$205,EB$4)*INDEX(Undirviðmið!$E$6:$E$205,EB$4)*KVARDI,2),""))</f>
        <v/>
      </c>
      <c r="ED45" s="23"/>
      <c r="EE45" s="40" t="str">
        <f aca="false">IF(OR(ED$4=0,ED45=""),"",IFERROR(ROUND(ED45/INDEX(Undirviðmið!$F$6:$F$205,ED$4)*INDEX(Undirviðmið!$E$6:$E$205,ED$4)*KVARDI,2),""))</f>
        <v/>
      </c>
      <c r="EF45" s="23"/>
      <c r="EG45" s="40" t="str">
        <f aca="false">IF(OR(EF$4=0,EF45=""),"",IFERROR(ROUND(EF45/INDEX(Undirviðmið!$F$6:$F$205,EF$4)*INDEX(Undirviðmið!$E$6:$E$205,EF$4)*KVARDI,2),""))</f>
        <v/>
      </c>
      <c r="EH45" s="23"/>
      <c r="EI45" s="40" t="str">
        <f aca="false">IF(OR(EH$4=0,EH45=""),"",IFERROR(ROUND(EH45/INDEX(Undirviðmið!$F$6:$F$205,EH$4)*INDEX(Undirviðmið!$E$6:$E$205,EH$4)*KVARDI,2),""))</f>
        <v/>
      </c>
      <c r="EJ45" s="23"/>
      <c r="EK45" s="40" t="str">
        <f aca="false">IF(OR(EJ$4=0,EJ45=""),"",IFERROR(ROUND(EJ45/INDEX(Undirviðmið!$F$6:$F$205,EJ$4)*INDEX(Undirviðmið!$E$6:$E$205,EJ$4)*KVARDI,2),""))</f>
        <v/>
      </c>
      <c r="EL45" s="23"/>
      <c r="EM45" s="40" t="str">
        <f aca="false">IF(OR(EL$4=0,EL45=""),"",IFERROR(ROUND(EL45/INDEX(Undirviðmið!$F$6:$F$205,EL$4)*INDEX(Undirviðmið!$E$6:$E$205,EL$4)*KVARDI,2),""))</f>
        <v/>
      </c>
      <c r="EN45" s="23"/>
      <c r="EO45" s="40" t="str">
        <f aca="false">IF(OR(EN$4=0,EN45=""),"",IFERROR(ROUND(EN45/INDEX(Undirviðmið!$F$6:$F$205,EN$4)*INDEX(Undirviðmið!$E$6:$E$205,EN$4)*KVARDI,2),""))</f>
        <v/>
      </c>
      <c r="EP45" s="23"/>
      <c r="EQ45" s="40" t="str">
        <f aca="false">IF(OR(EP$4=0,EP45=""),"",IFERROR(ROUND(EP45/INDEX(Undirviðmið!$F$6:$F$205,EP$4)*INDEX(Undirviðmið!$E$6:$E$205,EP$4)*KVARDI,2),""))</f>
        <v/>
      </c>
      <c r="ER45" s="23"/>
      <c r="ES45" s="40" t="str">
        <f aca="false">IF(OR(ER$4=0,ER45=""),"",IFERROR(ROUND(ER45/INDEX(Undirviðmið!$F$6:$F$205,ER$4)*INDEX(Undirviðmið!$E$6:$E$205,ER$4)*KVARDI,2),""))</f>
        <v/>
      </c>
      <c r="ET45" s="23"/>
      <c r="EU45" s="40" t="str">
        <f aca="false">IF(OR(ET$4=0,ET45=""),"",IFERROR(ROUND(ET45/INDEX(Undirviðmið!$F$6:$F$205,ET$4)*INDEX(Undirviðmið!$E$6:$E$205,ET$4)*KVARDI,2),""))</f>
        <v/>
      </c>
      <c r="EV45" s="23"/>
      <c r="EW45" s="40" t="str">
        <f aca="false">IF(OR(EV$4=0,EV45=""),"",IFERROR(ROUND(EV45/INDEX(Undirviðmið!$F$6:$F$205,EV$4)*INDEX(Undirviðmið!$E$6:$E$205,EV$4)*KVARDI,2),""))</f>
        <v/>
      </c>
      <c r="EX45" s="23"/>
      <c r="EY45" s="40" t="str">
        <f aca="false">IF(OR(EX$4=0,EX45=""),"",IFERROR(ROUND(EX45/INDEX(Undirviðmið!$F$6:$F$205,EX$4)*INDEX(Undirviðmið!$E$6:$E$205,EX$4)*KVARDI,2),""))</f>
        <v/>
      </c>
      <c r="EZ45" s="23"/>
      <c r="FA45" s="40" t="str">
        <f aca="false">IF(OR(EZ$4=0,EZ45=""),"",IFERROR(ROUND(EZ45/INDEX(Undirviðmið!$F$6:$F$205,EZ$4)*INDEX(Undirviðmið!$E$6:$E$205,EZ$4)*KVARDI,2),""))</f>
        <v/>
      </c>
      <c r="FB45" s="23"/>
      <c r="FC45" s="40" t="str">
        <f aca="false">IF(OR(FB$4=0,FB45=""),"",IFERROR(ROUND(FB45/INDEX(Undirviðmið!$F$6:$F$205,FB$4)*INDEX(Undirviðmið!$E$6:$E$205,FB$4)*KVARDI,2),""))</f>
        <v/>
      </c>
      <c r="FD45" s="23"/>
      <c r="FE45" s="40" t="str">
        <f aca="false">IF(OR(FD$4=0,FD45=""),"",IFERROR(ROUND(FD45/INDEX(Undirviðmið!$F$6:$F$205,FD$4)*INDEX(Undirviðmið!$E$6:$E$205,FD$4)*KVARDI,2),""))</f>
        <v/>
      </c>
      <c r="FF45" s="23"/>
      <c r="FG45" s="40" t="str">
        <f aca="false">IF(OR(FF$4=0,FF45=""),"",IFERROR(ROUND(FF45/INDEX(Undirviðmið!$F$6:$F$205,FF$4)*INDEX(Undirviðmið!$E$6:$E$205,FF$4)*KVARDI,2),""))</f>
        <v/>
      </c>
      <c r="FH45" s="23"/>
      <c r="FI45" s="40" t="str">
        <f aca="false">IF(OR(FH$4=0,FH45=""),"",IFERROR(ROUND(FH45/INDEX(Undirviðmið!$F$6:$F$205,FH$4)*INDEX(Undirviðmið!$E$6:$E$205,FH$4)*KVARDI,2),""))</f>
        <v/>
      </c>
      <c r="FJ45" s="23"/>
      <c r="FK45" s="40" t="str">
        <f aca="false">IF(OR(FJ$4=0,FJ45=""),"",IFERROR(ROUND(FJ45/INDEX(Undirviðmið!$F$6:$F$205,FJ$4)*INDEX(Undirviðmið!$E$6:$E$205,FJ$4)*KVARDI,2),""))</f>
        <v/>
      </c>
      <c r="FL45" s="23"/>
      <c r="FM45" s="40" t="str">
        <f aca="false">IF(OR(FL$4=0,FL45=""),"",IFERROR(ROUND(FL45/INDEX(Undirviðmið!$F$6:$F$205,FL$4)*INDEX(Undirviðmið!$E$6:$E$205,FL$4)*KVARDI,2),""))</f>
        <v/>
      </c>
      <c r="FN45" s="23"/>
      <c r="FO45" s="40" t="str">
        <f aca="false">IF(OR(FN$4=0,FN45=""),"",IFERROR(ROUND(FN45/INDEX(Undirviðmið!$F$6:$F$205,FN$4)*INDEX(Undirviðmið!$E$6:$E$205,FN$4)*KVARDI,2),""))</f>
        <v/>
      </c>
      <c r="FP45" s="23"/>
      <c r="FQ45" s="40" t="str">
        <f aca="false">IF(OR(FP$4=0,FP45=""),"",IFERROR(ROUND(FP45/INDEX(Undirviðmið!$F$6:$F$205,FP$4)*INDEX(Undirviðmið!$E$6:$E$205,FP$4)*KVARDI,2),""))</f>
        <v/>
      </c>
      <c r="FR45" s="23"/>
      <c r="FS45" s="40" t="str">
        <f aca="false">IF(OR(FR$4=0,FR45=""),"",IFERROR(ROUND(FR45/INDEX(Undirviðmið!$F$6:$F$205,FR$4)*INDEX(Undirviðmið!$E$6:$E$205,FR$4)*KVARDI,2),""))</f>
        <v/>
      </c>
      <c r="FT45" s="23"/>
      <c r="FU45" s="40" t="str">
        <f aca="false">IF(OR(FT$4=0,FT45=""),"",IFERROR(ROUND(FT45/INDEX(Undirviðmið!$F$6:$F$205,FT$4)*INDEX(Undirviðmið!$E$6:$E$205,FT$4)*KVARDI,2),""))</f>
        <v/>
      </c>
      <c r="FV45" s="23"/>
      <c r="FW45" s="40" t="str">
        <f aca="false">IF(OR(FV$4=0,FV45=""),"",IFERROR(ROUND(FV45/INDEX(Undirviðmið!$F$6:$F$205,FV$4)*INDEX(Undirviðmið!$E$6:$E$205,FV$4)*KVARDI,2),""))</f>
        <v/>
      </c>
      <c r="FX45" s="23"/>
      <c r="FY45" s="40" t="str">
        <f aca="false">IF(OR(FX$4=0,FX45=""),"",IFERROR(ROUND(FX45/INDEX(Undirviðmið!$F$6:$F$205,FX$4)*INDEX(Undirviðmið!$E$6:$E$205,FX$4)*KVARDI,2),""))</f>
        <v/>
      </c>
      <c r="FZ45" s="23"/>
      <c r="GA45" s="40" t="str">
        <f aca="false">IF(OR(FZ$4=0,FZ45=""),"",IFERROR(ROUND(FZ45/INDEX(Undirviðmið!$F$6:$F$205,FZ$4)*INDEX(Undirviðmið!$E$6:$E$205,FZ$4)*KVARDI,2),""))</f>
        <v/>
      </c>
      <c r="GB45" s="23"/>
      <c r="GC45" s="40" t="str">
        <f aca="false">IF(OR(GB$4=0,GB45=""),"",IFERROR(ROUND(GB45/INDEX(Undirviðmið!$F$6:$F$205,GB$4)*INDEX(Undirviðmið!$E$6:$E$205,GB$4)*KVARDI,2),""))</f>
        <v/>
      </c>
      <c r="GD45" s="23"/>
      <c r="GE45" s="40" t="str">
        <f aca="false">IF(OR(GD$4=0,GD45=""),"",IFERROR(ROUND(GD45/INDEX(Undirviðmið!$F$6:$F$205,GD$4)*INDEX(Undirviðmið!$E$6:$E$205,GD$4)*KVARDI,2),""))</f>
        <v/>
      </c>
      <c r="GF45" s="23"/>
      <c r="GG45" s="40" t="str">
        <f aca="false">IF(OR(GF$4=0,GF45=""),"",IFERROR(ROUND(GF45/INDEX(Undirviðmið!$F$6:$F$205,GF$4)*INDEX(Undirviðmið!$E$6:$E$205,GF$4)*KVARDI,2),""))</f>
        <v/>
      </c>
      <c r="GH45" s="23"/>
      <c r="GI45" s="40" t="str">
        <f aca="false">IF(OR(GH$4=0,GH45=""),"",IFERROR(ROUND(GH45/INDEX(Undirviðmið!$F$6:$F$205,GH$4)*INDEX(Undirviðmið!$E$6:$E$205,GH$4)*KVARDI,2),""))</f>
        <v/>
      </c>
      <c r="GJ45" s="23"/>
      <c r="GK45" s="40" t="str">
        <f aca="false">IF(OR(GJ$4=0,GJ45=""),"",IFERROR(ROUND(GJ45/INDEX(Undirviðmið!$F$6:$F$205,GJ$4)*INDEX(Undirviðmið!$E$6:$E$205,GJ$4)*KVARDI,2),""))</f>
        <v/>
      </c>
      <c r="GL45" s="23"/>
      <c r="GM45" s="40" t="str">
        <f aca="false">IF(OR(GL$4=0,GL45=""),"",IFERROR(ROUND(GL45/INDEX(Undirviðmið!$F$6:$F$205,GL$4)*INDEX(Undirviðmið!$E$6:$E$205,GL$4)*KVARDI,2),""))</f>
        <v/>
      </c>
      <c r="GN45" s="23"/>
      <c r="GO45" s="40" t="str">
        <f aca="false">IF(OR(GN$4=0,GN45=""),"",IFERROR(ROUND(GN45/INDEX(Undirviðmið!$F$6:$F$205,GN$4)*INDEX(Undirviðmið!$E$6:$E$205,GN$4)*KVARDI,2),""))</f>
        <v/>
      </c>
      <c r="GP45" s="23"/>
      <c r="GQ45" s="40" t="str">
        <f aca="false">IF(OR(GP$4=0,GP45=""),"",IFERROR(ROUND(GP45/INDEX(Undirviðmið!$F$6:$F$205,GP$4)*INDEX(Undirviðmið!$E$6:$E$205,GP$4)*KVARDI,2),""))</f>
        <v/>
      </c>
      <c r="GR45" s="23"/>
      <c r="GS45" s="40" t="str">
        <f aca="false">IF(OR(GR$4=0,GR45=""),"",IFERROR(ROUND(GR45/INDEX(Undirviðmið!$F$6:$F$205,GR$4)*INDEX(Undirviðmið!$E$6:$E$205,GR$4)*KVARDI,2),""))</f>
        <v/>
      </c>
      <c r="GT45" s="23"/>
      <c r="GU45" s="40" t="str">
        <f aca="false">IF(OR(GT$4=0,GT45=""),"",IFERROR(ROUND(GT45/INDEX(Undirviðmið!$F$6:$F$205,GT$4)*INDEX(Undirviðmið!$E$6:$E$205,GT$4)*KVARDI,2),""))</f>
        <v/>
      </c>
      <c r="GV45" s="44" t="n">
        <f aca="false">IFERROR(SUMIF($D$6:GU$6,"Stig",$D45:GU45),0)</f>
        <v>0</v>
      </c>
    </row>
    <row r="46" customFormat="false" ht="15" hidden="false" customHeight="true" outlineLevel="0" collapsed="false">
      <c r="A46" s="22" t="n">
        <f aca="false">ROW()-6</f>
        <v>40</v>
      </c>
      <c r="B46" s="24" t="str">
        <f aca="false">IF(INDEX(Starfsmenn!$B$6:$B$10005,ROW()-6)="","",INDEX(Starfsmenn!$B$6:$B$10005,ROW()-6))</f>
        <v/>
      </c>
      <c r="C46" s="24" t="str">
        <f aca="false">IF(INDEX(Starfsmenn!$C$6:$C$10005,ROW()-6)="","",INDEX(Starfsmenn!$C$6:$C$10005,ROW()-6))</f>
        <v/>
      </c>
      <c r="D46" s="23"/>
      <c r="E46" s="40" t="str">
        <f aca="false">IF(OR(D$4=0,D46=""),"",IFERROR(ROUND(D46/INDEX(Undirviðmið!$F$6:$F$205,D$4)*INDEX(Undirviðmið!$E$6:$E$205,D$4)*KVARDI,2),""))</f>
        <v/>
      </c>
      <c r="F46" s="23"/>
      <c r="G46" s="40" t="str">
        <f aca="false">IF(OR(F$4=0,F46=""),"",IFERROR(ROUND(F46/INDEX(Undirviðmið!$F$6:$F$205,F$4)*INDEX(Undirviðmið!$E$6:$E$205,F$4)*KVARDI,2),""))</f>
        <v/>
      </c>
      <c r="H46" s="23"/>
      <c r="I46" s="40" t="str">
        <f aca="false">IF(OR(H$4=0,H46=""),"",IFERROR(ROUND(H46/INDEX(Undirviðmið!$F$6:$F$205,H$4)*INDEX(Undirviðmið!$E$6:$E$205,H$4)*KVARDI,2),""))</f>
        <v/>
      </c>
      <c r="J46" s="23"/>
      <c r="K46" s="40" t="str">
        <f aca="false">IF(OR(J$4=0,J46=""),"",IFERROR(ROUND(J46/INDEX(Undirviðmið!$F$6:$F$205,J$4)*INDEX(Undirviðmið!$E$6:$E$205,J$4)*KVARDI,2),""))</f>
        <v/>
      </c>
      <c r="L46" s="23"/>
      <c r="M46" s="40" t="str">
        <f aca="false">IF(OR(L$4=0,L46=""),"",IFERROR(ROUND(L46/INDEX(Undirviðmið!$F$6:$F$205,L$4)*INDEX(Undirviðmið!$E$6:$E$205,L$4)*KVARDI,2),""))</f>
        <v/>
      </c>
      <c r="N46" s="23"/>
      <c r="O46" s="40" t="str">
        <f aca="false">IF(OR(N$4=0,N46=""),"",IFERROR(ROUND(N46/INDEX(Undirviðmið!$F$6:$F$205,N$4)*INDEX(Undirviðmið!$E$6:$E$205,N$4)*KVARDI,2),""))</f>
        <v/>
      </c>
      <c r="P46" s="23"/>
      <c r="Q46" s="40" t="str">
        <f aca="false">IF(OR(P$4=0,P46=""),"",IFERROR(ROUND(P46/INDEX(Undirviðmið!$F$6:$F$205,P$4)*INDEX(Undirviðmið!$E$6:$E$205,P$4)*KVARDI,2),""))</f>
        <v/>
      </c>
      <c r="R46" s="23"/>
      <c r="S46" s="40" t="str">
        <f aca="false">IF(OR(R$4=0,R46=""),"",IFERROR(ROUND(R46/INDEX(Undirviðmið!$F$6:$F$205,R$4)*INDEX(Undirviðmið!$E$6:$E$205,R$4)*KVARDI,2),""))</f>
        <v/>
      </c>
      <c r="T46" s="23"/>
      <c r="U46" s="40" t="str">
        <f aca="false">IF(OR(T$4=0,T46=""),"",IFERROR(ROUND(T46/INDEX(Undirviðmið!$F$6:$F$205,T$4)*INDEX(Undirviðmið!$E$6:$E$205,T$4)*KVARDI,2),""))</f>
        <v/>
      </c>
      <c r="V46" s="23"/>
      <c r="W46" s="40" t="str">
        <f aca="false">IF(OR(V$4=0,V46=""),"",IFERROR(ROUND(V46/INDEX(Undirviðmið!$F$6:$F$205,V$4)*INDEX(Undirviðmið!$E$6:$E$205,V$4)*KVARDI,2),""))</f>
        <v/>
      </c>
      <c r="X46" s="23"/>
      <c r="Y46" s="40" t="str">
        <f aca="false">IF(OR(X$4=0,X46=""),"",IFERROR(ROUND(X46/INDEX(Undirviðmið!$F$6:$F$205,X$4)*INDEX(Undirviðmið!$E$6:$E$205,X$4)*KVARDI,2),""))</f>
        <v/>
      </c>
      <c r="Z46" s="23"/>
      <c r="AA46" s="40" t="str">
        <f aca="false">IF(OR(Z$4=0,Z46=""),"",IFERROR(ROUND(Z46/INDEX(Undirviðmið!$F$6:$F$205,Z$4)*INDEX(Undirviðmið!$E$6:$E$205,Z$4)*KVARDI,2),""))</f>
        <v/>
      </c>
      <c r="AB46" s="23"/>
      <c r="AC46" s="40" t="str">
        <f aca="false">IF(OR(AB$4=0,AB46=""),"",IFERROR(ROUND(AB46/INDEX(Undirviðmið!$F$6:$F$205,AB$4)*INDEX(Undirviðmið!$E$6:$E$205,AB$4)*KVARDI,2),""))</f>
        <v/>
      </c>
      <c r="AD46" s="23"/>
      <c r="AE46" s="40" t="str">
        <f aca="false">IF(OR(AD$4=0,AD46=""),"",IFERROR(ROUND(AD46/INDEX(Undirviðmið!$F$6:$F$205,AD$4)*INDEX(Undirviðmið!$E$6:$E$205,AD$4)*KVARDI,2),""))</f>
        <v/>
      </c>
      <c r="AF46" s="23"/>
      <c r="AG46" s="40" t="str">
        <f aca="false">IF(OR(AF$4=0,AF46=""),"",IFERROR(ROUND(AF46/INDEX(Undirviðmið!$F$6:$F$205,AF$4)*INDEX(Undirviðmið!$E$6:$E$205,AF$4)*KVARDI,2),""))</f>
        <v/>
      </c>
      <c r="AH46" s="23"/>
      <c r="AI46" s="40" t="str">
        <f aca="false">IF(OR(AH$4=0,AH46=""),"",IFERROR(ROUND(AH46/INDEX(Undirviðmið!$F$6:$F$205,AH$4)*INDEX(Undirviðmið!$E$6:$E$205,AH$4)*KVARDI,2),""))</f>
        <v/>
      </c>
      <c r="AJ46" s="23"/>
      <c r="AK46" s="40" t="str">
        <f aca="false">IF(OR(AJ$4=0,AJ46=""),"",IFERROR(ROUND(AJ46/INDEX(Undirviðmið!$F$6:$F$205,AJ$4)*INDEX(Undirviðmið!$E$6:$E$205,AJ$4)*KVARDI,2),""))</f>
        <v/>
      </c>
      <c r="AL46" s="23"/>
      <c r="AM46" s="40" t="str">
        <f aca="false">IF(OR(AL$4=0,AL46=""),"",IFERROR(ROUND(AL46/INDEX(Undirviðmið!$F$6:$F$205,AL$4)*INDEX(Undirviðmið!$E$6:$E$205,AL$4)*KVARDI,2),""))</f>
        <v/>
      </c>
      <c r="AN46" s="23"/>
      <c r="AO46" s="40" t="str">
        <f aca="false">IF(OR(AN$4=0,AN46=""),"",IFERROR(ROUND(AN46/INDEX(Undirviðmið!$F$6:$F$205,AN$4)*INDEX(Undirviðmið!$E$6:$E$205,AN$4)*KVARDI,2),""))</f>
        <v/>
      </c>
      <c r="AP46" s="23"/>
      <c r="AQ46" s="40" t="str">
        <f aca="false">IF(OR(AP$4=0,AP46=""),"",IFERROR(ROUND(AP46/INDEX(Undirviðmið!$F$6:$F$205,AP$4)*INDEX(Undirviðmið!$E$6:$E$205,AP$4)*KVARDI,2),""))</f>
        <v/>
      </c>
      <c r="AR46" s="23"/>
      <c r="AS46" s="40" t="str">
        <f aca="false">IF(OR(AR$4=0,AR46=""),"",IFERROR(ROUND(AR46/INDEX(Undirviðmið!$F$6:$F$205,AR$4)*INDEX(Undirviðmið!$E$6:$E$205,AR$4)*KVARDI,2),""))</f>
        <v/>
      </c>
      <c r="AT46" s="23"/>
      <c r="AU46" s="40" t="str">
        <f aca="false">IF(OR(AT$4=0,AT46=""),"",IFERROR(ROUND(AT46/INDEX(Undirviðmið!$F$6:$F$205,AT$4)*INDEX(Undirviðmið!$E$6:$E$205,AT$4)*KVARDI,2),""))</f>
        <v/>
      </c>
      <c r="AV46" s="23"/>
      <c r="AW46" s="40" t="str">
        <f aca="false">IF(OR(AV$4=0,AV46=""),"",IFERROR(ROUND(AV46/INDEX(Undirviðmið!$F$6:$F$205,AV$4)*INDEX(Undirviðmið!$E$6:$E$205,AV$4)*KVARDI,2),""))</f>
        <v/>
      </c>
      <c r="AX46" s="23"/>
      <c r="AY46" s="40" t="str">
        <f aca="false">IF(OR(AX$4=0,AX46=""),"",IFERROR(ROUND(AX46/INDEX(Undirviðmið!$F$6:$F$205,AX$4)*INDEX(Undirviðmið!$E$6:$E$205,AX$4)*KVARDI,2),""))</f>
        <v/>
      </c>
      <c r="AZ46" s="23"/>
      <c r="BA46" s="40" t="str">
        <f aca="false">IF(OR(AZ$4=0,AZ46=""),"",IFERROR(ROUND(AZ46/INDEX(Undirviðmið!$F$6:$F$205,AZ$4)*INDEX(Undirviðmið!$E$6:$E$205,AZ$4)*KVARDI,2),""))</f>
        <v/>
      </c>
      <c r="BB46" s="23"/>
      <c r="BC46" s="40" t="str">
        <f aca="false">IF(OR(BB$4=0,BB46=""),"",IFERROR(ROUND(BB46/INDEX(Undirviðmið!$F$6:$F$205,BB$4)*INDEX(Undirviðmið!$E$6:$E$205,BB$4)*KVARDI,2),""))</f>
        <v/>
      </c>
      <c r="BD46" s="23"/>
      <c r="BE46" s="40" t="str">
        <f aca="false">IF(OR(BD$4=0,BD46=""),"",IFERROR(ROUND(BD46/INDEX(Undirviðmið!$F$6:$F$205,BD$4)*INDEX(Undirviðmið!$E$6:$E$205,BD$4)*KVARDI,2),""))</f>
        <v/>
      </c>
      <c r="BF46" s="23"/>
      <c r="BG46" s="40" t="str">
        <f aca="false">IF(OR(BF$4=0,BF46=""),"",IFERROR(ROUND(BF46/INDEX(Undirviðmið!$F$6:$F$205,BF$4)*INDEX(Undirviðmið!$E$6:$E$205,BF$4)*KVARDI,2),""))</f>
        <v/>
      </c>
      <c r="BH46" s="23"/>
      <c r="BI46" s="40" t="str">
        <f aca="false">IF(OR(BH$4=0,BH46=""),"",IFERROR(ROUND(BH46/INDEX(Undirviðmið!$F$6:$F$205,BH$4)*INDEX(Undirviðmið!$E$6:$E$205,BH$4)*KVARDI,2),""))</f>
        <v/>
      </c>
      <c r="BJ46" s="23"/>
      <c r="BK46" s="40" t="str">
        <f aca="false">IF(OR(BJ$4=0,BJ46=""),"",IFERROR(ROUND(BJ46/INDEX(Undirviðmið!$F$6:$F$205,BJ$4)*INDEX(Undirviðmið!$E$6:$E$205,BJ$4)*KVARDI,2),""))</f>
        <v/>
      </c>
      <c r="BL46" s="23"/>
      <c r="BM46" s="40" t="str">
        <f aca="false">IF(OR(BL$4=0,BL46=""),"",IFERROR(ROUND(BL46/INDEX(Undirviðmið!$F$6:$F$205,BL$4)*INDEX(Undirviðmið!$E$6:$E$205,BL$4)*KVARDI,2),""))</f>
        <v/>
      </c>
      <c r="BN46" s="23"/>
      <c r="BO46" s="40" t="str">
        <f aca="false">IF(OR(BN$4=0,BN46=""),"",IFERROR(ROUND(BN46/INDEX(Undirviðmið!$F$6:$F$205,BN$4)*INDEX(Undirviðmið!$E$6:$E$205,BN$4)*KVARDI,2),""))</f>
        <v/>
      </c>
      <c r="BP46" s="23"/>
      <c r="BQ46" s="40" t="str">
        <f aca="false">IF(OR(BP$4=0,BP46=""),"",IFERROR(ROUND(BP46/INDEX(Undirviðmið!$F$6:$F$205,BP$4)*INDEX(Undirviðmið!$E$6:$E$205,BP$4)*KVARDI,2),""))</f>
        <v/>
      </c>
      <c r="BR46" s="23"/>
      <c r="BS46" s="40" t="str">
        <f aca="false">IF(OR(BR$4=0,BR46=""),"",IFERROR(ROUND(BR46/INDEX(Undirviðmið!$F$6:$F$205,BR$4)*INDEX(Undirviðmið!$E$6:$E$205,BR$4)*KVARDI,2),""))</f>
        <v/>
      </c>
      <c r="BT46" s="23"/>
      <c r="BU46" s="40" t="str">
        <f aca="false">IF(OR(BT$4=0,BT46=""),"",IFERROR(ROUND(BT46/INDEX(Undirviðmið!$F$6:$F$205,BT$4)*INDEX(Undirviðmið!$E$6:$E$205,BT$4)*KVARDI,2),""))</f>
        <v/>
      </c>
      <c r="BV46" s="23"/>
      <c r="BW46" s="40" t="str">
        <f aca="false">IF(OR(BV$4=0,BV46=""),"",IFERROR(ROUND(BV46/INDEX(Undirviðmið!$F$6:$F$205,BV$4)*INDEX(Undirviðmið!$E$6:$E$205,BV$4)*KVARDI,2),""))</f>
        <v/>
      </c>
      <c r="BX46" s="23"/>
      <c r="BY46" s="40" t="str">
        <f aca="false">IF(OR(BX$4=0,BX46=""),"",IFERROR(ROUND(BX46/INDEX(Undirviðmið!$F$6:$F$205,BX$4)*INDEX(Undirviðmið!$E$6:$E$205,BX$4)*KVARDI,2),""))</f>
        <v/>
      </c>
      <c r="BZ46" s="23"/>
      <c r="CA46" s="40" t="str">
        <f aca="false">IF(OR(BZ$4=0,BZ46=""),"",IFERROR(ROUND(BZ46/INDEX(Undirviðmið!$F$6:$F$205,BZ$4)*INDEX(Undirviðmið!$E$6:$E$205,BZ$4)*KVARDI,2),""))</f>
        <v/>
      </c>
      <c r="CB46" s="23"/>
      <c r="CC46" s="40" t="str">
        <f aca="false">IF(OR(CB$4=0,CB46=""),"",IFERROR(ROUND(CB46/INDEX(Undirviðmið!$F$6:$F$205,CB$4)*INDEX(Undirviðmið!$E$6:$E$205,CB$4)*KVARDI,2),""))</f>
        <v/>
      </c>
      <c r="CD46" s="23"/>
      <c r="CE46" s="40" t="str">
        <f aca="false">IF(OR(CD$4=0,CD46=""),"",IFERROR(ROUND(CD46/INDEX(Undirviðmið!$F$6:$F$205,CD$4)*INDEX(Undirviðmið!$E$6:$E$205,CD$4)*KVARDI,2),""))</f>
        <v/>
      </c>
      <c r="CF46" s="23"/>
      <c r="CG46" s="40" t="str">
        <f aca="false">IF(OR(CF$4=0,CF46=""),"",IFERROR(ROUND(CF46/INDEX(Undirviðmið!$F$6:$F$205,CF$4)*INDEX(Undirviðmið!$E$6:$E$205,CF$4)*KVARDI,2),""))</f>
        <v/>
      </c>
      <c r="CH46" s="23"/>
      <c r="CI46" s="40" t="str">
        <f aca="false">IF(OR(CH$4=0,CH46=""),"",IFERROR(ROUND(CH46/INDEX(Undirviðmið!$F$6:$F$205,CH$4)*INDEX(Undirviðmið!$E$6:$E$205,CH$4)*KVARDI,2),""))</f>
        <v/>
      </c>
      <c r="CJ46" s="23"/>
      <c r="CK46" s="40" t="str">
        <f aca="false">IF(OR(CJ$4=0,CJ46=""),"",IFERROR(ROUND(CJ46/INDEX(Undirviðmið!$F$6:$F$205,CJ$4)*INDEX(Undirviðmið!$E$6:$E$205,CJ$4)*KVARDI,2),""))</f>
        <v/>
      </c>
      <c r="CL46" s="23"/>
      <c r="CM46" s="40" t="str">
        <f aca="false">IF(OR(CL$4=0,CL46=""),"",IFERROR(ROUND(CL46/INDEX(Undirviðmið!$F$6:$F$205,CL$4)*INDEX(Undirviðmið!$E$6:$E$205,CL$4)*KVARDI,2),""))</f>
        <v/>
      </c>
      <c r="CN46" s="23"/>
      <c r="CO46" s="40" t="str">
        <f aca="false">IF(OR(CN$4=0,CN46=""),"",IFERROR(ROUND(CN46/INDEX(Undirviðmið!$F$6:$F$205,CN$4)*INDEX(Undirviðmið!$E$6:$E$205,CN$4)*KVARDI,2),""))</f>
        <v/>
      </c>
      <c r="CP46" s="23"/>
      <c r="CQ46" s="40" t="str">
        <f aca="false">IF(OR(CP$4=0,CP46=""),"",IFERROR(ROUND(CP46/INDEX(Undirviðmið!$F$6:$F$205,CP$4)*INDEX(Undirviðmið!$E$6:$E$205,CP$4)*KVARDI,2),""))</f>
        <v/>
      </c>
      <c r="CR46" s="23"/>
      <c r="CS46" s="40" t="str">
        <f aca="false">IF(OR(CR$4=0,CR46=""),"",IFERROR(ROUND(CR46/INDEX(Undirviðmið!$F$6:$F$205,CR$4)*INDEX(Undirviðmið!$E$6:$E$205,CR$4)*KVARDI,2),""))</f>
        <v/>
      </c>
      <c r="CT46" s="23"/>
      <c r="CU46" s="40" t="str">
        <f aca="false">IF(OR(CT$4=0,CT46=""),"",IFERROR(ROUND(CT46/INDEX(Undirviðmið!$F$6:$F$205,CT$4)*INDEX(Undirviðmið!$E$6:$E$205,CT$4)*KVARDI,2),""))</f>
        <v/>
      </c>
      <c r="CV46" s="23"/>
      <c r="CW46" s="40" t="str">
        <f aca="false">IF(OR(CV$4=0,CV46=""),"",IFERROR(ROUND(CV46/INDEX(Undirviðmið!$F$6:$F$205,CV$4)*INDEX(Undirviðmið!$E$6:$E$205,CV$4)*KVARDI,2),""))</f>
        <v/>
      </c>
      <c r="CX46" s="23"/>
      <c r="CY46" s="40" t="str">
        <f aca="false">IF(OR(CX$4=0,CX46=""),"",IFERROR(ROUND(CX46/INDEX(Undirviðmið!$F$6:$F$205,CX$4)*INDEX(Undirviðmið!$E$6:$E$205,CX$4)*KVARDI,2),""))</f>
        <v/>
      </c>
      <c r="CZ46" s="23"/>
      <c r="DA46" s="40" t="str">
        <f aca="false">IF(OR(CZ$4=0,CZ46=""),"",IFERROR(ROUND(CZ46/INDEX(Undirviðmið!$F$6:$F$205,CZ$4)*INDEX(Undirviðmið!$E$6:$E$205,CZ$4)*KVARDI,2),""))</f>
        <v/>
      </c>
      <c r="DB46" s="23"/>
      <c r="DC46" s="40" t="str">
        <f aca="false">IF(OR(DB$4=0,DB46=""),"",IFERROR(ROUND(DB46/INDEX(Undirviðmið!$F$6:$F$205,DB$4)*INDEX(Undirviðmið!$E$6:$E$205,DB$4)*KVARDI,2),""))</f>
        <v/>
      </c>
      <c r="DD46" s="23"/>
      <c r="DE46" s="40" t="str">
        <f aca="false">IF(OR(DD$4=0,DD46=""),"",IFERROR(ROUND(DD46/INDEX(Undirviðmið!$F$6:$F$205,DD$4)*INDEX(Undirviðmið!$E$6:$E$205,DD$4)*KVARDI,2),""))</f>
        <v/>
      </c>
      <c r="DF46" s="23"/>
      <c r="DG46" s="40" t="str">
        <f aca="false">IF(OR(DF$4=0,DF46=""),"",IFERROR(ROUND(DF46/INDEX(Undirviðmið!$F$6:$F$205,DF$4)*INDEX(Undirviðmið!$E$6:$E$205,DF$4)*KVARDI,2),""))</f>
        <v/>
      </c>
      <c r="DH46" s="23"/>
      <c r="DI46" s="40" t="str">
        <f aca="false">IF(OR(DH$4=0,DH46=""),"",IFERROR(ROUND(DH46/INDEX(Undirviðmið!$F$6:$F$205,DH$4)*INDEX(Undirviðmið!$E$6:$E$205,DH$4)*KVARDI,2),""))</f>
        <v/>
      </c>
      <c r="DJ46" s="23"/>
      <c r="DK46" s="40" t="str">
        <f aca="false">IF(OR(DJ$4=0,DJ46=""),"",IFERROR(ROUND(DJ46/INDEX(Undirviðmið!$F$6:$F$205,DJ$4)*INDEX(Undirviðmið!$E$6:$E$205,DJ$4)*KVARDI,2),""))</f>
        <v/>
      </c>
      <c r="DL46" s="23"/>
      <c r="DM46" s="40" t="str">
        <f aca="false">IF(OR(DL$4=0,DL46=""),"",IFERROR(ROUND(DL46/INDEX(Undirviðmið!$F$6:$F$205,DL$4)*INDEX(Undirviðmið!$E$6:$E$205,DL$4)*KVARDI,2),""))</f>
        <v/>
      </c>
      <c r="DN46" s="23"/>
      <c r="DO46" s="40" t="str">
        <f aca="false">IF(OR(DN$4=0,DN46=""),"",IFERROR(ROUND(DN46/INDEX(Undirviðmið!$F$6:$F$205,DN$4)*INDEX(Undirviðmið!$E$6:$E$205,DN$4)*KVARDI,2),""))</f>
        <v/>
      </c>
      <c r="DP46" s="23"/>
      <c r="DQ46" s="40" t="str">
        <f aca="false">IF(OR(DP$4=0,DP46=""),"",IFERROR(ROUND(DP46/INDEX(Undirviðmið!$F$6:$F$205,DP$4)*INDEX(Undirviðmið!$E$6:$E$205,DP$4)*KVARDI,2),""))</f>
        <v/>
      </c>
      <c r="DR46" s="23"/>
      <c r="DS46" s="40" t="str">
        <f aca="false">IF(OR(DR$4=0,DR46=""),"",IFERROR(ROUND(DR46/INDEX(Undirviðmið!$F$6:$F$205,DR$4)*INDEX(Undirviðmið!$E$6:$E$205,DR$4)*KVARDI,2),""))</f>
        <v/>
      </c>
      <c r="DT46" s="23"/>
      <c r="DU46" s="40" t="str">
        <f aca="false">IF(OR(DT$4=0,DT46=""),"",IFERROR(ROUND(DT46/INDEX(Undirviðmið!$F$6:$F$205,DT$4)*INDEX(Undirviðmið!$E$6:$E$205,DT$4)*KVARDI,2),""))</f>
        <v/>
      </c>
      <c r="DV46" s="23"/>
      <c r="DW46" s="40" t="str">
        <f aca="false">IF(OR(DV$4=0,DV46=""),"",IFERROR(ROUND(DV46/INDEX(Undirviðmið!$F$6:$F$205,DV$4)*INDEX(Undirviðmið!$E$6:$E$205,DV$4)*KVARDI,2),""))</f>
        <v/>
      </c>
      <c r="DX46" s="23"/>
      <c r="DY46" s="40" t="str">
        <f aca="false">IF(OR(DX$4=0,DX46=""),"",IFERROR(ROUND(DX46/INDEX(Undirviðmið!$F$6:$F$205,DX$4)*INDEX(Undirviðmið!$E$6:$E$205,DX$4)*KVARDI,2),""))</f>
        <v/>
      </c>
      <c r="DZ46" s="23"/>
      <c r="EA46" s="40" t="str">
        <f aca="false">IF(OR(DZ$4=0,DZ46=""),"",IFERROR(ROUND(DZ46/INDEX(Undirviðmið!$F$6:$F$205,DZ$4)*INDEX(Undirviðmið!$E$6:$E$205,DZ$4)*KVARDI,2),""))</f>
        <v/>
      </c>
      <c r="EB46" s="23"/>
      <c r="EC46" s="40" t="str">
        <f aca="false">IF(OR(EB$4=0,EB46=""),"",IFERROR(ROUND(EB46/INDEX(Undirviðmið!$F$6:$F$205,EB$4)*INDEX(Undirviðmið!$E$6:$E$205,EB$4)*KVARDI,2),""))</f>
        <v/>
      </c>
      <c r="ED46" s="23"/>
      <c r="EE46" s="40" t="str">
        <f aca="false">IF(OR(ED$4=0,ED46=""),"",IFERROR(ROUND(ED46/INDEX(Undirviðmið!$F$6:$F$205,ED$4)*INDEX(Undirviðmið!$E$6:$E$205,ED$4)*KVARDI,2),""))</f>
        <v/>
      </c>
      <c r="EF46" s="23"/>
      <c r="EG46" s="40" t="str">
        <f aca="false">IF(OR(EF$4=0,EF46=""),"",IFERROR(ROUND(EF46/INDEX(Undirviðmið!$F$6:$F$205,EF$4)*INDEX(Undirviðmið!$E$6:$E$205,EF$4)*KVARDI,2),""))</f>
        <v/>
      </c>
      <c r="EH46" s="23"/>
      <c r="EI46" s="40" t="str">
        <f aca="false">IF(OR(EH$4=0,EH46=""),"",IFERROR(ROUND(EH46/INDEX(Undirviðmið!$F$6:$F$205,EH$4)*INDEX(Undirviðmið!$E$6:$E$205,EH$4)*KVARDI,2),""))</f>
        <v/>
      </c>
      <c r="EJ46" s="23"/>
      <c r="EK46" s="40" t="str">
        <f aca="false">IF(OR(EJ$4=0,EJ46=""),"",IFERROR(ROUND(EJ46/INDEX(Undirviðmið!$F$6:$F$205,EJ$4)*INDEX(Undirviðmið!$E$6:$E$205,EJ$4)*KVARDI,2),""))</f>
        <v/>
      </c>
      <c r="EL46" s="23"/>
      <c r="EM46" s="40" t="str">
        <f aca="false">IF(OR(EL$4=0,EL46=""),"",IFERROR(ROUND(EL46/INDEX(Undirviðmið!$F$6:$F$205,EL$4)*INDEX(Undirviðmið!$E$6:$E$205,EL$4)*KVARDI,2),""))</f>
        <v/>
      </c>
      <c r="EN46" s="23"/>
      <c r="EO46" s="40" t="str">
        <f aca="false">IF(OR(EN$4=0,EN46=""),"",IFERROR(ROUND(EN46/INDEX(Undirviðmið!$F$6:$F$205,EN$4)*INDEX(Undirviðmið!$E$6:$E$205,EN$4)*KVARDI,2),""))</f>
        <v/>
      </c>
      <c r="EP46" s="23"/>
      <c r="EQ46" s="40" t="str">
        <f aca="false">IF(OR(EP$4=0,EP46=""),"",IFERROR(ROUND(EP46/INDEX(Undirviðmið!$F$6:$F$205,EP$4)*INDEX(Undirviðmið!$E$6:$E$205,EP$4)*KVARDI,2),""))</f>
        <v/>
      </c>
      <c r="ER46" s="23"/>
      <c r="ES46" s="40" t="str">
        <f aca="false">IF(OR(ER$4=0,ER46=""),"",IFERROR(ROUND(ER46/INDEX(Undirviðmið!$F$6:$F$205,ER$4)*INDEX(Undirviðmið!$E$6:$E$205,ER$4)*KVARDI,2),""))</f>
        <v/>
      </c>
      <c r="ET46" s="23"/>
      <c r="EU46" s="40" t="str">
        <f aca="false">IF(OR(ET$4=0,ET46=""),"",IFERROR(ROUND(ET46/INDEX(Undirviðmið!$F$6:$F$205,ET$4)*INDEX(Undirviðmið!$E$6:$E$205,ET$4)*KVARDI,2),""))</f>
        <v/>
      </c>
      <c r="EV46" s="23"/>
      <c r="EW46" s="40" t="str">
        <f aca="false">IF(OR(EV$4=0,EV46=""),"",IFERROR(ROUND(EV46/INDEX(Undirviðmið!$F$6:$F$205,EV$4)*INDEX(Undirviðmið!$E$6:$E$205,EV$4)*KVARDI,2),""))</f>
        <v/>
      </c>
      <c r="EX46" s="23"/>
      <c r="EY46" s="40" t="str">
        <f aca="false">IF(OR(EX$4=0,EX46=""),"",IFERROR(ROUND(EX46/INDEX(Undirviðmið!$F$6:$F$205,EX$4)*INDEX(Undirviðmið!$E$6:$E$205,EX$4)*KVARDI,2),""))</f>
        <v/>
      </c>
      <c r="EZ46" s="23"/>
      <c r="FA46" s="40" t="str">
        <f aca="false">IF(OR(EZ$4=0,EZ46=""),"",IFERROR(ROUND(EZ46/INDEX(Undirviðmið!$F$6:$F$205,EZ$4)*INDEX(Undirviðmið!$E$6:$E$205,EZ$4)*KVARDI,2),""))</f>
        <v/>
      </c>
      <c r="FB46" s="23"/>
      <c r="FC46" s="40" t="str">
        <f aca="false">IF(OR(FB$4=0,FB46=""),"",IFERROR(ROUND(FB46/INDEX(Undirviðmið!$F$6:$F$205,FB$4)*INDEX(Undirviðmið!$E$6:$E$205,FB$4)*KVARDI,2),""))</f>
        <v/>
      </c>
      <c r="FD46" s="23"/>
      <c r="FE46" s="40" t="str">
        <f aca="false">IF(OR(FD$4=0,FD46=""),"",IFERROR(ROUND(FD46/INDEX(Undirviðmið!$F$6:$F$205,FD$4)*INDEX(Undirviðmið!$E$6:$E$205,FD$4)*KVARDI,2),""))</f>
        <v/>
      </c>
      <c r="FF46" s="23"/>
      <c r="FG46" s="40" t="str">
        <f aca="false">IF(OR(FF$4=0,FF46=""),"",IFERROR(ROUND(FF46/INDEX(Undirviðmið!$F$6:$F$205,FF$4)*INDEX(Undirviðmið!$E$6:$E$205,FF$4)*KVARDI,2),""))</f>
        <v/>
      </c>
      <c r="FH46" s="23"/>
      <c r="FI46" s="40" t="str">
        <f aca="false">IF(OR(FH$4=0,FH46=""),"",IFERROR(ROUND(FH46/INDEX(Undirviðmið!$F$6:$F$205,FH$4)*INDEX(Undirviðmið!$E$6:$E$205,FH$4)*KVARDI,2),""))</f>
        <v/>
      </c>
      <c r="FJ46" s="23"/>
      <c r="FK46" s="40" t="str">
        <f aca="false">IF(OR(FJ$4=0,FJ46=""),"",IFERROR(ROUND(FJ46/INDEX(Undirviðmið!$F$6:$F$205,FJ$4)*INDEX(Undirviðmið!$E$6:$E$205,FJ$4)*KVARDI,2),""))</f>
        <v/>
      </c>
      <c r="FL46" s="23"/>
      <c r="FM46" s="40" t="str">
        <f aca="false">IF(OR(FL$4=0,FL46=""),"",IFERROR(ROUND(FL46/INDEX(Undirviðmið!$F$6:$F$205,FL$4)*INDEX(Undirviðmið!$E$6:$E$205,FL$4)*KVARDI,2),""))</f>
        <v/>
      </c>
      <c r="FN46" s="23"/>
      <c r="FO46" s="40" t="str">
        <f aca="false">IF(OR(FN$4=0,FN46=""),"",IFERROR(ROUND(FN46/INDEX(Undirviðmið!$F$6:$F$205,FN$4)*INDEX(Undirviðmið!$E$6:$E$205,FN$4)*KVARDI,2),""))</f>
        <v/>
      </c>
      <c r="FP46" s="23"/>
      <c r="FQ46" s="40" t="str">
        <f aca="false">IF(OR(FP$4=0,FP46=""),"",IFERROR(ROUND(FP46/INDEX(Undirviðmið!$F$6:$F$205,FP$4)*INDEX(Undirviðmið!$E$6:$E$205,FP$4)*KVARDI,2),""))</f>
        <v/>
      </c>
      <c r="FR46" s="23"/>
      <c r="FS46" s="40" t="str">
        <f aca="false">IF(OR(FR$4=0,FR46=""),"",IFERROR(ROUND(FR46/INDEX(Undirviðmið!$F$6:$F$205,FR$4)*INDEX(Undirviðmið!$E$6:$E$205,FR$4)*KVARDI,2),""))</f>
        <v/>
      </c>
      <c r="FT46" s="23"/>
      <c r="FU46" s="40" t="str">
        <f aca="false">IF(OR(FT$4=0,FT46=""),"",IFERROR(ROUND(FT46/INDEX(Undirviðmið!$F$6:$F$205,FT$4)*INDEX(Undirviðmið!$E$6:$E$205,FT$4)*KVARDI,2),""))</f>
        <v/>
      </c>
      <c r="FV46" s="23"/>
      <c r="FW46" s="40" t="str">
        <f aca="false">IF(OR(FV$4=0,FV46=""),"",IFERROR(ROUND(FV46/INDEX(Undirviðmið!$F$6:$F$205,FV$4)*INDEX(Undirviðmið!$E$6:$E$205,FV$4)*KVARDI,2),""))</f>
        <v/>
      </c>
      <c r="FX46" s="23"/>
      <c r="FY46" s="40" t="str">
        <f aca="false">IF(OR(FX$4=0,FX46=""),"",IFERROR(ROUND(FX46/INDEX(Undirviðmið!$F$6:$F$205,FX$4)*INDEX(Undirviðmið!$E$6:$E$205,FX$4)*KVARDI,2),""))</f>
        <v/>
      </c>
      <c r="FZ46" s="23"/>
      <c r="GA46" s="40" t="str">
        <f aca="false">IF(OR(FZ$4=0,FZ46=""),"",IFERROR(ROUND(FZ46/INDEX(Undirviðmið!$F$6:$F$205,FZ$4)*INDEX(Undirviðmið!$E$6:$E$205,FZ$4)*KVARDI,2),""))</f>
        <v/>
      </c>
      <c r="GB46" s="23"/>
      <c r="GC46" s="40" t="str">
        <f aca="false">IF(OR(GB$4=0,GB46=""),"",IFERROR(ROUND(GB46/INDEX(Undirviðmið!$F$6:$F$205,GB$4)*INDEX(Undirviðmið!$E$6:$E$205,GB$4)*KVARDI,2),""))</f>
        <v/>
      </c>
      <c r="GD46" s="23"/>
      <c r="GE46" s="40" t="str">
        <f aca="false">IF(OR(GD$4=0,GD46=""),"",IFERROR(ROUND(GD46/INDEX(Undirviðmið!$F$6:$F$205,GD$4)*INDEX(Undirviðmið!$E$6:$E$205,GD$4)*KVARDI,2),""))</f>
        <v/>
      </c>
      <c r="GF46" s="23"/>
      <c r="GG46" s="40" t="str">
        <f aca="false">IF(OR(GF$4=0,GF46=""),"",IFERROR(ROUND(GF46/INDEX(Undirviðmið!$F$6:$F$205,GF$4)*INDEX(Undirviðmið!$E$6:$E$205,GF$4)*KVARDI,2),""))</f>
        <v/>
      </c>
      <c r="GH46" s="23"/>
      <c r="GI46" s="40" t="str">
        <f aca="false">IF(OR(GH$4=0,GH46=""),"",IFERROR(ROUND(GH46/INDEX(Undirviðmið!$F$6:$F$205,GH$4)*INDEX(Undirviðmið!$E$6:$E$205,GH$4)*KVARDI,2),""))</f>
        <v/>
      </c>
      <c r="GJ46" s="23"/>
      <c r="GK46" s="40" t="str">
        <f aca="false">IF(OR(GJ$4=0,GJ46=""),"",IFERROR(ROUND(GJ46/INDEX(Undirviðmið!$F$6:$F$205,GJ$4)*INDEX(Undirviðmið!$E$6:$E$205,GJ$4)*KVARDI,2),""))</f>
        <v/>
      </c>
      <c r="GL46" s="23"/>
      <c r="GM46" s="40" t="str">
        <f aca="false">IF(OR(GL$4=0,GL46=""),"",IFERROR(ROUND(GL46/INDEX(Undirviðmið!$F$6:$F$205,GL$4)*INDEX(Undirviðmið!$E$6:$E$205,GL$4)*KVARDI,2),""))</f>
        <v/>
      </c>
      <c r="GN46" s="23"/>
      <c r="GO46" s="40" t="str">
        <f aca="false">IF(OR(GN$4=0,GN46=""),"",IFERROR(ROUND(GN46/INDEX(Undirviðmið!$F$6:$F$205,GN$4)*INDEX(Undirviðmið!$E$6:$E$205,GN$4)*KVARDI,2),""))</f>
        <v/>
      </c>
      <c r="GP46" s="23"/>
      <c r="GQ46" s="40" t="str">
        <f aca="false">IF(OR(GP$4=0,GP46=""),"",IFERROR(ROUND(GP46/INDEX(Undirviðmið!$F$6:$F$205,GP$4)*INDEX(Undirviðmið!$E$6:$E$205,GP$4)*KVARDI,2),""))</f>
        <v/>
      </c>
      <c r="GR46" s="23"/>
      <c r="GS46" s="40" t="str">
        <f aca="false">IF(OR(GR$4=0,GR46=""),"",IFERROR(ROUND(GR46/INDEX(Undirviðmið!$F$6:$F$205,GR$4)*INDEX(Undirviðmið!$E$6:$E$205,GR$4)*KVARDI,2),""))</f>
        <v/>
      </c>
      <c r="GT46" s="23"/>
      <c r="GU46" s="40" t="str">
        <f aca="false">IF(OR(GT$4=0,GT46=""),"",IFERROR(ROUND(GT46/INDEX(Undirviðmið!$F$6:$F$205,GT$4)*INDEX(Undirviðmið!$E$6:$E$205,GT$4)*KVARDI,2),""))</f>
        <v/>
      </c>
      <c r="GV46" s="44" t="n">
        <f aca="false">IFERROR(SUMIF($D$6:GU$6,"Stig",$D46:GU46),0)</f>
        <v>0</v>
      </c>
    </row>
    <row r="47" customFormat="false" ht="15" hidden="false" customHeight="true" outlineLevel="0" collapsed="false">
      <c r="A47" s="22" t="n">
        <f aca="false">ROW()-6</f>
        <v>41</v>
      </c>
      <c r="B47" s="24" t="str">
        <f aca="false">IF(INDEX(Starfsmenn!$B$6:$B$10005,ROW()-6)="","",INDEX(Starfsmenn!$B$6:$B$10005,ROW()-6))</f>
        <v/>
      </c>
      <c r="C47" s="24" t="str">
        <f aca="false">IF(INDEX(Starfsmenn!$C$6:$C$10005,ROW()-6)="","",INDEX(Starfsmenn!$C$6:$C$10005,ROW()-6))</f>
        <v/>
      </c>
      <c r="D47" s="23"/>
      <c r="E47" s="40" t="str">
        <f aca="false">IF(OR(D$4=0,D47=""),"",IFERROR(ROUND(D47/INDEX(Undirviðmið!$F$6:$F$205,D$4)*INDEX(Undirviðmið!$E$6:$E$205,D$4)*KVARDI,2),""))</f>
        <v/>
      </c>
      <c r="F47" s="23"/>
      <c r="G47" s="40" t="str">
        <f aca="false">IF(OR(F$4=0,F47=""),"",IFERROR(ROUND(F47/INDEX(Undirviðmið!$F$6:$F$205,F$4)*INDEX(Undirviðmið!$E$6:$E$205,F$4)*KVARDI,2),""))</f>
        <v/>
      </c>
      <c r="H47" s="23"/>
      <c r="I47" s="40" t="str">
        <f aca="false">IF(OR(H$4=0,H47=""),"",IFERROR(ROUND(H47/INDEX(Undirviðmið!$F$6:$F$205,H$4)*INDEX(Undirviðmið!$E$6:$E$205,H$4)*KVARDI,2),""))</f>
        <v/>
      </c>
      <c r="J47" s="23"/>
      <c r="K47" s="40" t="str">
        <f aca="false">IF(OR(J$4=0,J47=""),"",IFERROR(ROUND(J47/INDEX(Undirviðmið!$F$6:$F$205,J$4)*INDEX(Undirviðmið!$E$6:$E$205,J$4)*KVARDI,2),""))</f>
        <v/>
      </c>
      <c r="L47" s="23"/>
      <c r="M47" s="40" t="str">
        <f aca="false">IF(OR(L$4=0,L47=""),"",IFERROR(ROUND(L47/INDEX(Undirviðmið!$F$6:$F$205,L$4)*INDEX(Undirviðmið!$E$6:$E$205,L$4)*KVARDI,2),""))</f>
        <v/>
      </c>
      <c r="N47" s="23"/>
      <c r="O47" s="40" t="str">
        <f aca="false">IF(OR(N$4=0,N47=""),"",IFERROR(ROUND(N47/INDEX(Undirviðmið!$F$6:$F$205,N$4)*INDEX(Undirviðmið!$E$6:$E$205,N$4)*KVARDI,2),""))</f>
        <v/>
      </c>
      <c r="P47" s="23"/>
      <c r="Q47" s="40" t="str">
        <f aca="false">IF(OR(P$4=0,P47=""),"",IFERROR(ROUND(P47/INDEX(Undirviðmið!$F$6:$F$205,P$4)*INDEX(Undirviðmið!$E$6:$E$205,P$4)*KVARDI,2),""))</f>
        <v/>
      </c>
      <c r="R47" s="23"/>
      <c r="S47" s="40" t="str">
        <f aca="false">IF(OR(R$4=0,R47=""),"",IFERROR(ROUND(R47/INDEX(Undirviðmið!$F$6:$F$205,R$4)*INDEX(Undirviðmið!$E$6:$E$205,R$4)*KVARDI,2),""))</f>
        <v/>
      </c>
      <c r="T47" s="23"/>
      <c r="U47" s="40" t="str">
        <f aca="false">IF(OR(T$4=0,T47=""),"",IFERROR(ROUND(T47/INDEX(Undirviðmið!$F$6:$F$205,T$4)*INDEX(Undirviðmið!$E$6:$E$205,T$4)*KVARDI,2),""))</f>
        <v/>
      </c>
      <c r="V47" s="23"/>
      <c r="W47" s="40" t="str">
        <f aca="false">IF(OR(V$4=0,V47=""),"",IFERROR(ROUND(V47/INDEX(Undirviðmið!$F$6:$F$205,V$4)*INDEX(Undirviðmið!$E$6:$E$205,V$4)*KVARDI,2),""))</f>
        <v/>
      </c>
      <c r="X47" s="23"/>
      <c r="Y47" s="40" t="str">
        <f aca="false">IF(OR(X$4=0,X47=""),"",IFERROR(ROUND(X47/INDEX(Undirviðmið!$F$6:$F$205,X$4)*INDEX(Undirviðmið!$E$6:$E$205,X$4)*KVARDI,2),""))</f>
        <v/>
      </c>
      <c r="Z47" s="23"/>
      <c r="AA47" s="40" t="str">
        <f aca="false">IF(OR(Z$4=0,Z47=""),"",IFERROR(ROUND(Z47/INDEX(Undirviðmið!$F$6:$F$205,Z$4)*INDEX(Undirviðmið!$E$6:$E$205,Z$4)*KVARDI,2),""))</f>
        <v/>
      </c>
      <c r="AB47" s="23"/>
      <c r="AC47" s="40" t="str">
        <f aca="false">IF(OR(AB$4=0,AB47=""),"",IFERROR(ROUND(AB47/INDEX(Undirviðmið!$F$6:$F$205,AB$4)*INDEX(Undirviðmið!$E$6:$E$205,AB$4)*KVARDI,2),""))</f>
        <v/>
      </c>
      <c r="AD47" s="23"/>
      <c r="AE47" s="40" t="str">
        <f aca="false">IF(OR(AD$4=0,AD47=""),"",IFERROR(ROUND(AD47/INDEX(Undirviðmið!$F$6:$F$205,AD$4)*INDEX(Undirviðmið!$E$6:$E$205,AD$4)*KVARDI,2),""))</f>
        <v/>
      </c>
      <c r="AF47" s="23"/>
      <c r="AG47" s="40" t="str">
        <f aca="false">IF(OR(AF$4=0,AF47=""),"",IFERROR(ROUND(AF47/INDEX(Undirviðmið!$F$6:$F$205,AF$4)*INDEX(Undirviðmið!$E$6:$E$205,AF$4)*KVARDI,2),""))</f>
        <v/>
      </c>
      <c r="AH47" s="23"/>
      <c r="AI47" s="40" t="str">
        <f aca="false">IF(OR(AH$4=0,AH47=""),"",IFERROR(ROUND(AH47/INDEX(Undirviðmið!$F$6:$F$205,AH$4)*INDEX(Undirviðmið!$E$6:$E$205,AH$4)*KVARDI,2),""))</f>
        <v/>
      </c>
      <c r="AJ47" s="23"/>
      <c r="AK47" s="40" t="str">
        <f aca="false">IF(OR(AJ$4=0,AJ47=""),"",IFERROR(ROUND(AJ47/INDEX(Undirviðmið!$F$6:$F$205,AJ$4)*INDEX(Undirviðmið!$E$6:$E$205,AJ$4)*KVARDI,2),""))</f>
        <v/>
      </c>
      <c r="AL47" s="23"/>
      <c r="AM47" s="40" t="str">
        <f aca="false">IF(OR(AL$4=0,AL47=""),"",IFERROR(ROUND(AL47/INDEX(Undirviðmið!$F$6:$F$205,AL$4)*INDEX(Undirviðmið!$E$6:$E$205,AL$4)*KVARDI,2),""))</f>
        <v/>
      </c>
      <c r="AN47" s="23"/>
      <c r="AO47" s="40" t="str">
        <f aca="false">IF(OR(AN$4=0,AN47=""),"",IFERROR(ROUND(AN47/INDEX(Undirviðmið!$F$6:$F$205,AN$4)*INDEX(Undirviðmið!$E$6:$E$205,AN$4)*KVARDI,2),""))</f>
        <v/>
      </c>
      <c r="AP47" s="23"/>
      <c r="AQ47" s="40" t="str">
        <f aca="false">IF(OR(AP$4=0,AP47=""),"",IFERROR(ROUND(AP47/INDEX(Undirviðmið!$F$6:$F$205,AP$4)*INDEX(Undirviðmið!$E$6:$E$205,AP$4)*KVARDI,2),""))</f>
        <v/>
      </c>
      <c r="AR47" s="23"/>
      <c r="AS47" s="40" t="str">
        <f aca="false">IF(OR(AR$4=0,AR47=""),"",IFERROR(ROUND(AR47/INDEX(Undirviðmið!$F$6:$F$205,AR$4)*INDEX(Undirviðmið!$E$6:$E$205,AR$4)*KVARDI,2),""))</f>
        <v/>
      </c>
      <c r="AT47" s="23"/>
      <c r="AU47" s="40" t="str">
        <f aca="false">IF(OR(AT$4=0,AT47=""),"",IFERROR(ROUND(AT47/INDEX(Undirviðmið!$F$6:$F$205,AT$4)*INDEX(Undirviðmið!$E$6:$E$205,AT$4)*KVARDI,2),""))</f>
        <v/>
      </c>
      <c r="AV47" s="23"/>
      <c r="AW47" s="40" t="str">
        <f aca="false">IF(OR(AV$4=0,AV47=""),"",IFERROR(ROUND(AV47/INDEX(Undirviðmið!$F$6:$F$205,AV$4)*INDEX(Undirviðmið!$E$6:$E$205,AV$4)*KVARDI,2),""))</f>
        <v/>
      </c>
      <c r="AX47" s="23"/>
      <c r="AY47" s="40" t="str">
        <f aca="false">IF(OR(AX$4=0,AX47=""),"",IFERROR(ROUND(AX47/INDEX(Undirviðmið!$F$6:$F$205,AX$4)*INDEX(Undirviðmið!$E$6:$E$205,AX$4)*KVARDI,2),""))</f>
        <v/>
      </c>
      <c r="AZ47" s="23"/>
      <c r="BA47" s="40" t="str">
        <f aca="false">IF(OR(AZ$4=0,AZ47=""),"",IFERROR(ROUND(AZ47/INDEX(Undirviðmið!$F$6:$F$205,AZ$4)*INDEX(Undirviðmið!$E$6:$E$205,AZ$4)*KVARDI,2),""))</f>
        <v/>
      </c>
      <c r="BB47" s="23"/>
      <c r="BC47" s="40" t="str">
        <f aca="false">IF(OR(BB$4=0,BB47=""),"",IFERROR(ROUND(BB47/INDEX(Undirviðmið!$F$6:$F$205,BB$4)*INDEX(Undirviðmið!$E$6:$E$205,BB$4)*KVARDI,2),""))</f>
        <v/>
      </c>
      <c r="BD47" s="23"/>
      <c r="BE47" s="40" t="str">
        <f aca="false">IF(OR(BD$4=0,BD47=""),"",IFERROR(ROUND(BD47/INDEX(Undirviðmið!$F$6:$F$205,BD$4)*INDEX(Undirviðmið!$E$6:$E$205,BD$4)*KVARDI,2),""))</f>
        <v/>
      </c>
      <c r="BF47" s="23"/>
      <c r="BG47" s="40" t="str">
        <f aca="false">IF(OR(BF$4=0,BF47=""),"",IFERROR(ROUND(BF47/INDEX(Undirviðmið!$F$6:$F$205,BF$4)*INDEX(Undirviðmið!$E$6:$E$205,BF$4)*KVARDI,2),""))</f>
        <v/>
      </c>
      <c r="BH47" s="23"/>
      <c r="BI47" s="40" t="str">
        <f aca="false">IF(OR(BH$4=0,BH47=""),"",IFERROR(ROUND(BH47/INDEX(Undirviðmið!$F$6:$F$205,BH$4)*INDEX(Undirviðmið!$E$6:$E$205,BH$4)*KVARDI,2),""))</f>
        <v/>
      </c>
      <c r="BJ47" s="23"/>
      <c r="BK47" s="40" t="str">
        <f aca="false">IF(OR(BJ$4=0,BJ47=""),"",IFERROR(ROUND(BJ47/INDEX(Undirviðmið!$F$6:$F$205,BJ$4)*INDEX(Undirviðmið!$E$6:$E$205,BJ$4)*KVARDI,2),""))</f>
        <v/>
      </c>
      <c r="BL47" s="23"/>
      <c r="BM47" s="40" t="str">
        <f aca="false">IF(OR(BL$4=0,BL47=""),"",IFERROR(ROUND(BL47/INDEX(Undirviðmið!$F$6:$F$205,BL$4)*INDEX(Undirviðmið!$E$6:$E$205,BL$4)*KVARDI,2),""))</f>
        <v/>
      </c>
      <c r="BN47" s="23"/>
      <c r="BO47" s="40" t="str">
        <f aca="false">IF(OR(BN$4=0,BN47=""),"",IFERROR(ROUND(BN47/INDEX(Undirviðmið!$F$6:$F$205,BN$4)*INDEX(Undirviðmið!$E$6:$E$205,BN$4)*KVARDI,2),""))</f>
        <v/>
      </c>
      <c r="BP47" s="23"/>
      <c r="BQ47" s="40" t="str">
        <f aca="false">IF(OR(BP$4=0,BP47=""),"",IFERROR(ROUND(BP47/INDEX(Undirviðmið!$F$6:$F$205,BP$4)*INDEX(Undirviðmið!$E$6:$E$205,BP$4)*KVARDI,2),""))</f>
        <v/>
      </c>
      <c r="BR47" s="23"/>
      <c r="BS47" s="40" t="str">
        <f aca="false">IF(OR(BR$4=0,BR47=""),"",IFERROR(ROUND(BR47/INDEX(Undirviðmið!$F$6:$F$205,BR$4)*INDEX(Undirviðmið!$E$6:$E$205,BR$4)*KVARDI,2),""))</f>
        <v/>
      </c>
      <c r="BT47" s="23"/>
      <c r="BU47" s="40" t="str">
        <f aca="false">IF(OR(BT$4=0,BT47=""),"",IFERROR(ROUND(BT47/INDEX(Undirviðmið!$F$6:$F$205,BT$4)*INDEX(Undirviðmið!$E$6:$E$205,BT$4)*KVARDI,2),""))</f>
        <v/>
      </c>
      <c r="BV47" s="23"/>
      <c r="BW47" s="40" t="str">
        <f aca="false">IF(OR(BV$4=0,BV47=""),"",IFERROR(ROUND(BV47/INDEX(Undirviðmið!$F$6:$F$205,BV$4)*INDEX(Undirviðmið!$E$6:$E$205,BV$4)*KVARDI,2),""))</f>
        <v/>
      </c>
      <c r="BX47" s="23"/>
      <c r="BY47" s="40" t="str">
        <f aca="false">IF(OR(BX$4=0,BX47=""),"",IFERROR(ROUND(BX47/INDEX(Undirviðmið!$F$6:$F$205,BX$4)*INDEX(Undirviðmið!$E$6:$E$205,BX$4)*KVARDI,2),""))</f>
        <v/>
      </c>
      <c r="BZ47" s="23"/>
      <c r="CA47" s="40" t="str">
        <f aca="false">IF(OR(BZ$4=0,BZ47=""),"",IFERROR(ROUND(BZ47/INDEX(Undirviðmið!$F$6:$F$205,BZ$4)*INDEX(Undirviðmið!$E$6:$E$205,BZ$4)*KVARDI,2),""))</f>
        <v/>
      </c>
      <c r="CB47" s="23"/>
      <c r="CC47" s="40" t="str">
        <f aca="false">IF(OR(CB$4=0,CB47=""),"",IFERROR(ROUND(CB47/INDEX(Undirviðmið!$F$6:$F$205,CB$4)*INDEX(Undirviðmið!$E$6:$E$205,CB$4)*KVARDI,2),""))</f>
        <v/>
      </c>
      <c r="CD47" s="23"/>
      <c r="CE47" s="40" t="str">
        <f aca="false">IF(OR(CD$4=0,CD47=""),"",IFERROR(ROUND(CD47/INDEX(Undirviðmið!$F$6:$F$205,CD$4)*INDEX(Undirviðmið!$E$6:$E$205,CD$4)*KVARDI,2),""))</f>
        <v/>
      </c>
      <c r="CF47" s="23"/>
      <c r="CG47" s="40" t="str">
        <f aca="false">IF(OR(CF$4=0,CF47=""),"",IFERROR(ROUND(CF47/INDEX(Undirviðmið!$F$6:$F$205,CF$4)*INDEX(Undirviðmið!$E$6:$E$205,CF$4)*KVARDI,2),""))</f>
        <v/>
      </c>
      <c r="CH47" s="23"/>
      <c r="CI47" s="40" t="str">
        <f aca="false">IF(OR(CH$4=0,CH47=""),"",IFERROR(ROUND(CH47/INDEX(Undirviðmið!$F$6:$F$205,CH$4)*INDEX(Undirviðmið!$E$6:$E$205,CH$4)*KVARDI,2),""))</f>
        <v/>
      </c>
      <c r="CJ47" s="23"/>
      <c r="CK47" s="40" t="str">
        <f aca="false">IF(OR(CJ$4=0,CJ47=""),"",IFERROR(ROUND(CJ47/INDEX(Undirviðmið!$F$6:$F$205,CJ$4)*INDEX(Undirviðmið!$E$6:$E$205,CJ$4)*KVARDI,2),""))</f>
        <v/>
      </c>
      <c r="CL47" s="23"/>
      <c r="CM47" s="40" t="str">
        <f aca="false">IF(OR(CL$4=0,CL47=""),"",IFERROR(ROUND(CL47/INDEX(Undirviðmið!$F$6:$F$205,CL$4)*INDEX(Undirviðmið!$E$6:$E$205,CL$4)*KVARDI,2),""))</f>
        <v/>
      </c>
      <c r="CN47" s="23"/>
      <c r="CO47" s="40" t="str">
        <f aca="false">IF(OR(CN$4=0,CN47=""),"",IFERROR(ROUND(CN47/INDEX(Undirviðmið!$F$6:$F$205,CN$4)*INDEX(Undirviðmið!$E$6:$E$205,CN$4)*KVARDI,2),""))</f>
        <v/>
      </c>
      <c r="CP47" s="23"/>
      <c r="CQ47" s="40" t="str">
        <f aca="false">IF(OR(CP$4=0,CP47=""),"",IFERROR(ROUND(CP47/INDEX(Undirviðmið!$F$6:$F$205,CP$4)*INDEX(Undirviðmið!$E$6:$E$205,CP$4)*KVARDI,2),""))</f>
        <v/>
      </c>
      <c r="CR47" s="23"/>
      <c r="CS47" s="40" t="str">
        <f aca="false">IF(OR(CR$4=0,CR47=""),"",IFERROR(ROUND(CR47/INDEX(Undirviðmið!$F$6:$F$205,CR$4)*INDEX(Undirviðmið!$E$6:$E$205,CR$4)*KVARDI,2),""))</f>
        <v/>
      </c>
      <c r="CT47" s="23"/>
      <c r="CU47" s="40" t="str">
        <f aca="false">IF(OR(CT$4=0,CT47=""),"",IFERROR(ROUND(CT47/INDEX(Undirviðmið!$F$6:$F$205,CT$4)*INDEX(Undirviðmið!$E$6:$E$205,CT$4)*KVARDI,2),""))</f>
        <v/>
      </c>
      <c r="CV47" s="23"/>
      <c r="CW47" s="40" t="str">
        <f aca="false">IF(OR(CV$4=0,CV47=""),"",IFERROR(ROUND(CV47/INDEX(Undirviðmið!$F$6:$F$205,CV$4)*INDEX(Undirviðmið!$E$6:$E$205,CV$4)*KVARDI,2),""))</f>
        <v/>
      </c>
      <c r="CX47" s="23"/>
      <c r="CY47" s="40" t="str">
        <f aca="false">IF(OR(CX$4=0,CX47=""),"",IFERROR(ROUND(CX47/INDEX(Undirviðmið!$F$6:$F$205,CX$4)*INDEX(Undirviðmið!$E$6:$E$205,CX$4)*KVARDI,2),""))</f>
        <v/>
      </c>
      <c r="CZ47" s="23"/>
      <c r="DA47" s="40" t="str">
        <f aca="false">IF(OR(CZ$4=0,CZ47=""),"",IFERROR(ROUND(CZ47/INDEX(Undirviðmið!$F$6:$F$205,CZ$4)*INDEX(Undirviðmið!$E$6:$E$205,CZ$4)*KVARDI,2),""))</f>
        <v/>
      </c>
      <c r="DB47" s="23"/>
      <c r="DC47" s="40" t="str">
        <f aca="false">IF(OR(DB$4=0,DB47=""),"",IFERROR(ROUND(DB47/INDEX(Undirviðmið!$F$6:$F$205,DB$4)*INDEX(Undirviðmið!$E$6:$E$205,DB$4)*KVARDI,2),""))</f>
        <v/>
      </c>
      <c r="DD47" s="23"/>
      <c r="DE47" s="40" t="str">
        <f aca="false">IF(OR(DD$4=0,DD47=""),"",IFERROR(ROUND(DD47/INDEX(Undirviðmið!$F$6:$F$205,DD$4)*INDEX(Undirviðmið!$E$6:$E$205,DD$4)*KVARDI,2),""))</f>
        <v/>
      </c>
      <c r="DF47" s="23"/>
      <c r="DG47" s="40" t="str">
        <f aca="false">IF(OR(DF$4=0,DF47=""),"",IFERROR(ROUND(DF47/INDEX(Undirviðmið!$F$6:$F$205,DF$4)*INDEX(Undirviðmið!$E$6:$E$205,DF$4)*KVARDI,2),""))</f>
        <v/>
      </c>
      <c r="DH47" s="23"/>
      <c r="DI47" s="40" t="str">
        <f aca="false">IF(OR(DH$4=0,DH47=""),"",IFERROR(ROUND(DH47/INDEX(Undirviðmið!$F$6:$F$205,DH$4)*INDEX(Undirviðmið!$E$6:$E$205,DH$4)*KVARDI,2),""))</f>
        <v/>
      </c>
      <c r="DJ47" s="23"/>
      <c r="DK47" s="40" t="str">
        <f aca="false">IF(OR(DJ$4=0,DJ47=""),"",IFERROR(ROUND(DJ47/INDEX(Undirviðmið!$F$6:$F$205,DJ$4)*INDEX(Undirviðmið!$E$6:$E$205,DJ$4)*KVARDI,2),""))</f>
        <v/>
      </c>
      <c r="DL47" s="23"/>
      <c r="DM47" s="40" t="str">
        <f aca="false">IF(OR(DL$4=0,DL47=""),"",IFERROR(ROUND(DL47/INDEX(Undirviðmið!$F$6:$F$205,DL$4)*INDEX(Undirviðmið!$E$6:$E$205,DL$4)*KVARDI,2),""))</f>
        <v/>
      </c>
      <c r="DN47" s="23"/>
      <c r="DO47" s="40" t="str">
        <f aca="false">IF(OR(DN$4=0,DN47=""),"",IFERROR(ROUND(DN47/INDEX(Undirviðmið!$F$6:$F$205,DN$4)*INDEX(Undirviðmið!$E$6:$E$205,DN$4)*KVARDI,2),""))</f>
        <v/>
      </c>
      <c r="DP47" s="23"/>
      <c r="DQ47" s="40" t="str">
        <f aca="false">IF(OR(DP$4=0,DP47=""),"",IFERROR(ROUND(DP47/INDEX(Undirviðmið!$F$6:$F$205,DP$4)*INDEX(Undirviðmið!$E$6:$E$205,DP$4)*KVARDI,2),""))</f>
        <v/>
      </c>
      <c r="DR47" s="23"/>
      <c r="DS47" s="40" t="str">
        <f aca="false">IF(OR(DR$4=0,DR47=""),"",IFERROR(ROUND(DR47/INDEX(Undirviðmið!$F$6:$F$205,DR$4)*INDEX(Undirviðmið!$E$6:$E$205,DR$4)*KVARDI,2),""))</f>
        <v/>
      </c>
      <c r="DT47" s="23"/>
      <c r="DU47" s="40" t="str">
        <f aca="false">IF(OR(DT$4=0,DT47=""),"",IFERROR(ROUND(DT47/INDEX(Undirviðmið!$F$6:$F$205,DT$4)*INDEX(Undirviðmið!$E$6:$E$205,DT$4)*KVARDI,2),""))</f>
        <v/>
      </c>
      <c r="DV47" s="23"/>
      <c r="DW47" s="40" t="str">
        <f aca="false">IF(OR(DV$4=0,DV47=""),"",IFERROR(ROUND(DV47/INDEX(Undirviðmið!$F$6:$F$205,DV$4)*INDEX(Undirviðmið!$E$6:$E$205,DV$4)*KVARDI,2),""))</f>
        <v/>
      </c>
      <c r="DX47" s="23"/>
      <c r="DY47" s="40" t="str">
        <f aca="false">IF(OR(DX$4=0,DX47=""),"",IFERROR(ROUND(DX47/INDEX(Undirviðmið!$F$6:$F$205,DX$4)*INDEX(Undirviðmið!$E$6:$E$205,DX$4)*KVARDI,2),""))</f>
        <v/>
      </c>
      <c r="DZ47" s="23"/>
      <c r="EA47" s="40" t="str">
        <f aca="false">IF(OR(DZ$4=0,DZ47=""),"",IFERROR(ROUND(DZ47/INDEX(Undirviðmið!$F$6:$F$205,DZ$4)*INDEX(Undirviðmið!$E$6:$E$205,DZ$4)*KVARDI,2),""))</f>
        <v/>
      </c>
      <c r="EB47" s="23"/>
      <c r="EC47" s="40" t="str">
        <f aca="false">IF(OR(EB$4=0,EB47=""),"",IFERROR(ROUND(EB47/INDEX(Undirviðmið!$F$6:$F$205,EB$4)*INDEX(Undirviðmið!$E$6:$E$205,EB$4)*KVARDI,2),""))</f>
        <v/>
      </c>
      <c r="ED47" s="23"/>
      <c r="EE47" s="40" t="str">
        <f aca="false">IF(OR(ED$4=0,ED47=""),"",IFERROR(ROUND(ED47/INDEX(Undirviðmið!$F$6:$F$205,ED$4)*INDEX(Undirviðmið!$E$6:$E$205,ED$4)*KVARDI,2),""))</f>
        <v/>
      </c>
      <c r="EF47" s="23"/>
      <c r="EG47" s="40" t="str">
        <f aca="false">IF(OR(EF$4=0,EF47=""),"",IFERROR(ROUND(EF47/INDEX(Undirviðmið!$F$6:$F$205,EF$4)*INDEX(Undirviðmið!$E$6:$E$205,EF$4)*KVARDI,2),""))</f>
        <v/>
      </c>
      <c r="EH47" s="23"/>
      <c r="EI47" s="40" t="str">
        <f aca="false">IF(OR(EH$4=0,EH47=""),"",IFERROR(ROUND(EH47/INDEX(Undirviðmið!$F$6:$F$205,EH$4)*INDEX(Undirviðmið!$E$6:$E$205,EH$4)*KVARDI,2),""))</f>
        <v/>
      </c>
      <c r="EJ47" s="23"/>
      <c r="EK47" s="40" t="str">
        <f aca="false">IF(OR(EJ$4=0,EJ47=""),"",IFERROR(ROUND(EJ47/INDEX(Undirviðmið!$F$6:$F$205,EJ$4)*INDEX(Undirviðmið!$E$6:$E$205,EJ$4)*KVARDI,2),""))</f>
        <v/>
      </c>
      <c r="EL47" s="23"/>
      <c r="EM47" s="40" t="str">
        <f aca="false">IF(OR(EL$4=0,EL47=""),"",IFERROR(ROUND(EL47/INDEX(Undirviðmið!$F$6:$F$205,EL$4)*INDEX(Undirviðmið!$E$6:$E$205,EL$4)*KVARDI,2),""))</f>
        <v/>
      </c>
      <c r="EN47" s="23"/>
      <c r="EO47" s="40" t="str">
        <f aca="false">IF(OR(EN$4=0,EN47=""),"",IFERROR(ROUND(EN47/INDEX(Undirviðmið!$F$6:$F$205,EN$4)*INDEX(Undirviðmið!$E$6:$E$205,EN$4)*KVARDI,2),""))</f>
        <v/>
      </c>
      <c r="EP47" s="23"/>
      <c r="EQ47" s="40" t="str">
        <f aca="false">IF(OR(EP$4=0,EP47=""),"",IFERROR(ROUND(EP47/INDEX(Undirviðmið!$F$6:$F$205,EP$4)*INDEX(Undirviðmið!$E$6:$E$205,EP$4)*KVARDI,2),""))</f>
        <v/>
      </c>
      <c r="ER47" s="23"/>
      <c r="ES47" s="40" t="str">
        <f aca="false">IF(OR(ER$4=0,ER47=""),"",IFERROR(ROUND(ER47/INDEX(Undirviðmið!$F$6:$F$205,ER$4)*INDEX(Undirviðmið!$E$6:$E$205,ER$4)*KVARDI,2),""))</f>
        <v/>
      </c>
      <c r="ET47" s="23"/>
      <c r="EU47" s="40" t="str">
        <f aca="false">IF(OR(ET$4=0,ET47=""),"",IFERROR(ROUND(ET47/INDEX(Undirviðmið!$F$6:$F$205,ET$4)*INDEX(Undirviðmið!$E$6:$E$205,ET$4)*KVARDI,2),""))</f>
        <v/>
      </c>
      <c r="EV47" s="23"/>
      <c r="EW47" s="40" t="str">
        <f aca="false">IF(OR(EV$4=0,EV47=""),"",IFERROR(ROUND(EV47/INDEX(Undirviðmið!$F$6:$F$205,EV$4)*INDEX(Undirviðmið!$E$6:$E$205,EV$4)*KVARDI,2),""))</f>
        <v/>
      </c>
      <c r="EX47" s="23"/>
      <c r="EY47" s="40" t="str">
        <f aca="false">IF(OR(EX$4=0,EX47=""),"",IFERROR(ROUND(EX47/INDEX(Undirviðmið!$F$6:$F$205,EX$4)*INDEX(Undirviðmið!$E$6:$E$205,EX$4)*KVARDI,2),""))</f>
        <v/>
      </c>
      <c r="EZ47" s="23"/>
      <c r="FA47" s="40" t="str">
        <f aca="false">IF(OR(EZ$4=0,EZ47=""),"",IFERROR(ROUND(EZ47/INDEX(Undirviðmið!$F$6:$F$205,EZ$4)*INDEX(Undirviðmið!$E$6:$E$205,EZ$4)*KVARDI,2),""))</f>
        <v/>
      </c>
      <c r="FB47" s="23"/>
      <c r="FC47" s="40" t="str">
        <f aca="false">IF(OR(FB$4=0,FB47=""),"",IFERROR(ROUND(FB47/INDEX(Undirviðmið!$F$6:$F$205,FB$4)*INDEX(Undirviðmið!$E$6:$E$205,FB$4)*KVARDI,2),""))</f>
        <v/>
      </c>
      <c r="FD47" s="23"/>
      <c r="FE47" s="40" t="str">
        <f aca="false">IF(OR(FD$4=0,FD47=""),"",IFERROR(ROUND(FD47/INDEX(Undirviðmið!$F$6:$F$205,FD$4)*INDEX(Undirviðmið!$E$6:$E$205,FD$4)*KVARDI,2),""))</f>
        <v/>
      </c>
      <c r="FF47" s="23"/>
      <c r="FG47" s="40" t="str">
        <f aca="false">IF(OR(FF$4=0,FF47=""),"",IFERROR(ROUND(FF47/INDEX(Undirviðmið!$F$6:$F$205,FF$4)*INDEX(Undirviðmið!$E$6:$E$205,FF$4)*KVARDI,2),""))</f>
        <v/>
      </c>
      <c r="FH47" s="23"/>
      <c r="FI47" s="40" t="str">
        <f aca="false">IF(OR(FH$4=0,FH47=""),"",IFERROR(ROUND(FH47/INDEX(Undirviðmið!$F$6:$F$205,FH$4)*INDEX(Undirviðmið!$E$6:$E$205,FH$4)*KVARDI,2),""))</f>
        <v/>
      </c>
      <c r="FJ47" s="23"/>
      <c r="FK47" s="40" t="str">
        <f aca="false">IF(OR(FJ$4=0,FJ47=""),"",IFERROR(ROUND(FJ47/INDEX(Undirviðmið!$F$6:$F$205,FJ$4)*INDEX(Undirviðmið!$E$6:$E$205,FJ$4)*KVARDI,2),""))</f>
        <v/>
      </c>
      <c r="FL47" s="23"/>
      <c r="FM47" s="40" t="str">
        <f aca="false">IF(OR(FL$4=0,FL47=""),"",IFERROR(ROUND(FL47/INDEX(Undirviðmið!$F$6:$F$205,FL$4)*INDEX(Undirviðmið!$E$6:$E$205,FL$4)*KVARDI,2),""))</f>
        <v/>
      </c>
      <c r="FN47" s="23"/>
      <c r="FO47" s="40" t="str">
        <f aca="false">IF(OR(FN$4=0,FN47=""),"",IFERROR(ROUND(FN47/INDEX(Undirviðmið!$F$6:$F$205,FN$4)*INDEX(Undirviðmið!$E$6:$E$205,FN$4)*KVARDI,2),""))</f>
        <v/>
      </c>
      <c r="FP47" s="23"/>
      <c r="FQ47" s="40" t="str">
        <f aca="false">IF(OR(FP$4=0,FP47=""),"",IFERROR(ROUND(FP47/INDEX(Undirviðmið!$F$6:$F$205,FP$4)*INDEX(Undirviðmið!$E$6:$E$205,FP$4)*KVARDI,2),""))</f>
        <v/>
      </c>
      <c r="FR47" s="23"/>
      <c r="FS47" s="40" t="str">
        <f aca="false">IF(OR(FR$4=0,FR47=""),"",IFERROR(ROUND(FR47/INDEX(Undirviðmið!$F$6:$F$205,FR$4)*INDEX(Undirviðmið!$E$6:$E$205,FR$4)*KVARDI,2),""))</f>
        <v/>
      </c>
      <c r="FT47" s="23"/>
      <c r="FU47" s="40" t="str">
        <f aca="false">IF(OR(FT$4=0,FT47=""),"",IFERROR(ROUND(FT47/INDEX(Undirviðmið!$F$6:$F$205,FT$4)*INDEX(Undirviðmið!$E$6:$E$205,FT$4)*KVARDI,2),""))</f>
        <v/>
      </c>
      <c r="FV47" s="23"/>
      <c r="FW47" s="40" t="str">
        <f aca="false">IF(OR(FV$4=0,FV47=""),"",IFERROR(ROUND(FV47/INDEX(Undirviðmið!$F$6:$F$205,FV$4)*INDEX(Undirviðmið!$E$6:$E$205,FV$4)*KVARDI,2),""))</f>
        <v/>
      </c>
      <c r="FX47" s="23"/>
      <c r="FY47" s="40" t="str">
        <f aca="false">IF(OR(FX$4=0,FX47=""),"",IFERROR(ROUND(FX47/INDEX(Undirviðmið!$F$6:$F$205,FX$4)*INDEX(Undirviðmið!$E$6:$E$205,FX$4)*KVARDI,2),""))</f>
        <v/>
      </c>
      <c r="FZ47" s="23"/>
      <c r="GA47" s="40" t="str">
        <f aca="false">IF(OR(FZ$4=0,FZ47=""),"",IFERROR(ROUND(FZ47/INDEX(Undirviðmið!$F$6:$F$205,FZ$4)*INDEX(Undirviðmið!$E$6:$E$205,FZ$4)*KVARDI,2),""))</f>
        <v/>
      </c>
      <c r="GB47" s="23"/>
      <c r="GC47" s="40" t="str">
        <f aca="false">IF(OR(GB$4=0,GB47=""),"",IFERROR(ROUND(GB47/INDEX(Undirviðmið!$F$6:$F$205,GB$4)*INDEX(Undirviðmið!$E$6:$E$205,GB$4)*KVARDI,2),""))</f>
        <v/>
      </c>
      <c r="GD47" s="23"/>
      <c r="GE47" s="40" t="str">
        <f aca="false">IF(OR(GD$4=0,GD47=""),"",IFERROR(ROUND(GD47/INDEX(Undirviðmið!$F$6:$F$205,GD$4)*INDEX(Undirviðmið!$E$6:$E$205,GD$4)*KVARDI,2),""))</f>
        <v/>
      </c>
      <c r="GF47" s="23"/>
      <c r="GG47" s="40" t="str">
        <f aca="false">IF(OR(GF$4=0,GF47=""),"",IFERROR(ROUND(GF47/INDEX(Undirviðmið!$F$6:$F$205,GF$4)*INDEX(Undirviðmið!$E$6:$E$205,GF$4)*KVARDI,2),""))</f>
        <v/>
      </c>
      <c r="GH47" s="23"/>
      <c r="GI47" s="40" t="str">
        <f aca="false">IF(OR(GH$4=0,GH47=""),"",IFERROR(ROUND(GH47/INDEX(Undirviðmið!$F$6:$F$205,GH$4)*INDEX(Undirviðmið!$E$6:$E$205,GH$4)*KVARDI,2),""))</f>
        <v/>
      </c>
      <c r="GJ47" s="23"/>
      <c r="GK47" s="40" t="str">
        <f aca="false">IF(OR(GJ$4=0,GJ47=""),"",IFERROR(ROUND(GJ47/INDEX(Undirviðmið!$F$6:$F$205,GJ$4)*INDEX(Undirviðmið!$E$6:$E$205,GJ$4)*KVARDI,2),""))</f>
        <v/>
      </c>
      <c r="GL47" s="23"/>
      <c r="GM47" s="40" t="str">
        <f aca="false">IF(OR(GL$4=0,GL47=""),"",IFERROR(ROUND(GL47/INDEX(Undirviðmið!$F$6:$F$205,GL$4)*INDEX(Undirviðmið!$E$6:$E$205,GL$4)*KVARDI,2),""))</f>
        <v/>
      </c>
      <c r="GN47" s="23"/>
      <c r="GO47" s="40" t="str">
        <f aca="false">IF(OR(GN$4=0,GN47=""),"",IFERROR(ROUND(GN47/INDEX(Undirviðmið!$F$6:$F$205,GN$4)*INDEX(Undirviðmið!$E$6:$E$205,GN$4)*KVARDI,2),""))</f>
        <v/>
      </c>
      <c r="GP47" s="23"/>
      <c r="GQ47" s="40" t="str">
        <f aca="false">IF(OR(GP$4=0,GP47=""),"",IFERROR(ROUND(GP47/INDEX(Undirviðmið!$F$6:$F$205,GP$4)*INDEX(Undirviðmið!$E$6:$E$205,GP$4)*KVARDI,2),""))</f>
        <v/>
      </c>
      <c r="GR47" s="23"/>
      <c r="GS47" s="40" t="str">
        <f aca="false">IF(OR(GR$4=0,GR47=""),"",IFERROR(ROUND(GR47/INDEX(Undirviðmið!$F$6:$F$205,GR$4)*INDEX(Undirviðmið!$E$6:$E$205,GR$4)*KVARDI,2),""))</f>
        <v/>
      </c>
      <c r="GT47" s="23"/>
      <c r="GU47" s="40" t="str">
        <f aca="false">IF(OR(GT$4=0,GT47=""),"",IFERROR(ROUND(GT47/INDEX(Undirviðmið!$F$6:$F$205,GT$4)*INDEX(Undirviðmið!$E$6:$E$205,GT$4)*KVARDI,2),""))</f>
        <v/>
      </c>
      <c r="GV47" s="44" t="n">
        <f aca="false">IFERROR(SUMIF($D$6:GU$6,"Stig",$D47:GU47),0)</f>
        <v>0</v>
      </c>
    </row>
    <row r="48" customFormat="false" ht="15" hidden="false" customHeight="true" outlineLevel="0" collapsed="false">
      <c r="A48" s="22" t="n">
        <f aca="false">ROW()-6</f>
        <v>42</v>
      </c>
      <c r="B48" s="24" t="str">
        <f aca="false">IF(INDEX(Starfsmenn!$B$6:$B$10005,ROW()-6)="","",INDEX(Starfsmenn!$B$6:$B$10005,ROW()-6))</f>
        <v/>
      </c>
      <c r="C48" s="24" t="str">
        <f aca="false">IF(INDEX(Starfsmenn!$C$6:$C$10005,ROW()-6)="","",INDEX(Starfsmenn!$C$6:$C$10005,ROW()-6))</f>
        <v/>
      </c>
      <c r="D48" s="23"/>
      <c r="E48" s="40" t="str">
        <f aca="false">IF(OR(D$4=0,D48=""),"",IFERROR(ROUND(D48/INDEX(Undirviðmið!$F$6:$F$205,D$4)*INDEX(Undirviðmið!$E$6:$E$205,D$4)*KVARDI,2),""))</f>
        <v/>
      </c>
      <c r="F48" s="23"/>
      <c r="G48" s="40" t="str">
        <f aca="false">IF(OR(F$4=0,F48=""),"",IFERROR(ROUND(F48/INDEX(Undirviðmið!$F$6:$F$205,F$4)*INDEX(Undirviðmið!$E$6:$E$205,F$4)*KVARDI,2),""))</f>
        <v/>
      </c>
      <c r="H48" s="23"/>
      <c r="I48" s="40" t="str">
        <f aca="false">IF(OR(H$4=0,H48=""),"",IFERROR(ROUND(H48/INDEX(Undirviðmið!$F$6:$F$205,H$4)*INDEX(Undirviðmið!$E$6:$E$205,H$4)*KVARDI,2),""))</f>
        <v/>
      </c>
      <c r="J48" s="23"/>
      <c r="K48" s="40" t="str">
        <f aca="false">IF(OR(J$4=0,J48=""),"",IFERROR(ROUND(J48/INDEX(Undirviðmið!$F$6:$F$205,J$4)*INDEX(Undirviðmið!$E$6:$E$205,J$4)*KVARDI,2),""))</f>
        <v/>
      </c>
      <c r="L48" s="23"/>
      <c r="M48" s="40" t="str">
        <f aca="false">IF(OR(L$4=0,L48=""),"",IFERROR(ROUND(L48/INDEX(Undirviðmið!$F$6:$F$205,L$4)*INDEX(Undirviðmið!$E$6:$E$205,L$4)*KVARDI,2),""))</f>
        <v/>
      </c>
      <c r="N48" s="23"/>
      <c r="O48" s="40" t="str">
        <f aca="false">IF(OR(N$4=0,N48=""),"",IFERROR(ROUND(N48/INDEX(Undirviðmið!$F$6:$F$205,N$4)*INDEX(Undirviðmið!$E$6:$E$205,N$4)*KVARDI,2),""))</f>
        <v/>
      </c>
      <c r="P48" s="23"/>
      <c r="Q48" s="40" t="str">
        <f aca="false">IF(OR(P$4=0,P48=""),"",IFERROR(ROUND(P48/INDEX(Undirviðmið!$F$6:$F$205,P$4)*INDEX(Undirviðmið!$E$6:$E$205,P$4)*KVARDI,2),""))</f>
        <v/>
      </c>
      <c r="R48" s="23"/>
      <c r="S48" s="40" t="str">
        <f aca="false">IF(OR(R$4=0,R48=""),"",IFERROR(ROUND(R48/INDEX(Undirviðmið!$F$6:$F$205,R$4)*INDEX(Undirviðmið!$E$6:$E$205,R$4)*KVARDI,2),""))</f>
        <v/>
      </c>
      <c r="T48" s="23"/>
      <c r="U48" s="40" t="str">
        <f aca="false">IF(OR(T$4=0,T48=""),"",IFERROR(ROUND(T48/INDEX(Undirviðmið!$F$6:$F$205,T$4)*INDEX(Undirviðmið!$E$6:$E$205,T$4)*KVARDI,2),""))</f>
        <v/>
      </c>
      <c r="V48" s="23"/>
      <c r="W48" s="40" t="str">
        <f aca="false">IF(OR(V$4=0,V48=""),"",IFERROR(ROUND(V48/INDEX(Undirviðmið!$F$6:$F$205,V$4)*INDEX(Undirviðmið!$E$6:$E$205,V$4)*KVARDI,2),""))</f>
        <v/>
      </c>
      <c r="X48" s="23"/>
      <c r="Y48" s="40" t="str">
        <f aca="false">IF(OR(X$4=0,X48=""),"",IFERROR(ROUND(X48/INDEX(Undirviðmið!$F$6:$F$205,X$4)*INDEX(Undirviðmið!$E$6:$E$205,X$4)*KVARDI,2),""))</f>
        <v/>
      </c>
      <c r="Z48" s="23"/>
      <c r="AA48" s="40" t="str">
        <f aca="false">IF(OR(Z$4=0,Z48=""),"",IFERROR(ROUND(Z48/INDEX(Undirviðmið!$F$6:$F$205,Z$4)*INDEX(Undirviðmið!$E$6:$E$205,Z$4)*KVARDI,2),""))</f>
        <v/>
      </c>
      <c r="AB48" s="23"/>
      <c r="AC48" s="40" t="str">
        <f aca="false">IF(OR(AB$4=0,AB48=""),"",IFERROR(ROUND(AB48/INDEX(Undirviðmið!$F$6:$F$205,AB$4)*INDEX(Undirviðmið!$E$6:$E$205,AB$4)*KVARDI,2),""))</f>
        <v/>
      </c>
      <c r="AD48" s="23"/>
      <c r="AE48" s="40" t="str">
        <f aca="false">IF(OR(AD$4=0,AD48=""),"",IFERROR(ROUND(AD48/INDEX(Undirviðmið!$F$6:$F$205,AD$4)*INDEX(Undirviðmið!$E$6:$E$205,AD$4)*KVARDI,2),""))</f>
        <v/>
      </c>
      <c r="AF48" s="23"/>
      <c r="AG48" s="40" t="str">
        <f aca="false">IF(OR(AF$4=0,AF48=""),"",IFERROR(ROUND(AF48/INDEX(Undirviðmið!$F$6:$F$205,AF$4)*INDEX(Undirviðmið!$E$6:$E$205,AF$4)*KVARDI,2),""))</f>
        <v/>
      </c>
      <c r="AH48" s="23"/>
      <c r="AI48" s="40" t="str">
        <f aca="false">IF(OR(AH$4=0,AH48=""),"",IFERROR(ROUND(AH48/INDEX(Undirviðmið!$F$6:$F$205,AH$4)*INDEX(Undirviðmið!$E$6:$E$205,AH$4)*KVARDI,2),""))</f>
        <v/>
      </c>
      <c r="AJ48" s="23"/>
      <c r="AK48" s="40" t="str">
        <f aca="false">IF(OR(AJ$4=0,AJ48=""),"",IFERROR(ROUND(AJ48/INDEX(Undirviðmið!$F$6:$F$205,AJ$4)*INDEX(Undirviðmið!$E$6:$E$205,AJ$4)*KVARDI,2),""))</f>
        <v/>
      </c>
      <c r="AL48" s="23"/>
      <c r="AM48" s="40" t="str">
        <f aca="false">IF(OR(AL$4=0,AL48=""),"",IFERROR(ROUND(AL48/INDEX(Undirviðmið!$F$6:$F$205,AL$4)*INDEX(Undirviðmið!$E$6:$E$205,AL$4)*KVARDI,2),""))</f>
        <v/>
      </c>
      <c r="AN48" s="23"/>
      <c r="AO48" s="40" t="str">
        <f aca="false">IF(OR(AN$4=0,AN48=""),"",IFERROR(ROUND(AN48/INDEX(Undirviðmið!$F$6:$F$205,AN$4)*INDEX(Undirviðmið!$E$6:$E$205,AN$4)*KVARDI,2),""))</f>
        <v/>
      </c>
      <c r="AP48" s="23"/>
      <c r="AQ48" s="40" t="str">
        <f aca="false">IF(OR(AP$4=0,AP48=""),"",IFERROR(ROUND(AP48/INDEX(Undirviðmið!$F$6:$F$205,AP$4)*INDEX(Undirviðmið!$E$6:$E$205,AP$4)*KVARDI,2),""))</f>
        <v/>
      </c>
      <c r="AR48" s="23"/>
      <c r="AS48" s="40" t="str">
        <f aca="false">IF(OR(AR$4=0,AR48=""),"",IFERROR(ROUND(AR48/INDEX(Undirviðmið!$F$6:$F$205,AR$4)*INDEX(Undirviðmið!$E$6:$E$205,AR$4)*KVARDI,2),""))</f>
        <v/>
      </c>
      <c r="AT48" s="23"/>
      <c r="AU48" s="40" t="str">
        <f aca="false">IF(OR(AT$4=0,AT48=""),"",IFERROR(ROUND(AT48/INDEX(Undirviðmið!$F$6:$F$205,AT$4)*INDEX(Undirviðmið!$E$6:$E$205,AT$4)*KVARDI,2),""))</f>
        <v/>
      </c>
      <c r="AV48" s="23"/>
      <c r="AW48" s="40" t="str">
        <f aca="false">IF(OR(AV$4=0,AV48=""),"",IFERROR(ROUND(AV48/INDEX(Undirviðmið!$F$6:$F$205,AV$4)*INDEX(Undirviðmið!$E$6:$E$205,AV$4)*KVARDI,2),""))</f>
        <v/>
      </c>
      <c r="AX48" s="23"/>
      <c r="AY48" s="40" t="str">
        <f aca="false">IF(OR(AX$4=0,AX48=""),"",IFERROR(ROUND(AX48/INDEX(Undirviðmið!$F$6:$F$205,AX$4)*INDEX(Undirviðmið!$E$6:$E$205,AX$4)*KVARDI,2),""))</f>
        <v/>
      </c>
      <c r="AZ48" s="23"/>
      <c r="BA48" s="40" t="str">
        <f aca="false">IF(OR(AZ$4=0,AZ48=""),"",IFERROR(ROUND(AZ48/INDEX(Undirviðmið!$F$6:$F$205,AZ$4)*INDEX(Undirviðmið!$E$6:$E$205,AZ$4)*KVARDI,2),""))</f>
        <v/>
      </c>
      <c r="BB48" s="23"/>
      <c r="BC48" s="40" t="str">
        <f aca="false">IF(OR(BB$4=0,BB48=""),"",IFERROR(ROUND(BB48/INDEX(Undirviðmið!$F$6:$F$205,BB$4)*INDEX(Undirviðmið!$E$6:$E$205,BB$4)*KVARDI,2),""))</f>
        <v/>
      </c>
      <c r="BD48" s="23"/>
      <c r="BE48" s="40" t="str">
        <f aca="false">IF(OR(BD$4=0,BD48=""),"",IFERROR(ROUND(BD48/INDEX(Undirviðmið!$F$6:$F$205,BD$4)*INDEX(Undirviðmið!$E$6:$E$205,BD$4)*KVARDI,2),""))</f>
        <v/>
      </c>
      <c r="BF48" s="23"/>
      <c r="BG48" s="40" t="str">
        <f aca="false">IF(OR(BF$4=0,BF48=""),"",IFERROR(ROUND(BF48/INDEX(Undirviðmið!$F$6:$F$205,BF$4)*INDEX(Undirviðmið!$E$6:$E$205,BF$4)*KVARDI,2),""))</f>
        <v/>
      </c>
      <c r="BH48" s="23"/>
      <c r="BI48" s="40" t="str">
        <f aca="false">IF(OR(BH$4=0,BH48=""),"",IFERROR(ROUND(BH48/INDEX(Undirviðmið!$F$6:$F$205,BH$4)*INDEX(Undirviðmið!$E$6:$E$205,BH$4)*KVARDI,2),""))</f>
        <v/>
      </c>
      <c r="BJ48" s="23"/>
      <c r="BK48" s="40" t="str">
        <f aca="false">IF(OR(BJ$4=0,BJ48=""),"",IFERROR(ROUND(BJ48/INDEX(Undirviðmið!$F$6:$F$205,BJ$4)*INDEX(Undirviðmið!$E$6:$E$205,BJ$4)*KVARDI,2),""))</f>
        <v/>
      </c>
      <c r="BL48" s="23"/>
      <c r="BM48" s="40" t="str">
        <f aca="false">IF(OR(BL$4=0,BL48=""),"",IFERROR(ROUND(BL48/INDEX(Undirviðmið!$F$6:$F$205,BL$4)*INDEX(Undirviðmið!$E$6:$E$205,BL$4)*KVARDI,2),""))</f>
        <v/>
      </c>
      <c r="BN48" s="23"/>
      <c r="BO48" s="40" t="str">
        <f aca="false">IF(OR(BN$4=0,BN48=""),"",IFERROR(ROUND(BN48/INDEX(Undirviðmið!$F$6:$F$205,BN$4)*INDEX(Undirviðmið!$E$6:$E$205,BN$4)*KVARDI,2),""))</f>
        <v/>
      </c>
      <c r="BP48" s="23"/>
      <c r="BQ48" s="40" t="str">
        <f aca="false">IF(OR(BP$4=0,BP48=""),"",IFERROR(ROUND(BP48/INDEX(Undirviðmið!$F$6:$F$205,BP$4)*INDEX(Undirviðmið!$E$6:$E$205,BP$4)*KVARDI,2),""))</f>
        <v/>
      </c>
      <c r="BR48" s="23"/>
      <c r="BS48" s="40" t="str">
        <f aca="false">IF(OR(BR$4=0,BR48=""),"",IFERROR(ROUND(BR48/INDEX(Undirviðmið!$F$6:$F$205,BR$4)*INDEX(Undirviðmið!$E$6:$E$205,BR$4)*KVARDI,2),""))</f>
        <v/>
      </c>
      <c r="BT48" s="23"/>
      <c r="BU48" s="40" t="str">
        <f aca="false">IF(OR(BT$4=0,BT48=""),"",IFERROR(ROUND(BT48/INDEX(Undirviðmið!$F$6:$F$205,BT$4)*INDEX(Undirviðmið!$E$6:$E$205,BT$4)*KVARDI,2),""))</f>
        <v/>
      </c>
      <c r="BV48" s="23"/>
      <c r="BW48" s="40" t="str">
        <f aca="false">IF(OR(BV$4=0,BV48=""),"",IFERROR(ROUND(BV48/INDEX(Undirviðmið!$F$6:$F$205,BV$4)*INDEX(Undirviðmið!$E$6:$E$205,BV$4)*KVARDI,2),""))</f>
        <v/>
      </c>
      <c r="BX48" s="23"/>
      <c r="BY48" s="40" t="str">
        <f aca="false">IF(OR(BX$4=0,BX48=""),"",IFERROR(ROUND(BX48/INDEX(Undirviðmið!$F$6:$F$205,BX$4)*INDEX(Undirviðmið!$E$6:$E$205,BX$4)*KVARDI,2),""))</f>
        <v/>
      </c>
      <c r="BZ48" s="23"/>
      <c r="CA48" s="40" t="str">
        <f aca="false">IF(OR(BZ$4=0,BZ48=""),"",IFERROR(ROUND(BZ48/INDEX(Undirviðmið!$F$6:$F$205,BZ$4)*INDEX(Undirviðmið!$E$6:$E$205,BZ$4)*KVARDI,2),""))</f>
        <v/>
      </c>
      <c r="CB48" s="23"/>
      <c r="CC48" s="40" t="str">
        <f aca="false">IF(OR(CB$4=0,CB48=""),"",IFERROR(ROUND(CB48/INDEX(Undirviðmið!$F$6:$F$205,CB$4)*INDEX(Undirviðmið!$E$6:$E$205,CB$4)*KVARDI,2),""))</f>
        <v/>
      </c>
      <c r="CD48" s="23"/>
      <c r="CE48" s="40" t="str">
        <f aca="false">IF(OR(CD$4=0,CD48=""),"",IFERROR(ROUND(CD48/INDEX(Undirviðmið!$F$6:$F$205,CD$4)*INDEX(Undirviðmið!$E$6:$E$205,CD$4)*KVARDI,2),""))</f>
        <v/>
      </c>
      <c r="CF48" s="23"/>
      <c r="CG48" s="40" t="str">
        <f aca="false">IF(OR(CF$4=0,CF48=""),"",IFERROR(ROUND(CF48/INDEX(Undirviðmið!$F$6:$F$205,CF$4)*INDEX(Undirviðmið!$E$6:$E$205,CF$4)*KVARDI,2),""))</f>
        <v/>
      </c>
      <c r="CH48" s="23"/>
      <c r="CI48" s="40" t="str">
        <f aca="false">IF(OR(CH$4=0,CH48=""),"",IFERROR(ROUND(CH48/INDEX(Undirviðmið!$F$6:$F$205,CH$4)*INDEX(Undirviðmið!$E$6:$E$205,CH$4)*KVARDI,2),""))</f>
        <v/>
      </c>
      <c r="CJ48" s="23"/>
      <c r="CK48" s="40" t="str">
        <f aca="false">IF(OR(CJ$4=0,CJ48=""),"",IFERROR(ROUND(CJ48/INDEX(Undirviðmið!$F$6:$F$205,CJ$4)*INDEX(Undirviðmið!$E$6:$E$205,CJ$4)*KVARDI,2),""))</f>
        <v/>
      </c>
      <c r="CL48" s="23"/>
      <c r="CM48" s="40" t="str">
        <f aca="false">IF(OR(CL$4=0,CL48=""),"",IFERROR(ROUND(CL48/INDEX(Undirviðmið!$F$6:$F$205,CL$4)*INDEX(Undirviðmið!$E$6:$E$205,CL$4)*KVARDI,2),""))</f>
        <v/>
      </c>
      <c r="CN48" s="23"/>
      <c r="CO48" s="40" t="str">
        <f aca="false">IF(OR(CN$4=0,CN48=""),"",IFERROR(ROUND(CN48/INDEX(Undirviðmið!$F$6:$F$205,CN$4)*INDEX(Undirviðmið!$E$6:$E$205,CN$4)*KVARDI,2),""))</f>
        <v/>
      </c>
      <c r="CP48" s="23"/>
      <c r="CQ48" s="40" t="str">
        <f aca="false">IF(OR(CP$4=0,CP48=""),"",IFERROR(ROUND(CP48/INDEX(Undirviðmið!$F$6:$F$205,CP$4)*INDEX(Undirviðmið!$E$6:$E$205,CP$4)*KVARDI,2),""))</f>
        <v/>
      </c>
      <c r="CR48" s="23"/>
      <c r="CS48" s="40" t="str">
        <f aca="false">IF(OR(CR$4=0,CR48=""),"",IFERROR(ROUND(CR48/INDEX(Undirviðmið!$F$6:$F$205,CR$4)*INDEX(Undirviðmið!$E$6:$E$205,CR$4)*KVARDI,2),""))</f>
        <v/>
      </c>
      <c r="CT48" s="23"/>
      <c r="CU48" s="40" t="str">
        <f aca="false">IF(OR(CT$4=0,CT48=""),"",IFERROR(ROUND(CT48/INDEX(Undirviðmið!$F$6:$F$205,CT$4)*INDEX(Undirviðmið!$E$6:$E$205,CT$4)*KVARDI,2),""))</f>
        <v/>
      </c>
      <c r="CV48" s="23"/>
      <c r="CW48" s="40" t="str">
        <f aca="false">IF(OR(CV$4=0,CV48=""),"",IFERROR(ROUND(CV48/INDEX(Undirviðmið!$F$6:$F$205,CV$4)*INDEX(Undirviðmið!$E$6:$E$205,CV$4)*KVARDI,2),""))</f>
        <v/>
      </c>
      <c r="CX48" s="23"/>
      <c r="CY48" s="40" t="str">
        <f aca="false">IF(OR(CX$4=0,CX48=""),"",IFERROR(ROUND(CX48/INDEX(Undirviðmið!$F$6:$F$205,CX$4)*INDEX(Undirviðmið!$E$6:$E$205,CX$4)*KVARDI,2),""))</f>
        <v/>
      </c>
      <c r="CZ48" s="23"/>
      <c r="DA48" s="40" t="str">
        <f aca="false">IF(OR(CZ$4=0,CZ48=""),"",IFERROR(ROUND(CZ48/INDEX(Undirviðmið!$F$6:$F$205,CZ$4)*INDEX(Undirviðmið!$E$6:$E$205,CZ$4)*KVARDI,2),""))</f>
        <v/>
      </c>
      <c r="DB48" s="23"/>
      <c r="DC48" s="40" t="str">
        <f aca="false">IF(OR(DB$4=0,DB48=""),"",IFERROR(ROUND(DB48/INDEX(Undirviðmið!$F$6:$F$205,DB$4)*INDEX(Undirviðmið!$E$6:$E$205,DB$4)*KVARDI,2),""))</f>
        <v/>
      </c>
      <c r="DD48" s="23"/>
      <c r="DE48" s="40" t="str">
        <f aca="false">IF(OR(DD$4=0,DD48=""),"",IFERROR(ROUND(DD48/INDEX(Undirviðmið!$F$6:$F$205,DD$4)*INDEX(Undirviðmið!$E$6:$E$205,DD$4)*KVARDI,2),""))</f>
        <v/>
      </c>
      <c r="DF48" s="23"/>
      <c r="DG48" s="40" t="str">
        <f aca="false">IF(OR(DF$4=0,DF48=""),"",IFERROR(ROUND(DF48/INDEX(Undirviðmið!$F$6:$F$205,DF$4)*INDEX(Undirviðmið!$E$6:$E$205,DF$4)*KVARDI,2),""))</f>
        <v/>
      </c>
      <c r="DH48" s="23"/>
      <c r="DI48" s="40" t="str">
        <f aca="false">IF(OR(DH$4=0,DH48=""),"",IFERROR(ROUND(DH48/INDEX(Undirviðmið!$F$6:$F$205,DH$4)*INDEX(Undirviðmið!$E$6:$E$205,DH$4)*KVARDI,2),""))</f>
        <v/>
      </c>
      <c r="DJ48" s="23"/>
      <c r="DK48" s="40" t="str">
        <f aca="false">IF(OR(DJ$4=0,DJ48=""),"",IFERROR(ROUND(DJ48/INDEX(Undirviðmið!$F$6:$F$205,DJ$4)*INDEX(Undirviðmið!$E$6:$E$205,DJ$4)*KVARDI,2),""))</f>
        <v/>
      </c>
      <c r="DL48" s="23"/>
      <c r="DM48" s="40" t="str">
        <f aca="false">IF(OR(DL$4=0,DL48=""),"",IFERROR(ROUND(DL48/INDEX(Undirviðmið!$F$6:$F$205,DL$4)*INDEX(Undirviðmið!$E$6:$E$205,DL$4)*KVARDI,2),""))</f>
        <v/>
      </c>
      <c r="DN48" s="23"/>
      <c r="DO48" s="40" t="str">
        <f aca="false">IF(OR(DN$4=0,DN48=""),"",IFERROR(ROUND(DN48/INDEX(Undirviðmið!$F$6:$F$205,DN$4)*INDEX(Undirviðmið!$E$6:$E$205,DN$4)*KVARDI,2),""))</f>
        <v/>
      </c>
      <c r="DP48" s="23"/>
      <c r="DQ48" s="40" t="str">
        <f aca="false">IF(OR(DP$4=0,DP48=""),"",IFERROR(ROUND(DP48/INDEX(Undirviðmið!$F$6:$F$205,DP$4)*INDEX(Undirviðmið!$E$6:$E$205,DP$4)*KVARDI,2),""))</f>
        <v/>
      </c>
      <c r="DR48" s="23"/>
      <c r="DS48" s="40" t="str">
        <f aca="false">IF(OR(DR$4=0,DR48=""),"",IFERROR(ROUND(DR48/INDEX(Undirviðmið!$F$6:$F$205,DR$4)*INDEX(Undirviðmið!$E$6:$E$205,DR$4)*KVARDI,2),""))</f>
        <v/>
      </c>
      <c r="DT48" s="23"/>
      <c r="DU48" s="40" t="str">
        <f aca="false">IF(OR(DT$4=0,DT48=""),"",IFERROR(ROUND(DT48/INDEX(Undirviðmið!$F$6:$F$205,DT$4)*INDEX(Undirviðmið!$E$6:$E$205,DT$4)*KVARDI,2),""))</f>
        <v/>
      </c>
      <c r="DV48" s="23"/>
      <c r="DW48" s="40" t="str">
        <f aca="false">IF(OR(DV$4=0,DV48=""),"",IFERROR(ROUND(DV48/INDEX(Undirviðmið!$F$6:$F$205,DV$4)*INDEX(Undirviðmið!$E$6:$E$205,DV$4)*KVARDI,2),""))</f>
        <v/>
      </c>
      <c r="DX48" s="23"/>
      <c r="DY48" s="40" t="str">
        <f aca="false">IF(OR(DX$4=0,DX48=""),"",IFERROR(ROUND(DX48/INDEX(Undirviðmið!$F$6:$F$205,DX$4)*INDEX(Undirviðmið!$E$6:$E$205,DX$4)*KVARDI,2),""))</f>
        <v/>
      </c>
      <c r="DZ48" s="23"/>
      <c r="EA48" s="40" t="str">
        <f aca="false">IF(OR(DZ$4=0,DZ48=""),"",IFERROR(ROUND(DZ48/INDEX(Undirviðmið!$F$6:$F$205,DZ$4)*INDEX(Undirviðmið!$E$6:$E$205,DZ$4)*KVARDI,2),""))</f>
        <v/>
      </c>
      <c r="EB48" s="23"/>
      <c r="EC48" s="40" t="str">
        <f aca="false">IF(OR(EB$4=0,EB48=""),"",IFERROR(ROUND(EB48/INDEX(Undirviðmið!$F$6:$F$205,EB$4)*INDEX(Undirviðmið!$E$6:$E$205,EB$4)*KVARDI,2),""))</f>
        <v/>
      </c>
      <c r="ED48" s="23"/>
      <c r="EE48" s="40" t="str">
        <f aca="false">IF(OR(ED$4=0,ED48=""),"",IFERROR(ROUND(ED48/INDEX(Undirviðmið!$F$6:$F$205,ED$4)*INDEX(Undirviðmið!$E$6:$E$205,ED$4)*KVARDI,2),""))</f>
        <v/>
      </c>
      <c r="EF48" s="23"/>
      <c r="EG48" s="40" t="str">
        <f aca="false">IF(OR(EF$4=0,EF48=""),"",IFERROR(ROUND(EF48/INDEX(Undirviðmið!$F$6:$F$205,EF$4)*INDEX(Undirviðmið!$E$6:$E$205,EF$4)*KVARDI,2),""))</f>
        <v/>
      </c>
      <c r="EH48" s="23"/>
      <c r="EI48" s="40" t="str">
        <f aca="false">IF(OR(EH$4=0,EH48=""),"",IFERROR(ROUND(EH48/INDEX(Undirviðmið!$F$6:$F$205,EH$4)*INDEX(Undirviðmið!$E$6:$E$205,EH$4)*KVARDI,2),""))</f>
        <v/>
      </c>
      <c r="EJ48" s="23"/>
      <c r="EK48" s="40" t="str">
        <f aca="false">IF(OR(EJ$4=0,EJ48=""),"",IFERROR(ROUND(EJ48/INDEX(Undirviðmið!$F$6:$F$205,EJ$4)*INDEX(Undirviðmið!$E$6:$E$205,EJ$4)*KVARDI,2),""))</f>
        <v/>
      </c>
      <c r="EL48" s="23"/>
      <c r="EM48" s="40" t="str">
        <f aca="false">IF(OR(EL$4=0,EL48=""),"",IFERROR(ROUND(EL48/INDEX(Undirviðmið!$F$6:$F$205,EL$4)*INDEX(Undirviðmið!$E$6:$E$205,EL$4)*KVARDI,2),""))</f>
        <v/>
      </c>
      <c r="EN48" s="23"/>
      <c r="EO48" s="40" t="str">
        <f aca="false">IF(OR(EN$4=0,EN48=""),"",IFERROR(ROUND(EN48/INDEX(Undirviðmið!$F$6:$F$205,EN$4)*INDEX(Undirviðmið!$E$6:$E$205,EN$4)*KVARDI,2),""))</f>
        <v/>
      </c>
      <c r="EP48" s="23"/>
      <c r="EQ48" s="40" t="str">
        <f aca="false">IF(OR(EP$4=0,EP48=""),"",IFERROR(ROUND(EP48/INDEX(Undirviðmið!$F$6:$F$205,EP$4)*INDEX(Undirviðmið!$E$6:$E$205,EP$4)*KVARDI,2),""))</f>
        <v/>
      </c>
      <c r="ER48" s="23"/>
      <c r="ES48" s="40" t="str">
        <f aca="false">IF(OR(ER$4=0,ER48=""),"",IFERROR(ROUND(ER48/INDEX(Undirviðmið!$F$6:$F$205,ER$4)*INDEX(Undirviðmið!$E$6:$E$205,ER$4)*KVARDI,2),""))</f>
        <v/>
      </c>
      <c r="ET48" s="23"/>
      <c r="EU48" s="40" t="str">
        <f aca="false">IF(OR(ET$4=0,ET48=""),"",IFERROR(ROUND(ET48/INDEX(Undirviðmið!$F$6:$F$205,ET$4)*INDEX(Undirviðmið!$E$6:$E$205,ET$4)*KVARDI,2),""))</f>
        <v/>
      </c>
      <c r="EV48" s="23"/>
      <c r="EW48" s="40" t="str">
        <f aca="false">IF(OR(EV$4=0,EV48=""),"",IFERROR(ROUND(EV48/INDEX(Undirviðmið!$F$6:$F$205,EV$4)*INDEX(Undirviðmið!$E$6:$E$205,EV$4)*KVARDI,2),""))</f>
        <v/>
      </c>
      <c r="EX48" s="23"/>
      <c r="EY48" s="40" t="str">
        <f aca="false">IF(OR(EX$4=0,EX48=""),"",IFERROR(ROUND(EX48/INDEX(Undirviðmið!$F$6:$F$205,EX$4)*INDEX(Undirviðmið!$E$6:$E$205,EX$4)*KVARDI,2),""))</f>
        <v/>
      </c>
      <c r="EZ48" s="23"/>
      <c r="FA48" s="40" t="str">
        <f aca="false">IF(OR(EZ$4=0,EZ48=""),"",IFERROR(ROUND(EZ48/INDEX(Undirviðmið!$F$6:$F$205,EZ$4)*INDEX(Undirviðmið!$E$6:$E$205,EZ$4)*KVARDI,2),""))</f>
        <v/>
      </c>
      <c r="FB48" s="23"/>
      <c r="FC48" s="40" t="str">
        <f aca="false">IF(OR(FB$4=0,FB48=""),"",IFERROR(ROUND(FB48/INDEX(Undirviðmið!$F$6:$F$205,FB$4)*INDEX(Undirviðmið!$E$6:$E$205,FB$4)*KVARDI,2),""))</f>
        <v/>
      </c>
      <c r="FD48" s="23"/>
      <c r="FE48" s="40" t="str">
        <f aca="false">IF(OR(FD$4=0,FD48=""),"",IFERROR(ROUND(FD48/INDEX(Undirviðmið!$F$6:$F$205,FD$4)*INDEX(Undirviðmið!$E$6:$E$205,FD$4)*KVARDI,2),""))</f>
        <v/>
      </c>
      <c r="FF48" s="23"/>
      <c r="FG48" s="40" t="str">
        <f aca="false">IF(OR(FF$4=0,FF48=""),"",IFERROR(ROUND(FF48/INDEX(Undirviðmið!$F$6:$F$205,FF$4)*INDEX(Undirviðmið!$E$6:$E$205,FF$4)*KVARDI,2),""))</f>
        <v/>
      </c>
      <c r="FH48" s="23"/>
      <c r="FI48" s="40" t="str">
        <f aca="false">IF(OR(FH$4=0,FH48=""),"",IFERROR(ROUND(FH48/INDEX(Undirviðmið!$F$6:$F$205,FH$4)*INDEX(Undirviðmið!$E$6:$E$205,FH$4)*KVARDI,2),""))</f>
        <v/>
      </c>
      <c r="FJ48" s="23"/>
      <c r="FK48" s="40" t="str">
        <f aca="false">IF(OR(FJ$4=0,FJ48=""),"",IFERROR(ROUND(FJ48/INDEX(Undirviðmið!$F$6:$F$205,FJ$4)*INDEX(Undirviðmið!$E$6:$E$205,FJ$4)*KVARDI,2),""))</f>
        <v/>
      </c>
      <c r="FL48" s="23"/>
      <c r="FM48" s="40" t="str">
        <f aca="false">IF(OR(FL$4=0,FL48=""),"",IFERROR(ROUND(FL48/INDEX(Undirviðmið!$F$6:$F$205,FL$4)*INDEX(Undirviðmið!$E$6:$E$205,FL$4)*KVARDI,2),""))</f>
        <v/>
      </c>
      <c r="FN48" s="23"/>
      <c r="FO48" s="40" t="str">
        <f aca="false">IF(OR(FN$4=0,FN48=""),"",IFERROR(ROUND(FN48/INDEX(Undirviðmið!$F$6:$F$205,FN$4)*INDEX(Undirviðmið!$E$6:$E$205,FN$4)*KVARDI,2),""))</f>
        <v/>
      </c>
      <c r="FP48" s="23"/>
      <c r="FQ48" s="40" t="str">
        <f aca="false">IF(OR(FP$4=0,FP48=""),"",IFERROR(ROUND(FP48/INDEX(Undirviðmið!$F$6:$F$205,FP$4)*INDEX(Undirviðmið!$E$6:$E$205,FP$4)*KVARDI,2),""))</f>
        <v/>
      </c>
      <c r="FR48" s="23"/>
      <c r="FS48" s="40" t="str">
        <f aca="false">IF(OR(FR$4=0,FR48=""),"",IFERROR(ROUND(FR48/INDEX(Undirviðmið!$F$6:$F$205,FR$4)*INDEX(Undirviðmið!$E$6:$E$205,FR$4)*KVARDI,2),""))</f>
        <v/>
      </c>
      <c r="FT48" s="23"/>
      <c r="FU48" s="40" t="str">
        <f aca="false">IF(OR(FT$4=0,FT48=""),"",IFERROR(ROUND(FT48/INDEX(Undirviðmið!$F$6:$F$205,FT$4)*INDEX(Undirviðmið!$E$6:$E$205,FT$4)*KVARDI,2),""))</f>
        <v/>
      </c>
      <c r="FV48" s="23"/>
      <c r="FW48" s="40" t="str">
        <f aca="false">IF(OR(FV$4=0,FV48=""),"",IFERROR(ROUND(FV48/INDEX(Undirviðmið!$F$6:$F$205,FV$4)*INDEX(Undirviðmið!$E$6:$E$205,FV$4)*KVARDI,2),""))</f>
        <v/>
      </c>
      <c r="FX48" s="23"/>
      <c r="FY48" s="40" t="str">
        <f aca="false">IF(OR(FX$4=0,FX48=""),"",IFERROR(ROUND(FX48/INDEX(Undirviðmið!$F$6:$F$205,FX$4)*INDEX(Undirviðmið!$E$6:$E$205,FX$4)*KVARDI,2),""))</f>
        <v/>
      </c>
      <c r="FZ48" s="23"/>
      <c r="GA48" s="40" t="str">
        <f aca="false">IF(OR(FZ$4=0,FZ48=""),"",IFERROR(ROUND(FZ48/INDEX(Undirviðmið!$F$6:$F$205,FZ$4)*INDEX(Undirviðmið!$E$6:$E$205,FZ$4)*KVARDI,2),""))</f>
        <v/>
      </c>
      <c r="GB48" s="23"/>
      <c r="GC48" s="40" t="str">
        <f aca="false">IF(OR(GB$4=0,GB48=""),"",IFERROR(ROUND(GB48/INDEX(Undirviðmið!$F$6:$F$205,GB$4)*INDEX(Undirviðmið!$E$6:$E$205,GB$4)*KVARDI,2),""))</f>
        <v/>
      </c>
      <c r="GD48" s="23"/>
      <c r="GE48" s="40" t="str">
        <f aca="false">IF(OR(GD$4=0,GD48=""),"",IFERROR(ROUND(GD48/INDEX(Undirviðmið!$F$6:$F$205,GD$4)*INDEX(Undirviðmið!$E$6:$E$205,GD$4)*KVARDI,2),""))</f>
        <v/>
      </c>
      <c r="GF48" s="23"/>
      <c r="GG48" s="40" t="str">
        <f aca="false">IF(OR(GF$4=0,GF48=""),"",IFERROR(ROUND(GF48/INDEX(Undirviðmið!$F$6:$F$205,GF$4)*INDEX(Undirviðmið!$E$6:$E$205,GF$4)*KVARDI,2),""))</f>
        <v/>
      </c>
      <c r="GH48" s="23"/>
      <c r="GI48" s="40" t="str">
        <f aca="false">IF(OR(GH$4=0,GH48=""),"",IFERROR(ROUND(GH48/INDEX(Undirviðmið!$F$6:$F$205,GH$4)*INDEX(Undirviðmið!$E$6:$E$205,GH$4)*KVARDI,2),""))</f>
        <v/>
      </c>
      <c r="GJ48" s="23"/>
      <c r="GK48" s="40" t="str">
        <f aca="false">IF(OR(GJ$4=0,GJ48=""),"",IFERROR(ROUND(GJ48/INDEX(Undirviðmið!$F$6:$F$205,GJ$4)*INDEX(Undirviðmið!$E$6:$E$205,GJ$4)*KVARDI,2),""))</f>
        <v/>
      </c>
      <c r="GL48" s="23"/>
      <c r="GM48" s="40" t="str">
        <f aca="false">IF(OR(GL$4=0,GL48=""),"",IFERROR(ROUND(GL48/INDEX(Undirviðmið!$F$6:$F$205,GL$4)*INDEX(Undirviðmið!$E$6:$E$205,GL$4)*KVARDI,2),""))</f>
        <v/>
      </c>
      <c r="GN48" s="23"/>
      <c r="GO48" s="40" t="str">
        <f aca="false">IF(OR(GN$4=0,GN48=""),"",IFERROR(ROUND(GN48/INDEX(Undirviðmið!$F$6:$F$205,GN$4)*INDEX(Undirviðmið!$E$6:$E$205,GN$4)*KVARDI,2),""))</f>
        <v/>
      </c>
      <c r="GP48" s="23"/>
      <c r="GQ48" s="40" t="str">
        <f aca="false">IF(OR(GP$4=0,GP48=""),"",IFERROR(ROUND(GP48/INDEX(Undirviðmið!$F$6:$F$205,GP$4)*INDEX(Undirviðmið!$E$6:$E$205,GP$4)*KVARDI,2),""))</f>
        <v/>
      </c>
      <c r="GR48" s="23"/>
      <c r="GS48" s="40" t="str">
        <f aca="false">IF(OR(GR$4=0,GR48=""),"",IFERROR(ROUND(GR48/INDEX(Undirviðmið!$F$6:$F$205,GR$4)*INDEX(Undirviðmið!$E$6:$E$205,GR$4)*KVARDI,2),""))</f>
        <v/>
      </c>
      <c r="GT48" s="23"/>
      <c r="GU48" s="40" t="str">
        <f aca="false">IF(OR(GT$4=0,GT48=""),"",IFERROR(ROUND(GT48/INDEX(Undirviðmið!$F$6:$F$205,GT$4)*INDEX(Undirviðmið!$E$6:$E$205,GT$4)*KVARDI,2),""))</f>
        <v/>
      </c>
      <c r="GV48" s="44" t="n">
        <f aca="false">IFERROR(SUMIF($D$6:GU$6,"Stig",$D48:GU48),0)</f>
        <v>0</v>
      </c>
    </row>
    <row r="49" customFormat="false" ht="15" hidden="false" customHeight="true" outlineLevel="0" collapsed="false">
      <c r="A49" s="22" t="n">
        <f aca="false">ROW()-6</f>
        <v>43</v>
      </c>
      <c r="B49" s="24" t="str">
        <f aca="false">IF(INDEX(Starfsmenn!$B$6:$B$10005,ROW()-6)="","",INDEX(Starfsmenn!$B$6:$B$10005,ROW()-6))</f>
        <v/>
      </c>
      <c r="C49" s="24" t="str">
        <f aca="false">IF(INDEX(Starfsmenn!$C$6:$C$10005,ROW()-6)="","",INDEX(Starfsmenn!$C$6:$C$10005,ROW()-6))</f>
        <v/>
      </c>
      <c r="D49" s="23"/>
      <c r="E49" s="40" t="str">
        <f aca="false">IF(OR(D$4=0,D49=""),"",IFERROR(ROUND(D49/INDEX(Undirviðmið!$F$6:$F$205,D$4)*INDEX(Undirviðmið!$E$6:$E$205,D$4)*KVARDI,2),""))</f>
        <v/>
      </c>
      <c r="F49" s="23"/>
      <c r="G49" s="40" t="str">
        <f aca="false">IF(OR(F$4=0,F49=""),"",IFERROR(ROUND(F49/INDEX(Undirviðmið!$F$6:$F$205,F$4)*INDEX(Undirviðmið!$E$6:$E$205,F$4)*KVARDI,2),""))</f>
        <v/>
      </c>
      <c r="H49" s="23"/>
      <c r="I49" s="40" t="str">
        <f aca="false">IF(OR(H$4=0,H49=""),"",IFERROR(ROUND(H49/INDEX(Undirviðmið!$F$6:$F$205,H$4)*INDEX(Undirviðmið!$E$6:$E$205,H$4)*KVARDI,2),""))</f>
        <v/>
      </c>
      <c r="J49" s="23"/>
      <c r="K49" s="40" t="str">
        <f aca="false">IF(OR(J$4=0,J49=""),"",IFERROR(ROUND(J49/INDEX(Undirviðmið!$F$6:$F$205,J$4)*INDEX(Undirviðmið!$E$6:$E$205,J$4)*KVARDI,2),""))</f>
        <v/>
      </c>
      <c r="L49" s="23"/>
      <c r="M49" s="40" t="str">
        <f aca="false">IF(OR(L$4=0,L49=""),"",IFERROR(ROUND(L49/INDEX(Undirviðmið!$F$6:$F$205,L$4)*INDEX(Undirviðmið!$E$6:$E$205,L$4)*KVARDI,2),""))</f>
        <v/>
      </c>
      <c r="N49" s="23"/>
      <c r="O49" s="40" t="str">
        <f aca="false">IF(OR(N$4=0,N49=""),"",IFERROR(ROUND(N49/INDEX(Undirviðmið!$F$6:$F$205,N$4)*INDEX(Undirviðmið!$E$6:$E$205,N$4)*KVARDI,2),""))</f>
        <v/>
      </c>
      <c r="P49" s="23"/>
      <c r="Q49" s="40" t="str">
        <f aca="false">IF(OR(P$4=0,P49=""),"",IFERROR(ROUND(P49/INDEX(Undirviðmið!$F$6:$F$205,P$4)*INDEX(Undirviðmið!$E$6:$E$205,P$4)*KVARDI,2),""))</f>
        <v/>
      </c>
      <c r="R49" s="23"/>
      <c r="S49" s="40" t="str">
        <f aca="false">IF(OR(R$4=0,R49=""),"",IFERROR(ROUND(R49/INDEX(Undirviðmið!$F$6:$F$205,R$4)*INDEX(Undirviðmið!$E$6:$E$205,R$4)*KVARDI,2),""))</f>
        <v/>
      </c>
      <c r="T49" s="23"/>
      <c r="U49" s="40" t="str">
        <f aca="false">IF(OR(T$4=0,T49=""),"",IFERROR(ROUND(T49/INDEX(Undirviðmið!$F$6:$F$205,T$4)*INDEX(Undirviðmið!$E$6:$E$205,T$4)*KVARDI,2),""))</f>
        <v/>
      </c>
      <c r="V49" s="23"/>
      <c r="W49" s="40" t="str">
        <f aca="false">IF(OR(V$4=0,V49=""),"",IFERROR(ROUND(V49/INDEX(Undirviðmið!$F$6:$F$205,V$4)*INDEX(Undirviðmið!$E$6:$E$205,V$4)*KVARDI,2),""))</f>
        <v/>
      </c>
      <c r="X49" s="23"/>
      <c r="Y49" s="40" t="str">
        <f aca="false">IF(OR(X$4=0,X49=""),"",IFERROR(ROUND(X49/INDEX(Undirviðmið!$F$6:$F$205,X$4)*INDEX(Undirviðmið!$E$6:$E$205,X$4)*KVARDI,2),""))</f>
        <v/>
      </c>
      <c r="Z49" s="23"/>
      <c r="AA49" s="40" t="str">
        <f aca="false">IF(OR(Z$4=0,Z49=""),"",IFERROR(ROUND(Z49/INDEX(Undirviðmið!$F$6:$F$205,Z$4)*INDEX(Undirviðmið!$E$6:$E$205,Z$4)*KVARDI,2),""))</f>
        <v/>
      </c>
      <c r="AB49" s="23"/>
      <c r="AC49" s="40" t="str">
        <f aca="false">IF(OR(AB$4=0,AB49=""),"",IFERROR(ROUND(AB49/INDEX(Undirviðmið!$F$6:$F$205,AB$4)*INDEX(Undirviðmið!$E$6:$E$205,AB$4)*KVARDI,2),""))</f>
        <v/>
      </c>
      <c r="AD49" s="23"/>
      <c r="AE49" s="40" t="str">
        <f aca="false">IF(OR(AD$4=0,AD49=""),"",IFERROR(ROUND(AD49/INDEX(Undirviðmið!$F$6:$F$205,AD$4)*INDEX(Undirviðmið!$E$6:$E$205,AD$4)*KVARDI,2),""))</f>
        <v/>
      </c>
      <c r="AF49" s="23"/>
      <c r="AG49" s="40" t="str">
        <f aca="false">IF(OR(AF$4=0,AF49=""),"",IFERROR(ROUND(AF49/INDEX(Undirviðmið!$F$6:$F$205,AF$4)*INDEX(Undirviðmið!$E$6:$E$205,AF$4)*KVARDI,2),""))</f>
        <v/>
      </c>
      <c r="AH49" s="23"/>
      <c r="AI49" s="40" t="str">
        <f aca="false">IF(OR(AH$4=0,AH49=""),"",IFERROR(ROUND(AH49/INDEX(Undirviðmið!$F$6:$F$205,AH$4)*INDEX(Undirviðmið!$E$6:$E$205,AH$4)*KVARDI,2),""))</f>
        <v/>
      </c>
      <c r="AJ49" s="23"/>
      <c r="AK49" s="40" t="str">
        <f aca="false">IF(OR(AJ$4=0,AJ49=""),"",IFERROR(ROUND(AJ49/INDEX(Undirviðmið!$F$6:$F$205,AJ$4)*INDEX(Undirviðmið!$E$6:$E$205,AJ$4)*KVARDI,2),""))</f>
        <v/>
      </c>
      <c r="AL49" s="23"/>
      <c r="AM49" s="40" t="str">
        <f aca="false">IF(OR(AL$4=0,AL49=""),"",IFERROR(ROUND(AL49/INDEX(Undirviðmið!$F$6:$F$205,AL$4)*INDEX(Undirviðmið!$E$6:$E$205,AL$4)*KVARDI,2),""))</f>
        <v/>
      </c>
      <c r="AN49" s="23"/>
      <c r="AO49" s="40" t="str">
        <f aca="false">IF(OR(AN$4=0,AN49=""),"",IFERROR(ROUND(AN49/INDEX(Undirviðmið!$F$6:$F$205,AN$4)*INDEX(Undirviðmið!$E$6:$E$205,AN$4)*KVARDI,2),""))</f>
        <v/>
      </c>
      <c r="AP49" s="23"/>
      <c r="AQ49" s="40" t="str">
        <f aca="false">IF(OR(AP$4=0,AP49=""),"",IFERROR(ROUND(AP49/INDEX(Undirviðmið!$F$6:$F$205,AP$4)*INDEX(Undirviðmið!$E$6:$E$205,AP$4)*KVARDI,2),""))</f>
        <v/>
      </c>
      <c r="AR49" s="23"/>
      <c r="AS49" s="40" t="str">
        <f aca="false">IF(OR(AR$4=0,AR49=""),"",IFERROR(ROUND(AR49/INDEX(Undirviðmið!$F$6:$F$205,AR$4)*INDEX(Undirviðmið!$E$6:$E$205,AR$4)*KVARDI,2),""))</f>
        <v/>
      </c>
      <c r="AT49" s="23"/>
      <c r="AU49" s="40" t="str">
        <f aca="false">IF(OR(AT$4=0,AT49=""),"",IFERROR(ROUND(AT49/INDEX(Undirviðmið!$F$6:$F$205,AT$4)*INDEX(Undirviðmið!$E$6:$E$205,AT$4)*KVARDI,2),""))</f>
        <v/>
      </c>
      <c r="AV49" s="23"/>
      <c r="AW49" s="40" t="str">
        <f aca="false">IF(OR(AV$4=0,AV49=""),"",IFERROR(ROUND(AV49/INDEX(Undirviðmið!$F$6:$F$205,AV$4)*INDEX(Undirviðmið!$E$6:$E$205,AV$4)*KVARDI,2),""))</f>
        <v/>
      </c>
      <c r="AX49" s="23"/>
      <c r="AY49" s="40" t="str">
        <f aca="false">IF(OR(AX$4=0,AX49=""),"",IFERROR(ROUND(AX49/INDEX(Undirviðmið!$F$6:$F$205,AX$4)*INDEX(Undirviðmið!$E$6:$E$205,AX$4)*KVARDI,2),""))</f>
        <v/>
      </c>
      <c r="AZ49" s="23"/>
      <c r="BA49" s="40" t="str">
        <f aca="false">IF(OR(AZ$4=0,AZ49=""),"",IFERROR(ROUND(AZ49/INDEX(Undirviðmið!$F$6:$F$205,AZ$4)*INDEX(Undirviðmið!$E$6:$E$205,AZ$4)*KVARDI,2),""))</f>
        <v/>
      </c>
      <c r="BB49" s="23"/>
      <c r="BC49" s="40" t="str">
        <f aca="false">IF(OR(BB$4=0,BB49=""),"",IFERROR(ROUND(BB49/INDEX(Undirviðmið!$F$6:$F$205,BB$4)*INDEX(Undirviðmið!$E$6:$E$205,BB$4)*KVARDI,2),""))</f>
        <v/>
      </c>
      <c r="BD49" s="23"/>
      <c r="BE49" s="40" t="str">
        <f aca="false">IF(OR(BD$4=0,BD49=""),"",IFERROR(ROUND(BD49/INDEX(Undirviðmið!$F$6:$F$205,BD$4)*INDEX(Undirviðmið!$E$6:$E$205,BD$4)*KVARDI,2),""))</f>
        <v/>
      </c>
      <c r="BF49" s="23"/>
      <c r="BG49" s="40" t="str">
        <f aca="false">IF(OR(BF$4=0,BF49=""),"",IFERROR(ROUND(BF49/INDEX(Undirviðmið!$F$6:$F$205,BF$4)*INDEX(Undirviðmið!$E$6:$E$205,BF$4)*KVARDI,2),""))</f>
        <v/>
      </c>
      <c r="BH49" s="23"/>
      <c r="BI49" s="40" t="str">
        <f aca="false">IF(OR(BH$4=0,BH49=""),"",IFERROR(ROUND(BH49/INDEX(Undirviðmið!$F$6:$F$205,BH$4)*INDEX(Undirviðmið!$E$6:$E$205,BH$4)*KVARDI,2),""))</f>
        <v/>
      </c>
      <c r="BJ49" s="23"/>
      <c r="BK49" s="40" t="str">
        <f aca="false">IF(OR(BJ$4=0,BJ49=""),"",IFERROR(ROUND(BJ49/INDEX(Undirviðmið!$F$6:$F$205,BJ$4)*INDEX(Undirviðmið!$E$6:$E$205,BJ$4)*KVARDI,2),""))</f>
        <v/>
      </c>
      <c r="BL49" s="23"/>
      <c r="BM49" s="40" t="str">
        <f aca="false">IF(OR(BL$4=0,BL49=""),"",IFERROR(ROUND(BL49/INDEX(Undirviðmið!$F$6:$F$205,BL$4)*INDEX(Undirviðmið!$E$6:$E$205,BL$4)*KVARDI,2),""))</f>
        <v/>
      </c>
      <c r="BN49" s="23"/>
      <c r="BO49" s="40" t="str">
        <f aca="false">IF(OR(BN$4=0,BN49=""),"",IFERROR(ROUND(BN49/INDEX(Undirviðmið!$F$6:$F$205,BN$4)*INDEX(Undirviðmið!$E$6:$E$205,BN$4)*KVARDI,2),""))</f>
        <v/>
      </c>
      <c r="BP49" s="23"/>
      <c r="BQ49" s="40" t="str">
        <f aca="false">IF(OR(BP$4=0,BP49=""),"",IFERROR(ROUND(BP49/INDEX(Undirviðmið!$F$6:$F$205,BP$4)*INDEX(Undirviðmið!$E$6:$E$205,BP$4)*KVARDI,2),""))</f>
        <v/>
      </c>
      <c r="BR49" s="23"/>
      <c r="BS49" s="40" t="str">
        <f aca="false">IF(OR(BR$4=0,BR49=""),"",IFERROR(ROUND(BR49/INDEX(Undirviðmið!$F$6:$F$205,BR$4)*INDEX(Undirviðmið!$E$6:$E$205,BR$4)*KVARDI,2),""))</f>
        <v/>
      </c>
      <c r="BT49" s="23"/>
      <c r="BU49" s="40" t="str">
        <f aca="false">IF(OR(BT$4=0,BT49=""),"",IFERROR(ROUND(BT49/INDEX(Undirviðmið!$F$6:$F$205,BT$4)*INDEX(Undirviðmið!$E$6:$E$205,BT$4)*KVARDI,2),""))</f>
        <v/>
      </c>
      <c r="BV49" s="23"/>
      <c r="BW49" s="40" t="str">
        <f aca="false">IF(OR(BV$4=0,BV49=""),"",IFERROR(ROUND(BV49/INDEX(Undirviðmið!$F$6:$F$205,BV$4)*INDEX(Undirviðmið!$E$6:$E$205,BV$4)*KVARDI,2),""))</f>
        <v/>
      </c>
      <c r="BX49" s="23"/>
      <c r="BY49" s="40" t="str">
        <f aca="false">IF(OR(BX$4=0,BX49=""),"",IFERROR(ROUND(BX49/INDEX(Undirviðmið!$F$6:$F$205,BX$4)*INDEX(Undirviðmið!$E$6:$E$205,BX$4)*KVARDI,2),""))</f>
        <v/>
      </c>
      <c r="BZ49" s="23"/>
      <c r="CA49" s="40" t="str">
        <f aca="false">IF(OR(BZ$4=0,BZ49=""),"",IFERROR(ROUND(BZ49/INDEX(Undirviðmið!$F$6:$F$205,BZ$4)*INDEX(Undirviðmið!$E$6:$E$205,BZ$4)*KVARDI,2),""))</f>
        <v/>
      </c>
      <c r="CB49" s="23"/>
      <c r="CC49" s="40" t="str">
        <f aca="false">IF(OR(CB$4=0,CB49=""),"",IFERROR(ROUND(CB49/INDEX(Undirviðmið!$F$6:$F$205,CB$4)*INDEX(Undirviðmið!$E$6:$E$205,CB$4)*KVARDI,2),""))</f>
        <v/>
      </c>
      <c r="CD49" s="23"/>
      <c r="CE49" s="40" t="str">
        <f aca="false">IF(OR(CD$4=0,CD49=""),"",IFERROR(ROUND(CD49/INDEX(Undirviðmið!$F$6:$F$205,CD$4)*INDEX(Undirviðmið!$E$6:$E$205,CD$4)*KVARDI,2),""))</f>
        <v/>
      </c>
      <c r="CF49" s="23"/>
      <c r="CG49" s="40" t="str">
        <f aca="false">IF(OR(CF$4=0,CF49=""),"",IFERROR(ROUND(CF49/INDEX(Undirviðmið!$F$6:$F$205,CF$4)*INDEX(Undirviðmið!$E$6:$E$205,CF$4)*KVARDI,2),""))</f>
        <v/>
      </c>
      <c r="CH49" s="23"/>
      <c r="CI49" s="40" t="str">
        <f aca="false">IF(OR(CH$4=0,CH49=""),"",IFERROR(ROUND(CH49/INDEX(Undirviðmið!$F$6:$F$205,CH$4)*INDEX(Undirviðmið!$E$6:$E$205,CH$4)*KVARDI,2),""))</f>
        <v/>
      </c>
      <c r="CJ49" s="23"/>
      <c r="CK49" s="40" t="str">
        <f aca="false">IF(OR(CJ$4=0,CJ49=""),"",IFERROR(ROUND(CJ49/INDEX(Undirviðmið!$F$6:$F$205,CJ$4)*INDEX(Undirviðmið!$E$6:$E$205,CJ$4)*KVARDI,2),""))</f>
        <v/>
      </c>
      <c r="CL49" s="23"/>
      <c r="CM49" s="40" t="str">
        <f aca="false">IF(OR(CL$4=0,CL49=""),"",IFERROR(ROUND(CL49/INDEX(Undirviðmið!$F$6:$F$205,CL$4)*INDEX(Undirviðmið!$E$6:$E$205,CL$4)*KVARDI,2),""))</f>
        <v/>
      </c>
      <c r="CN49" s="23"/>
      <c r="CO49" s="40" t="str">
        <f aca="false">IF(OR(CN$4=0,CN49=""),"",IFERROR(ROUND(CN49/INDEX(Undirviðmið!$F$6:$F$205,CN$4)*INDEX(Undirviðmið!$E$6:$E$205,CN$4)*KVARDI,2),""))</f>
        <v/>
      </c>
      <c r="CP49" s="23"/>
      <c r="CQ49" s="40" t="str">
        <f aca="false">IF(OR(CP$4=0,CP49=""),"",IFERROR(ROUND(CP49/INDEX(Undirviðmið!$F$6:$F$205,CP$4)*INDEX(Undirviðmið!$E$6:$E$205,CP$4)*KVARDI,2),""))</f>
        <v/>
      </c>
      <c r="CR49" s="23"/>
      <c r="CS49" s="40" t="str">
        <f aca="false">IF(OR(CR$4=0,CR49=""),"",IFERROR(ROUND(CR49/INDEX(Undirviðmið!$F$6:$F$205,CR$4)*INDEX(Undirviðmið!$E$6:$E$205,CR$4)*KVARDI,2),""))</f>
        <v/>
      </c>
      <c r="CT49" s="23"/>
      <c r="CU49" s="40" t="str">
        <f aca="false">IF(OR(CT$4=0,CT49=""),"",IFERROR(ROUND(CT49/INDEX(Undirviðmið!$F$6:$F$205,CT$4)*INDEX(Undirviðmið!$E$6:$E$205,CT$4)*KVARDI,2),""))</f>
        <v/>
      </c>
      <c r="CV49" s="23"/>
      <c r="CW49" s="40" t="str">
        <f aca="false">IF(OR(CV$4=0,CV49=""),"",IFERROR(ROUND(CV49/INDEX(Undirviðmið!$F$6:$F$205,CV$4)*INDEX(Undirviðmið!$E$6:$E$205,CV$4)*KVARDI,2),""))</f>
        <v/>
      </c>
      <c r="CX49" s="23"/>
      <c r="CY49" s="40" t="str">
        <f aca="false">IF(OR(CX$4=0,CX49=""),"",IFERROR(ROUND(CX49/INDEX(Undirviðmið!$F$6:$F$205,CX$4)*INDEX(Undirviðmið!$E$6:$E$205,CX$4)*KVARDI,2),""))</f>
        <v/>
      </c>
      <c r="CZ49" s="23"/>
      <c r="DA49" s="40" t="str">
        <f aca="false">IF(OR(CZ$4=0,CZ49=""),"",IFERROR(ROUND(CZ49/INDEX(Undirviðmið!$F$6:$F$205,CZ$4)*INDEX(Undirviðmið!$E$6:$E$205,CZ$4)*KVARDI,2),""))</f>
        <v/>
      </c>
      <c r="DB49" s="23"/>
      <c r="DC49" s="40" t="str">
        <f aca="false">IF(OR(DB$4=0,DB49=""),"",IFERROR(ROUND(DB49/INDEX(Undirviðmið!$F$6:$F$205,DB$4)*INDEX(Undirviðmið!$E$6:$E$205,DB$4)*KVARDI,2),""))</f>
        <v/>
      </c>
      <c r="DD49" s="23"/>
      <c r="DE49" s="40" t="str">
        <f aca="false">IF(OR(DD$4=0,DD49=""),"",IFERROR(ROUND(DD49/INDEX(Undirviðmið!$F$6:$F$205,DD$4)*INDEX(Undirviðmið!$E$6:$E$205,DD$4)*KVARDI,2),""))</f>
        <v/>
      </c>
      <c r="DF49" s="23"/>
      <c r="DG49" s="40" t="str">
        <f aca="false">IF(OR(DF$4=0,DF49=""),"",IFERROR(ROUND(DF49/INDEX(Undirviðmið!$F$6:$F$205,DF$4)*INDEX(Undirviðmið!$E$6:$E$205,DF$4)*KVARDI,2),""))</f>
        <v/>
      </c>
      <c r="DH49" s="23"/>
      <c r="DI49" s="40" t="str">
        <f aca="false">IF(OR(DH$4=0,DH49=""),"",IFERROR(ROUND(DH49/INDEX(Undirviðmið!$F$6:$F$205,DH$4)*INDEX(Undirviðmið!$E$6:$E$205,DH$4)*KVARDI,2),""))</f>
        <v/>
      </c>
      <c r="DJ49" s="23"/>
      <c r="DK49" s="40" t="str">
        <f aca="false">IF(OR(DJ$4=0,DJ49=""),"",IFERROR(ROUND(DJ49/INDEX(Undirviðmið!$F$6:$F$205,DJ$4)*INDEX(Undirviðmið!$E$6:$E$205,DJ$4)*KVARDI,2),""))</f>
        <v/>
      </c>
      <c r="DL49" s="23"/>
      <c r="DM49" s="40" t="str">
        <f aca="false">IF(OR(DL$4=0,DL49=""),"",IFERROR(ROUND(DL49/INDEX(Undirviðmið!$F$6:$F$205,DL$4)*INDEX(Undirviðmið!$E$6:$E$205,DL$4)*KVARDI,2),""))</f>
        <v/>
      </c>
      <c r="DN49" s="23"/>
      <c r="DO49" s="40" t="str">
        <f aca="false">IF(OR(DN$4=0,DN49=""),"",IFERROR(ROUND(DN49/INDEX(Undirviðmið!$F$6:$F$205,DN$4)*INDEX(Undirviðmið!$E$6:$E$205,DN$4)*KVARDI,2),""))</f>
        <v/>
      </c>
      <c r="DP49" s="23"/>
      <c r="DQ49" s="40" t="str">
        <f aca="false">IF(OR(DP$4=0,DP49=""),"",IFERROR(ROUND(DP49/INDEX(Undirviðmið!$F$6:$F$205,DP$4)*INDEX(Undirviðmið!$E$6:$E$205,DP$4)*KVARDI,2),""))</f>
        <v/>
      </c>
      <c r="DR49" s="23"/>
      <c r="DS49" s="40" t="str">
        <f aca="false">IF(OR(DR$4=0,DR49=""),"",IFERROR(ROUND(DR49/INDEX(Undirviðmið!$F$6:$F$205,DR$4)*INDEX(Undirviðmið!$E$6:$E$205,DR$4)*KVARDI,2),""))</f>
        <v/>
      </c>
      <c r="DT49" s="23"/>
      <c r="DU49" s="40" t="str">
        <f aca="false">IF(OR(DT$4=0,DT49=""),"",IFERROR(ROUND(DT49/INDEX(Undirviðmið!$F$6:$F$205,DT$4)*INDEX(Undirviðmið!$E$6:$E$205,DT$4)*KVARDI,2),""))</f>
        <v/>
      </c>
      <c r="DV49" s="23"/>
      <c r="DW49" s="40" t="str">
        <f aca="false">IF(OR(DV$4=0,DV49=""),"",IFERROR(ROUND(DV49/INDEX(Undirviðmið!$F$6:$F$205,DV$4)*INDEX(Undirviðmið!$E$6:$E$205,DV$4)*KVARDI,2),""))</f>
        <v/>
      </c>
      <c r="DX49" s="23"/>
      <c r="DY49" s="40" t="str">
        <f aca="false">IF(OR(DX$4=0,DX49=""),"",IFERROR(ROUND(DX49/INDEX(Undirviðmið!$F$6:$F$205,DX$4)*INDEX(Undirviðmið!$E$6:$E$205,DX$4)*KVARDI,2),""))</f>
        <v/>
      </c>
      <c r="DZ49" s="23"/>
      <c r="EA49" s="40" t="str">
        <f aca="false">IF(OR(DZ$4=0,DZ49=""),"",IFERROR(ROUND(DZ49/INDEX(Undirviðmið!$F$6:$F$205,DZ$4)*INDEX(Undirviðmið!$E$6:$E$205,DZ$4)*KVARDI,2),""))</f>
        <v/>
      </c>
      <c r="EB49" s="23"/>
      <c r="EC49" s="40" t="str">
        <f aca="false">IF(OR(EB$4=0,EB49=""),"",IFERROR(ROUND(EB49/INDEX(Undirviðmið!$F$6:$F$205,EB$4)*INDEX(Undirviðmið!$E$6:$E$205,EB$4)*KVARDI,2),""))</f>
        <v/>
      </c>
      <c r="ED49" s="23"/>
      <c r="EE49" s="40" t="str">
        <f aca="false">IF(OR(ED$4=0,ED49=""),"",IFERROR(ROUND(ED49/INDEX(Undirviðmið!$F$6:$F$205,ED$4)*INDEX(Undirviðmið!$E$6:$E$205,ED$4)*KVARDI,2),""))</f>
        <v/>
      </c>
      <c r="EF49" s="23"/>
      <c r="EG49" s="40" t="str">
        <f aca="false">IF(OR(EF$4=0,EF49=""),"",IFERROR(ROUND(EF49/INDEX(Undirviðmið!$F$6:$F$205,EF$4)*INDEX(Undirviðmið!$E$6:$E$205,EF$4)*KVARDI,2),""))</f>
        <v/>
      </c>
      <c r="EH49" s="23"/>
      <c r="EI49" s="40" t="str">
        <f aca="false">IF(OR(EH$4=0,EH49=""),"",IFERROR(ROUND(EH49/INDEX(Undirviðmið!$F$6:$F$205,EH$4)*INDEX(Undirviðmið!$E$6:$E$205,EH$4)*KVARDI,2),""))</f>
        <v/>
      </c>
      <c r="EJ49" s="23"/>
      <c r="EK49" s="40" t="str">
        <f aca="false">IF(OR(EJ$4=0,EJ49=""),"",IFERROR(ROUND(EJ49/INDEX(Undirviðmið!$F$6:$F$205,EJ$4)*INDEX(Undirviðmið!$E$6:$E$205,EJ$4)*KVARDI,2),""))</f>
        <v/>
      </c>
      <c r="EL49" s="23"/>
      <c r="EM49" s="40" t="str">
        <f aca="false">IF(OR(EL$4=0,EL49=""),"",IFERROR(ROUND(EL49/INDEX(Undirviðmið!$F$6:$F$205,EL$4)*INDEX(Undirviðmið!$E$6:$E$205,EL$4)*KVARDI,2),""))</f>
        <v/>
      </c>
      <c r="EN49" s="23"/>
      <c r="EO49" s="40" t="str">
        <f aca="false">IF(OR(EN$4=0,EN49=""),"",IFERROR(ROUND(EN49/INDEX(Undirviðmið!$F$6:$F$205,EN$4)*INDEX(Undirviðmið!$E$6:$E$205,EN$4)*KVARDI,2),""))</f>
        <v/>
      </c>
      <c r="EP49" s="23"/>
      <c r="EQ49" s="40" t="str">
        <f aca="false">IF(OR(EP$4=0,EP49=""),"",IFERROR(ROUND(EP49/INDEX(Undirviðmið!$F$6:$F$205,EP$4)*INDEX(Undirviðmið!$E$6:$E$205,EP$4)*KVARDI,2),""))</f>
        <v/>
      </c>
      <c r="ER49" s="23"/>
      <c r="ES49" s="40" t="str">
        <f aca="false">IF(OR(ER$4=0,ER49=""),"",IFERROR(ROUND(ER49/INDEX(Undirviðmið!$F$6:$F$205,ER$4)*INDEX(Undirviðmið!$E$6:$E$205,ER$4)*KVARDI,2),""))</f>
        <v/>
      </c>
      <c r="ET49" s="23"/>
      <c r="EU49" s="40" t="str">
        <f aca="false">IF(OR(ET$4=0,ET49=""),"",IFERROR(ROUND(ET49/INDEX(Undirviðmið!$F$6:$F$205,ET$4)*INDEX(Undirviðmið!$E$6:$E$205,ET$4)*KVARDI,2),""))</f>
        <v/>
      </c>
      <c r="EV49" s="23"/>
      <c r="EW49" s="40" t="str">
        <f aca="false">IF(OR(EV$4=0,EV49=""),"",IFERROR(ROUND(EV49/INDEX(Undirviðmið!$F$6:$F$205,EV$4)*INDEX(Undirviðmið!$E$6:$E$205,EV$4)*KVARDI,2),""))</f>
        <v/>
      </c>
      <c r="EX49" s="23"/>
      <c r="EY49" s="40" t="str">
        <f aca="false">IF(OR(EX$4=0,EX49=""),"",IFERROR(ROUND(EX49/INDEX(Undirviðmið!$F$6:$F$205,EX$4)*INDEX(Undirviðmið!$E$6:$E$205,EX$4)*KVARDI,2),""))</f>
        <v/>
      </c>
      <c r="EZ49" s="23"/>
      <c r="FA49" s="40" t="str">
        <f aca="false">IF(OR(EZ$4=0,EZ49=""),"",IFERROR(ROUND(EZ49/INDEX(Undirviðmið!$F$6:$F$205,EZ$4)*INDEX(Undirviðmið!$E$6:$E$205,EZ$4)*KVARDI,2),""))</f>
        <v/>
      </c>
      <c r="FB49" s="23"/>
      <c r="FC49" s="40" t="str">
        <f aca="false">IF(OR(FB$4=0,FB49=""),"",IFERROR(ROUND(FB49/INDEX(Undirviðmið!$F$6:$F$205,FB$4)*INDEX(Undirviðmið!$E$6:$E$205,FB$4)*KVARDI,2),""))</f>
        <v/>
      </c>
      <c r="FD49" s="23"/>
      <c r="FE49" s="40" t="str">
        <f aca="false">IF(OR(FD$4=0,FD49=""),"",IFERROR(ROUND(FD49/INDEX(Undirviðmið!$F$6:$F$205,FD$4)*INDEX(Undirviðmið!$E$6:$E$205,FD$4)*KVARDI,2),""))</f>
        <v/>
      </c>
      <c r="FF49" s="23"/>
      <c r="FG49" s="40" t="str">
        <f aca="false">IF(OR(FF$4=0,FF49=""),"",IFERROR(ROUND(FF49/INDEX(Undirviðmið!$F$6:$F$205,FF$4)*INDEX(Undirviðmið!$E$6:$E$205,FF$4)*KVARDI,2),""))</f>
        <v/>
      </c>
      <c r="FH49" s="23"/>
      <c r="FI49" s="40" t="str">
        <f aca="false">IF(OR(FH$4=0,FH49=""),"",IFERROR(ROUND(FH49/INDEX(Undirviðmið!$F$6:$F$205,FH$4)*INDEX(Undirviðmið!$E$6:$E$205,FH$4)*KVARDI,2),""))</f>
        <v/>
      </c>
      <c r="FJ49" s="23"/>
      <c r="FK49" s="40" t="str">
        <f aca="false">IF(OR(FJ$4=0,FJ49=""),"",IFERROR(ROUND(FJ49/INDEX(Undirviðmið!$F$6:$F$205,FJ$4)*INDEX(Undirviðmið!$E$6:$E$205,FJ$4)*KVARDI,2),""))</f>
        <v/>
      </c>
      <c r="FL49" s="23"/>
      <c r="FM49" s="40" t="str">
        <f aca="false">IF(OR(FL$4=0,FL49=""),"",IFERROR(ROUND(FL49/INDEX(Undirviðmið!$F$6:$F$205,FL$4)*INDEX(Undirviðmið!$E$6:$E$205,FL$4)*KVARDI,2),""))</f>
        <v/>
      </c>
      <c r="FN49" s="23"/>
      <c r="FO49" s="40" t="str">
        <f aca="false">IF(OR(FN$4=0,FN49=""),"",IFERROR(ROUND(FN49/INDEX(Undirviðmið!$F$6:$F$205,FN$4)*INDEX(Undirviðmið!$E$6:$E$205,FN$4)*KVARDI,2),""))</f>
        <v/>
      </c>
      <c r="FP49" s="23"/>
      <c r="FQ49" s="40" t="str">
        <f aca="false">IF(OR(FP$4=0,FP49=""),"",IFERROR(ROUND(FP49/INDEX(Undirviðmið!$F$6:$F$205,FP$4)*INDEX(Undirviðmið!$E$6:$E$205,FP$4)*KVARDI,2),""))</f>
        <v/>
      </c>
      <c r="FR49" s="23"/>
      <c r="FS49" s="40" t="str">
        <f aca="false">IF(OR(FR$4=0,FR49=""),"",IFERROR(ROUND(FR49/INDEX(Undirviðmið!$F$6:$F$205,FR$4)*INDEX(Undirviðmið!$E$6:$E$205,FR$4)*KVARDI,2),""))</f>
        <v/>
      </c>
      <c r="FT49" s="23"/>
      <c r="FU49" s="40" t="str">
        <f aca="false">IF(OR(FT$4=0,FT49=""),"",IFERROR(ROUND(FT49/INDEX(Undirviðmið!$F$6:$F$205,FT$4)*INDEX(Undirviðmið!$E$6:$E$205,FT$4)*KVARDI,2),""))</f>
        <v/>
      </c>
      <c r="FV49" s="23"/>
      <c r="FW49" s="40" t="str">
        <f aca="false">IF(OR(FV$4=0,FV49=""),"",IFERROR(ROUND(FV49/INDEX(Undirviðmið!$F$6:$F$205,FV$4)*INDEX(Undirviðmið!$E$6:$E$205,FV$4)*KVARDI,2),""))</f>
        <v/>
      </c>
      <c r="FX49" s="23"/>
      <c r="FY49" s="40" t="str">
        <f aca="false">IF(OR(FX$4=0,FX49=""),"",IFERROR(ROUND(FX49/INDEX(Undirviðmið!$F$6:$F$205,FX$4)*INDEX(Undirviðmið!$E$6:$E$205,FX$4)*KVARDI,2),""))</f>
        <v/>
      </c>
      <c r="FZ49" s="23"/>
      <c r="GA49" s="40" t="str">
        <f aca="false">IF(OR(FZ$4=0,FZ49=""),"",IFERROR(ROUND(FZ49/INDEX(Undirviðmið!$F$6:$F$205,FZ$4)*INDEX(Undirviðmið!$E$6:$E$205,FZ$4)*KVARDI,2),""))</f>
        <v/>
      </c>
      <c r="GB49" s="23"/>
      <c r="GC49" s="40" t="str">
        <f aca="false">IF(OR(GB$4=0,GB49=""),"",IFERROR(ROUND(GB49/INDEX(Undirviðmið!$F$6:$F$205,GB$4)*INDEX(Undirviðmið!$E$6:$E$205,GB$4)*KVARDI,2),""))</f>
        <v/>
      </c>
      <c r="GD49" s="23"/>
      <c r="GE49" s="40" t="str">
        <f aca="false">IF(OR(GD$4=0,GD49=""),"",IFERROR(ROUND(GD49/INDEX(Undirviðmið!$F$6:$F$205,GD$4)*INDEX(Undirviðmið!$E$6:$E$205,GD$4)*KVARDI,2),""))</f>
        <v/>
      </c>
      <c r="GF49" s="23"/>
      <c r="GG49" s="40" t="str">
        <f aca="false">IF(OR(GF$4=0,GF49=""),"",IFERROR(ROUND(GF49/INDEX(Undirviðmið!$F$6:$F$205,GF$4)*INDEX(Undirviðmið!$E$6:$E$205,GF$4)*KVARDI,2),""))</f>
        <v/>
      </c>
      <c r="GH49" s="23"/>
      <c r="GI49" s="40" t="str">
        <f aca="false">IF(OR(GH$4=0,GH49=""),"",IFERROR(ROUND(GH49/INDEX(Undirviðmið!$F$6:$F$205,GH$4)*INDEX(Undirviðmið!$E$6:$E$205,GH$4)*KVARDI,2),""))</f>
        <v/>
      </c>
      <c r="GJ49" s="23"/>
      <c r="GK49" s="40" t="str">
        <f aca="false">IF(OR(GJ$4=0,GJ49=""),"",IFERROR(ROUND(GJ49/INDEX(Undirviðmið!$F$6:$F$205,GJ$4)*INDEX(Undirviðmið!$E$6:$E$205,GJ$4)*KVARDI,2),""))</f>
        <v/>
      </c>
      <c r="GL49" s="23"/>
      <c r="GM49" s="40" t="str">
        <f aca="false">IF(OR(GL$4=0,GL49=""),"",IFERROR(ROUND(GL49/INDEX(Undirviðmið!$F$6:$F$205,GL$4)*INDEX(Undirviðmið!$E$6:$E$205,GL$4)*KVARDI,2),""))</f>
        <v/>
      </c>
      <c r="GN49" s="23"/>
      <c r="GO49" s="40" t="str">
        <f aca="false">IF(OR(GN$4=0,GN49=""),"",IFERROR(ROUND(GN49/INDEX(Undirviðmið!$F$6:$F$205,GN$4)*INDEX(Undirviðmið!$E$6:$E$205,GN$4)*KVARDI,2),""))</f>
        <v/>
      </c>
      <c r="GP49" s="23"/>
      <c r="GQ49" s="40" t="str">
        <f aca="false">IF(OR(GP$4=0,GP49=""),"",IFERROR(ROUND(GP49/INDEX(Undirviðmið!$F$6:$F$205,GP$4)*INDEX(Undirviðmið!$E$6:$E$205,GP$4)*KVARDI,2),""))</f>
        <v/>
      </c>
      <c r="GR49" s="23"/>
      <c r="GS49" s="40" t="str">
        <f aca="false">IF(OR(GR$4=0,GR49=""),"",IFERROR(ROUND(GR49/INDEX(Undirviðmið!$F$6:$F$205,GR$4)*INDEX(Undirviðmið!$E$6:$E$205,GR$4)*KVARDI,2),""))</f>
        <v/>
      </c>
      <c r="GT49" s="23"/>
      <c r="GU49" s="40" t="str">
        <f aca="false">IF(OR(GT$4=0,GT49=""),"",IFERROR(ROUND(GT49/INDEX(Undirviðmið!$F$6:$F$205,GT$4)*INDEX(Undirviðmið!$E$6:$E$205,GT$4)*KVARDI,2),""))</f>
        <v/>
      </c>
      <c r="GV49" s="44" t="n">
        <f aca="false">IFERROR(SUMIF($D$6:GU$6,"Stig",$D49:GU49),0)</f>
        <v>0</v>
      </c>
    </row>
    <row r="50" customFormat="false" ht="15" hidden="false" customHeight="true" outlineLevel="0" collapsed="false">
      <c r="A50" s="22" t="n">
        <f aca="false">ROW()-6</f>
        <v>44</v>
      </c>
      <c r="B50" s="24" t="str">
        <f aca="false">IF(INDEX(Starfsmenn!$B$6:$B$10005,ROW()-6)="","",INDEX(Starfsmenn!$B$6:$B$10005,ROW()-6))</f>
        <v/>
      </c>
      <c r="C50" s="24" t="str">
        <f aca="false">IF(INDEX(Starfsmenn!$C$6:$C$10005,ROW()-6)="","",INDEX(Starfsmenn!$C$6:$C$10005,ROW()-6))</f>
        <v/>
      </c>
      <c r="D50" s="23"/>
      <c r="E50" s="40" t="str">
        <f aca="false">IF(OR(D$4=0,D50=""),"",IFERROR(ROUND(D50/INDEX(Undirviðmið!$F$6:$F$205,D$4)*INDEX(Undirviðmið!$E$6:$E$205,D$4)*KVARDI,2),""))</f>
        <v/>
      </c>
      <c r="F50" s="23"/>
      <c r="G50" s="40" t="str">
        <f aca="false">IF(OR(F$4=0,F50=""),"",IFERROR(ROUND(F50/INDEX(Undirviðmið!$F$6:$F$205,F$4)*INDEX(Undirviðmið!$E$6:$E$205,F$4)*KVARDI,2),""))</f>
        <v/>
      </c>
      <c r="H50" s="23"/>
      <c r="I50" s="40" t="str">
        <f aca="false">IF(OR(H$4=0,H50=""),"",IFERROR(ROUND(H50/INDEX(Undirviðmið!$F$6:$F$205,H$4)*INDEX(Undirviðmið!$E$6:$E$205,H$4)*KVARDI,2),""))</f>
        <v/>
      </c>
      <c r="J50" s="23"/>
      <c r="K50" s="40" t="str">
        <f aca="false">IF(OR(J$4=0,J50=""),"",IFERROR(ROUND(J50/INDEX(Undirviðmið!$F$6:$F$205,J$4)*INDEX(Undirviðmið!$E$6:$E$205,J$4)*KVARDI,2),""))</f>
        <v/>
      </c>
      <c r="L50" s="23"/>
      <c r="M50" s="40" t="str">
        <f aca="false">IF(OR(L$4=0,L50=""),"",IFERROR(ROUND(L50/INDEX(Undirviðmið!$F$6:$F$205,L$4)*INDEX(Undirviðmið!$E$6:$E$205,L$4)*KVARDI,2),""))</f>
        <v/>
      </c>
      <c r="N50" s="23"/>
      <c r="O50" s="40" t="str">
        <f aca="false">IF(OR(N$4=0,N50=""),"",IFERROR(ROUND(N50/INDEX(Undirviðmið!$F$6:$F$205,N$4)*INDEX(Undirviðmið!$E$6:$E$205,N$4)*KVARDI,2),""))</f>
        <v/>
      </c>
      <c r="P50" s="23"/>
      <c r="Q50" s="40" t="str">
        <f aca="false">IF(OR(P$4=0,P50=""),"",IFERROR(ROUND(P50/INDEX(Undirviðmið!$F$6:$F$205,P$4)*INDEX(Undirviðmið!$E$6:$E$205,P$4)*KVARDI,2),""))</f>
        <v/>
      </c>
      <c r="R50" s="23"/>
      <c r="S50" s="40" t="str">
        <f aca="false">IF(OR(R$4=0,R50=""),"",IFERROR(ROUND(R50/INDEX(Undirviðmið!$F$6:$F$205,R$4)*INDEX(Undirviðmið!$E$6:$E$205,R$4)*KVARDI,2),""))</f>
        <v/>
      </c>
      <c r="T50" s="23"/>
      <c r="U50" s="40" t="str">
        <f aca="false">IF(OR(T$4=0,T50=""),"",IFERROR(ROUND(T50/INDEX(Undirviðmið!$F$6:$F$205,T$4)*INDEX(Undirviðmið!$E$6:$E$205,T$4)*KVARDI,2),""))</f>
        <v/>
      </c>
      <c r="V50" s="23"/>
      <c r="W50" s="40" t="str">
        <f aca="false">IF(OR(V$4=0,V50=""),"",IFERROR(ROUND(V50/INDEX(Undirviðmið!$F$6:$F$205,V$4)*INDEX(Undirviðmið!$E$6:$E$205,V$4)*KVARDI,2),""))</f>
        <v/>
      </c>
      <c r="X50" s="23"/>
      <c r="Y50" s="40" t="str">
        <f aca="false">IF(OR(X$4=0,X50=""),"",IFERROR(ROUND(X50/INDEX(Undirviðmið!$F$6:$F$205,X$4)*INDEX(Undirviðmið!$E$6:$E$205,X$4)*KVARDI,2),""))</f>
        <v/>
      </c>
      <c r="Z50" s="23"/>
      <c r="AA50" s="40" t="str">
        <f aca="false">IF(OR(Z$4=0,Z50=""),"",IFERROR(ROUND(Z50/INDEX(Undirviðmið!$F$6:$F$205,Z$4)*INDEX(Undirviðmið!$E$6:$E$205,Z$4)*KVARDI,2),""))</f>
        <v/>
      </c>
      <c r="AB50" s="23"/>
      <c r="AC50" s="40" t="str">
        <f aca="false">IF(OR(AB$4=0,AB50=""),"",IFERROR(ROUND(AB50/INDEX(Undirviðmið!$F$6:$F$205,AB$4)*INDEX(Undirviðmið!$E$6:$E$205,AB$4)*KVARDI,2),""))</f>
        <v/>
      </c>
      <c r="AD50" s="23"/>
      <c r="AE50" s="40" t="str">
        <f aca="false">IF(OR(AD$4=0,AD50=""),"",IFERROR(ROUND(AD50/INDEX(Undirviðmið!$F$6:$F$205,AD$4)*INDEX(Undirviðmið!$E$6:$E$205,AD$4)*KVARDI,2),""))</f>
        <v/>
      </c>
      <c r="AF50" s="23"/>
      <c r="AG50" s="40" t="str">
        <f aca="false">IF(OR(AF$4=0,AF50=""),"",IFERROR(ROUND(AF50/INDEX(Undirviðmið!$F$6:$F$205,AF$4)*INDEX(Undirviðmið!$E$6:$E$205,AF$4)*KVARDI,2),""))</f>
        <v/>
      </c>
      <c r="AH50" s="23"/>
      <c r="AI50" s="40" t="str">
        <f aca="false">IF(OR(AH$4=0,AH50=""),"",IFERROR(ROUND(AH50/INDEX(Undirviðmið!$F$6:$F$205,AH$4)*INDEX(Undirviðmið!$E$6:$E$205,AH$4)*KVARDI,2),""))</f>
        <v/>
      </c>
      <c r="AJ50" s="23"/>
      <c r="AK50" s="40" t="str">
        <f aca="false">IF(OR(AJ$4=0,AJ50=""),"",IFERROR(ROUND(AJ50/INDEX(Undirviðmið!$F$6:$F$205,AJ$4)*INDEX(Undirviðmið!$E$6:$E$205,AJ$4)*KVARDI,2),""))</f>
        <v/>
      </c>
      <c r="AL50" s="23"/>
      <c r="AM50" s="40" t="str">
        <f aca="false">IF(OR(AL$4=0,AL50=""),"",IFERROR(ROUND(AL50/INDEX(Undirviðmið!$F$6:$F$205,AL$4)*INDEX(Undirviðmið!$E$6:$E$205,AL$4)*KVARDI,2),""))</f>
        <v/>
      </c>
      <c r="AN50" s="23"/>
      <c r="AO50" s="40" t="str">
        <f aca="false">IF(OR(AN$4=0,AN50=""),"",IFERROR(ROUND(AN50/INDEX(Undirviðmið!$F$6:$F$205,AN$4)*INDEX(Undirviðmið!$E$6:$E$205,AN$4)*KVARDI,2),""))</f>
        <v/>
      </c>
      <c r="AP50" s="23"/>
      <c r="AQ50" s="40" t="str">
        <f aca="false">IF(OR(AP$4=0,AP50=""),"",IFERROR(ROUND(AP50/INDEX(Undirviðmið!$F$6:$F$205,AP$4)*INDEX(Undirviðmið!$E$6:$E$205,AP$4)*KVARDI,2),""))</f>
        <v/>
      </c>
      <c r="AR50" s="23"/>
      <c r="AS50" s="40" t="str">
        <f aca="false">IF(OR(AR$4=0,AR50=""),"",IFERROR(ROUND(AR50/INDEX(Undirviðmið!$F$6:$F$205,AR$4)*INDEX(Undirviðmið!$E$6:$E$205,AR$4)*KVARDI,2),""))</f>
        <v/>
      </c>
      <c r="AT50" s="23"/>
      <c r="AU50" s="40" t="str">
        <f aca="false">IF(OR(AT$4=0,AT50=""),"",IFERROR(ROUND(AT50/INDEX(Undirviðmið!$F$6:$F$205,AT$4)*INDEX(Undirviðmið!$E$6:$E$205,AT$4)*KVARDI,2),""))</f>
        <v/>
      </c>
      <c r="AV50" s="23"/>
      <c r="AW50" s="40" t="str">
        <f aca="false">IF(OR(AV$4=0,AV50=""),"",IFERROR(ROUND(AV50/INDEX(Undirviðmið!$F$6:$F$205,AV$4)*INDEX(Undirviðmið!$E$6:$E$205,AV$4)*KVARDI,2),""))</f>
        <v/>
      </c>
      <c r="AX50" s="23"/>
      <c r="AY50" s="40" t="str">
        <f aca="false">IF(OR(AX$4=0,AX50=""),"",IFERROR(ROUND(AX50/INDEX(Undirviðmið!$F$6:$F$205,AX$4)*INDEX(Undirviðmið!$E$6:$E$205,AX$4)*KVARDI,2),""))</f>
        <v/>
      </c>
      <c r="AZ50" s="23"/>
      <c r="BA50" s="40" t="str">
        <f aca="false">IF(OR(AZ$4=0,AZ50=""),"",IFERROR(ROUND(AZ50/INDEX(Undirviðmið!$F$6:$F$205,AZ$4)*INDEX(Undirviðmið!$E$6:$E$205,AZ$4)*KVARDI,2),""))</f>
        <v/>
      </c>
      <c r="BB50" s="23"/>
      <c r="BC50" s="40" t="str">
        <f aca="false">IF(OR(BB$4=0,BB50=""),"",IFERROR(ROUND(BB50/INDEX(Undirviðmið!$F$6:$F$205,BB$4)*INDEX(Undirviðmið!$E$6:$E$205,BB$4)*KVARDI,2),""))</f>
        <v/>
      </c>
      <c r="BD50" s="23"/>
      <c r="BE50" s="40" t="str">
        <f aca="false">IF(OR(BD$4=0,BD50=""),"",IFERROR(ROUND(BD50/INDEX(Undirviðmið!$F$6:$F$205,BD$4)*INDEX(Undirviðmið!$E$6:$E$205,BD$4)*KVARDI,2),""))</f>
        <v/>
      </c>
      <c r="BF50" s="23"/>
      <c r="BG50" s="40" t="str">
        <f aca="false">IF(OR(BF$4=0,BF50=""),"",IFERROR(ROUND(BF50/INDEX(Undirviðmið!$F$6:$F$205,BF$4)*INDEX(Undirviðmið!$E$6:$E$205,BF$4)*KVARDI,2),""))</f>
        <v/>
      </c>
      <c r="BH50" s="23"/>
      <c r="BI50" s="40" t="str">
        <f aca="false">IF(OR(BH$4=0,BH50=""),"",IFERROR(ROUND(BH50/INDEX(Undirviðmið!$F$6:$F$205,BH$4)*INDEX(Undirviðmið!$E$6:$E$205,BH$4)*KVARDI,2),""))</f>
        <v/>
      </c>
      <c r="BJ50" s="23"/>
      <c r="BK50" s="40" t="str">
        <f aca="false">IF(OR(BJ$4=0,BJ50=""),"",IFERROR(ROUND(BJ50/INDEX(Undirviðmið!$F$6:$F$205,BJ$4)*INDEX(Undirviðmið!$E$6:$E$205,BJ$4)*KVARDI,2),""))</f>
        <v/>
      </c>
      <c r="BL50" s="23"/>
      <c r="BM50" s="40" t="str">
        <f aca="false">IF(OR(BL$4=0,BL50=""),"",IFERROR(ROUND(BL50/INDEX(Undirviðmið!$F$6:$F$205,BL$4)*INDEX(Undirviðmið!$E$6:$E$205,BL$4)*KVARDI,2),""))</f>
        <v/>
      </c>
      <c r="BN50" s="23"/>
      <c r="BO50" s="40" t="str">
        <f aca="false">IF(OR(BN$4=0,BN50=""),"",IFERROR(ROUND(BN50/INDEX(Undirviðmið!$F$6:$F$205,BN$4)*INDEX(Undirviðmið!$E$6:$E$205,BN$4)*KVARDI,2),""))</f>
        <v/>
      </c>
      <c r="BP50" s="23"/>
      <c r="BQ50" s="40" t="str">
        <f aca="false">IF(OR(BP$4=0,BP50=""),"",IFERROR(ROUND(BP50/INDEX(Undirviðmið!$F$6:$F$205,BP$4)*INDEX(Undirviðmið!$E$6:$E$205,BP$4)*KVARDI,2),""))</f>
        <v/>
      </c>
      <c r="BR50" s="23"/>
      <c r="BS50" s="40" t="str">
        <f aca="false">IF(OR(BR$4=0,BR50=""),"",IFERROR(ROUND(BR50/INDEX(Undirviðmið!$F$6:$F$205,BR$4)*INDEX(Undirviðmið!$E$6:$E$205,BR$4)*KVARDI,2),""))</f>
        <v/>
      </c>
      <c r="BT50" s="23"/>
      <c r="BU50" s="40" t="str">
        <f aca="false">IF(OR(BT$4=0,BT50=""),"",IFERROR(ROUND(BT50/INDEX(Undirviðmið!$F$6:$F$205,BT$4)*INDEX(Undirviðmið!$E$6:$E$205,BT$4)*KVARDI,2),""))</f>
        <v/>
      </c>
      <c r="BV50" s="23"/>
      <c r="BW50" s="40" t="str">
        <f aca="false">IF(OR(BV$4=0,BV50=""),"",IFERROR(ROUND(BV50/INDEX(Undirviðmið!$F$6:$F$205,BV$4)*INDEX(Undirviðmið!$E$6:$E$205,BV$4)*KVARDI,2),""))</f>
        <v/>
      </c>
      <c r="BX50" s="23"/>
      <c r="BY50" s="40" t="str">
        <f aca="false">IF(OR(BX$4=0,BX50=""),"",IFERROR(ROUND(BX50/INDEX(Undirviðmið!$F$6:$F$205,BX$4)*INDEX(Undirviðmið!$E$6:$E$205,BX$4)*KVARDI,2),""))</f>
        <v/>
      </c>
      <c r="BZ50" s="23"/>
      <c r="CA50" s="40" t="str">
        <f aca="false">IF(OR(BZ$4=0,BZ50=""),"",IFERROR(ROUND(BZ50/INDEX(Undirviðmið!$F$6:$F$205,BZ$4)*INDEX(Undirviðmið!$E$6:$E$205,BZ$4)*KVARDI,2),""))</f>
        <v/>
      </c>
      <c r="CB50" s="23"/>
      <c r="CC50" s="40" t="str">
        <f aca="false">IF(OR(CB$4=0,CB50=""),"",IFERROR(ROUND(CB50/INDEX(Undirviðmið!$F$6:$F$205,CB$4)*INDEX(Undirviðmið!$E$6:$E$205,CB$4)*KVARDI,2),""))</f>
        <v/>
      </c>
      <c r="CD50" s="23"/>
      <c r="CE50" s="40" t="str">
        <f aca="false">IF(OR(CD$4=0,CD50=""),"",IFERROR(ROUND(CD50/INDEX(Undirviðmið!$F$6:$F$205,CD$4)*INDEX(Undirviðmið!$E$6:$E$205,CD$4)*KVARDI,2),""))</f>
        <v/>
      </c>
      <c r="CF50" s="23"/>
      <c r="CG50" s="40" t="str">
        <f aca="false">IF(OR(CF$4=0,CF50=""),"",IFERROR(ROUND(CF50/INDEX(Undirviðmið!$F$6:$F$205,CF$4)*INDEX(Undirviðmið!$E$6:$E$205,CF$4)*KVARDI,2),""))</f>
        <v/>
      </c>
      <c r="CH50" s="23"/>
      <c r="CI50" s="40" t="str">
        <f aca="false">IF(OR(CH$4=0,CH50=""),"",IFERROR(ROUND(CH50/INDEX(Undirviðmið!$F$6:$F$205,CH$4)*INDEX(Undirviðmið!$E$6:$E$205,CH$4)*KVARDI,2),""))</f>
        <v/>
      </c>
      <c r="CJ50" s="23"/>
      <c r="CK50" s="40" t="str">
        <f aca="false">IF(OR(CJ$4=0,CJ50=""),"",IFERROR(ROUND(CJ50/INDEX(Undirviðmið!$F$6:$F$205,CJ$4)*INDEX(Undirviðmið!$E$6:$E$205,CJ$4)*KVARDI,2),""))</f>
        <v/>
      </c>
      <c r="CL50" s="23"/>
      <c r="CM50" s="40" t="str">
        <f aca="false">IF(OR(CL$4=0,CL50=""),"",IFERROR(ROUND(CL50/INDEX(Undirviðmið!$F$6:$F$205,CL$4)*INDEX(Undirviðmið!$E$6:$E$205,CL$4)*KVARDI,2),""))</f>
        <v/>
      </c>
      <c r="CN50" s="23"/>
      <c r="CO50" s="40" t="str">
        <f aca="false">IF(OR(CN$4=0,CN50=""),"",IFERROR(ROUND(CN50/INDEX(Undirviðmið!$F$6:$F$205,CN$4)*INDEX(Undirviðmið!$E$6:$E$205,CN$4)*KVARDI,2),""))</f>
        <v/>
      </c>
      <c r="CP50" s="23"/>
      <c r="CQ50" s="40" t="str">
        <f aca="false">IF(OR(CP$4=0,CP50=""),"",IFERROR(ROUND(CP50/INDEX(Undirviðmið!$F$6:$F$205,CP$4)*INDEX(Undirviðmið!$E$6:$E$205,CP$4)*KVARDI,2),""))</f>
        <v/>
      </c>
      <c r="CR50" s="23"/>
      <c r="CS50" s="40" t="str">
        <f aca="false">IF(OR(CR$4=0,CR50=""),"",IFERROR(ROUND(CR50/INDEX(Undirviðmið!$F$6:$F$205,CR$4)*INDEX(Undirviðmið!$E$6:$E$205,CR$4)*KVARDI,2),""))</f>
        <v/>
      </c>
      <c r="CT50" s="23"/>
      <c r="CU50" s="40" t="str">
        <f aca="false">IF(OR(CT$4=0,CT50=""),"",IFERROR(ROUND(CT50/INDEX(Undirviðmið!$F$6:$F$205,CT$4)*INDEX(Undirviðmið!$E$6:$E$205,CT$4)*KVARDI,2),""))</f>
        <v/>
      </c>
      <c r="CV50" s="23"/>
      <c r="CW50" s="40" t="str">
        <f aca="false">IF(OR(CV$4=0,CV50=""),"",IFERROR(ROUND(CV50/INDEX(Undirviðmið!$F$6:$F$205,CV$4)*INDEX(Undirviðmið!$E$6:$E$205,CV$4)*KVARDI,2),""))</f>
        <v/>
      </c>
      <c r="CX50" s="23"/>
      <c r="CY50" s="40" t="str">
        <f aca="false">IF(OR(CX$4=0,CX50=""),"",IFERROR(ROUND(CX50/INDEX(Undirviðmið!$F$6:$F$205,CX$4)*INDEX(Undirviðmið!$E$6:$E$205,CX$4)*KVARDI,2),""))</f>
        <v/>
      </c>
      <c r="CZ50" s="23"/>
      <c r="DA50" s="40" t="str">
        <f aca="false">IF(OR(CZ$4=0,CZ50=""),"",IFERROR(ROUND(CZ50/INDEX(Undirviðmið!$F$6:$F$205,CZ$4)*INDEX(Undirviðmið!$E$6:$E$205,CZ$4)*KVARDI,2),""))</f>
        <v/>
      </c>
      <c r="DB50" s="23"/>
      <c r="DC50" s="40" t="str">
        <f aca="false">IF(OR(DB$4=0,DB50=""),"",IFERROR(ROUND(DB50/INDEX(Undirviðmið!$F$6:$F$205,DB$4)*INDEX(Undirviðmið!$E$6:$E$205,DB$4)*KVARDI,2),""))</f>
        <v/>
      </c>
      <c r="DD50" s="23"/>
      <c r="DE50" s="40" t="str">
        <f aca="false">IF(OR(DD$4=0,DD50=""),"",IFERROR(ROUND(DD50/INDEX(Undirviðmið!$F$6:$F$205,DD$4)*INDEX(Undirviðmið!$E$6:$E$205,DD$4)*KVARDI,2),""))</f>
        <v/>
      </c>
      <c r="DF50" s="23"/>
      <c r="DG50" s="40" t="str">
        <f aca="false">IF(OR(DF$4=0,DF50=""),"",IFERROR(ROUND(DF50/INDEX(Undirviðmið!$F$6:$F$205,DF$4)*INDEX(Undirviðmið!$E$6:$E$205,DF$4)*KVARDI,2),""))</f>
        <v/>
      </c>
      <c r="DH50" s="23"/>
      <c r="DI50" s="40" t="str">
        <f aca="false">IF(OR(DH$4=0,DH50=""),"",IFERROR(ROUND(DH50/INDEX(Undirviðmið!$F$6:$F$205,DH$4)*INDEX(Undirviðmið!$E$6:$E$205,DH$4)*KVARDI,2),""))</f>
        <v/>
      </c>
      <c r="DJ50" s="23"/>
      <c r="DK50" s="40" t="str">
        <f aca="false">IF(OR(DJ$4=0,DJ50=""),"",IFERROR(ROUND(DJ50/INDEX(Undirviðmið!$F$6:$F$205,DJ$4)*INDEX(Undirviðmið!$E$6:$E$205,DJ$4)*KVARDI,2),""))</f>
        <v/>
      </c>
      <c r="DL50" s="23"/>
      <c r="DM50" s="40" t="str">
        <f aca="false">IF(OR(DL$4=0,DL50=""),"",IFERROR(ROUND(DL50/INDEX(Undirviðmið!$F$6:$F$205,DL$4)*INDEX(Undirviðmið!$E$6:$E$205,DL$4)*KVARDI,2),""))</f>
        <v/>
      </c>
      <c r="DN50" s="23"/>
      <c r="DO50" s="40" t="str">
        <f aca="false">IF(OR(DN$4=0,DN50=""),"",IFERROR(ROUND(DN50/INDEX(Undirviðmið!$F$6:$F$205,DN$4)*INDEX(Undirviðmið!$E$6:$E$205,DN$4)*KVARDI,2),""))</f>
        <v/>
      </c>
      <c r="DP50" s="23"/>
      <c r="DQ50" s="40" t="str">
        <f aca="false">IF(OR(DP$4=0,DP50=""),"",IFERROR(ROUND(DP50/INDEX(Undirviðmið!$F$6:$F$205,DP$4)*INDEX(Undirviðmið!$E$6:$E$205,DP$4)*KVARDI,2),""))</f>
        <v/>
      </c>
      <c r="DR50" s="23"/>
      <c r="DS50" s="40" t="str">
        <f aca="false">IF(OR(DR$4=0,DR50=""),"",IFERROR(ROUND(DR50/INDEX(Undirviðmið!$F$6:$F$205,DR$4)*INDEX(Undirviðmið!$E$6:$E$205,DR$4)*KVARDI,2),""))</f>
        <v/>
      </c>
      <c r="DT50" s="23"/>
      <c r="DU50" s="40" t="str">
        <f aca="false">IF(OR(DT$4=0,DT50=""),"",IFERROR(ROUND(DT50/INDEX(Undirviðmið!$F$6:$F$205,DT$4)*INDEX(Undirviðmið!$E$6:$E$205,DT$4)*KVARDI,2),""))</f>
        <v/>
      </c>
      <c r="DV50" s="23"/>
      <c r="DW50" s="40" t="str">
        <f aca="false">IF(OR(DV$4=0,DV50=""),"",IFERROR(ROUND(DV50/INDEX(Undirviðmið!$F$6:$F$205,DV$4)*INDEX(Undirviðmið!$E$6:$E$205,DV$4)*KVARDI,2),""))</f>
        <v/>
      </c>
      <c r="DX50" s="23"/>
      <c r="DY50" s="40" t="str">
        <f aca="false">IF(OR(DX$4=0,DX50=""),"",IFERROR(ROUND(DX50/INDEX(Undirviðmið!$F$6:$F$205,DX$4)*INDEX(Undirviðmið!$E$6:$E$205,DX$4)*KVARDI,2),""))</f>
        <v/>
      </c>
      <c r="DZ50" s="23"/>
      <c r="EA50" s="40" t="str">
        <f aca="false">IF(OR(DZ$4=0,DZ50=""),"",IFERROR(ROUND(DZ50/INDEX(Undirviðmið!$F$6:$F$205,DZ$4)*INDEX(Undirviðmið!$E$6:$E$205,DZ$4)*KVARDI,2),""))</f>
        <v/>
      </c>
      <c r="EB50" s="23"/>
      <c r="EC50" s="40" t="str">
        <f aca="false">IF(OR(EB$4=0,EB50=""),"",IFERROR(ROUND(EB50/INDEX(Undirviðmið!$F$6:$F$205,EB$4)*INDEX(Undirviðmið!$E$6:$E$205,EB$4)*KVARDI,2),""))</f>
        <v/>
      </c>
      <c r="ED50" s="23"/>
      <c r="EE50" s="40" t="str">
        <f aca="false">IF(OR(ED$4=0,ED50=""),"",IFERROR(ROUND(ED50/INDEX(Undirviðmið!$F$6:$F$205,ED$4)*INDEX(Undirviðmið!$E$6:$E$205,ED$4)*KVARDI,2),""))</f>
        <v/>
      </c>
      <c r="EF50" s="23"/>
      <c r="EG50" s="40" t="str">
        <f aca="false">IF(OR(EF$4=0,EF50=""),"",IFERROR(ROUND(EF50/INDEX(Undirviðmið!$F$6:$F$205,EF$4)*INDEX(Undirviðmið!$E$6:$E$205,EF$4)*KVARDI,2),""))</f>
        <v/>
      </c>
      <c r="EH50" s="23"/>
      <c r="EI50" s="40" t="str">
        <f aca="false">IF(OR(EH$4=0,EH50=""),"",IFERROR(ROUND(EH50/INDEX(Undirviðmið!$F$6:$F$205,EH$4)*INDEX(Undirviðmið!$E$6:$E$205,EH$4)*KVARDI,2),""))</f>
        <v/>
      </c>
      <c r="EJ50" s="23"/>
      <c r="EK50" s="40" t="str">
        <f aca="false">IF(OR(EJ$4=0,EJ50=""),"",IFERROR(ROUND(EJ50/INDEX(Undirviðmið!$F$6:$F$205,EJ$4)*INDEX(Undirviðmið!$E$6:$E$205,EJ$4)*KVARDI,2),""))</f>
        <v/>
      </c>
      <c r="EL50" s="23"/>
      <c r="EM50" s="40" t="str">
        <f aca="false">IF(OR(EL$4=0,EL50=""),"",IFERROR(ROUND(EL50/INDEX(Undirviðmið!$F$6:$F$205,EL$4)*INDEX(Undirviðmið!$E$6:$E$205,EL$4)*KVARDI,2),""))</f>
        <v/>
      </c>
      <c r="EN50" s="23"/>
      <c r="EO50" s="40" t="str">
        <f aca="false">IF(OR(EN$4=0,EN50=""),"",IFERROR(ROUND(EN50/INDEX(Undirviðmið!$F$6:$F$205,EN$4)*INDEX(Undirviðmið!$E$6:$E$205,EN$4)*KVARDI,2),""))</f>
        <v/>
      </c>
      <c r="EP50" s="23"/>
      <c r="EQ50" s="40" t="str">
        <f aca="false">IF(OR(EP$4=0,EP50=""),"",IFERROR(ROUND(EP50/INDEX(Undirviðmið!$F$6:$F$205,EP$4)*INDEX(Undirviðmið!$E$6:$E$205,EP$4)*KVARDI,2),""))</f>
        <v/>
      </c>
      <c r="ER50" s="23"/>
      <c r="ES50" s="40" t="str">
        <f aca="false">IF(OR(ER$4=0,ER50=""),"",IFERROR(ROUND(ER50/INDEX(Undirviðmið!$F$6:$F$205,ER$4)*INDEX(Undirviðmið!$E$6:$E$205,ER$4)*KVARDI,2),""))</f>
        <v/>
      </c>
      <c r="ET50" s="23"/>
      <c r="EU50" s="40" t="str">
        <f aca="false">IF(OR(ET$4=0,ET50=""),"",IFERROR(ROUND(ET50/INDEX(Undirviðmið!$F$6:$F$205,ET$4)*INDEX(Undirviðmið!$E$6:$E$205,ET$4)*KVARDI,2),""))</f>
        <v/>
      </c>
      <c r="EV50" s="23"/>
      <c r="EW50" s="40" t="str">
        <f aca="false">IF(OR(EV$4=0,EV50=""),"",IFERROR(ROUND(EV50/INDEX(Undirviðmið!$F$6:$F$205,EV$4)*INDEX(Undirviðmið!$E$6:$E$205,EV$4)*KVARDI,2),""))</f>
        <v/>
      </c>
      <c r="EX50" s="23"/>
      <c r="EY50" s="40" t="str">
        <f aca="false">IF(OR(EX$4=0,EX50=""),"",IFERROR(ROUND(EX50/INDEX(Undirviðmið!$F$6:$F$205,EX$4)*INDEX(Undirviðmið!$E$6:$E$205,EX$4)*KVARDI,2),""))</f>
        <v/>
      </c>
      <c r="EZ50" s="23"/>
      <c r="FA50" s="40" t="str">
        <f aca="false">IF(OR(EZ$4=0,EZ50=""),"",IFERROR(ROUND(EZ50/INDEX(Undirviðmið!$F$6:$F$205,EZ$4)*INDEX(Undirviðmið!$E$6:$E$205,EZ$4)*KVARDI,2),""))</f>
        <v/>
      </c>
      <c r="FB50" s="23"/>
      <c r="FC50" s="40" t="str">
        <f aca="false">IF(OR(FB$4=0,FB50=""),"",IFERROR(ROUND(FB50/INDEX(Undirviðmið!$F$6:$F$205,FB$4)*INDEX(Undirviðmið!$E$6:$E$205,FB$4)*KVARDI,2),""))</f>
        <v/>
      </c>
      <c r="FD50" s="23"/>
      <c r="FE50" s="40" t="str">
        <f aca="false">IF(OR(FD$4=0,FD50=""),"",IFERROR(ROUND(FD50/INDEX(Undirviðmið!$F$6:$F$205,FD$4)*INDEX(Undirviðmið!$E$6:$E$205,FD$4)*KVARDI,2),""))</f>
        <v/>
      </c>
      <c r="FF50" s="23"/>
      <c r="FG50" s="40" t="str">
        <f aca="false">IF(OR(FF$4=0,FF50=""),"",IFERROR(ROUND(FF50/INDEX(Undirviðmið!$F$6:$F$205,FF$4)*INDEX(Undirviðmið!$E$6:$E$205,FF$4)*KVARDI,2),""))</f>
        <v/>
      </c>
      <c r="FH50" s="23"/>
      <c r="FI50" s="40" t="str">
        <f aca="false">IF(OR(FH$4=0,FH50=""),"",IFERROR(ROUND(FH50/INDEX(Undirviðmið!$F$6:$F$205,FH$4)*INDEX(Undirviðmið!$E$6:$E$205,FH$4)*KVARDI,2),""))</f>
        <v/>
      </c>
      <c r="FJ50" s="23"/>
      <c r="FK50" s="40" t="str">
        <f aca="false">IF(OR(FJ$4=0,FJ50=""),"",IFERROR(ROUND(FJ50/INDEX(Undirviðmið!$F$6:$F$205,FJ$4)*INDEX(Undirviðmið!$E$6:$E$205,FJ$4)*KVARDI,2),""))</f>
        <v/>
      </c>
      <c r="FL50" s="23"/>
      <c r="FM50" s="40" t="str">
        <f aca="false">IF(OR(FL$4=0,FL50=""),"",IFERROR(ROUND(FL50/INDEX(Undirviðmið!$F$6:$F$205,FL$4)*INDEX(Undirviðmið!$E$6:$E$205,FL$4)*KVARDI,2),""))</f>
        <v/>
      </c>
      <c r="FN50" s="23"/>
      <c r="FO50" s="40" t="str">
        <f aca="false">IF(OR(FN$4=0,FN50=""),"",IFERROR(ROUND(FN50/INDEX(Undirviðmið!$F$6:$F$205,FN$4)*INDEX(Undirviðmið!$E$6:$E$205,FN$4)*KVARDI,2),""))</f>
        <v/>
      </c>
      <c r="FP50" s="23"/>
      <c r="FQ50" s="40" t="str">
        <f aca="false">IF(OR(FP$4=0,FP50=""),"",IFERROR(ROUND(FP50/INDEX(Undirviðmið!$F$6:$F$205,FP$4)*INDEX(Undirviðmið!$E$6:$E$205,FP$4)*KVARDI,2),""))</f>
        <v/>
      </c>
      <c r="FR50" s="23"/>
      <c r="FS50" s="40" t="str">
        <f aca="false">IF(OR(FR$4=0,FR50=""),"",IFERROR(ROUND(FR50/INDEX(Undirviðmið!$F$6:$F$205,FR$4)*INDEX(Undirviðmið!$E$6:$E$205,FR$4)*KVARDI,2),""))</f>
        <v/>
      </c>
      <c r="FT50" s="23"/>
      <c r="FU50" s="40" t="str">
        <f aca="false">IF(OR(FT$4=0,FT50=""),"",IFERROR(ROUND(FT50/INDEX(Undirviðmið!$F$6:$F$205,FT$4)*INDEX(Undirviðmið!$E$6:$E$205,FT$4)*KVARDI,2),""))</f>
        <v/>
      </c>
      <c r="FV50" s="23"/>
      <c r="FW50" s="40" t="str">
        <f aca="false">IF(OR(FV$4=0,FV50=""),"",IFERROR(ROUND(FV50/INDEX(Undirviðmið!$F$6:$F$205,FV$4)*INDEX(Undirviðmið!$E$6:$E$205,FV$4)*KVARDI,2),""))</f>
        <v/>
      </c>
      <c r="FX50" s="23"/>
      <c r="FY50" s="40" t="str">
        <f aca="false">IF(OR(FX$4=0,FX50=""),"",IFERROR(ROUND(FX50/INDEX(Undirviðmið!$F$6:$F$205,FX$4)*INDEX(Undirviðmið!$E$6:$E$205,FX$4)*KVARDI,2),""))</f>
        <v/>
      </c>
      <c r="FZ50" s="23"/>
      <c r="GA50" s="40" t="str">
        <f aca="false">IF(OR(FZ$4=0,FZ50=""),"",IFERROR(ROUND(FZ50/INDEX(Undirviðmið!$F$6:$F$205,FZ$4)*INDEX(Undirviðmið!$E$6:$E$205,FZ$4)*KVARDI,2),""))</f>
        <v/>
      </c>
      <c r="GB50" s="23"/>
      <c r="GC50" s="40" t="str">
        <f aca="false">IF(OR(GB$4=0,GB50=""),"",IFERROR(ROUND(GB50/INDEX(Undirviðmið!$F$6:$F$205,GB$4)*INDEX(Undirviðmið!$E$6:$E$205,GB$4)*KVARDI,2),""))</f>
        <v/>
      </c>
      <c r="GD50" s="23"/>
      <c r="GE50" s="40" t="str">
        <f aca="false">IF(OR(GD$4=0,GD50=""),"",IFERROR(ROUND(GD50/INDEX(Undirviðmið!$F$6:$F$205,GD$4)*INDEX(Undirviðmið!$E$6:$E$205,GD$4)*KVARDI,2),""))</f>
        <v/>
      </c>
      <c r="GF50" s="23"/>
      <c r="GG50" s="40" t="str">
        <f aca="false">IF(OR(GF$4=0,GF50=""),"",IFERROR(ROUND(GF50/INDEX(Undirviðmið!$F$6:$F$205,GF$4)*INDEX(Undirviðmið!$E$6:$E$205,GF$4)*KVARDI,2),""))</f>
        <v/>
      </c>
      <c r="GH50" s="23"/>
      <c r="GI50" s="40" t="str">
        <f aca="false">IF(OR(GH$4=0,GH50=""),"",IFERROR(ROUND(GH50/INDEX(Undirviðmið!$F$6:$F$205,GH$4)*INDEX(Undirviðmið!$E$6:$E$205,GH$4)*KVARDI,2),""))</f>
        <v/>
      </c>
      <c r="GJ50" s="23"/>
      <c r="GK50" s="40" t="str">
        <f aca="false">IF(OR(GJ$4=0,GJ50=""),"",IFERROR(ROUND(GJ50/INDEX(Undirviðmið!$F$6:$F$205,GJ$4)*INDEX(Undirviðmið!$E$6:$E$205,GJ$4)*KVARDI,2),""))</f>
        <v/>
      </c>
      <c r="GL50" s="23"/>
      <c r="GM50" s="40" t="str">
        <f aca="false">IF(OR(GL$4=0,GL50=""),"",IFERROR(ROUND(GL50/INDEX(Undirviðmið!$F$6:$F$205,GL$4)*INDEX(Undirviðmið!$E$6:$E$205,GL$4)*KVARDI,2),""))</f>
        <v/>
      </c>
      <c r="GN50" s="23"/>
      <c r="GO50" s="40" t="str">
        <f aca="false">IF(OR(GN$4=0,GN50=""),"",IFERROR(ROUND(GN50/INDEX(Undirviðmið!$F$6:$F$205,GN$4)*INDEX(Undirviðmið!$E$6:$E$205,GN$4)*KVARDI,2),""))</f>
        <v/>
      </c>
      <c r="GP50" s="23"/>
      <c r="GQ50" s="40" t="str">
        <f aca="false">IF(OR(GP$4=0,GP50=""),"",IFERROR(ROUND(GP50/INDEX(Undirviðmið!$F$6:$F$205,GP$4)*INDEX(Undirviðmið!$E$6:$E$205,GP$4)*KVARDI,2),""))</f>
        <v/>
      </c>
      <c r="GR50" s="23"/>
      <c r="GS50" s="40" t="str">
        <f aca="false">IF(OR(GR$4=0,GR50=""),"",IFERROR(ROUND(GR50/INDEX(Undirviðmið!$F$6:$F$205,GR$4)*INDEX(Undirviðmið!$E$6:$E$205,GR$4)*KVARDI,2),""))</f>
        <v/>
      </c>
      <c r="GT50" s="23"/>
      <c r="GU50" s="40" t="str">
        <f aca="false">IF(OR(GT$4=0,GT50=""),"",IFERROR(ROUND(GT50/INDEX(Undirviðmið!$F$6:$F$205,GT$4)*INDEX(Undirviðmið!$E$6:$E$205,GT$4)*KVARDI,2),""))</f>
        <v/>
      </c>
      <c r="GV50" s="44" t="n">
        <f aca="false">IFERROR(SUMIF($D$6:GU$6,"Stig",$D50:GU50),0)</f>
        <v>0</v>
      </c>
    </row>
    <row r="51" customFormat="false" ht="15" hidden="false" customHeight="true" outlineLevel="0" collapsed="false">
      <c r="A51" s="22" t="n">
        <f aca="false">ROW()-6</f>
        <v>45</v>
      </c>
      <c r="B51" s="24" t="str">
        <f aca="false">IF(INDEX(Starfsmenn!$B$6:$B$10005,ROW()-6)="","",INDEX(Starfsmenn!$B$6:$B$10005,ROW()-6))</f>
        <v/>
      </c>
      <c r="C51" s="24" t="str">
        <f aca="false">IF(INDEX(Starfsmenn!$C$6:$C$10005,ROW()-6)="","",INDEX(Starfsmenn!$C$6:$C$10005,ROW()-6))</f>
        <v/>
      </c>
      <c r="D51" s="23"/>
      <c r="E51" s="40" t="str">
        <f aca="false">IF(OR(D$4=0,D51=""),"",IFERROR(ROUND(D51/INDEX(Undirviðmið!$F$6:$F$205,D$4)*INDEX(Undirviðmið!$E$6:$E$205,D$4)*KVARDI,2),""))</f>
        <v/>
      </c>
      <c r="F51" s="23"/>
      <c r="G51" s="40" t="str">
        <f aca="false">IF(OR(F$4=0,F51=""),"",IFERROR(ROUND(F51/INDEX(Undirviðmið!$F$6:$F$205,F$4)*INDEX(Undirviðmið!$E$6:$E$205,F$4)*KVARDI,2),""))</f>
        <v/>
      </c>
      <c r="H51" s="23"/>
      <c r="I51" s="40" t="str">
        <f aca="false">IF(OR(H$4=0,H51=""),"",IFERROR(ROUND(H51/INDEX(Undirviðmið!$F$6:$F$205,H$4)*INDEX(Undirviðmið!$E$6:$E$205,H$4)*KVARDI,2),""))</f>
        <v/>
      </c>
      <c r="J51" s="23"/>
      <c r="K51" s="40" t="str">
        <f aca="false">IF(OR(J$4=0,J51=""),"",IFERROR(ROUND(J51/INDEX(Undirviðmið!$F$6:$F$205,J$4)*INDEX(Undirviðmið!$E$6:$E$205,J$4)*KVARDI,2),""))</f>
        <v/>
      </c>
      <c r="L51" s="23"/>
      <c r="M51" s="40" t="str">
        <f aca="false">IF(OR(L$4=0,L51=""),"",IFERROR(ROUND(L51/INDEX(Undirviðmið!$F$6:$F$205,L$4)*INDEX(Undirviðmið!$E$6:$E$205,L$4)*KVARDI,2),""))</f>
        <v/>
      </c>
      <c r="N51" s="23"/>
      <c r="O51" s="40" t="str">
        <f aca="false">IF(OR(N$4=0,N51=""),"",IFERROR(ROUND(N51/INDEX(Undirviðmið!$F$6:$F$205,N$4)*INDEX(Undirviðmið!$E$6:$E$205,N$4)*KVARDI,2),""))</f>
        <v/>
      </c>
      <c r="P51" s="23"/>
      <c r="Q51" s="40" t="str">
        <f aca="false">IF(OR(P$4=0,P51=""),"",IFERROR(ROUND(P51/INDEX(Undirviðmið!$F$6:$F$205,P$4)*INDEX(Undirviðmið!$E$6:$E$205,P$4)*KVARDI,2),""))</f>
        <v/>
      </c>
      <c r="R51" s="23"/>
      <c r="S51" s="40" t="str">
        <f aca="false">IF(OR(R$4=0,R51=""),"",IFERROR(ROUND(R51/INDEX(Undirviðmið!$F$6:$F$205,R$4)*INDEX(Undirviðmið!$E$6:$E$205,R$4)*KVARDI,2),""))</f>
        <v/>
      </c>
      <c r="T51" s="23"/>
      <c r="U51" s="40" t="str">
        <f aca="false">IF(OR(T$4=0,T51=""),"",IFERROR(ROUND(T51/INDEX(Undirviðmið!$F$6:$F$205,T$4)*INDEX(Undirviðmið!$E$6:$E$205,T$4)*KVARDI,2),""))</f>
        <v/>
      </c>
      <c r="V51" s="23"/>
      <c r="W51" s="40" t="str">
        <f aca="false">IF(OR(V$4=0,V51=""),"",IFERROR(ROUND(V51/INDEX(Undirviðmið!$F$6:$F$205,V$4)*INDEX(Undirviðmið!$E$6:$E$205,V$4)*KVARDI,2),""))</f>
        <v/>
      </c>
      <c r="X51" s="23"/>
      <c r="Y51" s="40" t="str">
        <f aca="false">IF(OR(X$4=0,X51=""),"",IFERROR(ROUND(X51/INDEX(Undirviðmið!$F$6:$F$205,X$4)*INDEX(Undirviðmið!$E$6:$E$205,X$4)*KVARDI,2),""))</f>
        <v/>
      </c>
      <c r="Z51" s="23"/>
      <c r="AA51" s="40" t="str">
        <f aca="false">IF(OR(Z$4=0,Z51=""),"",IFERROR(ROUND(Z51/INDEX(Undirviðmið!$F$6:$F$205,Z$4)*INDEX(Undirviðmið!$E$6:$E$205,Z$4)*KVARDI,2),""))</f>
        <v/>
      </c>
      <c r="AB51" s="23"/>
      <c r="AC51" s="40" t="str">
        <f aca="false">IF(OR(AB$4=0,AB51=""),"",IFERROR(ROUND(AB51/INDEX(Undirviðmið!$F$6:$F$205,AB$4)*INDEX(Undirviðmið!$E$6:$E$205,AB$4)*KVARDI,2),""))</f>
        <v/>
      </c>
      <c r="AD51" s="23"/>
      <c r="AE51" s="40" t="str">
        <f aca="false">IF(OR(AD$4=0,AD51=""),"",IFERROR(ROUND(AD51/INDEX(Undirviðmið!$F$6:$F$205,AD$4)*INDEX(Undirviðmið!$E$6:$E$205,AD$4)*KVARDI,2),""))</f>
        <v/>
      </c>
      <c r="AF51" s="23"/>
      <c r="AG51" s="40" t="str">
        <f aca="false">IF(OR(AF$4=0,AF51=""),"",IFERROR(ROUND(AF51/INDEX(Undirviðmið!$F$6:$F$205,AF$4)*INDEX(Undirviðmið!$E$6:$E$205,AF$4)*KVARDI,2),""))</f>
        <v/>
      </c>
      <c r="AH51" s="23"/>
      <c r="AI51" s="40" t="str">
        <f aca="false">IF(OR(AH$4=0,AH51=""),"",IFERROR(ROUND(AH51/INDEX(Undirviðmið!$F$6:$F$205,AH$4)*INDEX(Undirviðmið!$E$6:$E$205,AH$4)*KVARDI,2),""))</f>
        <v/>
      </c>
      <c r="AJ51" s="23"/>
      <c r="AK51" s="40" t="str">
        <f aca="false">IF(OR(AJ$4=0,AJ51=""),"",IFERROR(ROUND(AJ51/INDEX(Undirviðmið!$F$6:$F$205,AJ$4)*INDEX(Undirviðmið!$E$6:$E$205,AJ$4)*KVARDI,2),""))</f>
        <v/>
      </c>
      <c r="AL51" s="23"/>
      <c r="AM51" s="40" t="str">
        <f aca="false">IF(OR(AL$4=0,AL51=""),"",IFERROR(ROUND(AL51/INDEX(Undirviðmið!$F$6:$F$205,AL$4)*INDEX(Undirviðmið!$E$6:$E$205,AL$4)*KVARDI,2),""))</f>
        <v/>
      </c>
      <c r="AN51" s="23"/>
      <c r="AO51" s="40" t="str">
        <f aca="false">IF(OR(AN$4=0,AN51=""),"",IFERROR(ROUND(AN51/INDEX(Undirviðmið!$F$6:$F$205,AN$4)*INDEX(Undirviðmið!$E$6:$E$205,AN$4)*KVARDI,2),""))</f>
        <v/>
      </c>
      <c r="AP51" s="23"/>
      <c r="AQ51" s="40" t="str">
        <f aca="false">IF(OR(AP$4=0,AP51=""),"",IFERROR(ROUND(AP51/INDEX(Undirviðmið!$F$6:$F$205,AP$4)*INDEX(Undirviðmið!$E$6:$E$205,AP$4)*KVARDI,2),""))</f>
        <v/>
      </c>
      <c r="AR51" s="23"/>
      <c r="AS51" s="40" t="str">
        <f aca="false">IF(OR(AR$4=0,AR51=""),"",IFERROR(ROUND(AR51/INDEX(Undirviðmið!$F$6:$F$205,AR$4)*INDEX(Undirviðmið!$E$6:$E$205,AR$4)*KVARDI,2),""))</f>
        <v/>
      </c>
      <c r="AT51" s="23"/>
      <c r="AU51" s="40" t="str">
        <f aca="false">IF(OR(AT$4=0,AT51=""),"",IFERROR(ROUND(AT51/INDEX(Undirviðmið!$F$6:$F$205,AT$4)*INDEX(Undirviðmið!$E$6:$E$205,AT$4)*KVARDI,2),""))</f>
        <v/>
      </c>
      <c r="AV51" s="23"/>
      <c r="AW51" s="40" t="str">
        <f aca="false">IF(OR(AV$4=0,AV51=""),"",IFERROR(ROUND(AV51/INDEX(Undirviðmið!$F$6:$F$205,AV$4)*INDEX(Undirviðmið!$E$6:$E$205,AV$4)*KVARDI,2),""))</f>
        <v/>
      </c>
      <c r="AX51" s="23"/>
      <c r="AY51" s="40" t="str">
        <f aca="false">IF(OR(AX$4=0,AX51=""),"",IFERROR(ROUND(AX51/INDEX(Undirviðmið!$F$6:$F$205,AX$4)*INDEX(Undirviðmið!$E$6:$E$205,AX$4)*KVARDI,2),""))</f>
        <v/>
      </c>
      <c r="AZ51" s="23"/>
      <c r="BA51" s="40" t="str">
        <f aca="false">IF(OR(AZ$4=0,AZ51=""),"",IFERROR(ROUND(AZ51/INDEX(Undirviðmið!$F$6:$F$205,AZ$4)*INDEX(Undirviðmið!$E$6:$E$205,AZ$4)*KVARDI,2),""))</f>
        <v/>
      </c>
      <c r="BB51" s="23"/>
      <c r="BC51" s="40" t="str">
        <f aca="false">IF(OR(BB$4=0,BB51=""),"",IFERROR(ROUND(BB51/INDEX(Undirviðmið!$F$6:$F$205,BB$4)*INDEX(Undirviðmið!$E$6:$E$205,BB$4)*KVARDI,2),""))</f>
        <v/>
      </c>
      <c r="BD51" s="23"/>
      <c r="BE51" s="40" t="str">
        <f aca="false">IF(OR(BD$4=0,BD51=""),"",IFERROR(ROUND(BD51/INDEX(Undirviðmið!$F$6:$F$205,BD$4)*INDEX(Undirviðmið!$E$6:$E$205,BD$4)*KVARDI,2),""))</f>
        <v/>
      </c>
      <c r="BF51" s="23"/>
      <c r="BG51" s="40" t="str">
        <f aca="false">IF(OR(BF$4=0,BF51=""),"",IFERROR(ROUND(BF51/INDEX(Undirviðmið!$F$6:$F$205,BF$4)*INDEX(Undirviðmið!$E$6:$E$205,BF$4)*KVARDI,2),""))</f>
        <v/>
      </c>
      <c r="BH51" s="23"/>
      <c r="BI51" s="40" t="str">
        <f aca="false">IF(OR(BH$4=0,BH51=""),"",IFERROR(ROUND(BH51/INDEX(Undirviðmið!$F$6:$F$205,BH$4)*INDEX(Undirviðmið!$E$6:$E$205,BH$4)*KVARDI,2),""))</f>
        <v/>
      </c>
      <c r="BJ51" s="23"/>
      <c r="BK51" s="40" t="str">
        <f aca="false">IF(OR(BJ$4=0,BJ51=""),"",IFERROR(ROUND(BJ51/INDEX(Undirviðmið!$F$6:$F$205,BJ$4)*INDEX(Undirviðmið!$E$6:$E$205,BJ$4)*KVARDI,2),""))</f>
        <v/>
      </c>
      <c r="BL51" s="23"/>
      <c r="BM51" s="40" t="str">
        <f aca="false">IF(OR(BL$4=0,BL51=""),"",IFERROR(ROUND(BL51/INDEX(Undirviðmið!$F$6:$F$205,BL$4)*INDEX(Undirviðmið!$E$6:$E$205,BL$4)*KVARDI,2),""))</f>
        <v/>
      </c>
      <c r="BN51" s="23"/>
      <c r="BO51" s="40" t="str">
        <f aca="false">IF(OR(BN$4=0,BN51=""),"",IFERROR(ROUND(BN51/INDEX(Undirviðmið!$F$6:$F$205,BN$4)*INDEX(Undirviðmið!$E$6:$E$205,BN$4)*KVARDI,2),""))</f>
        <v/>
      </c>
      <c r="BP51" s="23"/>
      <c r="BQ51" s="40" t="str">
        <f aca="false">IF(OR(BP$4=0,BP51=""),"",IFERROR(ROUND(BP51/INDEX(Undirviðmið!$F$6:$F$205,BP$4)*INDEX(Undirviðmið!$E$6:$E$205,BP$4)*KVARDI,2),""))</f>
        <v/>
      </c>
      <c r="BR51" s="23"/>
      <c r="BS51" s="40" t="str">
        <f aca="false">IF(OR(BR$4=0,BR51=""),"",IFERROR(ROUND(BR51/INDEX(Undirviðmið!$F$6:$F$205,BR$4)*INDEX(Undirviðmið!$E$6:$E$205,BR$4)*KVARDI,2),""))</f>
        <v/>
      </c>
      <c r="BT51" s="23"/>
      <c r="BU51" s="40" t="str">
        <f aca="false">IF(OR(BT$4=0,BT51=""),"",IFERROR(ROUND(BT51/INDEX(Undirviðmið!$F$6:$F$205,BT$4)*INDEX(Undirviðmið!$E$6:$E$205,BT$4)*KVARDI,2),""))</f>
        <v/>
      </c>
      <c r="BV51" s="23"/>
      <c r="BW51" s="40" t="str">
        <f aca="false">IF(OR(BV$4=0,BV51=""),"",IFERROR(ROUND(BV51/INDEX(Undirviðmið!$F$6:$F$205,BV$4)*INDEX(Undirviðmið!$E$6:$E$205,BV$4)*KVARDI,2),""))</f>
        <v/>
      </c>
      <c r="BX51" s="23"/>
      <c r="BY51" s="40" t="str">
        <f aca="false">IF(OR(BX$4=0,BX51=""),"",IFERROR(ROUND(BX51/INDEX(Undirviðmið!$F$6:$F$205,BX$4)*INDEX(Undirviðmið!$E$6:$E$205,BX$4)*KVARDI,2),""))</f>
        <v/>
      </c>
      <c r="BZ51" s="23"/>
      <c r="CA51" s="40" t="str">
        <f aca="false">IF(OR(BZ$4=0,BZ51=""),"",IFERROR(ROUND(BZ51/INDEX(Undirviðmið!$F$6:$F$205,BZ$4)*INDEX(Undirviðmið!$E$6:$E$205,BZ$4)*KVARDI,2),""))</f>
        <v/>
      </c>
      <c r="CB51" s="23"/>
      <c r="CC51" s="40" t="str">
        <f aca="false">IF(OR(CB$4=0,CB51=""),"",IFERROR(ROUND(CB51/INDEX(Undirviðmið!$F$6:$F$205,CB$4)*INDEX(Undirviðmið!$E$6:$E$205,CB$4)*KVARDI,2),""))</f>
        <v/>
      </c>
      <c r="CD51" s="23"/>
      <c r="CE51" s="40" t="str">
        <f aca="false">IF(OR(CD$4=0,CD51=""),"",IFERROR(ROUND(CD51/INDEX(Undirviðmið!$F$6:$F$205,CD$4)*INDEX(Undirviðmið!$E$6:$E$205,CD$4)*KVARDI,2),""))</f>
        <v/>
      </c>
      <c r="CF51" s="23"/>
      <c r="CG51" s="40" t="str">
        <f aca="false">IF(OR(CF$4=0,CF51=""),"",IFERROR(ROUND(CF51/INDEX(Undirviðmið!$F$6:$F$205,CF$4)*INDEX(Undirviðmið!$E$6:$E$205,CF$4)*KVARDI,2),""))</f>
        <v/>
      </c>
      <c r="CH51" s="23"/>
      <c r="CI51" s="40" t="str">
        <f aca="false">IF(OR(CH$4=0,CH51=""),"",IFERROR(ROUND(CH51/INDEX(Undirviðmið!$F$6:$F$205,CH$4)*INDEX(Undirviðmið!$E$6:$E$205,CH$4)*KVARDI,2),""))</f>
        <v/>
      </c>
      <c r="CJ51" s="23"/>
      <c r="CK51" s="40" t="str">
        <f aca="false">IF(OR(CJ$4=0,CJ51=""),"",IFERROR(ROUND(CJ51/INDEX(Undirviðmið!$F$6:$F$205,CJ$4)*INDEX(Undirviðmið!$E$6:$E$205,CJ$4)*KVARDI,2),""))</f>
        <v/>
      </c>
      <c r="CL51" s="23"/>
      <c r="CM51" s="40" t="str">
        <f aca="false">IF(OR(CL$4=0,CL51=""),"",IFERROR(ROUND(CL51/INDEX(Undirviðmið!$F$6:$F$205,CL$4)*INDEX(Undirviðmið!$E$6:$E$205,CL$4)*KVARDI,2),""))</f>
        <v/>
      </c>
      <c r="CN51" s="23"/>
      <c r="CO51" s="40" t="str">
        <f aca="false">IF(OR(CN$4=0,CN51=""),"",IFERROR(ROUND(CN51/INDEX(Undirviðmið!$F$6:$F$205,CN$4)*INDEX(Undirviðmið!$E$6:$E$205,CN$4)*KVARDI,2),""))</f>
        <v/>
      </c>
      <c r="CP51" s="23"/>
      <c r="CQ51" s="40" t="str">
        <f aca="false">IF(OR(CP$4=0,CP51=""),"",IFERROR(ROUND(CP51/INDEX(Undirviðmið!$F$6:$F$205,CP$4)*INDEX(Undirviðmið!$E$6:$E$205,CP$4)*KVARDI,2),""))</f>
        <v/>
      </c>
      <c r="CR51" s="23"/>
      <c r="CS51" s="40" t="str">
        <f aca="false">IF(OR(CR$4=0,CR51=""),"",IFERROR(ROUND(CR51/INDEX(Undirviðmið!$F$6:$F$205,CR$4)*INDEX(Undirviðmið!$E$6:$E$205,CR$4)*KVARDI,2),""))</f>
        <v/>
      </c>
      <c r="CT51" s="23"/>
      <c r="CU51" s="40" t="str">
        <f aca="false">IF(OR(CT$4=0,CT51=""),"",IFERROR(ROUND(CT51/INDEX(Undirviðmið!$F$6:$F$205,CT$4)*INDEX(Undirviðmið!$E$6:$E$205,CT$4)*KVARDI,2),""))</f>
        <v/>
      </c>
      <c r="CV51" s="23"/>
      <c r="CW51" s="40" t="str">
        <f aca="false">IF(OR(CV$4=0,CV51=""),"",IFERROR(ROUND(CV51/INDEX(Undirviðmið!$F$6:$F$205,CV$4)*INDEX(Undirviðmið!$E$6:$E$205,CV$4)*KVARDI,2),""))</f>
        <v/>
      </c>
      <c r="CX51" s="23"/>
      <c r="CY51" s="40" t="str">
        <f aca="false">IF(OR(CX$4=0,CX51=""),"",IFERROR(ROUND(CX51/INDEX(Undirviðmið!$F$6:$F$205,CX$4)*INDEX(Undirviðmið!$E$6:$E$205,CX$4)*KVARDI,2),""))</f>
        <v/>
      </c>
      <c r="CZ51" s="23"/>
      <c r="DA51" s="40" t="str">
        <f aca="false">IF(OR(CZ$4=0,CZ51=""),"",IFERROR(ROUND(CZ51/INDEX(Undirviðmið!$F$6:$F$205,CZ$4)*INDEX(Undirviðmið!$E$6:$E$205,CZ$4)*KVARDI,2),""))</f>
        <v/>
      </c>
      <c r="DB51" s="23"/>
      <c r="DC51" s="40" t="str">
        <f aca="false">IF(OR(DB$4=0,DB51=""),"",IFERROR(ROUND(DB51/INDEX(Undirviðmið!$F$6:$F$205,DB$4)*INDEX(Undirviðmið!$E$6:$E$205,DB$4)*KVARDI,2),""))</f>
        <v/>
      </c>
      <c r="DD51" s="23"/>
      <c r="DE51" s="40" t="str">
        <f aca="false">IF(OR(DD$4=0,DD51=""),"",IFERROR(ROUND(DD51/INDEX(Undirviðmið!$F$6:$F$205,DD$4)*INDEX(Undirviðmið!$E$6:$E$205,DD$4)*KVARDI,2),""))</f>
        <v/>
      </c>
      <c r="DF51" s="23"/>
      <c r="DG51" s="40" t="str">
        <f aca="false">IF(OR(DF$4=0,DF51=""),"",IFERROR(ROUND(DF51/INDEX(Undirviðmið!$F$6:$F$205,DF$4)*INDEX(Undirviðmið!$E$6:$E$205,DF$4)*KVARDI,2),""))</f>
        <v/>
      </c>
      <c r="DH51" s="23"/>
      <c r="DI51" s="40" t="str">
        <f aca="false">IF(OR(DH$4=0,DH51=""),"",IFERROR(ROUND(DH51/INDEX(Undirviðmið!$F$6:$F$205,DH$4)*INDEX(Undirviðmið!$E$6:$E$205,DH$4)*KVARDI,2),""))</f>
        <v/>
      </c>
      <c r="DJ51" s="23"/>
      <c r="DK51" s="40" t="str">
        <f aca="false">IF(OR(DJ$4=0,DJ51=""),"",IFERROR(ROUND(DJ51/INDEX(Undirviðmið!$F$6:$F$205,DJ$4)*INDEX(Undirviðmið!$E$6:$E$205,DJ$4)*KVARDI,2),""))</f>
        <v/>
      </c>
      <c r="DL51" s="23"/>
      <c r="DM51" s="40" t="str">
        <f aca="false">IF(OR(DL$4=0,DL51=""),"",IFERROR(ROUND(DL51/INDEX(Undirviðmið!$F$6:$F$205,DL$4)*INDEX(Undirviðmið!$E$6:$E$205,DL$4)*KVARDI,2),""))</f>
        <v/>
      </c>
      <c r="DN51" s="23"/>
      <c r="DO51" s="40" t="str">
        <f aca="false">IF(OR(DN$4=0,DN51=""),"",IFERROR(ROUND(DN51/INDEX(Undirviðmið!$F$6:$F$205,DN$4)*INDEX(Undirviðmið!$E$6:$E$205,DN$4)*KVARDI,2),""))</f>
        <v/>
      </c>
      <c r="DP51" s="23"/>
      <c r="DQ51" s="40" t="str">
        <f aca="false">IF(OR(DP$4=0,DP51=""),"",IFERROR(ROUND(DP51/INDEX(Undirviðmið!$F$6:$F$205,DP$4)*INDEX(Undirviðmið!$E$6:$E$205,DP$4)*KVARDI,2),""))</f>
        <v/>
      </c>
      <c r="DR51" s="23"/>
      <c r="DS51" s="40" t="str">
        <f aca="false">IF(OR(DR$4=0,DR51=""),"",IFERROR(ROUND(DR51/INDEX(Undirviðmið!$F$6:$F$205,DR$4)*INDEX(Undirviðmið!$E$6:$E$205,DR$4)*KVARDI,2),""))</f>
        <v/>
      </c>
      <c r="DT51" s="23"/>
      <c r="DU51" s="40" t="str">
        <f aca="false">IF(OR(DT$4=0,DT51=""),"",IFERROR(ROUND(DT51/INDEX(Undirviðmið!$F$6:$F$205,DT$4)*INDEX(Undirviðmið!$E$6:$E$205,DT$4)*KVARDI,2),""))</f>
        <v/>
      </c>
      <c r="DV51" s="23"/>
      <c r="DW51" s="40" t="str">
        <f aca="false">IF(OR(DV$4=0,DV51=""),"",IFERROR(ROUND(DV51/INDEX(Undirviðmið!$F$6:$F$205,DV$4)*INDEX(Undirviðmið!$E$6:$E$205,DV$4)*KVARDI,2),""))</f>
        <v/>
      </c>
      <c r="DX51" s="23"/>
      <c r="DY51" s="40" t="str">
        <f aca="false">IF(OR(DX$4=0,DX51=""),"",IFERROR(ROUND(DX51/INDEX(Undirviðmið!$F$6:$F$205,DX$4)*INDEX(Undirviðmið!$E$6:$E$205,DX$4)*KVARDI,2),""))</f>
        <v/>
      </c>
      <c r="DZ51" s="23"/>
      <c r="EA51" s="40" t="str">
        <f aca="false">IF(OR(DZ$4=0,DZ51=""),"",IFERROR(ROUND(DZ51/INDEX(Undirviðmið!$F$6:$F$205,DZ$4)*INDEX(Undirviðmið!$E$6:$E$205,DZ$4)*KVARDI,2),""))</f>
        <v/>
      </c>
      <c r="EB51" s="23"/>
      <c r="EC51" s="40" t="str">
        <f aca="false">IF(OR(EB$4=0,EB51=""),"",IFERROR(ROUND(EB51/INDEX(Undirviðmið!$F$6:$F$205,EB$4)*INDEX(Undirviðmið!$E$6:$E$205,EB$4)*KVARDI,2),""))</f>
        <v/>
      </c>
      <c r="ED51" s="23"/>
      <c r="EE51" s="40" t="str">
        <f aca="false">IF(OR(ED$4=0,ED51=""),"",IFERROR(ROUND(ED51/INDEX(Undirviðmið!$F$6:$F$205,ED$4)*INDEX(Undirviðmið!$E$6:$E$205,ED$4)*KVARDI,2),""))</f>
        <v/>
      </c>
      <c r="EF51" s="23"/>
      <c r="EG51" s="40" t="str">
        <f aca="false">IF(OR(EF$4=0,EF51=""),"",IFERROR(ROUND(EF51/INDEX(Undirviðmið!$F$6:$F$205,EF$4)*INDEX(Undirviðmið!$E$6:$E$205,EF$4)*KVARDI,2),""))</f>
        <v/>
      </c>
      <c r="EH51" s="23"/>
      <c r="EI51" s="40" t="str">
        <f aca="false">IF(OR(EH$4=0,EH51=""),"",IFERROR(ROUND(EH51/INDEX(Undirviðmið!$F$6:$F$205,EH$4)*INDEX(Undirviðmið!$E$6:$E$205,EH$4)*KVARDI,2),""))</f>
        <v/>
      </c>
      <c r="EJ51" s="23"/>
      <c r="EK51" s="40" t="str">
        <f aca="false">IF(OR(EJ$4=0,EJ51=""),"",IFERROR(ROUND(EJ51/INDEX(Undirviðmið!$F$6:$F$205,EJ$4)*INDEX(Undirviðmið!$E$6:$E$205,EJ$4)*KVARDI,2),""))</f>
        <v/>
      </c>
      <c r="EL51" s="23"/>
      <c r="EM51" s="40" t="str">
        <f aca="false">IF(OR(EL$4=0,EL51=""),"",IFERROR(ROUND(EL51/INDEX(Undirviðmið!$F$6:$F$205,EL$4)*INDEX(Undirviðmið!$E$6:$E$205,EL$4)*KVARDI,2),""))</f>
        <v/>
      </c>
      <c r="EN51" s="23"/>
      <c r="EO51" s="40" t="str">
        <f aca="false">IF(OR(EN$4=0,EN51=""),"",IFERROR(ROUND(EN51/INDEX(Undirviðmið!$F$6:$F$205,EN$4)*INDEX(Undirviðmið!$E$6:$E$205,EN$4)*KVARDI,2),""))</f>
        <v/>
      </c>
      <c r="EP51" s="23"/>
      <c r="EQ51" s="40" t="str">
        <f aca="false">IF(OR(EP$4=0,EP51=""),"",IFERROR(ROUND(EP51/INDEX(Undirviðmið!$F$6:$F$205,EP$4)*INDEX(Undirviðmið!$E$6:$E$205,EP$4)*KVARDI,2),""))</f>
        <v/>
      </c>
      <c r="ER51" s="23"/>
      <c r="ES51" s="40" t="str">
        <f aca="false">IF(OR(ER$4=0,ER51=""),"",IFERROR(ROUND(ER51/INDEX(Undirviðmið!$F$6:$F$205,ER$4)*INDEX(Undirviðmið!$E$6:$E$205,ER$4)*KVARDI,2),""))</f>
        <v/>
      </c>
      <c r="ET51" s="23"/>
      <c r="EU51" s="40" t="str">
        <f aca="false">IF(OR(ET$4=0,ET51=""),"",IFERROR(ROUND(ET51/INDEX(Undirviðmið!$F$6:$F$205,ET$4)*INDEX(Undirviðmið!$E$6:$E$205,ET$4)*KVARDI,2),""))</f>
        <v/>
      </c>
      <c r="EV51" s="23"/>
      <c r="EW51" s="40" t="str">
        <f aca="false">IF(OR(EV$4=0,EV51=""),"",IFERROR(ROUND(EV51/INDEX(Undirviðmið!$F$6:$F$205,EV$4)*INDEX(Undirviðmið!$E$6:$E$205,EV$4)*KVARDI,2),""))</f>
        <v/>
      </c>
      <c r="EX51" s="23"/>
      <c r="EY51" s="40" t="str">
        <f aca="false">IF(OR(EX$4=0,EX51=""),"",IFERROR(ROUND(EX51/INDEX(Undirviðmið!$F$6:$F$205,EX$4)*INDEX(Undirviðmið!$E$6:$E$205,EX$4)*KVARDI,2),""))</f>
        <v/>
      </c>
      <c r="EZ51" s="23"/>
      <c r="FA51" s="40" t="str">
        <f aca="false">IF(OR(EZ$4=0,EZ51=""),"",IFERROR(ROUND(EZ51/INDEX(Undirviðmið!$F$6:$F$205,EZ$4)*INDEX(Undirviðmið!$E$6:$E$205,EZ$4)*KVARDI,2),""))</f>
        <v/>
      </c>
      <c r="FB51" s="23"/>
      <c r="FC51" s="40" t="str">
        <f aca="false">IF(OR(FB$4=0,FB51=""),"",IFERROR(ROUND(FB51/INDEX(Undirviðmið!$F$6:$F$205,FB$4)*INDEX(Undirviðmið!$E$6:$E$205,FB$4)*KVARDI,2),""))</f>
        <v/>
      </c>
      <c r="FD51" s="23"/>
      <c r="FE51" s="40" t="str">
        <f aca="false">IF(OR(FD$4=0,FD51=""),"",IFERROR(ROUND(FD51/INDEX(Undirviðmið!$F$6:$F$205,FD$4)*INDEX(Undirviðmið!$E$6:$E$205,FD$4)*KVARDI,2),""))</f>
        <v/>
      </c>
      <c r="FF51" s="23"/>
      <c r="FG51" s="40" t="str">
        <f aca="false">IF(OR(FF$4=0,FF51=""),"",IFERROR(ROUND(FF51/INDEX(Undirviðmið!$F$6:$F$205,FF$4)*INDEX(Undirviðmið!$E$6:$E$205,FF$4)*KVARDI,2),""))</f>
        <v/>
      </c>
      <c r="FH51" s="23"/>
      <c r="FI51" s="40" t="str">
        <f aca="false">IF(OR(FH$4=0,FH51=""),"",IFERROR(ROUND(FH51/INDEX(Undirviðmið!$F$6:$F$205,FH$4)*INDEX(Undirviðmið!$E$6:$E$205,FH$4)*KVARDI,2),""))</f>
        <v/>
      </c>
      <c r="FJ51" s="23"/>
      <c r="FK51" s="40" t="str">
        <f aca="false">IF(OR(FJ$4=0,FJ51=""),"",IFERROR(ROUND(FJ51/INDEX(Undirviðmið!$F$6:$F$205,FJ$4)*INDEX(Undirviðmið!$E$6:$E$205,FJ$4)*KVARDI,2),""))</f>
        <v/>
      </c>
      <c r="FL51" s="23"/>
      <c r="FM51" s="40" t="str">
        <f aca="false">IF(OR(FL$4=0,FL51=""),"",IFERROR(ROUND(FL51/INDEX(Undirviðmið!$F$6:$F$205,FL$4)*INDEX(Undirviðmið!$E$6:$E$205,FL$4)*KVARDI,2),""))</f>
        <v/>
      </c>
      <c r="FN51" s="23"/>
      <c r="FO51" s="40" t="str">
        <f aca="false">IF(OR(FN$4=0,FN51=""),"",IFERROR(ROUND(FN51/INDEX(Undirviðmið!$F$6:$F$205,FN$4)*INDEX(Undirviðmið!$E$6:$E$205,FN$4)*KVARDI,2),""))</f>
        <v/>
      </c>
      <c r="FP51" s="23"/>
      <c r="FQ51" s="40" t="str">
        <f aca="false">IF(OR(FP$4=0,FP51=""),"",IFERROR(ROUND(FP51/INDEX(Undirviðmið!$F$6:$F$205,FP$4)*INDEX(Undirviðmið!$E$6:$E$205,FP$4)*KVARDI,2),""))</f>
        <v/>
      </c>
      <c r="FR51" s="23"/>
      <c r="FS51" s="40" t="str">
        <f aca="false">IF(OR(FR$4=0,FR51=""),"",IFERROR(ROUND(FR51/INDEX(Undirviðmið!$F$6:$F$205,FR$4)*INDEX(Undirviðmið!$E$6:$E$205,FR$4)*KVARDI,2),""))</f>
        <v/>
      </c>
      <c r="FT51" s="23"/>
      <c r="FU51" s="40" t="str">
        <f aca="false">IF(OR(FT$4=0,FT51=""),"",IFERROR(ROUND(FT51/INDEX(Undirviðmið!$F$6:$F$205,FT$4)*INDEX(Undirviðmið!$E$6:$E$205,FT$4)*KVARDI,2),""))</f>
        <v/>
      </c>
      <c r="FV51" s="23"/>
      <c r="FW51" s="40" t="str">
        <f aca="false">IF(OR(FV$4=0,FV51=""),"",IFERROR(ROUND(FV51/INDEX(Undirviðmið!$F$6:$F$205,FV$4)*INDEX(Undirviðmið!$E$6:$E$205,FV$4)*KVARDI,2),""))</f>
        <v/>
      </c>
      <c r="FX51" s="23"/>
      <c r="FY51" s="40" t="str">
        <f aca="false">IF(OR(FX$4=0,FX51=""),"",IFERROR(ROUND(FX51/INDEX(Undirviðmið!$F$6:$F$205,FX$4)*INDEX(Undirviðmið!$E$6:$E$205,FX$4)*KVARDI,2),""))</f>
        <v/>
      </c>
      <c r="FZ51" s="23"/>
      <c r="GA51" s="40" t="str">
        <f aca="false">IF(OR(FZ$4=0,FZ51=""),"",IFERROR(ROUND(FZ51/INDEX(Undirviðmið!$F$6:$F$205,FZ$4)*INDEX(Undirviðmið!$E$6:$E$205,FZ$4)*KVARDI,2),""))</f>
        <v/>
      </c>
      <c r="GB51" s="23"/>
      <c r="GC51" s="40" t="str">
        <f aca="false">IF(OR(GB$4=0,GB51=""),"",IFERROR(ROUND(GB51/INDEX(Undirviðmið!$F$6:$F$205,GB$4)*INDEX(Undirviðmið!$E$6:$E$205,GB$4)*KVARDI,2),""))</f>
        <v/>
      </c>
      <c r="GD51" s="23"/>
      <c r="GE51" s="40" t="str">
        <f aca="false">IF(OR(GD$4=0,GD51=""),"",IFERROR(ROUND(GD51/INDEX(Undirviðmið!$F$6:$F$205,GD$4)*INDEX(Undirviðmið!$E$6:$E$205,GD$4)*KVARDI,2),""))</f>
        <v/>
      </c>
      <c r="GF51" s="23"/>
      <c r="GG51" s="40" t="str">
        <f aca="false">IF(OR(GF$4=0,GF51=""),"",IFERROR(ROUND(GF51/INDEX(Undirviðmið!$F$6:$F$205,GF$4)*INDEX(Undirviðmið!$E$6:$E$205,GF$4)*KVARDI,2),""))</f>
        <v/>
      </c>
      <c r="GH51" s="23"/>
      <c r="GI51" s="40" t="str">
        <f aca="false">IF(OR(GH$4=0,GH51=""),"",IFERROR(ROUND(GH51/INDEX(Undirviðmið!$F$6:$F$205,GH$4)*INDEX(Undirviðmið!$E$6:$E$205,GH$4)*KVARDI,2),""))</f>
        <v/>
      </c>
      <c r="GJ51" s="23"/>
      <c r="GK51" s="40" t="str">
        <f aca="false">IF(OR(GJ$4=0,GJ51=""),"",IFERROR(ROUND(GJ51/INDEX(Undirviðmið!$F$6:$F$205,GJ$4)*INDEX(Undirviðmið!$E$6:$E$205,GJ$4)*KVARDI,2),""))</f>
        <v/>
      </c>
      <c r="GL51" s="23"/>
      <c r="GM51" s="40" t="str">
        <f aca="false">IF(OR(GL$4=0,GL51=""),"",IFERROR(ROUND(GL51/INDEX(Undirviðmið!$F$6:$F$205,GL$4)*INDEX(Undirviðmið!$E$6:$E$205,GL$4)*KVARDI,2),""))</f>
        <v/>
      </c>
      <c r="GN51" s="23"/>
      <c r="GO51" s="40" t="str">
        <f aca="false">IF(OR(GN$4=0,GN51=""),"",IFERROR(ROUND(GN51/INDEX(Undirviðmið!$F$6:$F$205,GN$4)*INDEX(Undirviðmið!$E$6:$E$205,GN$4)*KVARDI,2),""))</f>
        <v/>
      </c>
      <c r="GP51" s="23"/>
      <c r="GQ51" s="40" t="str">
        <f aca="false">IF(OR(GP$4=0,GP51=""),"",IFERROR(ROUND(GP51/INDEX(Undirviðmið!$F$6:$F$205,GP$4)*INDEX(Undirviðmið!$E$6:$E$205,GP$4)*KVARDI,2),""))</f>
        <v/>
      </c>
      <c r="GR51" s="23"/>
      <c r="GS51" s="40" t="str">
        <f aca="false">IF(OR(GR$4=0,GR51=""),"",IFERROR(ROUND(GR51/INDEX(Undirviðmið!$F$6:$F$205,GR$4)*INDEX(Undirviðmið!$E$6:$E$205,GR$4)*KVARDI,2),""))</f>
        <v/>
      </c>
      <c r="GT51" s="23"/>
      <c r="GU51" s="40" t="str">
        <f aca="false">IF(OR(GT$4=0,GT51=""),"",IFERROR(ROUND(GT51/INDEX(Undirviðmið!$F$6:$F$205,GT$4)*INDEX(Undirviðmið!$E$6:$E$205,GT$4)*KVARDI,2),""))</f>
        <v/>
      </c>
      <c r="GV51" s="44" t="n">
        <f aca="false">IFERROR(SUMIF($D$6:GU$6,"Stig",$D51:GU51),0)</f>
        <v>0</v>
      </c>
    </row>
    <row r="52" customFormat="false" ht="15" hidden="false" customHeight="true" outlineLevel="0" collapsed="false">
      <c r="A52" s="22" t="n">
        <f aca="false">ROW()-6</f>
        <v>46</v>
      </c>
      <c r="B52" s="24" t="str">
        <f aca="false">IF(INDEX(Starfsmenn!$B$6:$B$10005,ROW()-6)="","",INDEX(Starfsmenn!$B$6:$B$10005,ROW()-6))</f>
        <v/>
      </c>
      <c r="C52" s="24" t="str">
        <f aca="false">IF(INDEX(Starfsmenn!$C$6:$C$10005,ROW()-6)="","",INDEX(Starfsmenn!$C$6:$C$10005,ROW()-6))</f>
        <v/>
      </c>
      <c r="D52" s="23"/>
      <c r="E52" s="40" t="str">
        <f aca="false">IF(OR(D$4=0,D52=""),"",IFERROR(ROUND(D52/INDEX(Undirviðmið!$F$6:$F$205,D$4)*INDEX(Undirviðmið!$E$6:$E$205,D$4)*KVARDI,2),""))</f>
        <v/>
      </c>
      <c r="F52" s="23"/>
      <c r="G52" s="40" t="str">
        <f aca="false">IF(OR(F$4=0,F52=""),"",IFERROR(ROUND(F52/INDEX(Undirviðmið!$F$6:$F$205,F$4)*INDEX(Undirviðmið!$E$6:$E$205,F$4)*KVARDI,2),""))</f>
        <v/>
      </c>
      <c r="H52" s="23"/>
      <c r="I52" s="40" t="str">
        <f aca="false">IF(OR(H$4=0,H52=""),"",IFERROR(ROUND(H52/INDEX(Undirviðmið!$F$6:$F$205,H$4)*INDEX(Undirviðmið!$E$6:$E$205,H$4)*KVARDI,2),""))</f>
        <v/>
      </c>
      <c r="J52" s="23"/>
      <c r="K52" s="40" t="str">
        <f aca="false">IF(OR(J$4=0,J52=""),"",IFERROR(ROUND(J52/INDEX(Undirviðmið!$F$6:$F$205,J$4)*INDEX(Undirviðmið!$E$6:$E$205,J$4)*KVARDI,2),""))</f>
        <v/>
      </c>
      <c r="L52" s="23"/>
      <c r="M52" s="40" t="str">
        <f aca="false">IF(OR(L$4=0,L52=""),"",IFERROR(ROUND(L52/INDEX(Undirviðmið!$F$6:$F$205,L$4)*INDEX(Undirviðmið!$E$6:$E$205,L$4)*KVARDI,2),""))</f>
        <v/>
      </c>
      <c r="N52" s="23"/>
      <c r="O52" s="40" t="str">
        <f aca="false">IF(OR(N$4=0,N52=""),"",IFERROR(ROUND(N52/INDEX(Undirviðmið!$F$6:$F$205,N$4)*INDEX(Undirviðmið!$E$6:$E$205,N$4)*KVARDI,2),""))</f>
        <v/>
      </c>
      <c r="P52" s="23"/>
      <c r="Q52" s="40" t="str">
        <f aca="false">IF(OR(P$4=0,P52=""),"",IFERROR(ROUND(P52/INDEX(Undirviðmið!$F$6:$F$205,P$4)*INDEX(Undirviðmið!$E$6:$E$205,P$4)*KVARDI,2),""))</f>
        <v/>
      </c>
      <c r="R52" s="23"/>
      <c r="S52" s="40" t="str">
        <f aca="false">IF(OR(R$4=0,R52=""),"",IFERROR(ROUND(R52/INDEX(Undirviðmið!$F$6:$F$205,R$4)*INDEX(Undirviðmið!$E$6:$E$205,R$4)*KVARDI,2),""))</f>
        <v/>
      </c>
      <c r="T52" s="23"/>
      <c r="U52" s="40" t="str">
        <f aca="false">IF(OR(T$4=0,T52=""),"",IFERROR(ROUND(T52/INDEX(Undirviðmið!$F$6:$F$205,T$4)*INDEX(Undirviðmið!$E$6:$E$205,T$4)*KVARDI,2),""))</f>
        <v/>
      </c>
      <c r="V52" s="23"/>
      <c r="W52" s="40" t="str">
        <f aca="false">IF(OR(V$4=0,V52=""),"",IFERROR(ROUND(V52/INDEX(Undirviðmið!$F$6:$F$205,V$4)*INDEX(Undirviðmið!$E$6:$E$205,V$4)*KVARDI,2),""))</f>
        <v/>
      </c>
      <c r="X52" s="23"/>
      <c r="Y52" s="40" t="str">
        <f aca="false">IF(OR(X$4=0,X52=""),"",IFERROR(ROUND(X52/INDEX(Undirviðmið!$F$6:$F$205,X$4)*INDEX(Undirviðmið!$E$6:$E$205,X$4)*KVARDI,2),""))</f>
        <v/>
      </c>
      <c r="Z52" s="23"/>
      <c r="AA52" s="40" t="str">
        <f aca="false">IF(OR(Z$4=0,Z52=""),"",IFERROR(ROUND(Z52/INDEX(Undirviðmið!$F$6:$F$205,Z$4)*INDEX(Undirviðmið!$E$6:$E$205,Z$4)*KVARDI,2),""))</f>
        <v/>
      </c>
      <c r="AB52" s="23"/>
      <c r="AC52" s="40" t="str">
        <f aca="false">IF(OR(AB$4=0,AB52=""),"",IFERROR(ROUND(AB52/INDEX(Undirviðmið!$F$6:$F$205,AB$4)*INDEX(Undirviðmið!$E$6:$E$205,AB$4)*KVARDI,2),""))</f>
        <v/>
      </c>
      <c r="AD52" s="23"/>
      <c r="AE52" s="40" t="str">
        <f aca="false">IF(OR(AD$4=0,AD52=""),"",IFERROR(ROUND(AD52/INDEX(Undirviðmið!$F$6:$F$205,AD$4)*INDEX(Undirviðmið!$E$6:$E$205,AD$4)*KVARDI,2),""))</f>
        <v/>
      </c>
      <c r="AF52" s="23"/>
      <c r="AG52" s="40" t="str">
        <f aca="false">IF(OR(AF$4=0,AF52=""),"",IFERROR(ROUND(AF52/INDEX(Undirviðmið!$F$6:$F$205,AF$4)*INDEX(Undirviðmið!$E$6:$E$205,AF$4)*KVARDI,2),""))</f>
        <v/>
      </c>
      <c r="AH52" s="23"/>
      <c r="AI52" s="40" t="str">
        <f aca="false">IF(OR(AH$4=0,AH52=""),"",IFERROR(ROUND(AH52/INDEX(Undirviðmið!$F$6:$F$205,AH$4)*INDEX(Undirviðmið!$E$6:$E$205,AH$4)*KVARDI,2),""))</f>
        <v/>
      </c>
      <c r="AJ52" s="23"/>
      <c r="AK52" s="40" t="str">
        <f aca="false">IF(OR(AJ$4=0,AJ52=""),"",IFERROR(ROUND(AJ52/INDEX(Undirviðmið!$F$6:$F$205,AJ$4)*INDEX(Undirviðmið!$E$6:$E$205,AJ$4)*KVARDI,2),""))</f>
        <v/>
      </c>
      <c r="AL52" s="23"/>
      <c r="AM52" s="40" t="str">
        <f aca="false">IF(OR(AL$4=0,AL52=""),"",IFERROR(ROUND(AL52/INDEX(Undirviðmið!$F$6:$F$205,AL$4)*INDEX(Undirviðmið!$E$6:$E$205,AL$4)*KVARDI,2),""))</f>
        <v/>
      </c>
      <c r="AN52" s="23"/>
      <c r="AO52" s="40" t="str">
        <f aca="false">IF(OR(AN$4=0,AN52=""),"",IFERROR(ROUND(AN52/INDEX(Undirviðmið!$F$6:$F$205,AN$4)*INDEX(Undirviðmið!$E$6:$E$205,AN$4)*KVARDI,2),""))</f>
        <v/>
      </c>
      <c r="AP52" s="23"/>
      <c r="AQ52" s="40" t="str">
        <f aca="false">IF(OR(AP$4=0,AP52=""),"",IFERROR(ROUND(AP52/INDEX(Undirviðmið!$F$6:$F$205,AP$4)*INDEX(Undirviðmið!$E$6:$E$205,AP$4)*KVARDI,2),""))</f>
        <v/>
      </c>
      <c r="AR52" s="23"/>
      <c r="AS52" s="40" t="str">
        <f aca="false">IF(OR(AR$4=0,AR52=""),"",IFERROR(ROUND(AR52/INDEX(Undirviðmið!$F$6:$F$205,AR$4)*INDEX(Undirviðmið!$E$6:$E$205,AR$4)*KVARDI,2),""))</f>
        <v/>
      </c>
      <c r="AT52" s="23"/>
      <c r="AU52" s="40" t="str">
        <f aca="false">IF(OR(AT$4=0,AT52=""),"",IFERROR(ROUND(AT52/INDEX(Undirviðmið!$F$6:$F$205,AT$4)*INDEX(Undirviðmið!$E$6:$E$205,AT$4)*KVARDI,2),""))</f>
        <v/>
      </c>
      <c r="AV52" s="23"/>
      <c r="AW52" s="40" t="str">
        <f aca="false">IF(OR(AV$4=0,AV52=""),"",IFERROR(ROUND(AV52/INDEX(Undirviðmið!$F$6:$F$205,AV$4)*INDEX(Undirviðmið!$E$6:$E$205,AV$4)*KVARDI,2),""))</f>
        <v/>
      </c>
      <c r="AX52" s="23"/>
      <c r="AY52" s="40" t="str">
        <f aca="false">IF(OR(AX$4=0,AX52=""),"",IFERROR(ROUND(AX52/INDEX(Undirviðmið!$F$6:$F$205,AX$4)*INDEX(Undirviðmið!$E$6:$E$205,AX$4)*KVARDI,2),""))</f>
        <v/>
      </c>
      <c r="AZ52" s="23"/>
      <c r="BA52" s="40" t="str">
        <f aca="false">IF(OR(AZ$4=0,AZ52=""),"",IFERROR(ROUND(AZ52/INDEX(Undirviðmið!$F$6:$F$205,AZ$4)*INDEX(Undirviðmið!$E$6:$E$205,AZ$4)*KVARDI,2),""))</f>
        <v/>
      </c>
      <c r="BB52" s="23"/>
      <c r="BC52" s="40" t="str">
        <f aca="false">IF(OR(BB$4=0,BB52=""),"",IFERROR(ROUND(BB52/INDEX(Undirviðmið!$F$6:$F$205,BB$4)*INDEX(Undirviðmið!$E$6:$E$205,BB$4)*KVARDI,2),""))</f>
        <v/>
      </c>
      <c r="BD52" s="23"/>
      <c r="BE52" s="40" t="str">
        <f aca="false">IF(OR(BD$4=0,BD52=""),"",IFERROR(ROUND(BD52/INDEX(Undirviðmið!$F$6:$F$205,BD$4)*INDEX(Undirviðmið!$E$6:$E$205,BD$4)*KVARDI,2),""))</f>
        <v/>
      </c>
      <c r="BF52" s="23"/>
      <c r="BG52" s="40" t="str">
        <f aca="false">IF(OR(BF$4=0,BF52=""),"",IFERROR(ROUND(BF52/INDEX(Undirviðmið!$F$6:$F$205,BF$4)*INDEX(Undirviðmið!$E$6:$E$205,BF$4)*KVARDI,2),""))</f>
        <v/>
      </c>
      <c r="BH52" s="23"/>
      <c r="BI52" s="40" t="str">
        <f aca="false">IF(OR(BH$4=0,BH52=""),"",IFERROR(ROUND(BH52/INDEX(Undirviðmið!$F$6:$F$205,BH$4)*INDEX(Undirviðmið!$E$6:$E$205,BH$4)*KVARDI,2),""))</f>
        <v/>
      </c>
      <c r="BJ52" s="23"/>
      <c r="BK52" s="40" t="str">
        <f aca="false">IF(OR(BJ$4=0,BJ52=""),"",IFERROR(ROUND(BJ52/INDEX(Undirviðmið!$F$6:$F$205,BJ$4)*INDEX(Undirviðmið!$E$6:$E$205,BJ$4)*KVARDI,2),""))</f>
        <v/>
      </c>
      <c r="BL52" s="23"/>
      <c r="BM52" s="40" t="str">
        <f aca="false">IF(OR(BL$4=0,BL52=""),"",IFERROR(ROUND(BL52/INDEX(Undirviðmið!$F$6:$F$205,BL$4)*INDEX(Undirviðmið!$E$6:$E$205,BL$4)*KVARDI,2),""))</f>
        <v/>
      </c>
      <c r="BN52" s="23"/>
      <c r="BO52" s="40" t="str">
        <f aca="false">IF(OR(BN$4=0,BN52=""),"",IFERROR(ROUND(BN52/INDEX(Undirviðmið!$F$6:$F$205,BN$4)*INDEX(Undirviðmið!$E$6:$E$205,BN$4)*KVARDI,2),""))</f>
        <v/>
      </c>
      <c r="BP52" s="23"/>
      <c r="BQ52" s="40" t="str">
        <f aca="false">IF(OR(BP$4=0,BP52=""),"",IFERROR(ROUND(BP52/INDEX(Undirviðmið!$F$6:$F$205,BP$4)*INDEX(Undirviðmið!$E$6:$E$205,BP$4)*KVARDI,2),""))</f>
        <v/>
      </c>
      <c r="BR52" s="23"/>
      <c r="BS52" s="40" t="str">
        <f aca="false">IF(OR(BR$4=0,BR52=""),"",IFERROR(ROUND(BR52/INDEX(Undirviðmið!$F$6:$F$205,BR$4)*INDEX(Undirviðmið!$E$6:$E$205,BR$4)*KVARDI,2),""))</f>
        <v/>
      </c>
      <c r="BT52" s="23"/>
      <c r="BU52" s="40" t="str">
        <f aca="false">IF(OR(BT$4=0,BT52=""),"",IFERROR(ROUND(BT52/INDEX(Undirviðmið!$F$6:$F$205,BT$4)*INDEX(Undirviðmið!$E$6:$E$205,BT$4)*KVARDI,2),""))</f>
        <v/>
      </c>
      <c r="BV52" s="23"/>
      <c r="BW52" s="40" t="str">
        <f aca="false">IF(OR(BV$4=0,BV52=""),"",IFERROR(ROUND(BV52/INDEX(Undirviðmið!$F$6:$F$205,BV$4)*INDEX(Undirviðmið!$E$6:$E$205,BV$4)*KVARDI,2),""))</f>
        <v/>
      </c>
      <c r="BX52" s="23"/>
      <c r="BY52" s="40" t="str">
        <f aca="false">IF(OR(BX$4=0,BX52=""),"",IFERROR(ROUND(BX52/INDEX(Undirviðmið!$F$6:$F$205,BX$4)*INDEX(Undirviðmið!$E$6:$E$205,BX$4)*KVARDI,2),""))</f>
        <v/>
      </c>
      <c r="BZ52" s="23"/>
      <c r="CA52" s="40" t="str">
        <f aca="false">IF(OR(BZ$4=0,BZ52=""),"",IFERROR(ROUND(BZ52/INDEX(Undirviðmið!$F$6:$F$205,BZ$4)*INDEX(Undirviðmið!$E$6:$E$205,BZ$4)*KVARDI,2),""))</f>
        <v/>
      </c>
      <c r="CB52" s="23"/>
      <c r="CC52" s="40" t="str">
        <f aca="false">IF(OR(CB$4=0,CB52=""),"",IFERROR(ROUND(CB52/INDEX(Undirviðmið!$F$6:$F$205,CB$4)*INDEX(Undirviðmið!$E$6:$E$205,CB$4)*KVARDI,2),""))</f>
        <v/>
      </c>
      <c r="CD52" s="23"/>
      <c r="CE52" s="40" t="str">
        <f aca="false">IF(OR(CD$4=0,CD52=""),"",IFERROR(ROUND(CD52/INDEX(Undirviðmið!$F$6:$F$205,CD$4)*INDEX(Undirviðmið!$E$6:$E$205,CD$4)*KVARDI,2),""))</f>
        <v/>
      </c>
      <c r="CF52" s="23"/>
      <c r="CG52" s="40" t="str">
        <f aca="false">IF(OR(CF$4=0,CF52=""),"",IFERROR(ROUND(CF52/INDEX(Undirviðmið!$F$6:$F$205,CF$4)*INDEX(Undirviðmið!$E$6:$E$205,CF$4)*KVARDI,2),""))</f>
        <v/>
      </c>
      <c r="CH52" s="23"/>
      <c r="CI52" s="40" t="str">
        <f aca="false">IF(OR(CH$4=0,CH52=""),"",IFERROR(ROUND(CH52/INDEX(Undirviðmið!$F$6:$F$205,CH$4)*INDEX(Undirviðmið!$E$6:$E$205,CH$4)*KVARDI,2),""))</f>
        <v/>
      </c>
      <c r="CJ52" s="23"/>
      <c r="CK52" s="40" t="str">
        <f aca="false">IF(OR(CJ$4=0,CJ52=""),"",IFERROR(ROUND(CJ52/INDEX(Undirviðmið!$F$6:$F$205,CJ$4)*INDEX(Undirviðmið!$E$6:$E$205,CJ$4)*KVARDI,2),""))</f>
        <v/>
      </c>
      <c r="CL52" s="23"/>
      <c r="CM52" s="40" t="str">
        <f aca="false">IF(OR(CL$4=0,CL52=""),"",IFERROR(ROUND(CL52/INDEX(Undirviðmið!$F$6:$F$205,CL$4)*INDEX(Undirviðmið!$E$6:$E$205,CL$4)*KVARDI,2),""))</f>
        <v/>
      </c>
      <c r="CN52" s="23"/>
      <c r="CO52" s="40" t="str">
        <f aca="false">IF(OR(CN$4=0,CN52=""),"",IFERROR(ROUND(CN52/INDEX(Undirviðmið!$F$6:$F$205,CN$4)*INDEX(Undirviðmið!$E$6:$E$205,CN$4)*KVARDI,2),""))</f>
        <v/>
      </c>
      <c r="CP52" s="23"/>
      <c r="CQ52" s="40" t="str">
        <f aca="false">IF(OR(CP$4=0,CP52=""),"",IFERROR(ROUND(CP52/INDEX(Undirviðmið!$F$6:$F$205,CP$4)*INDEX(Undirviðmið!$E$6:$E$205,CP$4)*KVARDI,2),""))</f>
        <v/>
      </c>
      <c r="CR52" s="23"/>
      <c r="CS52" s="40" t="str">
        <f aca="false">IF(OR(CR$4=0,CR52=""),"",IFERROR(ROUND(CR52/INDEX(Undirviðmið!$F$6:$F$205,CR$4)*INDEX(Undirviðmið!$E$6:$E$205,CR$4)*KVARDI,2),""))</f>
        <v/>
      </c>
      <c r="CT52" s="23"/>
      <c r="CU52" s="40" t="str">
        <f aca="false">IF(OR(CT$4=0,CT52=""),"",IFERROR(ROUND(CT52/INDEX(Undirviðmið!$F$6:$F$205,CT$4)*INDEX(Undirviðmið!$E$6:$E$205,CT$4)*KVARDI,2),""))</f>
        <v/>
      </c>
      <c r="CV52" s="23"/>
      <c r="CW52" s="40" t="str">
        <f aca="false">IF(OR(CV$4=0,CV52=""),"",IFERROR(ROUND(CV52/INDEX(Undirviðmið!$F$6:$F$205,CV$4)*INDEX(Undirviðmið!$E$6:$E$205,CV$4)*KVARDI,2),""))</f>
        <v/>
      </c>
      <c r="CX52" s="23"/>
      <c r="CY52" s="40" t="str">
        <f aca="false">IF(OR(CX$4=0,CX52=""),"",IFERROR(ROUND(CX52/INDEX(Undirviðmið!$F$6:$F$205,CX$4)*INDEX(Undirviðmið!$E$6:$E$205,CX$4)*KVARDI,2),""))</f>
        <v/>
      </c>
      <c r="CZ52" s="23"/>
      <c r="DA52" s="40" t="str">
        <f aca="false">IF(OR(CZ$4=0,CZ52=""),"",IFERROR(ROUND(CZ52/INDEX(Undirviðmið!$F$6:$F$205,CZ$4)*INDEX(Undirviðmið!$E$6:$E$205,CZ$4)*KVARDI,2),""))</f>
        <v/>
      </c>
      <c r="DB52" s="23"/>
      <c r="DC52" s="40" t="str">
        <f aca="false">IF(OR(DB$4=0,DB52=""),"",IFERROR(ROUND(DB52/INDEX(Undirviðmið!$F$6:$F$205,DB$4)*INDEX(Undirviðmið!$E$6:$E$205,DB$4)*KVARDI,2),""))</f>
        <v/>
      </c>
      <c r="DD52" s="23"/>
      <c r="DE52" s="40" t="str">
        <f aca="false">IF(OR(DD$4=0,DD52=""),"",IFERROR(ROUND(DD52/INDEX(Undirviðmið!$F$6:$F$205,DD$4)*INDEX(Undirviðmið!$E$6:$E$205,DD$4)*KVARDI,2),""))</f>
        <v/>
      </c>
      <c r="DF52" s="23"/>
      <c r="DG52" s="40" t="str">
        <f aca="false">IF(OR(DF$4=0,DF52=""),"",IFERROR(ROUND(DF52/INDEX(Undirviðmið!$F$6:$F$205,DF$4)*INDEX(Undirviðmið!$E$6:$E$205,DF$4)*KVARDI,2),""))</f>
        <v/>
      </c>
      <c r="DH52" s="23"/>
      <c r="DI52" s="40" t="str">
        <f aca="false">IF(OR(DH$4=0,DH52=""),"",IFERROR(ROUND(DH52/INDEX(Undirviðmið!$F$6:$F$205,DH$4)*INDEX(Undirviðmið!$E$6:$E$205,DH$4)*KVARDI,2),""))</f>
        <v/>
      </c>
      <c r="DJ52" s="23"/>
      <c r="DK52" s="40" t="str">
        <f aca="false">IF(OR(DJ$4=0,DJ52=""),"",IFERROR(ROUND(DJ52/INDEX(Undirviðmið!$F$6:$F$205,DJ$4)*INDEX(Undirviðmið!$E$6:$E$205,DJ$4)*KVARDI,2),""))</f>
        <v/>
      </c>
      <c r="DL52" s="23"/>
      <c r="DM52" s="40" t="str">
        <f aca="false">IF(OR(DL$4=0,DL52=""),"",IFERROR(ROUND(DL52/INDEX(Undirviðmið!$F$6:$F$205,DL$4)*INDEX(Undirviðmið!$E$6:$E$205,DL$4)*KVARDI,2),""))</f>
        <v/>
      </c>
      <c r="DN52" s="23"/>
      <c r="DO52" s="40" t="str">
        <f aca="false">IF(OR(DN$4=0,DN52=""),"",IFERROR(ROUND(DN52/INDEX(Undirviðmið!$F$6:$F$205,DN$4)*INDEX(Undirviðmið!$E$6:$E$205,DN$4)*KVARDI,2),""))</f>
        <v/>
      </c>
      <c r="DP52" s="23"/>
      <c r="DQ52" s="40" t="str">
        <f aca="false">IF(OR(DP$4=0,DP52=""),"",IFERROR(ROUND(DP52/INDEX(Undirviðmið!$F$6:$F$205,DP$4)*INDEX(Undirviðmið!$E$6:$E$205,DP$4)*KVARDI,2),""))</f>
        <v/>
      </c>
      <c r="DR52" s="23"/>
      <c r="DS52" s="40" t="str">
        <f aca="false">IF(OR(DR$4=0,DR52=""),"",IFERROR(ROUND(DR52/INDEX(Undirviðmið!$F$6:$F$205,DR$4)*INDEX(Undirviðmið!$E$6:$E$205,DR$4)*KVARDI,2),""))</f>
        <v/>
      </c>
      <c r="DT52" s="23"/>
      <c r="DU52" s="40" t="str">
        <f aca="false">IF(OR(DT$4=0,DT52=""),"",IFERROR(ROUND(DT52/INDEX(Undirviðmið!$F$6:$F$205,DT$4)*INDEX(Undirviðmið!$E$6:$E$205,DT$4)*KVARDI,2),""))</f>
        <v/>
      </c>
      <c r="DV52" s="23"/>
      <c r="DW52" s="40" t="str">
        <f aca="false">IF(OR(DV$4=0,DV52=""),"",IFERROR(ROUND(DV52/INDEX(Undirviðmið!$F$6:$F$205,DV$4)*INDEX(Undirviðmið!$E$6:$E$205,DV$4)*KVARDI,2),""))</f>
        <v/>
      </c>
      <c r="DX52" s="23"/>
      <c r="DY52" s="40" t="str">
        <f aca="false">IF(OR(DX$4=0,DX52=""),"",IFERROR(ROUND(DX52/INDEX(Undirviðmið!$F$6:$F$205,DX$4)*INDEX(Undirviðmið!$E$6:$E$205,DX$4)*KVARDI,2),""))</f>
        <v/>
      </c>
      <c r="DZ52" s="23"/>
      <c r="EA52" s="40" t="str">
        <f aca="false">IF(OR(DZ$4=0,DZ52=""),"",IFERROR(ROUND(DZ52/INDEX(Undirviðmið!$F$6:$F$205,DZ$4)*INDEX(Undirviðmið!$E$6:$E$205,DZ$4)*KVARDI,2),""))</f>
        <v/>
      </c>
      <c r="EB52" s="23"/>
      <c r="EC52" s="40" t="str">
        <f aca="false">IF(OR(EB$4=0,EB52=""),"",IFERROR(ROUND(EB52/INDEX(Undirviðmið!$F$6:$F$205,EB$4)*INDEX(Undirviðmið!$E$6:$E$205,EB$4)*KVARDI,2),""))</f>
        <v/>
      </c>
      <c r="ED52" s="23"/>
      <c r="EE52" s="40" t="str">
        <f aca="false">IF(OR(ED$4=0,ED52=""),"",IFERROR(ROUND(ED52/INDEX(Undirviðmið!$F$6:$F$205,ED$4)*INDEX(Undirviðmið!$E$6:$E$205,ED$4)*KVARDI,2),""))</f>
        <v/>
      </c>
      <c r="EF52" s="23"/>
      <c r="EG52" s="40" t="str">
        <f aca="false">IF(OR(EF$4=0,EF52=""),"",IFERROR(ROUND(EF52/INDEX(Undirviðmið!$F$6:$F$205,EF$4)*INDEX(Undirviðmið!$E$6:$E$205,EF$4)*KVARDI,2),""))</f>
        <v/>
      </c>
      <c r="EH52" s="23"/>
      <c r="EI52" s="40" t="str">
        <f aca="false">IF(OR(EH$4=0,EH52=""),"",IFERROR(ROUND(EH52/INDEX(Undirviðmið!$F$6:$F$205,EH$4)*INDEX(Undirviðmið!$E$6:$E$205,EH$4)*KVARDI,2),""))</f>
        <v/>
      </c>
      <c r="EJ52" s="23"/>
      <c r="EK52" s="40" t="str">
        <f aca="false">IF(OR(EJ$4=0,EJ52=""),"",IFERROR(ROUND(EJ52/INDEX(Undirviðmið!$F$6:$F$205,EJ$4)*INDEX(Undirviðmið!$E$6:$E$205,EJ$4)*KVARDI,2),""))</f>
        <v/>
      </c>
      <c r="EL52" s="23"/>
      <c r="EM52" s="40" t="str">
        <f aca="false">IF(OR(EL$4=0,EL52=""),"",IFERROR(ROUND(EL52/INDEX(Undirviðmið!$F$6:$F$205,EL$4)*INDEX(Undirviðmið!$E$6:$E$205,EL$4)*KVARDI,2),""))</f>
        <v/>
      </c>
      <c r="EN52" s="23"/>
      <c r="EO52" s="40" t="str">
        <f aca="false">IF(OR(EN$4=0,EN52=""),"",IFERROR(ROUND(EN52/INDEX(Undirviðmið!$F$6:$F$205,EN$4)*INDEX(Undirviðmið!$E$6:$E$205,EN$4)*KVARDI,2),""))</f>
        <v/>
      </c>
      <c r="EP52" s="23"/>
      <c r="EQ52" s="40" t="str">
        <f aca="false">IF(OR(EP$4=0,EP52=""),"",IFERROR(ROUND(EP52/INDEX(Undirviðmið!$F$6:$F$205,EP$4)*INDEX(Undirviðmið!$E$6:$E$205,EP$4)*KVARDI,2),""))</f>
        <v/>
      </c>
      <c r="ER52" s="23"/>
      <c r="ES52" s="40" t="str">
        <f aca="false">IF(OR(ER$4=0,ER52=""),"",IFERROR(ROUND(ER52/INDEX(Undirviðmið!$F$6:$F$205,ER$4)*INDEX(Undirviðmið!$E$6:$E$205,ER$4)*KVARDI,2),""))</f>
        <v/>
      </c>
      <c r="ET52" s="23"/>
      <c r="EU52" s="40" t="str">
        <f aca="false">IF(OR(ET$4=0,ET52=""),"",IFERROR(ROUND(ET52/INDEX(Undirviðmið!$F$6:$F$205,ET$4)*INDEX(Undirviðmið!$E$6:$E$205,ET$4)*KVARDI,2),""))</f>
        <v/>
      </c>
      <c r="EV52" s="23"/>
      <c r="EW52" s="40" t="str">
        <f aca="false">IF(OR(EV$4=0,EV52=""),"",IFERROR(ROUND(EV52/INDEX(Undirviðmið!$F$6:$F$205,EV$4)*INDEX(Undirviðmið!$E$6:$E$205,EV$4)*KVARDI,2),""))</f>
        <v/>
      </c>
      <c r="EX52" s="23"/>
      <c r="EY52" s="40" t="str">
        <f aca="false">IF(OR(EX$4=0,EX52=""),"",IFERROR(ROUND(EX52/INDEX(Undirviðmið!$F$6:$F$205,EX$4)*INDEX(Undirviðmið!$E$6:$E$205,EX$4)*KVARDI,2),""))</f>
        <v/>
      </c>
      <c r="EZ52" s="23"/>
      <c r="FA52" s="40" t="str">
        <f aca="false">IF(OR(EZ$4=0,EZ52=""),"",IFERROR(ROUND(EZ52/INDEX(Undirviðmið!$F$6:$F$205,EZ$4)*INDEX(Undirviðmið!$E$6:$E$205,EZ$4)*KVARDI,2),""))</f>
        <v/>
      </c>
      <c r="FB52" s="23"/>
      <c r="FC52" s="40" t="str">
        <f aca="false">IF(OR(FB$4=0,FB52=""),"",IFERROR(ROUND(FB52/INDEX(Undirviðmið!$F$6:$F$205,FB$4)*INDEX(Undirviðmið!$E$6:$E$205,FB$4)*KVARDI,2),""))</f>
        <v/>
      </c>
      <c r="FD52" s="23"/>
      <c r="FE52" s="40" t="str">
        <f aca="false">IF(OR(FD$4=0,FD52=""),"",IFERROR(ROUND(FD52/INDEX(Undirviðmið!$F$6:$F$205,FD$4)*INDEX(Undirviðmið!$E$6:$E$205,FD$4)*KVARDI,2),""))</f>
        <v/>
      </c>
      <c r="FF52" s="23"/>
      <c r="FG52" s="40" t="str">
        <f aca="false">IF(OR(FF$4=0,FF52=""),"",IFERROR(ROUND(FF52/INDEX(Undirviðmið!$F$6:$F$205,FF$4)*INDEX(Undirviðmið!$E$6:$E$205,FF$4)*KVARDI,2),""))</f>
        <v/>
      </c>
      <c r="FH52" s="23"/>
      <c r="FI52" s="40" t="str">
        <f aca="false">IF(OR(FH$4=0,FH52=""),"",IFERROR(ROUND(FH52/INDEX(Undirviðmið!$F$6:$F$205,FH$4)*INDEX(Undirviðmið!$E$6:$E$205,FH$4)*KVARDI,2),""))</f>
        <v/>
      </c>
      <c r="FJ52" s="23"/>
      <c r="FK52" s="40" t="str">
        <f aca="false">IF(OR(FJ$4=0,FJ52=""),"",IFERROR(ROUND(FJ52/INDEX(Undirviðmið!$F$6:$F$205,FJ$4)*INDEX(Undirviðmið!$E$6:$E$205,FJ$4)*KVARDI,2),""))</f>
        <v/>
      </c>
      <c r="FL52" s="23"/>
      <c r="FM52" s="40" t="str">
        <f aca="false">IF(OR(FL$4=0,FL52=""),"",IFERROR(ROUND(FL52/INDEX(Undirviðmið!$F$6:$F$205,FL$4)*INDEX(Undirviðmið!$E$6:$E$205,FL$4)*KVARDI,2),""))</f>
        <v/>
      </c>
      <c r="FN52" s="23"/>
      <c r="FO52" s="40" t="str">
        <f aca="false">IF(OR(FN$4=0,FN52=""),"",IFERROR(ROUND(FN52/INDEX(Undirviðmið!$F$6:$F$205,FN$4)*INDEX(Undirviðmið!$E$6:$E$205,FN$4)*KVARDI,2),""))</f>
        <v/>
      </c>
      <c r="FP52" s="23"/>
      <c r="FQ52" s="40" t="str">
        <f aca="false">IF(OR(FP$4=0,FP52=""),"",IFERROR(ROUND(FP52/INDEX(Undirviðmið!$F$6:$F$205,FP$4)*INDEX(Undirviðmið!$E$6:$E$205,FP$4)*KVARDI,2),""))</f>
        <v/>
      </c>
      <c r="FR52" s="23"/>
      <c r="FS52" s="40" t="str">
        <f aca="false">IF(OR(FR$4=0,FR52=""),"",IFERROR(ROUND(FR52/INDEX(Undirviðmið!$F$6:$F$205,FR$4)*INDEX(Undirviðmið!$E$6:$E$205,FR$4)*KVARDI,2),""))</f>
        <v/>
      </c>
      <c r="FT52" s="23"/>
      <c r="FU52" s="40" t="str">
        <f aca="false">IF(OR(FT$4=0,FT52=""),"",IFERROR(ROUND(FT52/INDEX(Undirviðmið!$F$6:$F$205,FT$4)*INDEX(Undirviðmið!$E$6:$E$205,FT$4)*KVARDI,2),""))</f>
        <v/>
      </c>
      <c r="FV52" s="23"/>
      <c r="FW52" s="40" t="str">
        <f aca="false">IF(OR(FV$4=0,FV52=""),"",IFERROR(ROUND(FV52/INDEX(Undirviðmið!$F$6:$F$205,FV$4)*INDEX(Undirviðmið!$E$6:$E$205,FV$4)*KVARDI,2),""))</f>
        <v/>
      </c>
      <c r="FX52" s="23"/>
      <c r="FY52" s="40" t="str">
        <f aca="false">IF(OR(FX$4=0,FX52=""),"",IFERROR(ROUND(FX52/INDEX(Undirviðmið!$F$6:$F$205,FX$4)*INDEX(Undirviðmið!$E$6:$E$205,FX$4)*KVARDI,2),""))</f>
        <v/>
      </c>
      <c r="FZ52" s="23"/>
      <c r="GA52" s="40" t="str">
        <f aca="false">IF(OR(FZ$4=0,FZ52=""),"",IFERROR(ROUND(FZ52/INDEX(Undirviðmið!$F$6:$F$205,FZ$4)*INDEX(Undirviðmið!$E$6:$E$205,FZ$4)*KVARDI,2),""))</f>
        <v/>
      </c>
      <c r="GB52" s="23"/>
      <c r="GC52" s="40" t="str">
        <f aca="false">IF(OR(GB$4=0,GB52=""),"",IFERROR(ROUND(GB52/INDEX(Undirviðmið!$F$6:$F$205,GB$4)*INDEX(Undirviðmið!$E$6:$E$205,GB$4)*KVARDI,2),""))</f>
        <v/>
      </c>
      <c r="GD52" s="23"/>
      <c r="GE52" s="40" t="str">
        <f aca="false">IF(OR(GD$4=0,GD52=""),"",IFERROR(ROUND(GD52/INDEX(Undirviðmið!$F$6:$F$205,GD$4)*INDEX(Undirviðmið!$E$6:$E$205,GD$4)*KVARDI,2),""))</f>
        <v/>
      </c>
      <c r="GF52" s="23"/>
      <c r="GG52" s="40" t="str">
        <f aca="false">IF(OR(GF$4=0,GF52=""),"",IFERROR(ROUND(GF52/INDEX(Undirviðmið!$F$6:$F$205,GF$4)*INDEX(Undirviðmið!$E$6:$E$205,GF$4)*KVARDI,2),""))</f>
        <v/>
      </c>
      <c r="GH52" s="23"/>
      <c r="GI52" s="40" t="str">
        <f aca="false">IF(OR(GH$4=0,GH52=""),"",IFERROR(ROUND(GH52/INDEX(Undirviðmið!$F$6:$F$205,GH$4)*INDEX(Undirviðmið!$E$6:$E$205,GH$4)*KVARDI,2),""))</f>
        <v/>
      </c>
      <c r="GJ52" s="23"/>
      <c r="GK52" s="40" t="str">
        <f aca="false">IF(OR(GJ$4=0,GJ52=""),"",IFERROR(ROUND(GJ52/INDEX(Undirviðmið!$F$6:$F$205,GJ$4)*INDEX(Undirviðmið!$E$6:$E$205,GJ$4)*KVARDI,2),""))</f>
        <v/>
      </c>
      <c r="GL52" s="23"/>
      <c r="GM52" s="40" t="str">
        <f aca="false">IF(OR(GL$4=0,GL52=""),"",IFERROR(ROUND(GL52/INDEX(Undirviðmið!$F$6:$F$205,GL$4)*INDEX(Undirviðmið!$E$6:$E$205,GL$4)*KVARDI,2),""))</f>
        <v/>
      </c>
      <c r="GN52" s="23"/>
      <c r="GO52" s="40" t="str">
        <f aca="false">IF(OR(GN$4=0,GN52=""),"",IFERROR(ROUND(GN52/INDEX(Undirviðmið!$F$6:$F$205,GN$4)*INDEX(Undirviðmið!$E$6:$E$205,GN$4)*KVARDI,2),""))</f>
        <v/>
      </c>
      <c r="GP52" s="23"/>
      <c r="GQ52" s="40" t="str">
        <f aca="false">IF(OR(GP$4=0,GP52=""),"",IFERROR(ROUND(GP52/INDEX(Undirviðmið!$F$6:$F$205,GP$4)*INDEX(Undirviðmið!$E$6:$E$205,GP$4)*KVARDI,2),""))</f>
        <v/>
      </c>
      <c r="GR52" s="23"/>
      <c r="GS52" s="40" t="str">
        <f aca="false">IF(OR(GR$4=0,GR52=""),"",IFERROR(ROUND(GR52/INDEX(Undirviðmið!$F$6:$F$205,GR$4)*INDEX(Undirviðmið!$E$6:$E$205,GR$4)*KVARDI,2),""))</f>
        <v/>
      </c>
      <c r="GT52" s="23"/>
      <c r="GU52" s="40" t="str">
        <f aca="false">IF(OR(GT$4=0,GT52=""),"",IFERROR(ROUND(GT52/INDEX(Undirviðmið!$F$6:$F$205,GT$4)*INDEX(Undirviðmið!$E$6:$E$205,GT$4)*KVARDI,2),""))</f>
        <v/>
      </c>
      <c r="GV52" s="44" t="n">
        <f aca="false">IFERROR(SUMIF($D$6:GU$6,"Stig",$D52:GU52),0)</f>
        <v>0</v>
      </c>
    </row>
    <row r="53" customFormat="false" ht="15" hidden="false" customHeight="true" outlineLevel="0" collapsed="false">
      <c r="A53" s="22" t="n">
        <f aca="false">ROW()-6</f>
        <v>47</v>
      </c>
      <c r="B53" s="24" t="str">
        <f aca="false">IF(INDEX(Starfsmenn!$B$6:$B$10005,ROW()-6)="","",INDEX(Starfsmenn!$B$6:$B$10005,ROW()-6))</f>
        <v/>
      </c>
      <c r="C53" s="24" t="str">
        <f aca="false">IF(INDEX(Starfsmenn!$C$6:$C$10005,ROW()-6)="","",INDEX(Starfsmenn!$C$6:$C$10005,ROW()-6))</f>
        <v/>
      </c>
      <c r="D53" s="23"/>
      <c r="E53" s="40" t="str">
        <f aca="false">IF(OR(D$4=0,D53=""),"",IFERROR(ROUND(D53/INDEX(Undirviðmið!$F$6:$F$205,D$4)*INDEX(Undirviðmið!$E$6:$E$205,D$4)*KVARDI,2),""))</f>
        <v/>
      </c>
      <c r="F53" s="23"/>
      <c r="G53" s="40" t="str">
        <f aca="false">IF(OR(F$4=0,F53=""),"",IFERROR(ROUND(F53/INDEX(Undirviðmið!$F$6:$F$205,F$4)*INDEX(Undirviðmið!$E$6:$E$205,F$4)*KVARDI,2),""))</f>
        <v/>
      </c>
      <c r="H53" s="23"/>
      <c r="I53" s="40" t="str">
        <f aca="false">IF(OR(H$4=0,H53=""),"",IFERROR(ROUND(H53/INDEX(Undirviðmið!$F$6:$F$205,H$4)*INDEX(Undirviðmið!$E$6:$E$205,H$4)*KVARDI,2),""))</f>
        <v/>
      </c>
      <c r="J53" s="23"/>
      <c r="K53" s="40" t="str">
        <f aca="false">IF(OR(J$4=0,J53=""),"",IFERROR(ROUND(J53/INDEX(Undirviðmið!$F$6:$F$205,J$4)*INDEX(Undirviðmið!$E$6:$E$205,J$4)*KVARDI,2),""))</f>
        <v/>
      </c>
      <c r="L53" s="23"/>
      <c r="M53" s="40" t="str">
        <f aca="false">IF(OR(L$4=0,L53=""),"",IFERROR(ROUND(L53/INDEX(Undirviðmið!$F$6:$F$205,L$4)*INDEX(Undirviðmið!$E$6:$E$205,L$4)*KVARDI,2),""))</f>
        <v/>
      </c>
      <c r="N53" s="23"/>
      <c r="O53" s="40" t="str">
        <f aca="false">IF(OR(N$4=0,N53=""),"",IFERROR(ROUND(N53/INDEX(Undirviðmið!$F$6:$F$205,N$4)*INDEX(Undirviðmið!$E$6:$E$205,N$4)*KVARDI,2),""))</f>
        <v/>
      </c>
      <c r="P53" s="23"/>
      <c r="Q53" s="40" t="str">
        <f aca="false">IF(OR(P$4=0,P53=""),"",IFERROR(ROUND(P53/INDEX(Undirviðmið!$F$6:$F$205,P$4)*INDEX(Undirviðmið!$E$6:$E$205,P$4)*KVARDI,2),""))</f>
        <v/>
      </c>
      <c r="R53" s="23"/>
      <c r="S53" s="40" t="str">
        <f aca="false">IF(OR(R$4=0,R53=""),"",IFERROR(ROUND(R53/INDEX(Undirviðmið!$F$6:$F$205,R$4)*INDEX(Undirviðmið!$E$6:$E$205,R$4)*KVARDI,2),""))</f>
        <v/>
      </c>
      <c r="T53" s="23"/>
      <c r="U53" s="40" t="str">
        <f aca="false">IF(OR(T$4=0,T53=""),"",IFERROR(ROUND(T53/INDEX(Undirviðmið!$F$6:$F$205,T$4)*INDEX(Undirviðmið!$E$6:$E$205,T$4)*KVARDI,2),""))</f>
        <v/>
      </c>
      <c r="V53" s="23"/>
      <c r="W53" s="40" t="str">
        <f aca="false">IF(OR(V$4=0,V53=""),"",IFERROR(ROUND(V53/INDEX(Undirviðmið!$F$6:$F$205,V$4)*INDEX(Undirviðmið!$E$6:$E$205,V$4)*KVARDI,2),""))</f>
        <v/>
      </c>
      <c r="X53" s="23"/>
      <c r="Y53" s="40" t="str">
        <f aca="false">IF(OR(X$4=0,X53=""),"",IFERROR(ROUND(X53/INDEX(Undirviðmið!$F$6:$F$205,X$4)*INDEX(Undirviðmið!$E$6:$E$205,X$4)*KVARDI,2),""))</f>
        <v/>
      </c>
      <c r="Z53" s="23"/>
      <c r="AA53" s="40" t="str">
        <f aca="false">IF(OR(Z$4=0,Z53=""),"",IFERROR(ROUND(Z53/INDEX(Undirviðmið!$F$6:$F$205,Z$4)*INDEX(Undirviðmið!$E$6:$E$205,Z$4)*KVARDI,2),""))</f>
        <v/>
      </c>
      <c r="AB53" s="23"/>
      <c r="AC53" s="40" t="str">
        <f aca="false">IF(OR(AB$4=0,AB53=""),"",IFERROR(ROUND(AB53/INDEX(Undirviðmið!$F$6:$F$205,AB$4)*INDEX(Undirviðmið!$E$6:$E$205,AB$4)*KVARDI,2),""))</f>
        <v/>
      </c>
      <c r="AD53" s="23"/>
      <c r="AE53" s="40" t="str">
        <f aca="false">IF(OR(AD$4=0,AD53=""),"",IFERROR(ROUND(AD53/INDEX(Undirviðmið!$F$6:$F$205,AD$4)*INDEX(Undirviðmið!$E$6:$E$205,AD$4)*KVARDI,2),""))</f>
        <v/>
      </c>
      <c r="AF53" s="23"/>
      <c r="AG53" s="40" t="str">
        <f aca="false">IF(OR(AF$4=0,AF53=""),"",IFERROR(ROUND(AF53/INDEX(Undirviðmið!$F$6:$F$205,AF$4)*INDEX(Undirviðmið!$E$6:$E$205,AF$4)*KVARDI,2),""))</f>
        <v/>
      </c>
      <c r="AH53" s="23"/>
      <c r="AI53" s="40" t="str">
        <f aca="false">IF(OR(AH$4=0,AH53=""),"",IFERROR(ROUND(AH53/INDEX(Undirviðmið!$F$6:$F$205,AH$4)*INDEX(Undirviðmið!$E$6:$E$205,AH$4)*KVARDI,2),""))</f>
        <v/>
      </c>
      <c r="AJ53" s="23"/>
      <c r="AK53" s="40" t="str">
        <f aca="false">IF(OR(AJ$4=0,AJ53=""),"",IFERROR(ROUND(AJ53/INDEX(Undirviðmið!$F$6:$F$205,AJ$4)*INDEX(Undirviðmið!$E$6:$E$205,AJ$4)*KVARDI,2),""))</f>
        <v/>
      </c>
      <c r="AL53" s="23"/>
      <c r="AM53" s="40" t="str">
        <f aca="false">IF(OR(AL$4=0,AL53=""),"",IFERROR(ROUND(AL53/INDEX(Undirviðmið!$F$6:$F$205,AL$4)*INDEX(Undirviðmið!$E$6:$E$205,AL$4)*KVARDI,2),""))</f>
        <v/>
      </c>
      <c r="AN53" s="23"/>
      <c r="AO53" s="40" t="str">
        <f aca="false">IF(OR(AN$4=0,AN53=""),"",IFERROR(ROUND(AN53/INDEX(Undirviðmið!$F$6:$F$205,AN$4)*INDEX(Undirviðmið!$E$6:$E$205,AN$4)*KVARDI,2),""))</f>
        <v/>
      </c>
      <c r="AP53" s="23"/>
      <c r="AQ53" s="40" t="str">
        <f aca="false">IF(OR(AP$4=0,AP53=""),"",IFERROR(ROUND(AP53/INDEX(Undirviðmið!$F$6:$F$205,AP$4)*INDEX(Undirviðmið!$E$6:$E$205,AP$4)*KVARDI,2),""))</f>
        <v/>
      </c>
      <c r="AR53" s="23"/>
      <c r="AS53" s="40" t="str">
        <f aca="false">IF(OR(AR$4=0,AR53=""),"",IFERROR(ROUND(AR53/INDEX(Undirviðmið!$F$6:$F$205,AR$4)*INDEX(Undirviðmið!$E$6:$E$205,AR$4)*KVARDI,2),""))</f>
        <v/>
      </c>
      <c r="AT53" s="23"/>
      <c r="AU53" s="40" t="str">
        <f aca="false">IF(OR(AT$4=0,AT53=""),"",IFERROR(ROUND(AT53/INDEX(Undirviðmið!$F$6:$F$205,AT$4)*INDEX(Undirviðmið!$E$6:$E$205,AT$4)*KVARDI,2),""))</f>
        <v/>
      </c>
      <c r="AV53" s="23"/>
      <c r="AW53" s="40" t="str">
        <f aca="false">IF(OR(AV$4=0,AV53=""),"",IFERROR(ROUND(AV53/INDEX(Undirviðmið!$F$6:$F$205,AV$4)*INDEX(Undirviðmið!$E$6:$E$205,AV$4)*KVARDI,2),""))</f>
        <v/>
      </c>
      <c r="AX53" s="23"/>
      <c r="AY53" s="40" t="str">
        <f aca="false">IF(OR(AX$4=0,AX53=""),"",IFERROR(ROUND(AX53/INDEX(Undirviðmið!$F$6:$F$205,AX$4)*INDEX(Undirviðmið!$E$6:$E$205,AX$4)*KVARDI,2),""))</f>
        <v/>
      </c>
      <c r="AZ53" s="23"/>
      <c r="BA53" s="40" t="str">
        <f aca="false">IF(OR(AZ$4=0,AZ53=""),"",IFERROR(ROUND(AZ53/INDEX(Undirviðmið!$F$6:$F$205,AZ$4)*INDEX(Undirviðmið!$E$6:$E$205,AZ$4)*KVARDI,2),""))</f>
        <v/>
      </c>
      <c r="BB53" s="23"/>
      <c r="BC53" s="40" t="str">
        <f aca="false">IF(OR(BB$4=0,BB53=""),"",IFERROR(ROUND(BB53/INDEX(Undirviðmið!$F$6:$F$205,BB$4)*INDEX(Undirviðmið!$E$6:$E$205,BB$4)*KVARDI,2),""))</f>
        <v/>
      </c>
      <c r="BD53" s="23"/>
      <c r="BE53" s="40" t="str">
        <f aca="false">IF(OR(BD$4=0,BD53=""),"",IFERROR(ROUND(BD53/INDEX(Undirviðmið!$F$6:$F$205,BD$4)*INDEX(Undirviðmið!$E$6:$E$205,BD$4)*KVARDI,2),""))</f>
        <v/>
      </c>
      <c r="BF53" s="23"/>
      <c r="BG53" s="40" t="str">
        <f aca="false">IF(OR(BF$4=0,BF53=""),"",IFERROR(ROUND(BF53/INDEX(Undirviðmið!$F$6:$F$205,BF$4)*INDEX(Undirviðmið!$E$6:$E$205,BF$4)*KVARDI,2),""))</f>
        <v/>
      </c>
      <c r="BH53" s="23"/>
      <c r="BI53" s="40" t="str">
        <f aca="false">IF(OR(BH$4=0,BH53=""),"",IFERROR(ROUND(BH53/INDEX(Undirviðmið!$F$6:$F$205,BH$4)*INDEX(Undirviðmið!$E$6:$E$205,BH$4)*KVARDI,2),""))</f>
        <v/>
      </c>
      <c r="BJ53" s="23"/>
      <c r="BK53" s="40" t="str">
        <f aca="false">IF(OR(BJ$4=0,BJ53=""),"",IFERROR(ROUND(BJ53/INDEX(Undirviðmið!$F$6:$F$205,BJ$4)*INDEX(Undirviðmið!$E$6:$E$205,BJ$4)*KVARDI,2),""))</f>
        <v/>
      </c>
      <c r="BL53" s="23"/>
      <c r="BM53" s="40" t="str">
        <f aca="false">IF(OR(BL$4=0,BL53=""),"",IFERROR(ROUND(BL53/INDEX(Undirviðmið!$F$6:$F$205,BL$4)*INDEX(Undirviðmið!$E$6:$E$205,BL$4)*KVARDI,2),""))</f>
        <v/>
      </c>
      <c r="BN53" s="23"/>
      <c r="BO53" s="40" t="str">
        <f aca="false">IF(OR(BN$4=0,BN53=""),"",IFERROR(ROUND(BN53/INDEX(Undirviðmið!$F$6:$F$205,BN$4)*INDEX(Undirviðmið!$E$6:$E$205,BN$4)*KVARDI,2),""))</f>
        <v/>
      </c>
      <c r="BP53" s="23"/>
      <c r="BQ53" s="40" t="str">
        <f aca="false">IF(OR(BP$4=0,BP53=""),"",IFERROR(ROUND(BP53/INDEX(Undirviðmið!$F$6:$F$205,BP$4)*INDEX(Undirviðmið!$E$6:$E$205,BP$4)*KVARDI,2),""))</f>
        <v/>
      </c>
      <c r="BR53" s="23"/>
      <c r="BS53" s="40" t="str">
        <f aca="false">IF(OR(BR$4=0,BR53=""),"",IFERROR(ROUND(BR53/INDEX(Undirviðmið!$F$6:$F$205,BR$4)*INDEX(Undirviðmið!$E$6:$E$205,BR$4)*KVARDI,2),""))</f>
        <v/>
      </c>
      <c r="BT53" s="23"/>
      <c r="BU53" s="40" t="str">
        <f aca="false">IF(OR(BT$4=0,BT53=""),"",IFERROR(ROUND(BT53/INDEX(Undirviðmið!$F$6:$F$205,BT$4)*INDEX(Undirviðmið!$E$6:$E$205,BT$4)*KVARDI,2),""))</f>
        <v/>
      </c>
      <c r="BV53" s="23"/>
      <c r="BW53" s="40" t="str">
        <f aca="false">IF(OR(BV$4=0,BV53=""),"",IFERROR(ROUND(BV53/INDEX(Undirviðmið!$F$6:$F$205,BV$4)*INDEX(Undirviðmið!$E$6:$E$205,BV$4)*KVARDI,2),""))</f>
        <v/>
      </c>
      <c r="BX53" s="23"/>
      <c r="BY53" s="40" t="str">
        <f aca="false">IF(OR(BX$4=0,BX53=""),"",IFERROR(ROUND(BX53/INDEX(Undirviðmið!$F$6:$F$205,BX$4)*INDEX(Undirviðmið!$E$6:$E$205,BX$4)*KVARDI,2),""))</f>
        <v/>
      </c>
      <c r="BZ53" s="23"/>
      <c r="CA53" s="40" t="str">
        <f aca="false">IF(OR(BZ$4=0,BZ53=""),"",IFERROR(ROUND(BZ53/INDEX(Undirviðmið!$F$6:$F$205,BZ$4)*INDEX(Undirviðmið!$E$6:$E$205,BZ$4)*KVARDI,2),""))</f>
        <v/>
      </c>
      <c r="CB53" s="23"/>
      <c r="CC53" s="40" t="str">
        <f aca="false">IF(OR(CB$4=0,CB53=""),"",IFERROR(ROUND(CB53/INDEX(Undirviðmið!$F$6:$F$205,CB$4)*INDEX(Undirviðmið!$E$6:$E$205,CB$4)*KVARDI,2),""))</f>
        <v/>
      </c>
      <c r="CD53" s="23"/>
      <c r="CE53" s="40" t="str">
        <f aca="false">IF(OR(CD$4=0,CD53=""),"",IFERROR(ROUND(CD53/INDEX(Undirviðmið!$F$6:$F$205,CD$4)*INDEX(Undirviðmið!$E$6:$E$205,CD$4)*KVARDI,2),""))</f>
        <v/>
      </c>
      <c r="CF53" s="23"/>
      <c r="CG53" s="40" t="str">
        <f aca="false">IF(OR(CF$4=0,CF53=""),"",IFERROR(ROUND(CF53/INDEX(Undirviðmið!$F$6:$F$205,CF$4)*INDEX(Undirviðmið!$E$6:$E$205,CF$4)*KVARDI,2),""))</f>
        <v/>
      </c>
      <c r="CH53" s="23"/>
      <c r="CI53" s="40" t="str">
        <f aca="false">IF(OR(CH$4=0,CH53=""),"",IFERROR(ROUND(CH53/INDEX(Undirviðmið!$F$6:$F$205,CH$4)*INDEX(Undirviðmið!$E$6:$E$205,CH$4)*KVARDI,2),""))</f>
        <v/>
      </c>
      <c r="CJ53" s="23"/>
      <c r="CK53" s="40" t="str">
        <f aca="false">IF(OR(CJ$4=0,CJ53=""),"",IFERROR(ROUND(CJ53/INDEX(Undirviðmið!$F$6:$F$205,CJ$4)*INDEX(Undirviðmið!$E$6:$E$205,CJ$4)*KVARDI,2),""))</f>
        <v/>
      </c>
      <c r="CL53" s="23"/>
      <c r="CM53" s="40" t="str">
        <f aca="false">IF(OR(CL$4=0,CL53=""),"",IFERROR(ROUND(CL53/INDEX(Undirviðmið!$F$6:$F$205,CL$4)*INDEX(Undirviðmið!$E$6:$E$205,CL$4)*KVARDI,2),""))</f>
        <v/>
      </c>
      <c r="CN53" s="23"/>
      <c r="CO53" s="40" t="str">
        <f aca="false">IF(OR(CN$4=0,CN53=""),"",IFERROR(ROUND(CN53/INDEX(Undirviðmið!$F$6:$F$205,CN$4)*INDEX(Undirviðmið!$E$6:$E$205,CN$4)*KVARDI,2),""))</f>
        <v/>
      </c>
      <c r="CP53" s="23"/>
      <c r="CQ53" s="40" t="str">
        <f aca="false">IF(OR(CP$4=0,CP53=""),"",IFERROR(ROUND(CP53/INDEX(Undirviðmið!$F$6:$F$205,CP$4)*INDEX(Undirviðmið!$E$6:$E$205,CP$4)*KVARDI,2),""))</f>
        <v/>
      </c>
      <c r="CR53" s="23"/>
      <c r="CS53" s="40" t="str">
        <f aca="false">IF(OR(CR$4=0,CR53=""),"",IFERROR(ROUND(CR53/INDEX(Undirviðmið!$F$6:$F$205,CR$4)*INDEX(Undirviðmið!$E$6:$E$205,CR$4)*KVARDI,2),""))</f>
        <v/>
      </c>
      <c r="CT53" s="23"/>
      <c r="CU53" s="40" t="str">
        <f aca="false">IF(OR(CT$4=0,CT53=""),"",IFERROR(ROUND(CT53/INDEX(Undirviðmið!$F$6:$F$205,CT$4)*INDEX(Undirviðmið!$E$6:$E$205,CT$4)*KVARDI,2),""))</f>
        <v/>
      </c>
      <c r="CV53" s="23"/>
      <c r="CW53" s="40" t="str">
        <f aca="false">IF(OR(CV$4=0,CV53=""),"",IFERROR(ROUND(CV53/INDEX(Undirviðmið!$F$6:$F$205,CV$4)*INDEX(Undirviðmið!$E$6:$E$205,CV$4)*KVARDI,2),""))</f>
        <v/>
      </c>
      <c r="CX53" s="23"/>
      <c r="CY53" s="40" t="str">
        <f aca="false">IF(OR(CX$4=0,CX53=""),"",IFERROR(ROUND(CX53/INDEX(Undirviðmið!$F$6:$F$205,CX$4)*INDEX(Undirviðmið!$E$6:$E$205,CX$4)*KVARDI,2),""))</f>
        <v/>
      </c>
      <c r="CZ53" s="23"/>
      <c r="DA53" s="40" t="str">
        <f aca="false">IF(OR(CZ$4=0,CZ53=""),"",IFERROR(ROUND(CZ53/INDEX(Undirviðmið!$F$6:$F$205,CZ$4)*INDEX(Undirviðmið!$E$6:$E$205,CZ$4)*KVARDI,2),""))</f>
        <v/>
      </c>
      <c r="DB53" s="23"/>
      <c r="DC53" s="40" t="str">
        <f aca="false">IF(OR(DB$4=0,DB53=""),"",IFERROR(ROUND(DB53/INDEX(Undirviðmið!$F$6:$F$205,DB$4)*INDEX(Undirviðmið!$E$6:$E$205,DB$4)*KVARDI,2),""))</f>
        <v/>
      </c>
      <c r="DD53" s="23"/>
      <c r="DE53" s="40" t="str">
        <f aca="false">IF(OR(DD$4=0,DD53=""),"",IFERROR(ROUND(DD53/INDEX(Undirviðmið!$F$6:$F$205,DD$4)*INDEX(Undirviðmið!$E$6:$E$205,DD$4)*KVARDI,2),""))</f>
        <v/>
      </c>
      <c r="DF53" s="23"/>
      <c r="DG53" s="40" t="str">
        <f aca="false">IF(OR(DF$4=0,DF53=""),"",IFERROR(ROUND(DF53/INDEX(Undirviðmið!$F$6:$F$205,DF$4)*INDEX(Undirviðmið!$E$6:$E$205,DF$4)*KVARDI,2),""))</f>
        <v/>
      </c>
      <c r="DH53" s="23"/>
      <c r="DI53" s="40" t="str">
        <f aca="false">IF(OR(DH$4=0,DH53=""),"",IFERROR(ROUND(DH53/INDEX(Undirviðmið!$F$6:$F$205,DH$4)*INDEX(Undirviðmið!$E$6:$E$205,DH$4)*KVARDI,2),""))</f>
        <v/>
      </c>
      <c r="DJ53" s="23"/>
      <c r="DK53" s="40" t="str">
        <f aca="false">IF(OR(DJ$4=0,DJ53=""),"",IFERROR(ROUND(DJ53/INDEX(Undirviðmið!$F$6:$F$205,DJ$4)*INDEX(Undirviðmið!$E$6:$E$205,DJ$4)*KVARDI,2),""))</f>
        <v/>
      </c>
      <c r="DL53" s="23"/>
      <c r="DM53" s="40" t="str">
        <f aca="false">IF(OR(DL$4=0,DL53=""),"",IFERROR(ROUND(DL53/INDEX(Undirviðmið!$F$6:$F$205,DL$4)*INDEX(Undirviðmið!$E$6:$E$205,DL$4)*KVARDI,2),""))</f>
        <v/>
      </c>
      <c r="DN53" s="23"/>
      <c r="DO53" s="40" t="str">
        <f aca="false">IF(OR(DN$4=0,DN53=""),"",IFERROR(ROUND(DN53/INDEX(Undirviðmið!$F$6:$F$205,DN$4)*INDEX(Undirviðmið!$E$6:$E$205,DN$4)*KVARDI,2),""))</f>
        <v/>
      </c>
      <c r="DP53" s="23"/>
      <c r="DQ53" s="40" t="str">
        <f aca="false">IF(OR(DP$4=0,DP53=""),"",IFERROR(ROUND(DP53/INDEX(Undirviðmið!$F$6:$F$205,DP$4)*INDEX(Undirviðmið!$E$6:$E$205,DP$4)*KVARDI,2),""))</f>
        <v/>
      </c>
      <c r="DR53" s="23"/>
      <c r="DS53" s="40" t="str">
        <f aca="false">IF(OR(DR$4=0,DR53=""),"",IFERROR(ROUND(DR53/INDEX(Undirviðmið!$F$6:$F$205,DR$4)*INDEX(Undirviðmið!$E$6:$E$205,DR$4)*KVARDI,2),""))</f>
        <v/>
      </c>
      <c r="DT53" s="23"/>
      <c r="DU53" s="40" t="str">
        <f aca="false">IF(OR(DT$4=0,DT53=""),"",IFERROR(ROUND(DT53/INDEX(Undirviðmið!$F$6:$F$205,DT$4)*INDEX(Undirviðmið!$E$6:$E$205,DT$4)*KVARDI,2),""))</f>
        <v/>
      </c>
      <c r="DV53" s="23"/>
      <c r="DW53" s="40" t="str">
        <f aca="false">IF(OR(DV$4=0,DV53=""),"",IFERROR(ROUND(DV53/INDEX(Undirviðmið!$F$6:$F$205,DV$4)*INDEX(Undirviðmið!$E$6:$E$205,DV$4)*KVARDI,2),""))</f>
        <v/>
      </c>
      <c r="DX53" s="23"/>
      <c r="DY53" s="40" t="str">
        <f aca="false">IF(OR(DX$4=0,DX53=""),"",IFERROR(ROUND(DX53/INDEX(Undirviðmið!$F$6:$F$205,DX$4)*INDEX(Undirviðmið!$E$6:$E$205,DX$4)*KVARDI,2),""))</f>
        <v/>
      </c>
      <c r="DZ53" s="23"/>
      <c r="EA53" s="40" t="str">
        <f aca="false">IF(OR(DZ$4=0,DZ53=""),"",IFERROR(ROUND(DZ53/INDEX(Undirviðmið!$F$6:$F$205,DZ$4)*INDEX(Undirviðmið!$E$6:$E$205,DZ$4)*KVARDI,2),""))</f>
        <v/>
      </c>
      <c r="EB53" s="23"/>
      <c r="EC53" s="40" t="str">
        <f aca="false">IF(OR(EB$4=0,EB53=""),"",IFERROR(ROUND(EB53/INDEX(Undirviðmið!$F$6:$F$205,EB$4)*INDEX(Undirviðmið!$E$6:$E$205,EB$4)*KVARDI,2),""))</f>
        <v/>
      </c>
      <c r="ED53" s="23"/>
      <c r="EE53" s="40" t="str">
        <f aca="false">IF(OR(ED$4=0,ED53=""),"",IFERROR(ROUND(ED53/INDEX(Undirviðmið!$F$6:$F$205,ED$4)*INDEX(Undirviðmið!$E$6:$E$205,ED$4)*KVARDI,2),""))</f>
        <v/>
      </c>
      <c r="EF53" s="23"/>
      <c r="EG53" s="40" t="str">
        <f aca="false">IF(OR(EF$4=0,EF53=""),"",IFERROR(ROUND(EF53/INDEX(Undirviðmið!$F$6:$F$205,EF$4)*INDEX(Undirviðmið!$E$6:$E$205,EF$4)*KVARDI,2),""))</f>
        <v/>
      </c>
      <c r="EH53" s="23"/>
      <c r="EI53" s="40" t="str">
        <f aca="false">IF(OR(EH$4=0,EH53=""),"",IFERROR(ROUND(EH53/INDEX(Undirviðmið!$F$6:$F$205,EH$4)*INDEX(Undirviðmið!$E$6:$E$205,EH$4)*KVARDI,2),""))</f>
        <v/>
      </c>
      <c r="EJ53" s="23"/>
      <c r="EK53" s="40" t="str">
        <f aca="false">IF(OR(EJ$4=0,EJ53=""),"",IFERROR(ROUND(EJ53/INDEX(Undirviðmið!$F$6:$F$205,EJ$4)*INDEX(Undirviðmið!$E$6:$E$205,EJ$4)*KVARDI,2),""))</f>
        <v/>
      </c>
      <c r="EL53" s="23"/>
      <c r="EM53" s="40" t="str">
        <f aca="false">IF(OR(EL$4=0,EL53=""),"",IFERROR(ROUND(EL53/INDEX(Undirviðmið!$F$6:$F$205,EL$4)*INDEX(Undirviðmið!$E$6:$E$205,EL$4)*KVARDI,2),""))</f>
        <v/>
      </c>
      <c r="EN53" s="23"/>
      <c r="EO53" s="40" t="str">
        <f aca="false">IF(OR(EN$4=0,EN53=""),"",IFERROR(ROUND(EN53/INDEX(Undirviðmið!$F$6:$F$205,EN$4)*INDEX(Undirviðmið!$E$6:$E$205,EN$4)*KVARDI,2),""))</f>
        <v/>
      </c>
      <c r="EP53" s="23"/>
      <c r="EQ53" s="40" t="str">
        <f aca="false">IF(OR(EP$4=0,EP53=""),"",IFERROR(ROUND(EP53/INDEX(Undirviðmið!$F$6:$F$205,EP$4)*INDEX(Undirviðmið!$E$6:$E$205,EP$4)*KVARDI,2),""))</f>
        <v/>
      </c>
      <c r="ER53" s="23"/>
      <c r="ES53" s="40" t="str">
        <f aca="false">IF(OR(ER$4=0,ER53=""),"",IFERROR(ROUND(ER53/INDEX(Undirviðmið!$F$6:$F$205,ER$4)*INDEX(Undirviðmið!$E$6:$E$205,ER$4)*KVARDI,2),""))</f>
        <v/>
      </c>
      <c r="ET53" s="23"/>
      <c r="EU53" s="40" t="str">
        <f aca="false">IF(OR(ET$4=0,ET53=""),"",IFERROR(ROUND(ET53/INDEX(Undirviðmið!$F$6:$F$205,ET$4)*INDEX(Undirviðmið!$E$6:$E$205,ET$4)*KVARDI,2),""))</f>
        <v/>
      </c>
      <c r="EV53" s="23"/>
      <c r="EW53" s="40" t="str">
        <f aca="false">IF(OR(EV$4=0,EV53=""),"",IFERROR(ROUND(EV53/INDEX(Undirviðmið!$F$6:$F$205,EV$4)*INDEX(Undirviðmið!$E$6:$E$205,EV$4)*KVARDI,2),""))</f>
        <v/>
      </c>
      <c r="EX53" s="23"/>
      <c r="EY53" s="40" t="str">
        <f aca="false">IF(OR(EX$4=0,EX53=""),"",IFERROR(ROUND(EX53/INDEX(Undirviðmið!$F$6:$F$205,EX$4)*INDEX(Undirviðmið!$E$6:$E$205,EX$4)*KVARDI,2),""))</f>
        <v/>
      </c>
      <c r="EZ53" s="23"/>
      <c r="FA53" s="40" t="str">
        <f aca="false">IF(OR(EZ$4=0,EZ53=""),"",IFERROR(ROUND(EZ53/INDEX(Undirviðmið!$F$6:$F$205,EZ$4)*INDEX(Undirviðmið!$E$6:$E$205,EZ$4)*KVARDI,2),""))</f>
        <v/>
      </c>
      <c r="FB53" s="23"/>
      <c r="FC53" s="40" t="str">
        <f aca="false">IF(OR(FB$4=0,FB53=""),"",IFERROR(ROUND(FB53/INDEX(Undirviðmið!$F$6:$F$205,FB$4)*INDEX(Undirviðmið!$E$6:$E$205,FB$4)*KVARDI,2),""))</f>
        <v/>
      </c>
      <c r="FD53" s="23"/>
      <c r="FE53" s="40" t="str">
        <f aca="false">IF(OR(FD$4=0,FD53=""),"",IFERROR(ROUND(FD53/INDEX(Undirviðmið!$F$6:$F$205,FD$4)*INDEX(Undirviðmið!$E$6:$E$205,FD$4)*KVARDI,2),""))</f>
        <v/>
      </c>
      <c r="FF53" s="23"/>
      <c r="FG53" s="40" t="str">
        <f aca="false">IF(OR(FF$4=0,FF53=""),"",IFERROR(ROUND(FF53/INDEX(Undirviðmið!$F$6:$F$205,FF$4)*INDEX(Undirviðmið!$E$6:$E$205,FF$4)*KVARDI,2),""))</f>
        <v/>
      </c>
      <c r="FH53" s="23"/>
      <c r="FI53" s="40" t="str">
        <f aca="false">IF(OR(FH$4=0,FH53=""),"",IFERROR(ROUND(FH53/INDEX(Undirviðmið!$F$6:$F$205,FH$4)*INDEX(Undirviðmið!$E$6:$E$205,FH$4)*KVARDI,2),""))</f>
        <v/>
      </c>
      <c r="FJ53" s="23"/>
      <c r="FK53" s="40" t="str">
        <f aca="false">IF(OR(FJ$4=0,FJ53=""),"",IFERROR(ROUND(FJ53/INDEX(Undirviðmið!$F$6:$F$205,FJ$4)*INDEX(Undirviðmið!$E$6:$E$205,FJ$4)*KVARDI,2),""))</f>
        <v/>
      </c>
      <c r="FL53" s="23"/>
      <c r="FM53" s="40" t="str">
        <f aca="false">IF(OR(FL$4=0,FL53=""),"",IFERROR(ROUND(FL53/INDEX(Undirviðmið!$F$6:$F$205,FL$4)*INDEX(Undirviðmið!$E$6:$E$205,FL$4)*KVARDI,2),""))</f>
        <v/>
      </c>
      <c r="FN53" s="23"/>
      <c r="FO53" s="40" t="str">
        <f aca="false">IF(OR(FN$4=0,FN53=""),"",IFERROR(ROUND(FN53/INDEX(Undirviðmið!$F$6:$F$205,FN$4)*INDEX(Undirviðmið!$E$6:$E$205,FN$4)*KVARDI,2),""))</f>
        <v/>
      </c>
      <c r="FP53" s="23"/>
      <c r="FQ53" s="40" t="str">
        <f aca="false">IF(OR(FP$4=0,FP53=""),"",IFERROR(ROUND(FP53/INDEX(Undirviðmið!$F$6:$F$205,FP$4)*INDEX(Undirviðmið!$E$6:$E$205,FP$4)*KVARDI,2),""))</f>
        <v/>
      </c>
      <c r="FR53" s="23"/>
      <c r="FS53" s="40" t="str">
        <f aca="false">IF(OR(FR$4=0,FR53=""),"",IFERROR(ROUND(FR53/INDEX(Undirviðmið!$F$6:$F$205,FR$4)*INDEX(Undirviðmið!$E$6:$E$205,FR$4)*KVARDI,2),""))</f>
        <v/>
      </c>
      <c r="FT53" s="23"/>
      <c r="FU53" s="40" t="str">
        <f aca="false">IF(OR(FT$4=0,FT53=""),"",IFERROR(ROUND(FT53/INDEX(Undirviðmið!$F$6:$F$205,FT$4)*INDEX(Undirviðmið!$E$6:$E$205,FT$4)*KVARDI,2),""))</f>
        <v/>
      </c>
      <c r="FV53" s="23"/>
      <c r="FW53" s="40" t="str">
        <f aca="false">IF(OR(FV$4=0,FV53=""),"",IFERROR(ROUND(FV53/INDEX(Undirviðmið!$F$6:$F$205,FV$4)*INDEX(Undirviðmið!$E$6:$E$205,FV$4)*KVARDI,2),""))</f>
        <v/>
      </c>
      <c r="FX53" s="23"/>
      <c r="FY53" s="40" t="str">
        <f aca="false">IF(OR(FX$4=0,FX53=""),"",IFERROR(ROUND(FX53/INDEX(Undirviðmið!$F$6:$F$205,FX$4)*INDEX(Undirviðmið!$E$6:$E$205,FX$4)*KVARDI,2),""))</f>
        <v/>
      </c>
      <c r="FZ53" s="23"/>
      <c r="GA53" s="40" t="str">
        <f aca="false">IF(OR(FZ$4=0,FZ53=""),"",IFERROR(ROUND(FZ53/INDEX(Undirviðmið!$F$6:$F$205,FZ$4)*INDEX(Undirviðmið!$E$6:$E$205,FZ$4)*KVARDI,2),""))</f>
        <v/>
      </c>
      <c r="GB53" s="23"/>
      <c r="GC53" s="40" t="str">
        <f aca="false">IF(OR(GB$4=0,GB53=""),"",IFERROR(ROUND(GB53/INDEX(Undirviðmið!$F$6:$F$205,GB$4)*INDEX(Undirviðmið!$E$6:$E$205,GB$4)*KVARDI,2),""))</f>
        <v/>
      </c>
      <c r="GD53" s="23"/>
      <c r="GE53" s="40" t="str">
        <f aca="false">IF(OR(GD$4=0,GD53=""),"",IFERROR(ROUND(GD53/INDEX(Undirviðmið!$F$6:$F$205,GD$4)*INDEX(Undirviðmið!$E$6:$E$205,GD$4)*KVARDI,2),""))</f>
        <v/>
      </c>
      <c r="GF53" s="23"/>
      <c r="GG53" s="40" t="str">
        <f aca="false">IF(OR(GF$4=0,GF53=""),"",IFERROR(ROUND(GF53/INDEX(Undirviðmið!$F$6:$F$205,GF$4)*INDEX(Undirviðmið!$E$6:$E$205,GF$4)*KVARDI,2),""))</f>
        <v/>
      </c>
      <c r="GH53" s="23"/>
      <c r="GI53" s="40" t="str">
        <f aca="false">IF(OR(GH$4=0,GH53=""),"",IFERROR(ROUND(GH53/INDEX(Undirviðmið!$F$6:$F$205,GH$4)*INDEX(Undirviðmið!$E$6:$E$205,GH$4)*KVARDI,2),""))</f>
        <v/>
      </c>
      <c r="GJ53" s="23"/>
      <c r="GK53" s="40" t="str">
        <f aca="false">IF(OR(GJ$4=0,GJ53=""),"",IFERROR(ROUND(GJ53/INDEX(Undirviðmið!$F$6:$F$205,GJ$4)*INDEX(Undirviðmið!$E$6:$E$205,GJ$4)*KVARDI,2),""))</f>
        <v/>
      </c>
      <c r="GL53" s="23"/>
      <c r="GM53" s="40" t="str">
        <f aca="false">IF(OR(GL$4=0,GL53=""),"",IFERROR(ROUND(GL53/INDEX(Undirviðmið!$F$6:$F$205,GL$4)*INDEX(Undirviðmið!$E$6:$E$205,GL$4)*KVARDI,2),""))</f>
        <v/>
      </c>
      <c r="GN53" s="23"/>
      <c r="GO53" s="40" t="str">
        <f aca="false">IF(OR(GN$4=0,GN53=""),"",IFERROR(ROUND(GN53/INDEX(Undirviðmið!$F$6:$F$205,GN$4)*INDEX(Undirviðmið!$E$6:$E$205,GN$4)*KVARDI,2),""))</f>
        <v/>
      </c>
      <c r="GP53" s="23"/>
      <c r="GQ53" s="40" t="str">
        <f aca="false">IF(OR(GP$4=0,GP53=""),"",IFERROR(ROUND(GP53/INDEX(Undirviðmið!$F$6:$F$205,GP$4)*INDEX(Undirviðmið!$E$6:$E$205,GP$4)*KVARDI,2),""))</f>
        <v/>
      </c>
      <c r="GR53" s="23"/>
      <c r="GS53" s="40" t="str">
        <f aca="false">IF(OR(GR$4=0,GR53=""),"",IFERROR(ROUND(GR53/INDEX(Undirviðmið!$F$6:$F$205,GR$4)*INDEX(Undirviðmið!$E$6:$E$205,GR$4)*KVARDI,2),""))</f>
        <v/>
      </c>
      <c r="GT53" s="23"/>
      <c r="GU53" s="40" t="str">
        <f aca="false">IF(OR(GT$4=0,GT53=""),"",IFERROR(ROUND(GT53/INDEX(Undirviðmið!$F$6:$F$205,GT$4)*INDEX(Undirviðmið!$E$6:$E$205,GT$4)*KVARDI,2),""))</f>
        <v/>
      </c>
      <c r="GV53" s="44" t="n">
        <f aca="false">IFERROR(SUMIF($D$6:GU$6,"Stig",$D53:GU53),0)</f>
        <v>0</v>
      </c>
    </row>
    <row r="54" customFormat="false" ht="15" hidden="false" customHeight="true" outlineLevel="0" collapsed="false">
      <c r="A54" s="22" t="n">
        <f aca="false">ROW()-6</f>
        <v>48</v>
      </c>
      <c r="B54" s="24" t="str">
        <f aca="false">IF(INDEX(Starfsmenn!$B$6:$B$10005,ROW()-6)="","",INDEX(Starfsmenn!$B$6:$B$10005,ROW()-6))</f>
        <v/>
      </c>
      <c r="C54" s="24" t="str">
        <f aca="false">IF(INDEX(Starfsmenn!$C$6:$C$10005,ROW()-6)="","",INDEX(Starfsmenn!$C$6:$C$10005,ROW()-6))</f>
        <v/>
      </c>
      <c r="D54" s="23"/>
      <c r="E54" s="40" t="str">
        <f aca="false">IF(OR(D$4=0,D54=""),"",IFERROR(ROUND(D54/INDEX(Undirviðmið!$F$6:$F$205,D$4)*INDEX(Undirviðmið!$E$6:$E$205,D$4)*KVARDI,2),""))</f>
        <v/>
      </c>
      <c r="F54" s="23"/>
      <c r="G54" s="40" t="str">
        <f aca="false">IF(OR(F$4=0,F54=""),"",IFERROR(ROUND(F54/INDEX(Undirviðmið!$F$6:$F$205,F$4)*INDEX(Undirviðmið!$E$6:$E$205,F$4)*KVARDI,2),""))</f>
        <v/>
      </c>
      <c r="H54" s="23"/>
      <c r="I54" s="40" t="str">
        <f aca="false">IF(OR(H$4=0,H54=""),"",IFERROR(ROUND(H54/INDEX(Undirviðmið!$F$6:$F$205,H$4)*INDEX(Undirviðmið!$E$6:$E$205,H$4)*KVARDI,2),""))</f>
        <v/>
      </c>
      <c r="J54" s="23"/>
      <c r="K54" s="40" t="str">
        <f aca="false">IF(OR(J$4=0,J54=""),"",IFERROR(ROUND(J54/INDEX(Undirviðmið!$F$6:$F$205,J$4)*INDEX(Undirviðmið!$E$6:$E$205,J$4)*KVARDI,2),""))</f>
        <v/>
      </c>
      <c r="L54" s="23"/>
      <c r="M54" s="40" t="str">
        <f aca="false">IF(OR(L$4=0,L54=""),"",IFERROR(ROUND(L54/INDEX(Undirviðmið!$F$6:$F$205,L$4)*INDEX(Undirviðmið!$E$6:$E$205,L$4)*KVARDI,2),""))</f>
        <v/>
      </c>
      <c r="N54" s="23"/>
      <c r="O54" s="40" t="str">
        <f aca="false">IF(OR(N$4=0,N54=""),"",IFERROR(ROUND(N54/INDEX(Undirviðmið!$F$6:$F$205,N$4)*INDEX(Undirviðmið!$E$6:$E$205,N$4)*KVARDI,2),""))</f>
        <v/>
      </c>
      <c r="P54" s="23"/>
      <c r="Q54" s="40" t="str">
        <f aca="false">IF(OR(P$4=0,P54=""),"",IFERROR(ROUND(P54/INDEX(Undirviðmið!$F$6:$F$205,P$4)*INDEX(Undirviðmið!$E$6:$E$205,P$4)*KVARDI,2),""))</f>
        <v/>
      </c>
      <c r="R54" s="23"/>
      <c r="S54" s="40" t="str">
        <f aca="false">IF(OR(R$4=0,R54=""),"",IFERROR(ROUND(R54/INDEX(Undirviðmið!$F$6:$F$205,R$4)*INDEX(Undirviðmið!$E$6:$E$205,R$4)*KVARDI,2),""))</f>
        <v/>
      </c>
      <c r="T54" s="23"/>
      <c r="U54" s="40" t="str">
        <f aca="false">IF(OR(T$4=0,T54=""),"",IFERROR(ROUND(T54/INDEX(Undirviðmið!$F$6:$F$205,T$4)*INDEX(Undirviðmið!$E$6:$E$205,T$4)*KVARDI,2),""))</f>
        <v/>
      </c>
      <c r="V54" s="23"/>
      <c r="W54" s="40" t="str">
        <f aca="false">IF(OR(V$4=0,V54=""),"",IFERROR(ROUND(V54/INDEX(Undirviðmið!$F$6:$F$205,V$4)*INDEX(Undirviðmið!$E$6:$E$205,V$4)*KVARDI,2),""))</f>
        <v/>
      </c>
      <c r="X54" s="23"/>
      <c r="Y54" s="40" t="str">
        <f aca="false">IF(OR(X$4=0,X54=""),"",IFERROR(ROUND(X54/INDEX(Undirviðmið!$F$6:$F$205,X$4)*INDEX(Undirviðmið!$E$6:$E$205,X$4)*KVARDI,2),""))</f>
        <v/>
      </c>
      <c r="Z54" s="23"/>
      <c r="AA54" s="40" t="str">
        <f aca="false">IF(OR(Z$4=0,Z54=""),"",IFERROR(ROUND(Z54/INDEX(Undirviðmið!$F$6:$F$205,Z$4)*INDEX(Undirviðmið!$E$6:$E$205,Z$4)*KVARDI,2),""))</f>
        <v/>
      </c>
      <c r="AB54" s="23"/>
      <c r="AC54" s="40" t="str">
        <f aca="false">IF(OR(AB$4=0,AB54=""),"",IFERROR(ROUND(AB54/INDEX(Undirviðmið!$F$6:$F$205,AB$4)*INDEX(Undirviðmið!$E$6:$E$205,AB$4)*KVARDI,2),""))</f>
        <v/>
      </c>
      <c r="AD54" s="23"/>
      <c r="AE54" s="40" t="str">
        <f aca="false">IF(OR(AD$4=0,AD54=""),"",IFERROR(ROUND(AD54/INDEX(Undirviðmið!$F$6:$F$205,AD$4)*INDEX(Undirviðmið!$E$6:$E$205,AD$4)*KVARDI,2),""))</f>
        <v/>
      </c>
      <c r="AF54" s="23"/>
      <c r="AG54" s="40" t="str">
        <f aca="false">IF(OR(AF$4=0,AF54=""),"",IFERROR(ROUND(AF54/INDEX(Undirviðmið!$F$6:$F$205,AF$4)*INDEX(Undirviðmið!$E$6:$E$205,AF$4)*KVARDI,2),""))</f>
        <v/>
      </c>
      <c r="AH54" s="23"/>
      <c r="AI54" s="40" t="str">
        <f aca="false">IF(OR(AH$4=0,AH54=""),"",IFERROR(ROUND(AH54/INDEX(Undirviðmið!$F$6:$F$205,AH$4)*INDEX(Undirviðmið!$E$6:$E$205,AH$4)*KVARDI,2),""))</f>
        <v/>
      </c>
      <c r="AJ54" s="23"/>
      <c r="AK54" s="40" t="str">
        <f aca="false">IF(OR(AJ$4=0,AJ54=""),"",IFERROR(ROUND(AJ54/INDEX(Undirviðmið!$F$6:$F$205,AJ$4)*INDEX(Undirviðmið!$E$6:$E$205,AJ$4)*KVARDI,2),""))</f>
        <v/>
      </c>
      <c r="AL54" s="23"/>
      <c r="AM54" s="40" t="str">
        <f aca="false">IF(OR(AL$4=0,AL54=""),"",IFERROR(ROUND(AL54/INDEX(Undirviðmið!$F$6:$F$205,AL$4)*INDEX(Undirviðmið!$E$6:$E$205,AL$4)*KVARDI,2),""))</f>
        <v/>
      </c>
      <c r="AN54" s="23"/>
      <c r="AO54" s="40" t="str">
        <f aca="false">IF(OR(AN$4=0,AN54=""),"",IFERROR(ROUND(AN54/INDEX(Undirviðmið!$F$6:$F$205,AN$4)*INDEX(Undirviðmið!$E$6:$E$205,AN$4)*KVARDI,2),""))</f>
        <v/>
      </c>
      <c r="AP54" s="23"/>
      <c r="AQ54" s="40" t="str">
        <f aca="false">IF(OR(AP$4=0,AP54=""),"",IFERROR(ROUND(AP54/INDEX(Undirviðmið!$F$6:$F$205,AP$4)*INDEX(Undirviðmið!$E$6:$E$205,AP$4)*KVARDI,2),""))</f>
        <v/>
      </c>
      <c r="AR54" s="23"/>
      <c r="AS54" s="40" t="str">
        <f aca="false">IF(OR(AR$4=0,AR54=""),"",IFERROR(ROUND(AR54/INDEX(Undirviðmið!$F$6:$F$205,AR$4)*INDEX(Undirviðmið!$E$6:$E$205,AR$4)*KVARDI,2),""))</f>
        <v/>
      </c>
      <c r="AT54" s="23"/>
      <c r="AU54" s="40" t="str">
        <f aca="false">IF(OR(AT$4=0,AT54=""),"",IFERROR(ROUND(AT54/INDEX(Undirviðmið!$F$6:$F$205,AT$4)*INDEX(Undirviðmið!$E$6:$E$205,AT$4)*KVARDI,2),""))</f>
        <v/>
      </c>
      <c r="AV54" s="23"/>
      <c r="AW54" s="40" t="str">
        <f aca="false">IF(OR(AV$4=0,AV54=""),"",IFERROR(ROUND(AV54/INDEX(Undirviðmið!$F$6:$F$205,AV$4)*INDEX(Undirviðmið!$E$6:$E$205,AV$4)*KVARDI,2),""))</f>
        <v/>
      </c>
      <c r="AX54" s="23"/>
      <c r="AY54" s="40" t="str">
        <f aca="false">IF(OR(AX$4=0,AX54=""),"",IFERROR(ROUND(AX54/INDEX(Undirviðmið!$F$6:$F$205,AX$4)*INDEX(Undirviðmið!$E$6:$E$205,AX$4)*KVARDI,2),""))</f>
        <v/>
      </c>
      <c r="AZ54" s="23"/>
      <c r="BA54" s="40" t="str">
        <f aca="false">IF(OR(AZ$4=0,AZ54=""),"",IFERROR(ROUND(AZ54/INDEX(Undirviðmið!$F$6:$F$205,AZ$4)*INDEX(Undirviðmið!$E$6:$E$205,AZ$4)*KVARDI,2),""))</f>
        <v/>
      </c>
      <c r="BB54" s="23"/>
      <c r="BC54" s="40" t="str">
        <f aca="false">IF(OR(BB$4=0,BB54=""),"",IFERROR(ROUND(BB54/INDEX(Undirviðmið!$F$6:$F$205,BB$4)*INDEX(Undirviðmið!$E$6:$E$205,BB$4)*KVARDI,2),""))</f>
        <v/>
      </c>
      <c r="BD54" s="23"/>
      <c r="BE54" s="40" t="str">
        <f aca="false">IF(OR(BD$4=0,BD54=""),"",IFERROR(ROUND(BD54/INDEX(Undirviðmið!$F$6:$F$205,BD$4)*INDEX(Undirviðmið!$E$6:$E$205,BD$4)*KVARDI,2),""))</f>
        <v/>
      </c>
      <c r="BF54" s="23"/>
      <c r="BG54" s="40" t="str">
        <f aca="false">IF(OR(BF$4=0,BF54=""),"",IFERROR(ROUND(BF54/INDEX(Undirviðmið!$F$6:$F$205,BF$4)*INDEX(Undirviðmið!$E$6:$E$205,BF$4)*KVARDI,2),""))</f>
        <v/>
      </c>
      <c r="BH54" s="23"/>
      <c r="BI54" s="40" t="str">
        <f aca="false">IF(OR(BH$4=0,BH54=""),"",IFERROR(ROUND(BH54/INDEX(Undirviðmið!$F$6:$F$205,BH$4)*INDEX(Undirviðmið!$E$6:$E$205,BH$4)*KVARDI,2),""))</f>
        <v/>
      </c>
      <c r="BJ54" s="23"/>
      <c r="BK54" s="40" t="str">
        <f aca="false">IF(OR(BJ$4=0,BJ54=""),"",IFERROR(ROUND(BJ54/INDEX(Undirviðmið!$F$6:$F$205,BJ$4)*INDEX(Undirviðmið!$E$6:$E$205,BJ$4)*KVARDI,2),""))</f>
        <v/>
      </c>
      <c r="BL54" s="23"/>
      <c r="BM54" s="40" t="str">
        <f aca="false">IF(OR(BL$4=0,BL54=""),"",IFERROR(ROUND(BL54/INDEX(Undirviðmið!$F$6:$F$205,BL$4)*INDEX(Undirviðmið!$E$6:$E$205,BL$4)*KVARDI,2),""))</f>
        <v/>
      </c>
      <c r="BN54" s="23"/>
      <c r="BO54" s="40" t="str">
        <f aca="false">IF(OR(BN$4=0,BN54=""),"",IFERROR(ROUND(BN54/INDEX(Undirviðmið!$F$6:$F$205,BN$4)*INDEX(Undirviðmið!$E$6:$E$205,BN$4)*KVARDI,2),""))</f>
        <v/>
      </c>
      <c r="BP54" s="23"/>
      <c r="BQ54" s="40" t="str">
        <f aca="false">IF(OR(BP$4=0,BP54=""),"",IFERROR(ROUND(BP54/INDEX(Undirviðmið!$F$6:$F$205,BP$4)*INDEX(Undirviðmið!$E$6:$E$205,BP$4)*KVARDI,2),""))</f>
        <v/>
      </c>
      <c r="BR54" s="23"/>
      <c r="BS54" s="40" t="str">
        <f aca="false">IF(OR(BR$4=0,BR54=""),"",IFERROR(ROUND(BR54/INDEX(Undirviðmið!$F$6:$F$205,BR$4)*INDEX(Undirviðmið!$E$6:$E$205,BR$4)*KVARDI,2),""))</f>
        <v/>
      </c>
      <c r="BT54" s="23"/>
      <c r="BU54" s="40" t="str">
        <f aca="false">IF(OR(BT$4=0,BT54=""),"",IFERROR(ROUND(BT54/INDEX(Undirviðmið!$F$6:$F$205,BT$4)*INDEX(Undirviðmið!$E$6:$E$205,BT$4)*KVARDI,2),""))</f>
        <v/>
      </c>
      <c r="BV54" s="23"/>
      <c r="BW54" s="40" t="str">
        <f aca="false">IF(OR(BV$4=0,BV54=""),"",IFERROR(ROUND(BV54/INDEX(Undirviðmið!$F$6:$F$205,BV$4)*INDEX(Undirviðmið!$E$6:$E$205,BV$4)*KVARDI,2),""))</f>
        <v/>
      </c>
      <c r="BX54" s="23"/>
      <c r="BY54" s="40" t="str">
        <f aca="false">IF(OR(BX$4=0,BX54=""),"",IFERROR(ROUND(BX54/INDEX(Undirviðmið!$F$6:$F$205,BX$4)*INDEX(Undirviðmið!$E$6:$E$205,BX$4)*KVARDI,2),""))</f>
        <v/>
      </c>
      <c r="BZ54" s="23"/>
      <c r="CA54" s="40" t="str">
        <f aca="false">IF(OR(BZ$4=0,BZ54=""),"",IFERROR(ROUND(BZ54/INDEX(Undirviðmið!$F$6:$F$205,BZ$4)*INDEX(Undirviðmið!$E$6:$E$205,BZ$4)*KVARDI,2),""))</f>
        <v/>
      </c>
      <c r="CB54" s="23"/>
      <c r="CC54" s="40" t="str">
        <f aca="false">IF(OR(CB$4=0,CB54=""),"",IFERROR(ROUND(CB54/INDEX(Undirviðmið!$F$6:$F$205,CB$4)*INDEX(Undirviðmið!$E$6:$E$205,CB$4)*KVARDI,2),""))</f>
        <v/>
      </c>
      <c r="CD54" s="23"/>
      <c r="CE54" s="40" t="str">
        <f aca="false">IF(OR(CD$4=0,CD54=""),"",IFERROR(ROUND(CD54/INDEX(Undirviðmið!$F$6:$F$205,CD$4)*INDEX(Undirviðmið!$E$6:$E$205,CD$4)*KVARDI,2),""))</f>
        <v/>
      </c>
      <c r="CF54" s="23"/>
      <c r="CG54" s="40" t="str">
        <f aca="false">IF(OR(CF$4=0,CF54=""),"",IFERROR(ROUND(CF54/INDEX(Undirviðmið!$F$6:$F$205,CF$4)*INDEX(Undirviðmið!$E$6:$E$205,CF$4)*KVARDI,2),""))</f>
        <v/>
      </c>
      <c r="CH54" s="23"/>
      <c r="CI54" s="40" t="str">
        <f aca="false">IF(OR(CH$4=0,CH54=""),"",IFERROR(ROUND(CH54/INDEX(Undirviðmið!$F$6:$F$205,CH$4)*INDEX(Undirviðmið!$E$6:$E$205,CH$4)*KVARDI,2),""))</f>
        <v/>
      </c>
      <c r="CJ54" s="23"/>
      <c r="CK54" s="40" t="str">
        <f aca="false">IF(OR(CJ$4=0,CJ54=""),"",IFERROR(ROUND(CJ54/INDEX(Undirviðmið!$F$6:$F$205,CJ$4)*INDEX(Undirviðmið!$E$6:$E$205,CJ$4)*KVARDI,2),""))</f>
        <v/>
      </c>
      <c r="CL54" s="23"/>
      <c r="CM54" s="40" t="str">
        <f aca="false">IF(OR(CL$4=0,CL54=""),"",IFERROR(ROUND(CL54/INDEX(Undirviðmið!$F$6:$F$205,CL$4)*INDEX(Undirviðmið!$E$6:$E$205,CL$4)*KVARDI,2),""))</f>
        <v/>
      </c>
      <c r="CN54" s="23"/>
      <c r="CO54" s="40" t="str">
        <f aca="false">IF(OR(CN$4=0,CN54=""),"",IFERROR(ROUND(CN54/INDEX(Undirviðmið!$F$6:$F$205,CN$4)*INDEX(Undirviðmið!$E$6:$E$205,CN$4)*KVARDI,2),""))</f>
        <v/>
      </c>
      <c r="CP54" s="23"/>
      <c r="CQ54" s="40" t="str">
        <f aca="false">IF(OR(CP$4=0,CP54=""),"",IFERROR(ROUND(CP54/INDEX(Undirviðmið!$F$6:$F$205,CP$4)*INDEX(Undirviðmið!$E$6:$E$205,CP$4)*KVARDI,2),""))</f>
        <v/>
      </c>
      <c r="CR54" s="23"/>
      <c r="CS54" s="40" t="str">
        <f aca="false">IF(OR(CR$4=0,CR54=""),"",IFERROR(ROUND(CR54/INDEX(Undirviðmið!$F$6:$F$205,CR$4)*INDEX(Undirviðmið!$E$6:$E$205,CR$4)*KVARDI,2),""))</f>
        <v/>
      </c>
      <c r="CT54" s="23"/>
      <c r="CU54" s="40" t="str">
        <f aca="false">IF(OR(CT$4=0,CT54=""),"",IFERROR(ROUND(CT54/INDEX(Undirviðmið!$F$6:$F$205,CT$4)*INDEX(Undirviðmið!$E$6:$E$205,CT$4)*KVARDI,2),""))</f>
        <v/>
      </c>
      <c r="CV54" s="23"/>
      <c r="CW54" s="40" t="str">
        <f aca="false">IF(OR(CV$4=0,CV54=""),"",IFERROR(ROUND(CV54/INDEX(Undirviðmið!$F$6:$F$205,CV$4)*INDEX(Undirviðmið!$E$6:$E$205,CV$4)*KVARDI,2),""))</f>
        <v/>
      </c>
      <c r="CX54" s="23"/>
      <c r="CY54" s="40" t="str">
        <f aca="false">IF(OR(CX$4=0,CX54=""),"",IFERROR(ROUND(CX54/INDEX(Undirviðmið!$F$6:$F$205,CX$4)*INDEX(Undirviðmið!$E$6:$E$205,CX$4)*KVARDI,2),""))</f>
        <v/>
      </c>
      <c r="CZ54" s="23"/>
      <c r="DA54" s="40" t="str">
        <f aca="false">IF(OR(CZ$4=0,CZ54=""),"",IFERROR(ROUND(CZ54/INDEX(Undirviðmið!$F$6:$F$205,CZ$4)*INDEX(Undirviðmið!$E$6:$E$205,CZ$4)*KVARDI,2),""))</f>
        <v/>
      </c>
      <c r="DB54" s="23"/>
      <c r="DC54" s="40" t="str">
        <f aca="false">IF(OR(DB$4=0,DB54=""),"",IFERROR(ROUND(DB54/INDEX(Undirviðmið!$F$6:$F$205,DB$4)*INDEX(Undirviðmið!$E$6:$E$205,DB$4)*KVARDI,2),""))</f>
        <v/>
      </c>
      <c r="DD54" s="23"/>
      <c r="DE54" s="40" t="str">
        <f aca="false">IF(OR(DD$4=0,DD54=""),"",IFERROR(ROUND(DD54/INDEX(Undirviðmið!$F$6:$F$205,DD$4)*INDEX(Undirviðmið!$E$6:$E$205,DD$4)*KVARDI,2),""))</f>
        <v/>
      </c>
      <c r="DF54" s="23"/>
      <c r="DG54" s="40" t="str">
        <f aca="false">IF(OR(DF$4=0,DF54=""),"",IFERROR(ROUND(DF54/INDEX(Undirviðmið!$F$6:$F$205,DF$4)*INDEX(Undirviðmið!$E$6:$E$205,DF$4)*KVARDI,2),""))</f>
        <v/>
      </c>
      <c r="DH54" s="23"/>
      <c r="DI54" s="40" t="str">
        <f aca="false">IF(OR(DH$4=0,DH54=""),"",IFERROR(ROUND(DH54/INDEX(Undirviðmið!$F$6:$F$205,DH$4)*INDEX(Undirviðmið!$E$6:$E$205,DH$4)*KVARDI,2),""))</f>
        <v/>
      </c>
      <c r="DJ54" s="23"/>
      <c r="DK54" s="40" t="str">
        <f aca="false">IF(OR(DJ$4=0,DJ54=""),"",IFERROR(ROUND(DJ54/INDEX(Undirviðmið!$F$6:$F$205,DJ$4)*INDEX(Undirviðmið!$E$6:$E$205,DJ$4)*KVARDI,2),""))</f>
        <v/>
      </c>
      <c r="DL54" s="23"/>
      <c r="DM54" s="40" t="str">
        <f aca="false">IF(OR(DL$4=0,DL54=""),"",IFERROR(ROUND(DL54/INDEX(Undirviðmið!$F$6:$F$205,DL$4)*INDEX(Undirviðmið!$E$6:$E$205,DL$4)*KVARDI,2),""))</f>
        <v/>
      </c>
      <c r="DN54" s="23"/>
      <c r="DO54" s="40" t="str">
        <f aca="false">IF(OR(DN$4=0,DN54=""),"",IFERROR(ROUND(DN54/INDEX(Undirviðmið!$F$6:$F$205,DN$4)*INDEX(Undirviðmið!$E$6:$E$205,DN$4)*KVARDI,2),""))</f>
        <v/>
      </c>
      <c r="DP54" s="23"/>
      <c r="DQ54" s="40" t="str">
        <f aca="false">IF(OR(DP$4=0,DP54=""),"",IFERROR(ROUND(DP54/INDEX(Undirviðmið!$F$6:$F$205,DP$4)*INDEX(Undirviðmið!$E$6:$E$205,DP$4)*KVARDI,2),""))</f>
        <v/>
      </c>
      <c r="DR54" s="23"/>
      <c r="DS54" s="40" t="str">
        <f aca="false">IF(OR(DR$4=0,DR54=""),"",IFERROR(ROUND(DR54/INDEX(Undirviðmið!$F$6:$F$205,DR$4)*INDEX(Undirviðmið!$E$6:$E$205,DR$4)*KVARDI,2),""))</f>
        <v/>
      </c>
      <c r="DT54" s="23"/>
      <c r="DU54" s="40" t="str">
        <f aca="false">IF(OR(DT$4=0,DT54=""),"",IFERROR(ROUND(DT54/INDEX(Undirviðmið!$F$6:$F$205,DT$4)*INDEX(Undirviðmið!$E$6:$E$205,DT$4)*KVARDI,2),""))</f>
        <v/>
      </c>
      <c r="DV54" s="23"/>
      <c r="DW54" s="40" t="str">
        <f aca="false">IF(OR(DV$4=0,DV54=""),"",IFERROR(ROUND(DV54/INDEX(Undirviðmið!$F$6:$F$205,DV$4)*INDEX(Undirviðmið!$E$6:$E$205,DV$4)*KVARDI,2),""))</f>
        <v/>
      </c>
      <c r="DX54" s="23"/>
      <c r="DY54" s="40" t="str">
        <f aca="false">IF(OR(DX$4=0,DX54=""),"",IFERROR(ROUND(DX54/INDEX(Undirviðmið!$F$6:$F$205,DX$4)*INDEX(Undirviðmið!$E$6:$E$205,DX$4)*KVARDI,2),""))</f>
        <v/>
      </c>
      <c r="DZ54" s="23"/>
      <c r="EA54" s="40" t="str">
        <f aca="false">IF(OR(DZ$4=0,DZ54=""),"",IFERROR(ROUND(DZ54/INDEX(Undirviðmið!$F$6:$F$205,DZ$4)*INDEX(Undirviðmið!$E$6:$E$205,DZ$4)*KVARDI,2),""))</f>
        <v/>
      </c>
      <c r="EB54" s="23"/>
      <c r="EC54" s="40" t="str">
        <f aca="false">IF(OR(EB$4=0,EB54=""),"",IFERROR(ROUND(EB54/INDEX(Undirviðmið!$F$6:$F$205,EB$4)*INDEX(Undirviðmið!$E$6:$E$205,EB$4)*KVARDI,2),""))</f>
        <v/>
      </c>
      <c r="ED54" s="23"/>
      <c r="EE54" s="40" t="str">
        <f aca="false">IF(OR(ED$4=0,ED54=""),"",IFERROR(ROUND(ED54/INDEX(Undirviðmið!$F$6:$F$205,ED$4)*INDEX(Undirviðmið!$E$6:$E$205,ED$4)*KVARDI,2),""))</f>
        <v/>
      </c>
      <c r="EF54" s="23"/>
      <c r="EG54" s="40" t="str">
        <f aca="false">IF(OR(EF$4=0,EF54=""),"",IFERROR(ROUND(EF54/INDEX(Undirviðmið!$F$6:$F$205,EF$4)*INDEX(Undirviðmið!$E$6:$E$205,EF$4)*KVARDI,2),""))</f>
        <v/>
      </c>
      <c r="EH54" s="23"/>
      <c r="EI54" s="40" t="str">
        <f aca="false">IF(OR(EH$4=0,EH54=""),"",IFERROR(ROUND(EH54/INDEX(Undirviðmið!$F$6:$F$205,EH$4)*INDEX(Undirviðmið!$E$6:$E$205,EH$4)*KVARDI,2),""))</f>
        <v/>
      </c>
      <c r="EJ54" s="23"/>
      <c r="EK54" s="40" t="str">
        <f aca="false">IF(OR(EJ$4=0,EJ54=""),"",IFERROR(ROUND(EJ54/INDEX(Undirviðmið!$F$6:$F$205,EJ$4)*INDEX(Undirviðmið!$E$6:$E$205,EJ$4)*KVARDI,2),""))</f>
        <v/>
      </c>
      <c r="EL54" s="23"/>
      <c r="EM54" s="40" t="str">
        <f aca="false">IF(OR(EL$4=0,EL54=""),"",IFERROR(ROUND(EL54/INDEX(Undirviðmið!$F$6:$F$205,EL$4)*INDEX(Undirviðmið!$E$6:$E$205,EL$4)*KVARDI,2),""))</f>
        <v/>
      </c>
      <c r="EN54" s="23"/>
      <c r="EO54" s="40" t="str">
        <f aca="false">IF(OR(EN$4=0,EN54=""),"",IFERROR(ROUND(EN54/INDEX(Undirviðmið!$F$6:$F$205,EN$4)*INDEX(Undirviðmið!$E$6:$E$205,EN$4)*KVARDI,2),""))</f>
        <v/>
      </c>
      <c r="EP54" s="23"/>
      <c r="EQ54" s="40" t="str">
        <f aca="false">IF(OR(EP$4=0,EP54=""),"",IFERROR(ROUND(EP54/INDEX(Undirviðmið!$F$6:$F$205,EP$4)*INDEX(Undirviðmið!$E$6:$E$205,EP$4)*KVARDI,2),""))</f>
        <v/>
      </c>
      <c r="ER54" s="23"/>
      <c r="ES54" s="40" t="str">
        <f aca="false">IF(OR(ER$4=0,ER54=""),"",IFERROR(ROUND(ER54/INDEX(Undirviðmið!$F$6:$F$205,ER$4)*INDEX(Undirviðmið!$E$6:$E$205,ER$4)*KVARDI,2),""))</f>
        <v/>
      </c>
      <c r="ET54" s="23"/>
      <c r="EU54" s="40" t="str">
        <f aca="false">IF(OR(ET$4=0,ET54=""),"",IFERROR(ROUND(ET54/INDEX(Undirviðmið!$F$6:$F$205,ET$4)*INDEX(Undirviðmið!$E$6:$E$205,ET$4)*KVARDI,2),""))</f>
        <v/>
      </c>
      <c r="EV54" s="23"/>
      <c r="EW54" s="40" t="str">
        <f aca="false">IF(OR(EV$4=0,EV54=""),"",IFERROR(ROUND(EV54/INDEX(Undirviðmið!$F$6:$F$205,EV$4)*INDEX(Undirviðmið!$E$6:$E$205,EV$4)*KVARDI,2),""))</f>
        <v/>
      </c>
      <c r="EX54" s="23"/>
      <c r="EY54" s="40" t="str">
        <f aca="false">IF(OR(EX$4=0,EX54=""),"",IFERROR(ROUND(EX54/INDEX(Undirviðmið!$F$6:$F$205,EX$4)*INDEX(Undirviðmið!$E$6:$E$205,EX$4)*KVARDI,2),""))</f>
        <v/>
      </c>
      <c r="EZ54" s="23"/>
      <c r="FA54" s="40" t="str">
        <f aca="false">IF(OR(EZ$4=0,EZ54=""),"",IFERROR(ROUND(EZ54/INDEX(Undirviðmið!$F$6:$F$205,EZ$4)*INDEX(Undirviðmið!$E$6:$E$205,EZ$4)*KVARDI,2),""))</f>
        <v/>
      </c>
      <c r="FB54" s="23"/>
      <c r="FC54" s="40" t="str">
        <f aca="false">IF(OR(FB$4=0,FB54=""),"",IFERROR(ROUND(FB54/INDEX(Undirviðmið!$F$6:$F$205,FB$4)*INDEX(Undirviðmið!$E$6:$E$205,FB$4)*KVARDI,2),""))</f>
        <v/>
      </c>
      <c r="FD54" s="23"/>
      <c r="FE54" s="40" t="str">
        <f aca="false">IF(OR(FD$4=0,FD54=""),"",IFERROR(ROUND(FD54/INDEX(Undirviðmið!$F$6:$F$205,FD$4)*INDEX(Undirviðmið!$E$6:$E$205,FD$4)*KVARDI,2),""))</f>
        <v/>
      </c>
      <c r="FF54" s="23"/>
      <c r="FG54" s="40" t="str">
        <f aca="false">IF(OR(FF$4=0,FF54=""),"",IFERROR(ROUND(FF54/INDEX(Undirviðmið!$F$6:$F$205,FF$4)*INDEX(Undirviðmið!$E$6:$E$205,FF$4)*KVARDI,2),""))</f>
        <v/>
      </c>
      <c r="FH54" s="23"/>
      <c r="FI54" s="40" t="str">
        <f aca="false">IF(OR(FH$4=0,FH54=""),"",IFERROR(ROUND(FH54/INDEX(Undirviðmið!$F$6:$F$205,FH$4)*INDEX(Undirviðmið!$E$6:$E$205,FH$4)*KVARDI,2),""))</f>
        <v/>
      </c>
      <c r="FJ54" s="23"/>
      <c r="FK54" s="40" t="str">
        <f aca="false">IF(OR(FJ$4=0,FJ54=""),"",IFERROR(ROUND(FJ54/INDEX(Undirviðmið!$F$6:$F$205,FJ$4)*INDEX(Undirviðmið!$E$6:$E$205,FJ$4)*KVARDI,2),""))</f>
        <v/>
      </c>
      <c r="FL54" s="23"/>
      <c r="FM54" s="40" t="str">
        <f aca="false">IF(OR(FL$4=0,FL54=""),"",IFERROR(ROUND(FL54/INDEX(Undirviðmið!$F$6:$F$205,FL$4)*INDEX(Undirviðmið!$E$6:$E$205,FL$4)*KVARDI,2),""))</f>
        <v/>
      </c>
      <c r="FN54" s="23"/>
      <c r="FO54" s="40" t="str">
        <f aca="false">IF(OR(FN$4=0,FN54=""),"",IFERROR(ROUND(FN54/INDEX(Undirviðmið!$F$6:$F$205,FN$4)*INDEX(Undirviðmið!$E$6:$E$205,FN$4)*KVARDI,2),""))</f>
        <v/>
      </c>
      <c r="FP54" s="23"/>
      <c r="FQ54" s="40" t="str">
        <f aca="false">IF(OR(FP$4=0,FP54=""),"",IFERROR(ROUND(FP54/INDEX(Undirviðmið!$F$6:$F$205,FP$4)*INDEX(Undirviðmið!$E$6:$E$205,FP$4)*KVARDI,2),""))</f>
        <v/>
      </c>
      <c r="FR54" s="23"/>
      <c r="FS54" s="40" t="str">
        <f aca="false">IF(OR(FR$4=0,FR54=""),"",IFERROR(ROUND(FR54/INDEX(Undirviðmið!$F$6:$F$205,FR$4)*INDEX(Undirviðmið!$E$6:$E$205,FR$4)*KVARDI,2),""))</f>
        <v/>
      </c>
      <c r="FT54" s="23"/>
      <c r="FU54" s="40" t="str">
        <f aca="false">IF(OR(FT$4=0,FT54=""),"",IFERROR(ROUND(FT54/INDEX(Undirviðmið!$F$6:$F$205,FT$4)*INDEX(Undirviðmið!$E$6:$E$205,FT$4)*KVARDI,2),""))</f>
        <v/>
      </c>
      <c r="FV54" s="23"/>
      <c r="FW54" s="40" t="str">
        <f aca="false">IF(OR(FV$4=0,FV54=""),"",IFERROR(ROUND(FV54/INDEX(Undirviðmið!$F$6:$F$205,FV$4)*INDEX(Undirviðmið!$E$6:$E$205,FV$4)*KVARDI,2),""))</f>
        <v/>
      </c>
      <c r="FX54" s="23"/>
      <c r="FY54" s="40" t="str">
        <f aca="false">IF(OR(FX$4=0,FX54=""),"",IFERROR(ROUND(FX54/INDEX(Undirviðmið!$F$6:$F$205,FX$4)*INDEX(Undirviðmið!$E$6:$E$205,FX$4)*KVARDI,2),""))</f>
        <v/>
      </c>
      <c r="FZ54" s="23"/>
      <c r="GA54" s="40" t="str">
        <f aca="false">IF(OR(FZ$4=0,FZ54=""),"",IFERROR(ROUND(FZ54/INDEX(Undirviðmið!$F$6:$F$205,FZ$4)*INDEX(Undirviðmið!$E$6:$E$205,FZ$4)*KVARDI,2),""))</f>
        <v/>
      </c>
      <c r="GB54" s="23"/>
      <c r="GC54" s="40" t="str">
        <f aca="false">IF(OR(GB$4=0,GB54=""),"",IFERROR(ROUND(GB54/INDEX(Undirviðmið!$F$6:$F$205,GB$4)*INDEX(Undirviðmið!$E$6:$E$205,GB$4)*KVARDI,2),""))</f>
        <v/>
      </c>
      <c r="GD54" s="23"/>
      <c r="GE54" s="40" t="str">
        <f aca="false">IF(OR(GD$4=0,GD54=""),"",IFERROR(ROUND(GD54/INDEX(Undirviðmið!$F$6:$F$205,GD$4)*INDEX(Undirviðmið!$E$6:$E$205,GD$4)*KVARDI,2),""))</f>
        <v/>
      </c>
      <c r="GF54" s="23"/>
      <c r="GG54" s="40" t="str">
        <f aca="false">IF(OR(GF$4=0,GF54=""),"",IFERROR(ROUND(GF54/INDEX(Undirviðmið!$F$6:$F$205,GF$4)*INDEX(Undirviðmið!$E$6:$E$205,GF$4)*KVARDI,2),""))</f>
        <v/>
      </c>
      <c r="GH54" s="23"/>
      <c r="GI54" s="40" t="str">
        <f aca="false">IF(OR(GH$4=0,GH54=""),"",IFERROR(ROUND(GH54/INDEX(Undirviðmið!$F$6:$F$205,GH$4)*INDEX(Undirviðmið!$E$6:$E$205,GH$4)*KVARDI,2),""))</f>
        <v/>
      </c>
      <c r="GJ54" s="23"/>
      <c r="GK54" s="40" t="str">
        <f aca="false">IF(OR(GJ$4=0,GJ54=""),"",IFERROR(ROUND(GJ54/INDEX(Undirviðmið!$F$6:$F$205,GJ$4)*INDEX(Undirviðmið!$E$6:$E$205,GJ$4)*KVARDI,2),""))</f>
        <v/>
      </c>
      <c r="GL54" s="23"/>
      <c r="GM54" s="40" t="str">
        <f aca="false">IF(OR(GL$4=0,GL54=""),"",IFERROR(ROUND(GL54/INDEX(Undirviðmið!$F$6:$F$205,GL$4)*INDEX(Undirviðmið!$E$6:$E$205,GL$4)*KVARDI,2),""))</f>
        <v/>
      </c>
      <c r="GN54" s="23"/>
      <c r="GO54" s="40" t="str">
        <f aca="false">IF(OR(GN$4=0,GN54=""),"",IFERROR(ROUND(GN54/INDEX(Undirviðmið!$F$6:$F$205,GN$4)*INDEX(Undirviðmið!$E$6:$E$205,GN$4)*KVARDI,2),""))</f>
        <v/>
      </c>
      <c r="GP54" s="23"/>
      <c r="GQ54" s="40" t="str">
        <f aca="false">IF(OR(GP$4=0,GP54=""),"",IFERROR(ROUND(GP54/INDEX(Undirviðmið!$F$6:$F$205,GP$4)*INDEX(Undirviðmið!$E$6:$E$205,GP$4)*KVARDI,2),""))</f>
        <v/>
      </c>
      <c r="GR54" s="23"/>
      <c r="GS54" s="40" t="str">
        <f aca="false">IF(OR(GR$4=0,GR54=""),"",IFERROR(ROUND(GR54/INDEX(Undirviðmið!$F$6:$F$205,GR$4)*INDEX(Undirviðmið!$E$6:$E$205,GR$4)*KVARDI,2),""))</f>
        <v/>
      </c>
      <c r="GT54" s="23"/>
      <c r="GU54" s="40" t="str">
        <f aca="false">IF(OR(GT$4=0,GT54=""),"",IFERROR(ROUND(GT54/INDEX(Undirviðmið!$F$6:$F$205,GT$4)*INDEX(Undirviðmið!$E$6:$E$205,GT$4)*KVARDI,2),""))</f>
        <v/>
      </c>
      <c r="GV54" s="44" t="n">
        <f aca="false">IFERROR(SUMIF($D$6:GU$6,"Stig",$D54:GU54),0)</f>
        <v>0</v>
      </c>
    </row>
    <row r="55" customFormat="false" ht="15" hidden="false" customHeight="true" outlineLevel="0" collapsed="false">
      <c r="A55" s="22" t="n">
        <f aca="false">ROW()-6</f>
        <v>49</v>
      </c>
      <c r="B55" s="24" t="str">
        <f aca="false">IF(INDEX(Starfsmenn!$B$6:$B$10005,ROW()-6)="","",INDEX(Starfsmenn!$B$6:$B$10005,ROW()-6))</f>
        <v/>
      </c>
      <c r="C55" s="24" t="str">
        <f aca="false">IF(INDEX(Starfsmenn!$C$6:$C$10005,ROW()-6)="","",INDEX(Starfsmenn!$C$6:$C$10005,ROW()-6))</f>
        <v/>
      </c>
      <c r="D55" s="23"/>
      <c r="E55" s="40" t="str">
        <f aca="false">IF(OR(D$4=0,D55=""),"",IFERROR(ROUND(D55/INDEX(Undirviðmið!$F$6:$F$205,D$4)*INDEX(Undirviðmið!$E$6:$E$205,D$4)*KVARDI,2),""))</f>
        <v/>
      </c>
      <c r="F55" s="23"/>
      <c r="G55" s="40" t="str">
        <f aca="false">IF(OR(F$4=0,F55=""),"",IFERROR(ROUND(F55/INDEX(Undirviðmið!$F$6:$F$205,F$4)*INDEX(Undirviðmið!$E$6:$E$205,F$4)*KVARDI,2),""))</f>
        <v/>
      </c>
      <c r="H55" s="23"/>
      <c r="I55" s="40" t="str">
        <f aca="false">IF(OR(H$4=0,H55=""),"",IFERROR(ROUND(H55/INDEX(Undirviðmið!$F$6:$F$205,H$4)*INDEX(Undirviðmið!$E$6:$E$205,H$4)*KVARDI,2),""))</f>
        <v/>
      </c>
      <c r="J55" s="23"/>
      <c r="K55" s="40" t="str">
        <f aca="false">IF(OR(J$4=0,J55=""),"",IFERROR(ROUND(J55/INDEX(Undirviðmið!$F$6:$F$205,J$4)*INDEX(Undirviðmið!$E$6:$E$205,J$4)*KVARDI,2),""))</f>
        <v/>
      </c>
      <c r="L55" s="23"/>
      <c r="M55" s="40" t="str">
        <f aca="false">IF(OR(L$4=0,L55=""),"",IFERROR(ROUND(L55/INDEX(Undirviðmið!$F$6:$F$205,L$4)*INDEX(Undirviðmið!$E$6:$E$205,L$4)*KVARDI,2),""))</f>
        <v/>
      </c>
      <c r="N55" s="23"/>
      <c r="O55" s="40" t="str">
        <f aca="false">IF(OR(N$4=0,N55=""),"",IFERROR(ROUND(N55/INDEX(Undirviðmið!$F$6:$F$205,N$4)*INDEX(Undirviðmið!$E$6:$E$205,N$4)*KVARDI,2),""))</f>
        <v/>
      </c>
      <c r="P55" s="23"/>
      <c r="Q55" s="40" t="str">
        <f aca="false">IF(OR(P$4=0,P55=""),"",IFERROR(ROUND(P55/INDEX(Undirviðmið!$F$6:$F$205,P$4)*INDEX(Undirviðmið!$E$6:$E$205,P$4)*KVARDI,2),""))</f>
        <v/>
      </c>
      <c r="R55" s="23"/>
      <c r="S55" s="40" t="str">
        <f aca="false">IF(OR(R$4=0,R55=""),"",IFERROR(ROUND(R55/INDEX(Undirviðmið!$F$6:$F$205,R$4)*INDEX(Undirviðmið!$E$6:$E$205,R$4)*KVARDI,2),""))</f>
        <v/>
      </c>
      <c r="T55" s="23"/>
      <c r="U55" s="40" t="str">
        <f aca="false">IF(OR(T$4=0,T55=""),"",IFERROR(ROUND(T55/INDEX(Undirviðmið!$F$6:$F$205,T$4)*INDEX(Undirviðmið!$E$6:$E$205,T$4)*KVARDI,2),""))</f>
        <v/>
      </c>
      <c r="V55" s="23"/>
      <c r="W55" s="40" t="str">
        <f aca="false">IF(OR(V$4=0,V55=""),"",IFERROR(ROUND(V55/INDEX(Undirviðmið!$F$6:$F$205,V$4)*INDEX(Undirviðmið!$E$6:$E$205,V$4)*KVARDI,2),""))</f>
        <v/>
      </c>
      <c r="X55" s="23"/>
      <c r="Y55" s="40" t="str">
        <f aca="false">IF(OR(X$4=0,X55=""),"",IFERROR(ROUND(X55/INDEX(Undirviðmið!$F$6:$F$205,X$4)*INDEX(Undirviðmið!$E$6:$E$205,X$4)*KVARDI,2),""))</f>
        <v/>
      </c>
      <c r="Z55" s="23"/>
      <c r="AA55" s="40" t="str">
        <f aca="false">IF(OR(Z$4=0,Z55=""),"",IFERROR(ROUND(Z55/INDEX(Undirviðmið!$F$6:$F$205,Z$4)*INDEX(Undirviðmið!$E$6:$E$205,Z$4)*KVARDI,2),""))</f>
        <v/>
      </c>
      <c r="AB55" s="23"/>
      <c r="AC55" s="40" t="str">
        <f aca="false">IF(OR(AB$4=0,AB55=""),"",IFERROR(ROUND(AB55/INDEX(Undirviðmið!$F$6:$F$205,AB$4)*INDEX(Undirviðmið!$E$6:$E$205,AB$4)*KVARDI,2),""))</f>
        <v/>
      </c>
      <c r="AD55" s="23"/>
      <c r="AE55" s="40" t="str">
        <f aca="false">IF(OR(AD$4=0,AD55=""),"",IFERROR(ROUND(AD55/INDEX(Undirviðmið!$F$6:$F$205,AD$4)*INDEX(Undirviðmið!$E$6:$E$205,AD$4)*KVARDI,2),""))</f>
        <v/>
      </c>
      <c r="AF55" s="23"/>
      <c r="AG55" s="40" t="str">
        <f aca="false">IF(OR(AF$4=0,AF55=""),"",IFERROR(ROUND(AF55/INDEX(Undirviðmið!$F$6:$F$205,AF$4)*INDEX(Undirviðmið!$E$6:$E$205,AF$4)*KVARDI,2),""))</f>
        <v/>
      </c>
      <c r="AH55" s="23"/>
      <c r="AI55" s="40" t="str">
        <f aca="false">IF(OR(AH$4=0,AH55=""),"",IFERROR(ROUND(AH55/INDEX(Undirviðmið!$F$6:$F$205,AH$4)*INDEX(Undirviðmið!$E$6:$E$205,AH$4)*KVARDI,2),""))</f>
        <v/>
      </c>
      <c r="AJ55" s="23"/>
      <c r="AK55" s="40" t="str">
        <f aca="false">IF(OR(AJ$4=0,AJ55=""),"",IFERROR(ROUND(AJ55/INDEX(Undirviðmið!$F$6:$F$205,AJ$4)*INDEX(Undirviðmið!$E$6:$E$205,AJ$4)*KVARDI,2),""))</f>
        <v/>
      </c>
      <c r="AL55" s="23"/>
      <c r="AM55" s="40" t="str">
        <f aca="false">IF(OR(AL$4=0,AL55=""),"",IFERROR(ROUND(AL55/INDEX(Undirviðmið!$F$6:$F$205,AL$4)*INDEX(Undirviðmið!$E$6:$E$205,AL$4)*KVARDI,2),""))</f>
        <v/>
      </c>
      <c r="AN55" s="23"/>
      <c r="AO55" s="40" t="str">
        <f aca="false">IF(OR(AN$4=0,AN55=""),"",IFERROR(ROUND(AN55/INDEX(Undirviðmið!$F$6:$F$205,AN$4)*INDEX(Undirviðmið!$E$6:$E$205,AN$4)*KVARDI,2),""))</f>
        <v/>
      </c>
      <c r="AP55" s="23"/>
      <c r="AQ55" s="40" t="str">
        <f aca="false">IF(OR(AP$4=0,AP55=""),"",IFERROR(ROUND(AP55/INDEX(Undirviðmið!$F$6:$F$205,AP$4)*INDEX(Undirviðmið!$E$6:$E$205,AP$4)*KVARDI,2),""))</f>
        <v/>
      </c>
      <c r="AR55" s="23"/>
      <c r="AS55" s="40" t="str">
        <f aca="false">IF(OR(AR$4=0,AR55=""),"",IFERROR(ROUND(AR55/INDEX(Undirviðmið!$F$6:$F$205,AR$4)*INDEX(Undirviðmið!$E$6:$E$205,AR$4)*KVARDI,2),""))</f>
        <v/>
      </c>
      <c r="AT55" s="23"/>
      <c r="AU55" s="40" t="str">
        <f aca="false">IF(OR(AT$4=0,AT55=""),"",IFERROR(ROUND(AT55/INDEX(Undirviðmið!$F$6:$F$205,AT$4)*INDEX(Undirviðmið!$E$6:$E$205,AT$4)*KVARDI,2),""))</f>
        <v/>
      </c>
      <c r="AV55" s="23"/>
      <c r="AW55" s="40" t="str">
        <f aca="false">IF(OR(AV$4=0,AV55=""),"",IFERROR(ROUND(AV55/INDEX(Undirviðmið!$F$6:$F$205,AV$4)*INDEX(Undirviðmið!$E$6:$E$205,AV$4)*KVARDI,2),""))</f>
        <v/>
      </c>
      <c r="AX55" s="23"/>
      <c r="AY55" s="40" t="str">
        <f aca="false">IF(OR(AX$4=0,AX55=""),"",IFERROR(ROUND(AX55/INDEX(Undirviðmið!$F$6:$F$205,AX$4)*INDEX(Undirviðmið!$E$6:$E$205,AX$4)*KVARDI,2),""))</f>
        <v/>
      </c>
      <c r="AZ55" s="23"/>
      <c r="BA55" s="40" t="str">
        <f aca="false">IF(OR(AZ$4=0,AZ55=""),"",IFERROR(ROUND(AZ55/INDEX(Undirviðmið!$F$6:$F$205,AZ$4)*INDEX(Undirviðmið!$E$6:$E$205,AZ$4)*KVARDI,2),""))</f>
        <v/>
      </c>
      <c r="BB55" s="23"/>
      <c r="BC55" s="40" t="str">
        <f aca="false">IF(OR(BB$4=0,BB55=""),"",IFERROR(ROUND(BB55/INDEX(Undirviðmið!$F$6:$F$205,BB$4)*INDEX(Undirviðmið!$E$6:$E$205,BB$4)*KVARDI,2),""))</f>
        <v/>
      </c>
      <c r="BD55" s="23"/>
      <c r="BE55" s="40" t="str">
        <f aca="false">IF(OR(BD$4=0,BD55=""),"",IFERROR(ROUND(BD55/INDEX(Undirviðmið!$F$6:$F$205,BD$4)*INDEX(Undirviðmið!$E$6:$E$205,BD$4)*KVARDI,2),""))</f>
        <v/>
      </c>
      <c r="BF55" s="23"/>
      <c r="BG55" s="40" t="str">
        <f aca="false">IF(OR(BF$4=0,BF55=""),"",IFERROR(ROUND(BF55/INDEX(Undirviðmið!$F$6:$F$205,BF$4)*INDEX(Undirviðmið!$E$6:$E$205,BF$4)*KVARDI,2),""))</f>
        <v/>
      </c>
      <c r="BH55" s="23"/>
      <c r="BI55" s="40" t="str">
        <f aca="false">IF(OR(BH$4=0,BH55=""),"",IFERROR(ROUND(BH55/INDEX(Undirviðmið!$F$6:$F$205,BH$4)*INDEX(Undirviðmið!$E$6:$E$205,BH$4)*KVARDI,2),""))</f>
        <v/>
      </c>
      <c r="BJ55" s="23"/>
      <c r="BK55" s="40" t="str">
        <f aca="false">IF(OR(BJ$4=0,BJ55=""),"",IFERROR(ROUND(BJ55/INDEX(Undirviðmið!$F$6:$F$205,BJ$4)*INDEX(Undirviðmið!$E$6:$E$205,BJ$4)*KVARDI,2),""))</f>
        <v/>
      </c>
      <c r="BL55" s="23"/>
      <c r="BM55" s="40" t="str">
        <f aca="false">IF(OR(BL$4=0,BL55=""),"",IFERROR(ROUND(BL55/INDEX(Undirviðmið!$F$6:$F$205,BL$4)*INDEX(Undirviðmið!$E$6:$E$205,BL$4)*KVARDI,2),""))</f>
        <v/>
      </c>
      <c r="BN55" s="23"/>
      <c r="BO55" s="40" t="str">
        <f aca="false">IF(OR(BN$4=0,BN55=""),"",IFERROR(ROUND(BN55/INDEX(Undirviðmið!$F$6:$F$205,BN$4)*INDEX(Undirviðmið!$E$6:$E$205,BN$4)*KVARDI,2),""))</f>
        <v/>
      </c>
      <c r="BP55" s="23"/>
      <c r="BQ55" s="40" t="str">
        <f aca="false">IF(OR(BP$4=0,BP55=""),"",IFERROR(ROUND(BP55/INDEX(Undirviðmið!$F$6:$F$205,BP$4)*INDEX(Undirviðmið!$E$6:$E$205,BP$4)*KVARDI,2),""))</f>
        <v/>
      </c>
      <c r="BR55" s="23"/>
      <c r="BS55" s="40" t="str">
        <f aca="false">IF(OR(BR$4=0,BR55=""),"",IFERROR(ROUND(BR55/INDEX(Undirviðmið!$F$6:$F$205,BR$4)*INDEX(Undirviðmið!$E$6:$E$205,BR$4)*KVARDI,2),""))</f>
        <v/>
      </c>
      <c r="BT55" s="23"/>
      <c r="BU55" s="40" t="str">
        <f aca="false">IF(OR(BT$4=0,BT55=""),"",IFERROR(ROUND(BT55/INDEX(Undirviðmið!$F$6:$F$205,BT$4)*INDEX(Undirviðmið!$E$6:$E$205,BT$4)*KVARDI,2),""))</f>
        <v/>
      </c>
      <c r="BV55" s="23"/>
      <c r="BW55" s="40" t="str">
        <f aca="false">IF(OR(BV$4=0,BV55=""),"",IFERROR(ROUND(BV55/INDEX(Undirviðmið!$F$6:$F$205,BV$4)*INDEX(Undirviðmið!$E$6:$E$205,BV$4)*KVARDI,2),""))</f>
        <v/>
      </c>
      <c r="BX55" s="23"/>
      <c r="BY55" s="40" t="str">
        <f aca="false">IF(OR(BX$4=0,BX55=""),"",IFERROR(ROUND(BX55/INDEX(Undirviðmið!$F$6:$F$205,BX$4)*INDEX(Undirviðmið!$E$6:$E$205,BX$4)*KVARDI,2),""))</f>
        <v/>
      </c>
      <c r="BZ55" s="23"/>
      <c r="CA55" s="40" t="str">
        <f aca="false">IF(OR(BZ$4=0,BZ55=""),"",IFERROR(ROUND(BZ55/INDEX(Undirviðmið!$F$6:$F$205,BZ$4)*INDEX(Undirviðmið!$E$6:$E$205,BZ$4)*KVARDI,2),""))</f>
        <v/>
      </c>
      <c r="CB55" s="23"/>
      <c r="CC55" s="40" t="str">
        <f aca="false">IF(OR(CB$4=0,CB55=""),"",IFERROR(ROUND(CB55/INDEX(Undirviðmið!$F$6:$F$205,CB$4)*INDEX(Undirviðmið!$E$6:$E$205,CB$4)*KVARDI,2),""))</f>
        <v/>
      </c>
      <c r="CD55" s="23"/>
      <c r="CE55" s="40" t="str">
        <f aca="false">IF(OR(CD$4=0,CD55=""),"",IFERROR(ROUND(CD55/INDEX(Undirviðmið!$F$6:$F$205,CD$4)*INDEX(Undirviðmið!$E$6:$E$205,CD$4)*KVARDI,2),""))</f>
        <v/>
      </c>
      <c r="CF55" s="23"/>
      <c r="CG55" s="40" t="str">
        <f aca="false">IF(OR(CF$4=0,CF55=""),"",IFERROR(ROUND(CF55/INDEX(Undirviðmið!$F$6:$F$205,CF$4)*INDEX(Undirviðmið!$E$6:$E$205,CF$4)*KVARDI,2),""))</f>
        <v/>
      </c>
      <c r="CH55" s="23"/>
      <c r="CI55" s="40" t="str">
        <f aca="false">IF(OR(CH$4=0,CH55=""),"",IFERROR(ROUND(CH55/INDEX(Undirviðmið!$F$6:$F$205,CH$4)*INDEX(Undirviðmið!$E$6:$E$205,CH$4)*KVARDI,2),""))</f>
        <v/>
      </c>
      <c r="CJ55" s="23"/>
      <c r="CK55" s="40" t="str">
        <f aca="false">IF(OR(CJ$4=0,CJ55=""),"",IFERROR(ROUND(CJ55/INDEX(Undirviðmið!$F$6:$F$205,CJ$4)*INDEX(Undirviðmið!$E$6:$E$205,CJ$4)*KVARDI,2),""))</f>
        <v/>
      </c>
      <c r="CL55" s="23"/>
      <c r="CM55" s="40" t="str">
        <f aca="false">IF(OR(CL$4=0,CL55=""),"",IFERROR(ROUND(CL55/INDEX(Undirviðmið!$F$6:$F$205,CL$4)*INDEX(Undirviðmið!$E$6:$E$205,CL$4)*KVARDI,2),""))</f>
        <v/>
      </c>
      <c r="CN55" s="23"/>
      <c r="CO55" s="40" t="str">
        <f aca="false">IF(OR(CN$4=0,CN55=""),"",IFERROR(ROUND(CN55/INDEX(Undirviðmið!$F$6:$F$205,CN$4)*INDEX(Undirviðmið!$E$6:$E$205,CN$4)*KVARDI,2),""))</f>
        <v/>
      </c>
      <c r="CP55" s="23"/>
      <c r="CQ55" s="40" t="str">
        <f aca="false">IF(OR(CP$4=0,CP55=""),"",IFERROR(ROUND(CP55/INDEX(Undirviðmið!$F$6:$F$205,CP$4)*INDEX(Undirviðmið!$E$6:$E$205,CP$4)*KVARDI,2),""))</f>
        <v/>
      </c>
      <c r="CR55" s="23"/>
      <c r="CS55" s="40" t="str">
        <f aca="false">IF(OR(CR$4=0,CR55=""),"",IFERROR(ROUND(CR55/INDEX(Undirviðmið!$F$6:$F$205,CR$4)*INDEX(Undirviðmið!$E$6:$E$205,CR$4)*KVARDI,2),""))</f>
        <v/>
      </c>
      <c r="CT55" s="23"/>
      <c r="CU55" s="40" t="str">
        <f aca="false">IF(OR(CT$4=0,CT55=""),"",IFERROR(ROUND(CT55/INDEX(Undirviðmið!$F$6:$F$205,CT$4)*INDEX(Undirviðmið!$E$6:$E$205,CT$4)*KVARDI,2),""))</f>
        <v/>
      </c>
      <c r="CV55" s="23"/>
      <c r="CW55" s="40" t="str">
        <f aca="false">IF(OR(CV$4=0,CV55=""),"",IFERROR(ROUND(CV55/INDEX(Undirviðmið!$F$6:$F$205,CV$4)*INDEX(Undirviðmið!$E$6:$E$205,CV$4)*KVARDI,2),""))</f>
        <v/>
      </c>
      <c r="CX55" s="23"/>
      <c r="CY55" s="40" t="str">
        <f aca="false">IF(OR(CX$4=0,CX55=""),"",IFERROR(ROUND(CX55/INDEX(Undirviðmið!$F$6:$F$205,CX$4)*INDEX(Undirviðmið!$E$6:$E$205,CX$4)*KVARDI,2),""))</f>
        <v/>
      </c>
      <c r="CZ55" s="23"/>
      <c r="DA55" s="40" t="str">
        <f aca="false">IF(OR(CZ$4=0,CZ55=""),"",IFERROR(ROUND(CZ55/INDEX(Undirviðmið!$F$6:$F$205,CZ$4)*INDEX(Undirviðmið!$E$6:$E$205,CZ$4)*KVARDI,2),""))</f>
        <v/>
      </c>
      <c r="DB55" s="23"/>
      <c r="DC55" s="40" t="str">
        <f aca="false">IF(OR(DB$4=0,DB55=""),"",IFERROR(ROUND(DB55/INDEX(Undirviðmið!$F$6:$F$205,DB$4)*INDEX(Undirviðmið!$E$6:$E$205,DB$4)*KVARDI,2),""))</f>
        <v/>
      </c>
      <c r="DD55" s="23"/>
      <c r="DE55" s="40" t="str">
        <f aca="false">IF(OR(DD$4=0,DD55=""),"",IFERROR(ROUND(DD55/INDEX(Undirviðmið!$F$6:$F$205,DD$4)*INDEX(Undirviðmið!$E$6:$E$205,DD$4)*KVARDI,2),""))</f>
        <v/>
      </c>
      <c r="DF55" s="23"/>
      <c r="DG55" s="40" t="str">
        <f aca="false">IF(OR(DF$4=0,DF55=""),"",IFERROR(ROUND(DF55/INDEX(Undirviðmið!$F$6:$F$205,DF$4)*INDEX(Undirviðmið!$E$6:$E$205,DF$4)*KVARDI,2),""))</f>
        <v/>
      </c>
      <c r="DH55" s="23"/>
      <c r="DI55" s="40" t="str">
        <f aca="false">IF(OR(DH$4=0,DH55=""),"",IFERROR(ROUND(DH55/INDEX(Undirviðmið!$F$6:$F$205,DH$4)*INDEX(Undirviðmið!$E$6:$E$205,DH$4)*KVARDI,2),""))</f>
        <v/>
      </c>
      <c r="DJ55" s="23"/>
      <c r="DK55" s="40" t="str">
        <f aca="false">IF(OR(DJ$4=0,DJ55=""),"",IFERROR(ROUND(DJ55/INDEX(Undirviðmið!$F$6:$F$205,DJ$4)*INDEX(Undirviðmið!$E$6:$E$205,DJ$4)*KVARDI,2),""))</f>
        <v/>
      </c>
      <c r="DL55" s="23"/>
      <c r="DM55" s="40" t="str">
        <f aca="false">IF(OR(DL$4=0,DL55=""),"",IFERROR(ROUND(DL55/INDEX(Undirviðmið!$F$6:$F$205,DL$4)*INDEX(Undirviðmið!$E$6:$E$205,DL$4)*KVARDI,2),""))</f>
        <v/>
      </c>
      <c r="DN55" s="23"/>
      <c r="DO55" s="40" t="str">
        <f aca="false">IF(OR(DN$4=0,DN55=""),"",IFERROR(ROUND(DN55/INDEX(Undirviðmið!$F$6:$F$205,DN$4)*INDEX(Undirviðmið!$E$6:$E$205,DN$4)*KVARDI,2),""))</f>
        <v/>
      </c>
      <c r="DP55" s="23"/>
      <c r="DQ55" s="40" t="str">
        <f aca="false">IF(OR(DP$4=0,DP55=""),"",IFERROR(ROUND(DP55/INDEX(Undirviðmið!$F$6:$F$205,DP$4)*INDEX(Undirviðmið!$E$6:$E$205,DP$4)*KVARDI,2),""))</f>
        <v/>
      </c>
      <c r="DR55" s="23"/>
      <c r="DS55" s="40" t="str">
        <f aca="false">IF(OR(DR$4=0,DR55=""),"",IFERROR(ROUND(DR55/INDEX(Undirviðmið!$F$6:$F$205,DR$4)*INDEX(Undirviðmið!$E$6:$E$205,DR$4)*KVARDI,2),""))</f>
        <v/>
      </c>
      <c r="DT55" s="23"/>
      <c r="DU55" s="40" t="str">
        <f aca="false">IF(OR(DT$4=0,DT55=""),"",IFERROR(ROUND(DT55/INDEX(Undirviðmið!$F$6:$F$205,DT$4)*INDEX(Undirviðmið!$E$6:$E$205,DT$4)*KVARDI,2),""))</f>
        <v/>
      </c>
      <c r="DV55" s="23"/>
      <c r="DW55" s="40" t="str">
        <f aca="false">IF(OR(DV$4=0,DV55=""),"",IFERROR(ROUND(DV55/INDEX(Undirviðmið!$F$6:$F$205,DV$4)*INDEX(Undirviðmið!$E$6:$E$205,DV$4)*KVARDI,2),""))</f>
        <v/>
      </c>
      <c r="DX55" s="23"/>
      <c r="DY55" s="40" t="str">
        <f aca="false">IF(OR(DX$4=0,DX55=""),"",IFERROR(ROUND(DX55/INDEX(Undirviðmið!$F$6:$F$205,DX$4)*INDEX(Undirviðmið!$E$6:$E$205,DX$4)*KVARDI,2),""))</f>
        <v/>
      </c>
      <c r="DZ55" s="23"/>
      <c r="EA55" s="40" t="str">
        <f aca="false">IF(OR(DZ$4=0,DZ55=""),"",IFERROR(ROUND(DZ55/INDEX(Undirviðmið!$F$6:$F$205,DZ$4)*INDEX(Undirviðmið!$E$6:$E$205,DZ$4)*KVARDI,2),""))</f>
        <v/>
      </c>
      <c r="EB55" s="23"/>
      <c r="EC55" s="40" t="str">
        <f aca="false">IF(OR(EB$4=0,EB55=""),"",IFERROR(ROUND(EB55/INDEX(Undirviðmið!$F$6:$F$205,EB$4)*INDEX(Undirviðmið!$E$6:$E$205,EB$4)*KVARDI,2),""))</f>
        <v/>
      </c>
      <c r="ED55" s="23"/>
      <c r="EE55" s="40" t="str">
        <f aca="false">IF(OR(ED$4=0,ED55=""),"",IFERROR(ROUND(ED55/INDEX(Undirviðmið!$F$6:$F$205,ED$4)*INDEX(Undirviðmið!$E$6:$E$205,ED$4)*KVARDI,2),""))</f>
        <v/>
      </c>
      <c r="EF55" s="23"/>
      <c r="EG55" s="40" t="str">
        <f aca="false">IF(OR(EF$4=0,EF55=""),"",IFERROR(ROUND(EF55/INDEX(Undirviðmið!$F$6:$F$205,EF$4)*INDEX(Undirviðmið!$E$6:$E$205,EF$4)*KVARDI,2),""))</f>
        <v/>
      </c>
      <c r="EH55" s="23"/>
      <c r="EI55" s="40" t="str">
        <f aca="false">IF(OR(EH$4=0,EH55=""),"",IFERROR(ROUND(EH55/INDEX(Undirviðmið!$F$6:$F$205,EH$4)*INDEX(Undirviðmið!$E$6:$E$205,EH$4)*KVARDI,2),""))</f>
        <v/>
      </c>
      <c r="EJ55" s="23"/>
      <c r="EK55" s="40" t="str">
        <f aca="false">IF(OR(EJ$4=0,EJ55=""),"",IFERROR(ROUND(EJ55/INDEX(Undirviðmið!$F$6:$F$205,EJ$4)*INDEX(Undirviðmið!$E$6:$E$205,EJ$4)*KVARDI,2),""))</f>
        <v/>
      </c>
      <c r="EL55" s="23"/>
      <c r="EM55" s="40" t="str">
        <f aca="false">IF(OR(EL$4=0,EL55=""),"",IFERROR(ROUND(EL55/INDEX(Undirviðmið!$F$6:$F$205,EL$4)*INDEX(Undirviðmið!$E$6:$E$205,EL$4)*KVARDI,2),""))</f>
        <v/>
      </c>
      <c r="EN55" s="23"/>
      <c r="EO55" s="40" t="str">
        <f aca="false">IF(OR(EN$4=0,EN55=""),"",IFERROR(ROUND(EN55/INDEX(Undirviðmið!$F$6:$F$205,EN$4)*INDEX(Undirviðmið!$E$6:$E$205,EN$4)*KVARDI,2),""))</f>
        <v/>
      </c>
      <c r="EP55" s="23"/>
      <c r="EQ55" s="40" t="str">
        <f aca="false">IF(OR(EP$4=0,EP55=""),"",IFERROR(ROUND(EP55/INDEX(Undirviðmið!$F$6:$F$205,EP$4)*INDEX(Undirviðmið!$E$6:$E$205,EP$4)*KVARDI,2),""))</f>
        <v/>
      </c>
      <c r="ER55" s="23"/>
      <c r="ES55" s="40" t="str">
        <f aca="false">IF(OR(ER$4=0,ER55=""),"",IFERROR(ROUND(ER55/INDEX(Undirviðmið!$F$6:$F$205,ER$4)*INDEX(Undirviðmið!$E$6:$E$205,ER$4)*KVARDI,2),""))</f>
        <v/>
      </c>
      <c r="ET55" s="23"/>
      <c r="EU55" s="40" t="str">
        <f aca="false">IF(OR(ET$4=0,ET55=""),"",IFERROR(ROUND(ET55/INDEX(Undirviðmið!$F$6:$F$205,ET$4)*INDEX(Undirviðmið!$E$6:$E$205,ET$4)*KVARDI,2),""))</f>
        <v/>
      </c>
      <c r="EV55" s="23"/>
      <c r="EW55" s="40" t="str">
        <f aca="false">IF(OR(EV$4=0,EV55=""),"",IFERROR(ROUND(EV55/INDEX(Undirviðmið!$F$6:$F$205,EV$4)*INDEX(Undirviðmið!$E$6:$E$205,EV$4)*KVARDI,2),""))</f>
        <v/>
      </c>
      <c r="EX55" s="23"/>
      <c r="EY55" s="40" t="str">
        <f aca="false">IF(OR(EX$4=0,EX55=""),"",IFERROR(ROUND(EX55/INDEX(Undirviðmið!$F$6:$F$205,EX$4)*INDEX(Undirviðmið!$E$6:$E$205,EX$4)*KVARDI,2),""))</f>
        <v/>
      </c>
      <c r="EZ55" s="23"/>
      <c r="FA55" s="40" t="str">
        <f aca="false">IF(OR(EZ$4=0,EZ55=""),"",IFERROR(ROUND(EZ55/INDEX(Undirviðmið!$F$6:$F$205,EZ$4)*INDEX(Undirviðmið!$E$6:$E$205,EZ$4)*KVARDI,2),""))</f>
        <v/>
      </c>
      <c r="FB55" s="23"/>
      <c r="FC55" s="40" t="str">
        <f aca="false">IF(OR(FB$4=0,FB55=""),"",IFERROR(ROUND(FB55/INDEX(Undirviðmið!$F$6:$F$205,FB$4)*INDEX(Undirviðmið!$E$6:$E$205,FB$4)*KVARDI,2),""))</f>
        <v/>
      </c>
      <c r="FD55" s="23"/>
      <c r="FE55" s="40" t="str">
        <f aca="false">IF(OR(FD$4=0,FD55=""),"",IFERROR(ROUND(FD55/INDEX(Undirviðmið!$F$6:$F$205,FD$4)*INDEX(Undirviðmið!$E$6:$E$205,FD$4)*KVARDI,2),""))</f>
        <v/>
      </c>
      <c r="FF55" s="23"/>
      <c r="FG55" s="40" t="str">
        <f aca="false">IF(OR(FF$4=0,FF55=""),"",IFERROR(ROUND(FF55/INDEX(Undirviðmið!$F$6:$F$205,FF$4)*INDEX(Undirviðmið!$E$6:$E$205,FF$4)*KVARDI,2),""))</f>
        <v/>
      </c>
      <c r="FH55" s="23"/>
      <c r="FI55" s="40" t="str">
        <f aca="false">IF(OR(FH$4=0,FH55=""),"",IFERROR(ROUND(FH55/INDEX(Undirviðmið!$F$6:$F$205,FH$4)*INDEX(Undirviðmið!$E$6:$E$205,FH$4)*KVARDI,2),""))</f>
        <v/>
      </c>
      <c r="FJ55" s="23"/>
      <c r="FK55" s="40" t="str">
        <f aca="false">IF(OR(FJ$4=0,FJ55=""),"",IFERROR(ROUND(FJ55/INDEX(Undirviðmið!$F$6:$F$205,FJ$4)*INDEX(Undirviðmið!$E$6:$E$205,FJ$4)*KVARDI,2),""))</f>
        <v/>
      </c>
      <c r="FL55" s="23"/>
      <c r="FM55" s="40" t="str">
        <f aca="false">IF(OR(FL$4=0,FL55=""),"",IFERROR(ROUND(FL55/INDEX(Undirviðmið!$F$6:$F$205,FL$4)*INDEX(Undirviðmið!$E$6:$E$205,FL$4)*KVARDI,2),""))</f>
        <v/>
      </c>
      <c r="FN55" s="23"/>
      <c r="FO55" s="40" t="str">
        <f aca="false">IF(OR(FN$4=0,FN55=""),"",IFERROR(ROUND(FN55/INDEX(Undirviðmið!$F$6:$F$205,FN$4)*INDEX(Undirviðmið!$E$6:$E$205,FN$4)*KVARDI,2),""))</f>
        <v/>
      </c>
      <c r="FP55" s="23"/>
      <c r="FQ55" s="40" t="str">
        <f aca="false">IF(OR(FP$4=0,FP55=""),"",IFERROR(ROUND(FP55/INDEX(Undirviðmið!$F$6:$F$205,FP$4)*INDEX(Undirviðmið!$E$6:$E$205,FP$4)*KVARDI,2),""))</f>
        <v/>
      </c>
      <c r="FR55" s="23"/>
      <c r="FS55" s="40" t="str">
        <f aca="false">IF(OR(FR$4=0,FR55=""),"",IFERROR(ROUND(FR55/INDEX(Undirviðmið!$F$6:$F$205,FR$4)*INDEX(Undirviðmið!$E$6:$E$205,FR$4)*KVARDI,2),""))</f>
        <v/>
      </c>
      <c r="FT55" s="23"/>
      <c r="FU55" s="40" t="str">
        <f aca="false">IF(OR(FT$4=0,FT55=""),"",IFERROR(ROUND(FT55/INDEX(Undirviðmið!$F$6:$F$205,FT$4)*INDEX(Undirviðmið!$E$6:$E$205,FT$4)*KVARDI,2),""))</f>
        <v/>
      </c>
      <c r="FV55" s="23"/>
      <c r="FW55" s="40" t="str">
        <f aca="false">IF(OR(FV$4=0,FV55=""),"",IFERROR(ROUND(FV55/INDEX(Undirviðmið!$F$6:$F$205,FV$4)*INDEX(Undirviðmið!$E$6:$E$205,FV$4)*KVARDI,2),""))</f>
        <v/>
      </c>
      <c r="FX55" s="23"/>
      <c r="FY55" s="40" t="str">
        <f aca="false">IF(OR(FX$4=0,FX55=""),"",IFERROR(ROUND(FX55/INDEX(Undirviðmið!$F$6:$F$205,FX$4)*INDEX(Undirviðmið!$E$6:$E$205,FX$4)*KVARDI,2),""))</f>
        <v/>
      </c>
      <c r="FZ55" s="23"/>
      <c r="GA55" s="40" t="str">
        <f aca="false">IF(OR(FZ$4=0,FZ55=""),"",IFERROR(ROUND(FZ55/INDEX(Undirviðmið!$F$6:$F$205,FZ$4)*INDEX(Undirviðmið!$E$6:$E$205,FZ$4)*KVARDI,2),""))</f>
        <v/>
      </c>
      <c r="GB55" s="23"/>
      <c r="GC55" s="40" t="str">
        <f aca="false">IF(OR(GB$4=0,GB55=""),"",IFERROR(ROUND(GB55/INDEX(Undirviðmið!$F$6:$F$205,GB$4)*INDEX(Undirviðmið!$E$6:$E$205,GB$4)*KVARDI,2),""))</f>
        <v/>
      </c>
      <c r="GD55" s="23"/>
      <c r="GE55" s="40" t="str">
        <f aca="false">IF(OR(GD$4=0,GD55=""),"",IFERROR(ROUND(GD55/INDEX(Undirviðmið!$F$6:$F$205,GD$4)*INDEX(Undirviðmið!$E$6:$E$205,GD$4)*KVARDI,2),""))</f>
        <v/>
      </c>
      <c r="GF55" s="23"/>
      <c r="GG55" s="40" t="str">
        <f aca="false">IF(OR(GF$4=0,GF55=""),"",IFERROR(ROUND(GF55/INDEX(Undirviðmið!$F$6:$F$205,GF$4)*INDEX(Undirviðmið!$E$6:$E$205,GF$4)*KVARDI,2),""))</f>
        <v/>
      </c>
      <c r="GH55" s="23"/>
      <c r="GI55" s="40" t="str">
        <f aca="false">IF(OR(GH$4=0,GH55=""),"",IFERROR(ROUND(GH55/INDEX(Undirviðmið!$F$6:$F$205,GH$4)*INDEX(Undirviðmið!$E$6:$E$205,GH$4)*KVARDI,2),""))</f>
        <v/>
      </c>
      <c r="GJ55" s="23"/>
      <c r="GK55" s="40" t="str">
        <f aca="false">IF(OR(GJ$4=0,GJ55=""),"",IFERROR(ROUND(GJ55/INDEX(Undirviðmið!$F$6:$F$205,GJ$4)*INDEX(Undirviðmið!$E$6:$E$205,GJ$4)*KVARDI,2),""))</f>
        <v/>
      </c>
      <c r="GL55" s="23"/>
      <c r="GM55" s="40" t="str">
        <f aca="false">IF(OR(GL$4=0,GL55=""),"",IFERROR(ROUND(GL55/INDEX(Undirviðmið!$F$6:$F$205,GL$4)*INDEX(Undirviðmið!$E$6:$E$205,GL$4)*KVARDI,2),""))</f>
        <v/>
      </c>
      <c r="GN55" s="23"/>
      <c r="GO55" s="40" t="str">
        <f aca="false">IF(OR(GN$4=0,GN55=""),"",IFERROR(ROUND(GN55/INDEX(Undirviðmið!$F$6:$F$205,GN$4)*INDEX(Undirviðmið!$E$6:$E$205,GN$4)*KVARDI,2),""))</f>
        <v/>
      </c>
      <c r="GP55" s="23"/>
      <c r="GQ55" s="40" t="str">
        <f aca="false">IF(OR(GP$4=0,GP55=""),"",IFERROR(ROUND(GP55/INDEX(Undirviðmið!$F$6:$F$205,GP$4)*INDEX(Undirviðmið!$E$6:$E$205,GP$4)*KVARDI,2),""))</f>
        <v/>
      </c>
      <c r="GR55" s="23"/>
      <c r="GS55" s="40" t="str">
        <f aca="false">IF(OR(GR$4=0,GR55=""),"",IFERROR(ROUND(GR55/INDEX(Undirviðmið!$F$6:$F$205,GR$4)*INDEX(Undirviðmið!$E$6:$E$205,GR$4)*KVARDI,2),""))</f>
        <v/>
      </c>
      <c r="GT55" s="23"/>
      <c r="GU55" s="40" t="str">
        <f aca="false">IF(OR(GT$4=0,GT55=""),"",IFERROR(ROUND(GT55/INDEX(Undirviðmið!$F$6:$F$205,GT$4)*INDEX(Undirviðmið!$E$6:$E$205,GT$4)*KVARDI,2),""))</f>
        <v/>
      </c>
      <c r="GV55" s="44" t="n">
        <f aca="false">IFERROR(SUMIF($D$6:GU$6,"Stig",$D55:GU55),0)</f>
        <v>0</v>
      </c>
    </row>
    <row r="56" customFormat="false" ht="15" hidden="false" customHeight="true" outlineLevel="0" collapsed="false">
      <c r="A56" s="22" t="n">
        <f aca="false">ROW()-6</f>
        <v>50</v>
      </c>
      <c r="B56" s="24" t="str">
        <f aca="false">IF(INDEX(Starfsmenn!$B$6:$B$10005,ROW()-6)="","",INDEX(Starfsmenn!$B$6:$B$10005,ROW()-6))</f>
        <v/>
      </c>
      <c r="C56" s="24" t="str">
        <f aca="false">IF(INDEX(Starfsmenn!$C$6:$C$10005,ROW()-6)="","",INDEX(Starfsmenn!$C$6:$C$10005,ROW()-6))</f>
        <v/>
      </c>
      <c r="D56" s="23"/>
      <c r="E56" s="40" t="str">
        <f aca="false">IF(OR(D$4=0,D56=""),"",IFERROR(ROUND(D56/INDEX(Undirviðmið!$F$6:$F$205,D$4)*INDEX(Undirviðmið!$E$6:$E$205,D$4)*KVARDI,2),""))</f>
        <v/>
      </c>
      <c r="F56" s="23"/>
      <c r="G56" s="40" t="str">
        <f aca="false">IF(OR(F$4=0,F56=""),"",IFERROR(ROUND(F56/INDEX(Undirviðmið!$F$6:$F$205,F$4)*INDEX(Undirviðmið!$E$6:$E$205,F$4)*KVARDI,2),""))</f>
        <v/>
      </c>
      <c r="H56" s="23"/>
      <c r="I56" s="40" t="str">
        <f aca="false">IF(OR(H$4=0,H56=""),"",IFERROR(ROUND(H56/INDEX(Undirviðmið!$F$6:$F$205,H$4)*INDEX(Undirviðmið!$E$6:$E$205,H$4)*KVARDI,2),""))</f>
        <v/>
      </c>
      <c r="J56" s="23"/>
      <c r="K56" s="40" t="str">
        <f aca="false">IF(OR(J$4=0,J56=""),"",IFERROR(ROUND(J56/INDEX(Undirviðmið!$F$6:$F$205,J$4)*INDEX(Undirviðmið!$E$6:$E$205,J$4)*KVARDI,2),""))</f>
        <v/>
      </c>
      <c r="L56" s="23"/>
      <c r="M56" s="40" t="str">
        <f aca="false">IF(OR(L$4=0,L56=""),"",IFERROR(ROUND(L56/INDEX(Undirviðmið!$F$6:$F$205,L$4)*INDEX(Undirviðmið!$E$6:$E$205,L$4)*KVARDI,2),""))</f>
        <v/>
      </c>
      <c r="N56" s="23"/>
      <c r="O56" s="40" t="str">
        <f aca="false">IF(OR(N$4=0,N56=""),"",IFERROR(ROUND(N56/INDEX(Undirviðmið!$F$6:$F$205,N$4)*INDEX(Undirviðmið!$E$6:$E$205,N$4)*KVARDI,2),""))</f>
        <v/>
      </c>
      <c r="P56" s="23"/>
      <c r="Q56" s="40" t="str">
        <f aca="false">IF(OR(P$4=0,P56=""),"",IFERROR(ROUND(P56/INDEX(Undirviðmið!$F$6:$F$205,P$4)*INDEX(Undirviðmið!$E$6:$E$205,P$4)*KVARDI,2),""))</f>
        <v/>
      </c>
      <c r="R56" s="23"/>
      <c r="S56" s="40" t="str">
        <f aca="false">IF(OR(R$4=0,R56=""),"",IFERROR(ROUND(R56/INDEX(Undirviðmið!$F$6:$F$205,R$4)*INDEX(Undirviðmið!$E$6:$E$205,R$4)*KVARDI,2),""))</f>
        <v/>
      </c>
      <c r="T56" s="23"/>
      <c r="U56" s="40" t="str">
        <f aca="false">IF(OR(T$4=0,T56=""),"",IFERROR(ROUND(T56/INDEX(Undirviðmið!$F$6:$F$205,T$4)*INDEX(Undirviðmið!$E$6:$E$205,T$4)*KVARDI,2),""))</f>
        <v/>
      </c>
      <c r="V56" s="23"/>
      <c r="W56" s="40" t="str">
        <f aca="false">IF(OR(V$4=0,V56=""),"",IFERROR(ROUND(V56/INDEX(Undirviðmið!$F$6:$F$205,V$4)*INDEX(Undirviðmið!$E$6:$E$205,V$4)*KVARDI,2),""))</f>
        <v/>
      </c>
      <c r="X56" s="23"/>
      <c r="Y56" s="40" t="str">
        <f aca="false">IF(OR(X$4=0,X56=""),"",IFERROR(ROUND(X56/INDEX(Undirviðmið!$F$6:$F$205,X$4)*INDEX(Undirviðmið!$E$6:$E$205,X$4)*KVARDI,2),""))</f>
        <v/>
      </c>
      <c r="Z56" s="23"/>
      <c r="AA56" s="40" t="str">
        <f aca="false">IF(OR(Z$4=0,Z56=""),"",IFERROR(ROUND(Z56/INDEX(Undirviðmið!$F$6:$F$205,Z$4)*INDEX(Undirviðmið!$E$6:$E$205,Z$4)*KVARDI,2),""))</f>
        <v/>
      </c>
      <c r="AB56" s="23"/>
      <c r="AC56" s="40" t="str">
        <f aca="false">IF(OR(AB$4=0,AB56=""),"",IFERROR(ROUND(AB56/INDEX(Undirviðmið!$F$6:$F$205,AB$4)*INDEX(Undirviðmið!$E$6:$E$205,AB$4)*KVARDI,2),""))</f>
        <v/>
      </c>
      <c r="AD56" s="23"/>
      <c r="AE56" s="40" t="str">
        <f aca="false">IF(OR(AD$4=0,AD56=""),"",IFERROR(ROUND(AD56/INDEX(Undirviðmið!$F$6:$F$205,AD$4)*INDEX(Undirviðmið!$E$6:$E$205,AD$4)*KVARDI,2),""))</f>
        <v/>
      </c>
      <c r="AF56" s="23"/>
      <c r="AG56" s="40" t="str">
        <f aca="false">IF(OR(AF$4=0,AF56=""),"",IFERROR(ROUND(AF56/INDEX(Undirviðmið!$F$6:$F$205,AF$4)*INDEX(Undirviðmið!$E$6:$E$205,AF$4)*KVARDI,2),""))</f>
        <v/>
      </c>
      <c r="AH56" s="23"/>
      <c r="AI56" s="40" t="str">
        <f aca="false">IF(OR(AH$4=0,AH56=""),"",IFERROR(ROUND(AH56/INDEX(Undirviðmið!$F$6:$F$205,AH$4)*INDEX(Undirviðmið!$E$6:$E$205,AH$4)*KVARDI,2),""))</f>
        <v/>
      </c>
      <c r="AJ56" s="23"/>
      <c r="AK56" s="40" t="str">
        <f aca="false">IF(OR(AJ$4=0,AJ56=""),"",IFERROR(ROUND(AJ56/INDEX(Undirviðmið!$F$6:$F$205,AJ$4)*INDEX(Undirviðmið!$E$6:$E$205,AJ$4)*KVARDI,2),""))</f>
        <v/>
      </c>
      <c r="AL56" s="23"/>
      <c r="AM56" s="40" t="str">
        <f aca="false">IF(OR(AL$4=0,AL56=""),"",IFERROR(ROUND(AL56/INDEX(Undirviðmið!$F$6:$F$205,AL$4)*INDEX(Undirviðmið!$E$6:$E$205,AL$4)*KVARDI,2),""))</f>
        <v/>
      </c>
      <c r="AN56" s="23"/>
      <c r="AO56" s="40" t="str">
        <f aca="false">IF(OR(AN$4=0,AN56=""),"",IFERROR(ROUND(AN56/INDEX(Undirviðmið!$F$6:$F$205,AN$4)*INDEX(Undirviðmið!$E$6:$E$205,AN$4)*KVARDI,2),""))</f>
        <v/>
      </c>
      <c r="AP56" s="23"/>
      <c r="AQ56" s="40" t="str">
        <f aca="false">IF(OR(AP$4=0,AP56=""),"",IFERROR(ROUND(AP56/INDEX(Undirviðmið!$F$6:$F$205,AP$4)*INDEX(Undirviðmið!$E$6:$E$205,AP$4)*KVARDI,2),""))</f>
        <v/>
      </c>
      <c r="AR56" s="23"/>
      <c r="AS56" s="40" t="str">
        <f aca="false">IF(OR(AR$4=0,AR56=""),"",IFERROR(ROUND(AR56/INDEX(Undirviðmið!$F$6:$F$205,AR$4)*INDEX(Undirviðmið!$E$6:$E$205,AR$4)*KVARDI,2),""))</f>
        <v/>
      </c>
      <c r="AT56" s="23"/>
      <c r="AU56" s="40" t="str">
        <f aca="false">IF(OR(AT$4=0,AT56=""),"",IFERROR(ROUND(AT56/INDEX(Undirviðmið!$F$6:$F$205,AT$4)*INDEX(Undirviðmið!$E$6:$E$205,AT$4)*KVARDI,2),""))</f>
        <v/>
      </c>
      <c r="AV56" s="23"/>
      <c r="AW56" s="40" t="str">
        <f aca="false">IF(OR(AV$4=0,AV56=""),"",IFERROR(ROUND(AV56/INDEX(Undirviðmið!$F$6:$F$205,AV$4)*INDEX(Undirviðmið!$E$6:$E$205,AV$4)*KVARDI,2),""))</f>
        <v/>
      </c>
      <c r="AX56" s="23"/>
      <c r="AY56" s="40" t="str">
        <f aca="false">IF(OR(AX$4=0,AX56=""),"",IFERROR(ROUND(AX56/INDEX(Undirviðmið!$F$6:$F$205,AX$4)*INDEX(Undirviðmið!$E$6:$E$205,AX$4)*KVARDI,2),""))</f>
        <v/>
      </c>
      <c r="AZ56" s="23"/>
      <c r="BA56" s="40" t="str">
        <f aca="false">IF(OR(AZ$4=0,AZ56=""),"",IFERROR(ROUND(AZ56/INDEX(Undirviðmið!$F$6:$F$205,AZ$4)*INDEX(Undirviðmið!$E$6:$E$205,AZ$4)*KVARDI,2),""))</f>
        <v/>
      </c>
      <c r="BB56" s="23"/>
      <c r="BC56" s="40" t="str">
        <f aca="false">IF(OR(BB$4=0,BB56=""),"",IFERROR(ROUND(BB56/INDEX(Undirviðmið!$F$6:$F$205,BB$4)*INDEX(Undirviðmið!$E$6:$E$205,BB$4)*KVARDI,2),""))</f>
        <v/>
      </c>
      <c r="BD56" s="23"/>
      <c r="BE56" s="40" t="str">
        <f aca="false">IF(OR(BD$4=0,BD56=""),"",IFERROR(ROUND(BD56/INDEX(Undirviðmið!$F$6:$F$205,BD$4)*INDEX(Undirviðmið!$E$6:$E$205,BD$4)*KVARDI,2),""))</f>
        <v/>
      </c>
      <c r="BF56" s="23"/>
      <c r="BG56" s="40" t="str">
        <f aca="false">IF(OR(BF$4=0,BF56=""),"",IFERROR(ROUND(BF56/INDEX(Undirviðmið!$F$6:$F$205,BF$4)*INDEX(Undirviðmið!$E$6:$E$205,BF$4)*KVARDI,2),""))</f>
        <v/>
      </c>
      <c r="BH56" s="23"/>
      <c r="BI56" s="40" t="str">
        <f aca="false">IF(OR(BH$4=0,BH56=""),"",IFERROR(ROUND(BH56/INDEX(Undirviðmið!$F$6:$F$205,BH$4)*INDEX(Undirviðmið!$E$6:$E$205,BH$4)*KVARDI,2),""))</f>
        <v/>
      </c>
      <c r="BJ56" s="23"/>
      <c r="BK56" s="40" t="str">
        <f aca="false">IF(OR(BJ$4=0,BJ56=""),"",IFERROR(ROUND(BJ56/INDEX(Undirviðmið!$F$6:$F$205,BJ$4)*INDEX(Undirviðmið!$E$6:$E$205,BJ$4)*KVARDI,2),""))</f>
        <v/>
      </c>
      <c r="BL56" s="23"/>
      <c r="BM56" s="40" t="str">
        <f aca="false">IF(OR(BL$4=0,BL56=""),"",IFERROR(ROUND(BL56/INDEX(Undirviðmið!$F$6:$F$205,BL$4)*INDEX(Undirviðmið!$E$6:$E$205,BL$4)*KVARDI,2),""))</f>
        <v/>
      </c>
      <c r="BN56" s="23"/>
      <c r="BO56" s="40" t="str">
        <f aca="false">IF(OR(BN$4=0,BN56=""),"",IFERROR(ROUND(BN56/INDEX(Undirviðmið!$F$6:$F$205,BN$4)*INDEX(Undirviðmið!$E$6:$E$205,BN$4)*KVARDI,2),""))</f>
        <v/>
      </c>
      <c r="BP56" s="23"/>
      <c r="BQ56" s="40" t="str">
        <f aca="false">IF(OR(BP$4=0,BP56=""),"",IFERROR(ROUND(BP56/INDEX(Undirviðmið!$F$6:$F$205,BP$4)*INDEX(Undirviðmið!$E$6:$E$205,BP$4)*KVARDI,2),""))</f>
        <v/>
      </c>
      <c r="BR56" s="23"/>
      <c r="BS56" s="40" t="str">
        <f aca="false">IF(OR(BR$4=0,BR56=""),"",IFERROR(ROUND(BR56/INDEX(Undirviðmið!$F$6:$F$205,BR$4)*INDEX(Undirviðmið!$E$6:$E$205,BR$4)*KVARDI,2),""))</f>
        <v/>
      </c>
      <c r="BT56" s="23"/>
      <c r="BU56" s="40" t="str">
        <f aca="false">IF(OR(BT$4=0,BT56=""),"",IFERROR(ROUND(BT56/INDEX(Undirviðmið!$F$6:$F$205,BT$4)*INDEX(Undirviðmið!$E$6:$E$205,BT$4)*KVARDI,2),""))</f>
        <v/>
      </c>
      <c r="BV56" s="23"/>
      <c r="BW56" s="40" t="str">
        <f aca="false">IF(OR(BV$4=0,BV56=""),"",IFERROR(ROUND(BV56/INDEX(Undirviðmið!$F$6:$F$205,BV$4)*INDEX(Undirviðmið!$E$6:$E$205,BV$4)*KVARDI,2),""))</f>
        <v/>
      </c>
      <c r="BX56" s="23"/>
      <c r="BY56" s="40" t="str">
        <f aca="false">IF(OR(BX$4=0,BX56=""),"",IFERROR(ROUND(BX56/INDEX(Undirviðmið!$F$6:$F$205,BX$4)*INDEX(Undirviðmið!$E$6:$E$205,BX$4)*KVARDI,2),""))</f>
        <v/>
      </c>
      <c r="BZ56" s="23"/>
      <c r="CA56" s="40" t="str">
        <f aca="false">IF(OR(BZ$4=0,BZ56=""),"",IFERROR(ROUND(BZ56/INDEX(Undirviðmið!$F$6:$F$205,BZ$4)*INDEX(Undirviðmið!$E$6:$E$205,BZ$4)*KVARDI,2),""))</f>
        <v/>
      </c>
      <c r="CB56" s="23"/>
      <c r="CC56" s="40" t="str">
        <f aca="false">IF(OR(CB$4=0,CB56=""),"",IFERROR(ROUND(CB56/INDEX(Undirviðmið!$F$6:$F$205,CB$4)*INDEX(Undirviðmið!$E$6:$E$205,CB$4)*KVARDI,2),""))</f>
        <v/>
      </c>
      <c r="CD56" s="23"/>
      <c r="CE56" s="40" t="str">
        <f aca="false">IF(OR(CD$4=0,CD56=""),"",IFERROR(ROUND(CD56/INDEX(Undirviðmið!$F$6:$F$205,CD$4)*INDEX(Undirviðmið!$E$6:$E$205,CD$4)*KVARDI,2),""))</f>
        <v/>
      </c>
      <c r="CF56" s="23"/>
      <c r="CG56" s="40" t="str">
        <f aca="false">IF(OR(CF$4=0,CF56=""),"",IFERROR(ROUND(CF56/INDEX(Undirviðmið!$F$6:$F$205,CF$4)*INDEX(Undirviðmið!$E$6:$E$205,CF$4)*KVARDI,2),""))</f>
        <v/>
      </c>
      <c r="CH56" s="23"/>
      <c r="CI56" s="40" t="str">
        <f aca="false">IF(OR(CH$4=0,CH56=""),"",IFERROR(ROUND(CH56/INDEX(Undirviðmið!$F$6:$F$205,CH$4)*INDEX(Undirviðmið!$E$6:$E$205,CH$4)*KVARDI,2),""))</f>
        <v/>
      </c>
      <c r="CJ56" s="23"/>
      <c r="CK56" s="40" t="str">
        <f aca="false">IF(OR(CJ$4=0,CJ56=""),"",IFERROR(ROUND(CJ56/INDEX(Undirviðmið!$F$6:$F$205,CJ$4)*INDEX(Undirviðmið!$E$6:$E$205,CJ$4)*KVARDI,2),""))</f>
        <v/>
      </c>
      <c r="CL56" s="23"/>
      <c r="CM56" s="40" t="str">
        <f aca="false">IF(OR(CL$4=0,CL56=""),"",IFERROR(ROUND(CL56/INDEX(Undirviðmið!$F$6:$F$205,CL$4)*INDEX(Undirviðmið!$E$6:$E$205,CL$4)*KVARDI,2),""))</f>
        <v/>
      </c>
      <c r="CN56" s="23"/>
      <c r="CO56" s="40" t="str">
        <f aca="false">IF(OR(CN$4=0,CN56=""),"",IFERROR(ROUND(CN56/INDEX(Undirviðmið!$F$6:$F$205,CN$4)*INDEX(Undirviðmið!$E$6:$E$205,CN$4)*KVARDI,2),""))</f>
        <v/>
      </c>
      <c r="CP56" s="23"/>
      <c r="CQ56" s="40" t="str">
        <f aca="false">IF(OR(CP$4=0,CP56=""),"",IFERROR(ROUND(CP56/INDEX(Undirviðmið!$F$6:$F$205,CP$4)*INDEX(Undirviðmið!$E$6:$E$205,CP$4)*KVARDI,2),""))</f>
        <v/>
      </c>
      <c r="CR56" s="23"/>
      <c r="CS56" s="40" t="str">
        <f aca="false">IF(OR(CR$4=0,CR56=""),"",IFERROR(ROUND(CR56/INDEX(Undirviðmið!$F$6:$F$205,CR$4)*INDEX(Undirviðmið!$E$6:$E$205,CR$4)*KVARDI,2),""))</f>
        <v/>
      </c>
      <c r="CT56" s="23"/>
      <c r="CU56" s="40" t="str">
        <f aca="false">IF(OR(CT$4=0,CT56=""),"",IFERROR(ROUND(CT56/INDEX(Undirviðmið!$F$6:$F$205,CT$4)*INDEX(Undirviðmið!$E$6:$E$205,CT$4)*KVARDI,2),""))</f>
        <v/>
      </c>
      <c r="CV56" s="23"/>
      <c r="CW56" s="40" t="str">
        <f aca="false">IF(OR(CV$4=0,CV56=""),"",IFERROR(ROUND(CV56/INDEX(Undirviðmið!$F$6:$F$205,CV$4)*INDEX(Undirviðmið!$E$6:$E$205,CV$4)*KVARDI,2),""))</f>
        <v/>
      </c>
      <c r="CX56" s="23"/>
      <c r="CY56" s="40" t="str">
        <f aca="false">IF(OR(CX$4=0,CX56=""),"",IFERROR(ROUND(CX56/INDEX(Undirviðmið!$F$6:$F$205,CX$4)*INDEX(Undirviðmið!$E$6:$E$205,CX$4)*KVARDI,2),""))</f>
        <v/>
      </c>
      <c r="CZ56" s="23"/>
      <c r="DA56" s="40" t="str">
        <f aca="false">IF(OR(CZ$4=0,CZ56=""),"",IFERROR(ROUND(CZ56/INDEX(Undirviðmið!$F$6:$F$205,CZ$4)*INDEX(Undirviðmið!$E$6:$E$205,CZ$4)*KVARDI,2),""))</f>
        <v/>
      </c>
      <c r="DB56" s="23"/>
      <c r="DC56" s="40" t="str">
        <f aca="false">IF(OR(DB$4=0,DB56=""),"",IFERROR(ROUND(DB56/INDEX(Undirviðmið!$F$6:$F$205,DB$4)*INDEX(Undirviðmið!$E$6:$E$205,DB$4)*KVARDI,2),""))</f>
        <v/>
      </c>
      <c r="DD56" s="23"/>
      <c r="DE56" s="40" t="str">
        <f aca="false">IF(OR(DD$4=0,DD56=""),"",IFERROR(ROUND(DD56/INDEX(Undirviðmið!$F$6:$F$205,DD$4)*INDEX(Undirviðmið!$E$6:$E$205,DD$4)*KVARDI,2),""))</f>
        <v/>
      </c>
      <c r="DF56" s="23"/>
      <c r="DG56" s="40" t="str">
        <f aca="false">IF(OR(DF$4=0,DF56=""),"",IFERROR(ROUND(DF56/INDEX(Undirviðmið!$F$6:$F$205,DF$4)*INDEX(Undirviðmið!$E$6:$E$205,DF$4)*KVARDI,2),""))</f>
        <v/>
      </c>
      <c r="DH56" s="23"/>
      <c r="DI56" s="40" t="str">
        <f aca="false">IF(OR(DH$4=0,DH56=""),"",IFERROR(ROUND(DH56/INDEX(Undirviðmið!$F$6:$F$205,DH$4)*INDEX(Undirviðmið!$E$6:$E$205,DH$4)*KVARDI,2),""))</f>
        <v/>
      </c>
      <c r="DJ56" s="23"/>
      <c r="DK56" s="40" t="str">
        <f aca="false">IF(OR(DJ$4=0,DJ56=""),"",IFERROR(ROUND(DJ56/INDEX(Undirviðmið!$F$6:$F$205,DJ$4)*INDEX(Undirviðmið!$E$6:$E$205,DJ$4)*KVARDI,2),""))</f>
        <v/>
      </c>
      <c r="DL56" s="23"/>
      <c r="DM56" s="40" t="str">
        <f aca="false">IF(OR(DL$4=0,DL56=""),"",IFERROR(ROUND(DL56/INDEX(Undirviðmið!$F$6:$F$205,DL$4)*INDEX(Undirviðmið!$E$6:$E$205,DL$4)*KVARDI,2),""))</f>
        <v/>
      </c>
      <c r="DN56" s="23"/>
      <c r="DO56" s="40" t="str">
        <f aca="false">IF(OR(DN$4=0,DN56=""),"",IFERROR(ROUND(DN56/INDEX(Undirviðmið!$F$6:$F$205,DN$4)*INDEX(Undirviðmið!$E$6:$E$205,DN$4)*KVARDI,2),""))</f>
        <v/>
      </c>
      <c r="DP56" s="23"/>
      <c r="DQ56" s="40" t="str">
        <f aca="false">IF(OR(DP$4=0,DP56=""),"",IFERROR(ROUND(DP56/INDEX(Undirviðmið!$F$6:$F$205,DP$4)*INDEX(Undirviðmið!$E$6:$E$205,DP$4)*KVARDI,2),""))</f>
        <v/>
      </c>
      <c r="DR56" s="23"/>
      <c r="DS56" s="40" t="str">
        <f aca="false">IF(OR(DR$4=0,DR56=""),"",IFERROR(ROUND(DR56/INDEX(Undirviðmið!$F$6:$F$205,DR$4)*INDEX(Undirviðmið!$E$6:$E$205,DR$4)*KVARDI,2),""))</f>
        <v/>
      </c>
      <c r="DT56" s="23"/>
      <c r="DU56" s="40" t="str">
        <f aca="false">IF(OR(DT$4=0,DT56=""),"",IFERROR(ROUND(DT56/INDEX(Undirviðmið!$F$6:$F$205,DT$4)*INDEX(Undirviðmið!$E$6:$E$205,DT$4)*KVARDI,2),""))</f>
        <v/>
      </c>
      <c r="DV56" s="23"/>
      <c r="DW56" s="40" t="str">
        <f aca="false">IF(OR(DV$4=0,DV56=""),"",IFERROR(ROUND(DV56/INDEX(Undirviðmið!$F$6:$F$205,DV$4)*INDEX(Undirviðmið!$E$6:$E$205,DV$4)*KVARDI,2),""))</f>
        <v/>
      </c>
      <c r="DX56" s="23"/>
      <c r="DY56" s="40" t="str">
        <f aca="false">IF(OR(DX$4=0,DX56=""),"",IFERROR(ROUND(DX56/INDEX(Undirviðmið!$F$6:$F$205,DX$4)*INDEX(Undirviðmið!$E$6:$E$205,DX$4)*KVARDI,2),""))</f>
        <v/>
      </c>
      <c r="DZ56" s="23"/>
      <c r="EA56" s="40" t="str">
        <f aca="false">IF(OR(DZ$4=0,DZ56=""),"",IFERROR(ROUND(DZ56/INDEX(Undirviðmið!$F$6:$F$205,DZ$4)*INDEX(Undirviðmið!$E$6:$E$205,DZ$4)*KVARDI,2),""))</f>
        <v/>
      </c>
      <c r="EB56" s="23"/>
      <c r="EC56" s="40" t="str">
        <f aca="false">IF(OR(EB$4=0,EB56=""),"",IFERROR(ROUND(EB56/INDEX(Undirviðmið!$F$6:$F$205,EB$4)*INDEX(Undirviðmið!$E$6:$E$205,EB$4)*KVARDI,2),""))</f>
        <v/>
      </c>
      <c r="ED56" s="23"/>
      <c r="EE56" s="40" t="str">
        <f aca="false">IF(OR(ED$4=0,ED56=""),"",IFERROR(ROUND(ED56/INDEX(Undirviðmið!$F$6:$F$205,ED$4)*INDEX(Undirviðmið!$E$6:$E$205,ED$4)*KVARDI,2),""))</f>
        <v/>
      </c>
      <c r="EF56" s="23"/>
      <c r="EG56" s="40" t="str">
        <f aca="false">IF(OR(EF$4=0,EF56=""),"",IFERROR(ROUND(EF56/INDEX(Undirviðmið!$F$6:$F$205,EF$4)*INDEX(Undirviðmið!$E$6:$E$205,EF$4)*KVARDI,2),""))</f>
        <v/>
      </c>
      <c r="EH56" s="23"/>
      <c r="EI56" s="40" t="str">
        <f aca="false">IF(OR(EH$4=0,EH56=""),"",IFERROR(ROUND(EH56/INDEX(Undirviðmið!$F$6:$F$205,EH$4)*INDEX(Undirviðmið!$E$6:$E$205,EH$4)*KVARDI,2),""))</f>
        <v/>
      </c>
      <c r="EJ56" s="23"/>
      <c r="EK56" s="40" t="str">
        <f aca="false">IF(OR(EJ$4=0,EJ56=""),"",IFERROR(ROUND(EJ56/INDEX(Undirviðmið!$F$6:$F$205,EJ$4)*INDEX(Undirviðmið!$E$6:$E$205,EJ$4)*KVARDI,2),""))</f>
        <v/>
      </c>
      <c r="EL56" s="23"/>
      <c r="EM56" s="40" t="str">
        <f aca="false">IF(OR(EL$4=0,EL56=""),"",IFERROR(ROUND(EL56/INDEX(Undirviðmið!$F$6:$F$205,EL$4)*INDEX(Undirviðmið!$E$6:$E$205,EL$4)*KVARDI,2),""))</f>
        <v/>
      </c>
      <c r="EN56" s="23"/>
      <c r="EO56" s="40" t="str">
        <f aca="false">IF(OR(EN$4=0,EN56=""),"",IFERROR(ROUND(EN56/INDEX(Undirviðmið!$F$6:$F$205,EN$4)*INDEX(Undirviðmið!$E$6:$E$205,EN$4)*KVARDI,2),""))</f>
        <v/>
      </c>
      <c r="EP56" s="23"/>
      <c r="EQ56" s="40" t="str">
        <f aca="false">IF(OR(EP$4=0,EP56=""),"",IFERROR(ROUND(EP56/INDEX(Undirviðmið!$F$6:$F$205,EP$4)*INDEX(Undirviðmið!$E$6:$E$205,EP$4)*KVARDI,2),""))</f>
        <v/>
      </c>
      <c r="ER56" s="23"/>
      <c r="ES56" s="40" t="str">
        <f aca="false">IF(OR(ER$4=0,ER56=""),"",IFERROR(ROUND(ER56/INDEX(Undirviðmið!$F$6:$F$205,ER$4)*INDEX(Undirviðmið!$E$6:$E$205,ER$4)*KVARDI,2),""))</f>
        <v/>
      </c>
      <c r="ET56" s="23"/>
      <c r="EU56" s="40" t="str">
        <f aca="false">IF(OR(ET$4=0,ET56=""),"",IFERROR(ROUND(ET56/INDEX(Undirviðmið!$F$6:$F$205,ET$4)*INDEX(Undirviðmið!$E$6:$E$205,ET$4)*KVARDI,2),""))</f>
        <v/>
      </c>
      <c r="EV56" s="23"/>
      <c r="EW56" s="40" t="str">
        <f aca="false">IF(OR(EV$4=0,EV56=""),"",IFERROR(ROUND(EV56/INDEX(Undirviðmið!$F$6:$F$205,EV$4)*INDEX(Undirviðmið!$E$6:$E$205,EV$4)*KVARDI,2),""))</f>
        <v/>
      </c>
      <c r="EX56" s="23"/>
      <c r="EY56" s="40" t="str">
        <f aca="false">IF(OR(EX$4=0,EX56=""),"",IFERROR(ROUND(EX56/INDEX(Undirviðmið!$F$6:$F$205,EX$4)*INDEX(Undirviðmið!$E$6:$E$205,EX$4)*KVARDI,2),""))</f>
        <v/>
      </c>
      <c r="EZ56" s="23"/>
      <c r="FA56" s="40" t="str">
        <f aca="false">IF(OR(EZ$4=0,EZ56=""),"",IFERROR(ROUND(EZ56/INDEX(Undirviðmið!$F$6:$F$205,EZ$4)*INDEX(Undirviðmið!$E$6:$E$205,EZ$4)*KVARDI,2),""))</f>
        <v/>
      </c>
      <c r="FB56" s="23"/>
      <c r="FC56" s="40" t="str">
        <f aca="false">IF(OR(FB$4=0,FB56=""),"",IFERROR(ROUND(FB56/INDEX(Undirviðmið!$F$6:$F$205,FB$4)*INDEX(Undirviðmið!$E$6:$E$205,FB$4)*KVARDI,2),""))</f>
        <v/>
      </c>
      <c r="FD56" s="23"/>
      <c r="FE56" s="40" t="str">
        <f aca="false">IF(OR(FD$4=0,FD56=""),"",IFERROR(ROUND(FD56/INDEX(Undirviðmið!$F$6:$F$205,FD$4)*INDEX(Undirviðmið!$E$6:$E$205,FD$4)*KVARDI,2),""))</f>
        <v/>
      </c>
      <c r="FF56" s="23"/>
      <c r="FG56" s="40" t="str">
        <f aca="false">IF(OR(FF$4=0,FF56=""),"",IFERROR(ROUND(FF56/INDEX(Undirviðmið!$F$6:$F$205,FF$4)*INDEX(Undirviðmið!$E$6:$E$205,FF$4)*KVARDI,2),""))</f>
        <v/>
      </c>
      <c r="FH56" s="23"/>
      <c r="FI56" s="40" t="str">
        <f aca="false">IF(OR(FH$4=0,FH56=""),"",IFERROR(ROUND(FH56/INDEX(Undirviðmið!$F$6:$F$205,FH$4)*INDEX(Undirviðmið!$E$6:$E$205,FH$4)*KVARDI,2),""))</f>
        <v/>
      </c>
      <c r="FJ56" s="23"/>
      <c r="FK56" s="40" t="str">
        <f aca="false">IF(OR(FJ$4=0,FJ56=""),"",IFERROR(ROUND(FJ56/INDEX(Undirviðmið!$F$6:$F$205,FJ$4)*INDEX(Undirviðmið!$E$6:$E$205,FJ$4)*KVARDI,2),""))</f>
        <v/>
      </c>
      <c r="FL56" s="23"/>
      <c r="FM56" s="40" t="str">
        <f aca="false">IF(OR(FL$4=0,FL56=""),"",IFERROR(ROUND(FL56/INDEX(Undirviðmið!$F$6:$F$205,FL$4)*INDEX(Undirviðmið!$E$6:$E$205,FL$4)*KVARDI,2),""))</f>
        <v/>
      </c>
      <c r="FN56" s="23"/>
      <c r="FO56" s="40" t="str">
        <f aca="false">IF(OR(FN$4=0,FN56=""),"",IFERROR(ROUND(FN56/INDEX(Undirviðmið!$F$6:$F$205,FN$4)*INDEX(Undirviðmið!$E$6:$E$205,FN$4)*KVARDI,2),""))</f>
        <v/>
      </c>
      <c r="FP56" s="23"/>
      <c r="FQ56" s="40" t="str">
        <f aca="false">IF(OR(FP$4=0,FP56=""),"",IFERROR(ROUND(FP56/INDEX(Undirviðmið!$F$6:$F$205,FP$4)*INDEX(Undirviðmið!$E$6:$E$205,FP$4)*KVARDI,2),""))</f>
        <v/>
      </c>
      <c r="FR56" s="23"/>
      <c r="FS56" s="40" t="str">
        <f aca="false">IF(OR(FR$4=0,FR56=""),"",IFERROR(ROUND(FR56/INDEX(Undirviðmið!$F$6:$F$205,FR$4)*INDEX(Undirviðmið!$E$6:$E$205,FR$4)*KVARDI,2),""))</f>
        <v/>
      </c>
      <c r="FT56" s="23"/>
      <c r="FU56" s="40" t="str">
        <f aca="false">IF(OR(FT$4=0,FT56=""),"",IFERROR(ROUND(FT56/INDEX(Undirviðmið!$F$6:$F$205,FT$4)*INDEX(Undirviðmið!$E$6:$E$205,FT$4)*KVARDI,2),""))</f>
        <v/>
      </c>
      <c r="FV56" s="23"/>
      <c r="FW56" s="40" t="str">
        <f aca="false">IF(OR(FV$4=0,FV56=""),"",IFERROR(ROUND(FV56/INDEX(Undirviðmið!$F$6:$F$205,FV$4)*INDEX(Undirviðmið!$E$6:$E$205,FV$4)*KVARDI,2),""))</f>
        <v/>
      </c>
      <c r="FX56" s="23"/>
      <c r="FY56" s="40" t="str">
        <f aca="false">IF(OR(FX$4=0,FX56=""),"",IFERROR(ROUND(FX56/INDEX(Undirviðmið!$F$6:$F$205,FX$4)*INDEX(Undirviðmið!$E$6:$E$205,FX$4)*KVARDI,2),""))</f>
        <v/>
      </c>
      <c r="FZ56" s="23"/>
      <c r="GA56" s="40" t="str">
        <f aca="false">IF(OR(FZ$4=0,FZ56=""),"",IFERROR(ROUND(FZ56/INDEX(Undirviðmið!$F$6:$F$205,FZ$4)*INDEX(Undirviðmið!$E$6:$E$205,FZ$4)*KVARDI,2),""))</f>
        <v/>
      </c>
      <c r="GB56" s="23"/>
      <c r="GC56" s="40" t="str">
        <f aca="false">IF(OR(GB$4=0,GB56=""),"",IFERROR(ROUND(GB56/INDEX(Undirviðmið!$F$6:$F$205,GB$4)*INDEX(Undirviðmið!$E$6:$E$205,GB$4)*KVARDI,2),""))</f>
        <v/>
      </c>
      <c r="GD56" s="23"/>
      <c r="GE56" s="40" t="str">
        <f aca="false">IF(OR(GD$4=0,GD56=""),"",IFERROR(ROUND(GD56/INDEX(Undirviðmið!$F$6:$F$205,GD$4)*INDEX(Undirviðmið!$E$6:$E$205,GD$4)*KVARDI,2),""))</f>
        <v/>
      </c>
      <c r="GF56" s="23"/>
      <c r="GG56" s="40" t="str">
        <f aca="false">IF(OR(GF$4=0,GF56=""),"",IFERROR(ROUND(GF56/INDEX(Undirviðmið!$F$6:$F$205,GF$4)*INDEX(Undirviðmið!$E$6:$E$205,GF$4)*KVARDI,2),""))</f>
        <v/>
      </c>
      <c r="GH56" s="23"/>
      <c r="GI56" s="40" t="str">
        <f aca="false">IF(OR(GH$4=0,GH56=""),"",IFERROR(ROUND(GH56/INDEX(Undirviðmið!$F$6:$F$205,GH$4)*INDEX(Undirviðmið!$E$6:$E$205,GH$4)*KVARDI,2),""))</f>
        <v/>
      </c>
      <c r="GJ56" s="23"/>
      <c r="GK56" s="40" t="str">
        <f aca="false">IF(OR(GJ$4=0,GJ56=""),"",IFERROR(ROUND(GJ56/INDEX(Undirviðmið!$F$6:$F$205,GJ$4)*INDEX(Undirviðmið!$E$6:$E$205,GJ$4)*KVARDI,2),""))</f>
        <v/>
      </c>
      <c r="GL56" s="23"/>
      <c r="GM56" s="40" t="str">
        <f aca="false">IF(OR(GL$4=0,GL56=""),"",IFERROR(ROUND(GL56/INDEX(Undirviðmið!$F$6:$F$205,GL$4)*INDEX(Undirviðmið!$E$6:$E$205,GL$4)*KVARDI,2),""))</f>
        <v/>
      </c>
      <c r="GN56" s="23"/>
      <c r="GO56" s="40" t="str">
        <f aca="false">IF(OR(GN$4=0,GN56=""),"",IFERROR(ROUND(GN56/INDEX(Undirviðmið!$F$6:$F$205,GN$4)*INDEX(Undirviðmið!$E$6:$E$205,GN$4)*KVARDI,2),""))</f>
        <v/>
      </c>
      <c r="GP56" s="23"/>
      <c r="GQ56" s="40" t="str">
        <f aca="false">IF(OR(GP$4=0,GP56=""),"",IFERROR(ROUND(GP56/INDEX(Undirviðmið!$F$6:$F$205,GP$4)*INDEX(Undirviðmið!$E$6:$E$205,GP$4)*KVARDI,2),""))</f>
        <v/>
      </c>
      <c r="GR56" s="23"/>
      <c r="GS56" s="40" t="str">
        <f aca="false">IF(OR(GR$4=0,GR56=""),"",IFERROR(ROUND(GR56/INDEX(Undirviðmið!$F$6:$F$205,GR$4)*INDEX(Undirviðmið!$E$6:$E$205,GR$4)*KVARDI,2),""))</f>
        <v/>
      </c>
      <c r="GT56" s="23"/>
      <c r="GU56" s="40" t="str">
        <f aca="false">IF(OR(GT$4=0,GT56=""),"",IFERROR(ROUND(GT56/INDEX(Undirviðmið!$F$6:$F$205,GT$4)*INDEX(Undirviðmið!$E$6:$E$205,GT$4)*KVARDI,2),""))</f>
        <v/>
      </c>
      <c r="GV56" s="44" t="n">
        <f aca="false">IFERROR(SUMIF($D$6:GU$6,"Stig",$D56:GU56),0)</f>
        <v>0</v>
      </c>
    </row>
  </sheetData>
  <mergeCells count="103">
    <mergeCell ref="B2:F2"/>
    <mergeCell ref="B3:M3"/>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V5:BW5"/>
    <mergeCell ref="BX5:BY5"/>
    <mergeCell ref="BZ5:CA5"/>
    <mergeCell ref="CB5:CC5"/>
    <mergeCell ref="CD5:CE5"/>
    <mergeCell ref="CF5:CG5"/>
    <mergeCell ref="CH5:CI5"/>
    <mergeCell ref="CJ5:CK5"/>
    <mergeCell ref="CL5:CM5"/>
    <mergeCell ref="CN5:CO5"/>
    <mergeCell ref="CP5:CQ5"/>
    <mergeCell ref="CR5:CS5"/>
    <mergeCell ref="CT5:CU5"/>
    <mergeCell ref="CV5:CW5"/>
    <mergeCell ref="CX5:CY5"/>
    <mergeCell ref="CZ5:DA5"/>
    <mergeCell ref="DB5:DC5"/>
    <mergeCell ref="DD5:DE5"/>
    <mergeCell ref="DF5:DG5"/>
    <mergeCell ref="DH5:DI5"/>
    <mergeCell ref="DJ5:DK5"/>
    <mergeCell ref="DL5:DM5"/>
    <mergeCell ref="DN5:DO5"/>
    <mergeCell ref="DP5:DQ5"/>
    <mergeCell ref="DR5:DS5"/>
    <mergeCell ref="DT5:DU5"/>
    <mergeCell ref="DV5:DW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FN5:FO5"/>
    <mergeCell ref="FP5:FQ5"/>
    <mergeCell ref="FR5:FS5"/>
    <mergeCell ref="FT5:FU5"/>
    <mergeCell ref="FV5:FW5"/>
    <mergeCell ref="FX5:FY5"/>
    <mergeCell ref="FZ5:GA5"/>
    <mergeCell ref="GB5:GC5"/>
    <mergeCell ref="GD5:GE5"/>
    <mergeCell ref="GF5:GG5"/>
    <mergeCell ref="GH5:GI5"/>
    <mergeCell ref="GJ5:GK5"/>
    <mergeCell ref="GL5:GM5"/>
    <mergeCell ref="GN5:GO5"/>
    <mergeCell ref="GP5:GQ5"/>
    <mergeCell ref="GR5:GS5"/>
    <mergeCell ref="GT5:GU5"/>
    <mergeCell ref="GV5:GV6"/>
  </mergeCells>
  <conditionalFormatting sqref="D7:D10006">
    <cfRule type="expression" priority="2" aboveAverage="0" equalAverage="0" bottom="0" percent="0" rank="0" text="" dxfId="2">
      <formula>D$4=0</formula>
    </cfRule>
    <cfRule type="expression" priority="3" aboveAverage="0" equalAverage="0" bottom="0" percent="0" rank="0" text="" dxfId="1">
      <formula>AND(D7&lt;&gt;"",D$4&lt;&gt;0,D7&gt;INDEX(Undirviðmið!$F$6:$F$205,D$4))</formula>
    </cfRule>
  </conditionalFormatting>
  <conditionalFormatting sqref="E7:E10006">
    <cfRule type="expression" priority="4" aboveAverage="0" equalAverage="0" bottom="0" percent="0" rank="0" text="" dxfId="2">
      <formula>D$4=0</formula>
    </cfRule>
  </conditionalFormatting>
  <conditionalFormatting sqref="F7:F10006">
    <cfRule type="expression" priority="5" aboveAverage="0" equalAverage="0" bottom="0" percent="0" rank="0" text="" dxfId="2">
      <formula>F$4=0</formula>
    </cfRule>
    <cfRule type="expression" priority="6" aboveAverage="0" equalAverage="0" bottom="0" percent="0" rank="0" text="" dxfId="1">
      <formula>AND(F7&lt;&gt;"",F$4&lt;&gt;0,F7&gt;INDEX(Undirviðmið!$F$6:$F$205,F$4))</formula>
    </cfRule>
  </conditionalFormatting>
  <conditionalFormatting sqref="G7:G10006">
    <cfRule type="expression" priority="7" aboveAverage="0" equalAverage="0" bottom="0" percent="0" rank="0" text="" dxfId="2">
      <formula>F$4=0</formula>
    </cfRule>
  </conditionalFormatting>
  <conditionalFormatting sqref="H7:H10006">
    <cfRule type="expression" priority="8" aboveAverage="0" equalAverage="0" bottom="0" percent="0" rank="0" text="" dxfId="2">
      <formula>H$4=0</formula>
    </cfRule>
    <cfRule type="expression" priority="9" aboveAverage="0" equalAverage="0" bottom="0" percent="0" rank="0" text="" dxfId="1">
      <formula>AND(H7&lt;&gt;"",H$4&lt;&gt;0,H7&gt;INDEX(Undirviðmið!$F$6:$F$205,H$4))</formula>
    </cfRule>
  </conditionalFormatting>
  <conditionalFormatting sqref="I7:I10006">
    <cfRule type="expression" priority="10" aboveAverage="0" equalAverage="0" bottom="0" percent="0" rank="0" text="" dxfId="2">
      <formula>H$4=0</formula>
    </cfRule>
  </conditionalFormatting>
  <conditionalFormatting sqref="J7:J10006">
    <cfRule type="expression" priority="11" aboveAverage="0" equalAverage="0" bottom="0" percent="0" rank="0" text="" dxfId="2">
      <formula>J$4=0</formula>
    </cfRule>
    <cfRule type="expression" priority="12" aboveAverage="0" equalAverage="0" bottom="0" percent="0" rank="0" text="" dxfId="1">
      <formula>AND(J7&lt;&gt;"",J$4&lt;&gt;0,J7&gt;INDEX(Undirviðmið!$F$6:$F$205,J$4))</formula>
    </cfRule>
  </conditionalFormatting>
  <conditionalFormatting sqref="K7:K10006">
    <cfRule type="expression" priority="13" aboveAverage="0" equalAverage="0" bottom="0" percent="0" rank="0" text="" dxfId="2">
      <formula>J$4=0</formula>
    </cfRule>
  </conditionalFormatting>
  <conditionalFormatting sqref="L7:L10006">
    <cfRule type="expression" priority="14" aboveAverage="0" equalAverage="0" bottom="0" percent="0" rank="0" text="" dxfId="2">
      <formula>L$4=0</formula>
    </cfRule>
    <cfRule type="expression" priority="15" aboveAverage="0" equalAverage="0" bottom="0" percent="0" rank="0" text="" dxfId="1">
      <formula>AND(L7&lt;&gt;"",L$4&lt;&gt;0,L7&gt;INDEX(Undirviðmið!$F$6:$F$205,L$4))</formula>
    </cfRule>
  </conditionalFormatting>
  <conditionalFormatting sqref="M7:M10006">
    <cfRule type="expression" priority="16" aboveAverage="0" equalAverage="0" bottom="0" percent="0" rank="0" text="" dxfId="2">
      <formula>L$4=0</formula>
    </cfRule>
  </conditionalFormatting>
  <conditionalFormatting sqref="N7:N10006">
    <cfRule type="expression" priority="17" aboveAverage="0" equalAverage="0" bottom="0" percent="0" rank="0" text="" dxfId="2">
      <formula>N$4=0</formula>
    </cfRule>
    <cfRule type="expression" priority="18" aboveAverage="0" equalAverage="0" bottom="0" percent="0" rank="0" text="" dxfId="1">
      <formula>AND(N7&lt;&gt;"",N$4&lt;&gt;0,N7&gt;INDEX(Undirviðmið!$F$6:$F$205,N$4))</formula>
    </cfRule>
  </conditionalFormatting>
  <conditionalFormatting sqref="O7:O10006">
    <cfRule type="expression" priority="19" aboveAverage="0" equalAverage="0" bottom="0" percent="0" rank="0" text="" dxfId="2">
      <formula>N$4=0</formula>
    </cfRule>
  </conditionalFormatting>
  <conditionalFormatting sqref="P7:P10006">
    <cfRule type="expression" priority="20" aboveAverage="0" equalAverage="0" bottom="0" percent="0" rank="0" text="" dxfId="2">
      <formula>P$4=0</formula>
    </cfRule>
    <cfRule type="expression" priority="21" aboveAverage="0" equalAverage="0" bottom="0" percent="0" rank="0" text="" dxfId="1">
      <formula>AND(P7&lt;&gt;"",P$4&lt;&gt;0,P7&gt;INDEX(Undirviðmið!$F$6:$F$205,P$4))</formula>
    </cfRule>
  </conditionalFormatting>
  <conditionalFormatting sqref="Q7:Q10006">
    <cfRule type="expression" priority="22" aboveAverage="0" equalAverage="0" bottom="0" percent="0" rank="0" text="" dxfId="2">
      <formula>P$4=0</formula>
    </cfRule>
  </conditionalFormatting>
  <conditionalFormatting sqref="R7:R10006">
    <cfRule type="expression" priority="23" aboveAverage="0" equalAverage="0" bottom="0" percent="0" rank="0" text="" dxfId="2">
      <formula>R$4=0</formula>
    </cfRule>
    <cfRule type="expression" priority="24" aboveAverage="0" equalAverage="0" bottom="0" percent="0" rank="0" text="" dxfId="1">
      <formula>AND(R7&lt;&gt;"",R$4&lt;&gt;0,R7&gt;INDEX(Undirviðmið!$F$6:$F$205,R$4))</formula>
    </cfRule>
  </conditionalFormatting>
  <conditionalFormatting sqref="S7:S10006">
    <cfRule type="expression" priority="25" aboveAverage="0" equalAverage="0" bottom="0" percent="0" rank="0" text="" dxfId="2">
      <formula>R$4=0</formula>
    </cfRule>
  </conditionalFormatting>
  <conditionalFormatting sqref="T7:T10006">
    <cfRule type="expression" priority="26" aboveAverage="0" equalAverage="0" bottom="0" percent="0" rank="0" text="" dxfId="2">
      <formula>T$4=0</formula>
    </cfRule>
    <cfRule type="expression" priority="27" aboveAverage="0" equalAverage="0" bottom="0" percent="0" rank="0" text="" dxfId="1">
      <formula>AND(T7&lt;&gt;"",T$4&lt;&gt;0,T7&gt;INDEX(Undirviðmið!$F$6:$F$205,T$4))</formula>
    </cfRule>
  </conditionalFormatting>
  <conditionalFormatting sqref="U7:U10006">
    <cfRule type="expression" priority="28" aboveAverage="0" equalAverage="0" bottom="0" percent="0" rank="0" text="" dxfId="2">
      <formula>T$4=0</formula>
    </cfRule>
  </conditionalFormatting>
  <conditionalFormatting sqref="V7:V10006">
    <cfRule type="expression" priority="29" aboveAverage="0" equalAverage="0" bottom="0" percent="0" rank="0" text="" dxfId="2">
      <formula>V$4=0</formula>
    </cfRule>
    <cfRule type="expression" priority="30" aboveAverage="0" equalAverage="0" bottom="0" percent="0" rank="0" text="" dxfId="1">
      <formula>AND(V7&lt;&gt;"",V$4&lt;&gt;0,V7&gt;INDEX(Undirviðmið!$F$6:$F$205,V$4))</formula>
    </cfRule>
  </conditionalFormatting>
  <conditionalFormatting sqref="W7:W10006">
    <cfRule type="expression" priority="31" aboveAverage="0" equalAverage="0" bottom="0" percent="0" rank="0" text="" dxfId="2">
      <formula>V$4=0</formula>
    </cfRule>
  </conditionalFormatting>
  <conditionalFormatting sqref="X7:X10006">
    <cfRule type="expression" priority="32" aboveAverage="0" equalAverage="0" bottom="0" percent="0" rank="0" text="" dxfId="2">
      <formula>X$4=0</formula>
    </cfRule>
    <cfRule type="expression" priority="33" aboveAverage="0" equalAverage="0" bottom="0" percent="0" rank="0" text="" dxfId="1">
      <formula>AND(X7&lt;&gt;"",X$4&lt;&gt;0,X7&gt;INDEX(Undirviðmið!$F$6:$F$205,X$4))</formula>
    </cfRule>
  </conditionalFormatting>
  <conditionalFormatting sqref="Y7:Y10006">
    <cfRule type="expression" priority="34" aboveAverage="0" equalAverage="0" bottom="0" percent="0" rank="0" text="" dxfId="2">
      <formula>X$4=0</formula>
    </cfRule>
  </conditionalFormatting>
  <conditionalFormatting sqref="Z7:Z10006">
    <cfRule type="expression" priority="35" aboveAverage="0" equalAverage="0" bottom="0" percent="0" rank="0" text="" dxfId="2">
      <formula>Z$4=0</formula>
    </cfRule>
    <cfRule type="expression" priority="36" aboveAverage="0" equalAverage="0" bottom="0" percent="0" rank="0" text="" dxfId="1">
      <formula>AND(Z7&lt;&gt;"",Z$4&lt;&gt;0,Z7&gt;INDEX(Undirviðmið!$F$6:$F$205,Z$4))</formula>
    </cfRule>
  </conditionalFormatting>
  <conditionalFormatting sqref="AA7:AA10006">
    <cfRule type="expression" priority="37" aboveAverage="0" equalAverage="0" bottom="0" percent="0" rank="0" text="" dxfId="2">
      <formula>Z$4=0</formula>
    </cfRule>
  </conditionalFormatting>
  <conditionalFormatting sqref="AB7:AB10006">
    <cfRule type="expression" priority="38" aboveAverage="0" equalAverage="0" bottom="0" percent="0" rank="0" text="" dxfId="2">
      <formula>AB$4=0</formula>
    </cfRule>
    <cfRule type="expression" priority="39" aboveAverage="0" equalAverage="0" bottom="0" percent="0" rank="0" text="" dxfId="1">
      <formula>AND(AB7&lt;&gt;"",AB$4&lt;&gt;0,AB7&gt;INDEX(Undirviðmið!$F$6:$F$205,AB$4))</formula>
    </cfRule>
  </conditionalFormatting>
  <conditionalFormatting sqref="AC7:AC10006">
    <cfRule type="expression" priority="40" aboveAverage="0" equalAverage="0" bottom="0" percent="0" rank="0" text="" dxfId="2">
      <formula>AB$4=0</formula>
    </cfRule>
  </conditionalFormatting>
  <conditionalFormatting sqref="AD7:AD10006">
    <cfRule type="expression" priority="41" aboveAverage="0" equalAverage="0" bottom="0" percent="0" rank="0" text="" dxfId="2">
      <formula>AD$4=0</formula>
    </cfRule>
    <cfRule type="expression" priority="42" aboveAverage="0" equalAverage="0" bottom="0" percent="0" rank="0" text="" dxfId="1">
      <formula>AND(AD7&lt;&gt;"",AD$4&lt;&gt;0,AD7&gt;INDEX(Undirviðmið!$F$6:$F$205,AD$4))</formula>
    </cfRule>
  </conditionalFormatting>
  <conditionalFormatting sqref="AE7:AE10006">
    <cfRule type="expression" priority="43" aboveAverage="0" equalAverage="0" bottom="0" percent="0" rank="0" text="" dxfId="2">
      <formula>AD$4=0</formula>
    </cfRule>
  </conditionalFormatting>
  <conditionalFormatting sqref="AF7:AF10006">
    <cfRule type="expression" priority="44" aboveAverage="0" equalAverage="0" bottom="0" percent="0" rank="0" text="" dxfId="2">
      <formula>AF$4=0</formula>
    </cfRule>
    <cfRule type="expression" priority="45" aboveAverage="0" equalAverage="0" bottom="0" percent="0" rank="0" text="" dxfId="1">
      <formula>AND(AF7&lt;&gt;"",AF$4&lt;&gt;0,AF7&gt;INDEX(Undirviðmið!$F$6:$F$205,AF$4))</formula>
    </cfRule>
  </conditionalFormatting>
  <conditionalFormatting sqref="AH7:AH10006 AJ7:AJ10006 AL7:AL10006 AN7:AN10006 AP7:AP10006 AR7:AR10006 AT7:AT10006 AV7:AV10006 AX7:AX10006 AZ7:AZ10006 BB7:BB10006 BD7:BD10006 BF7:BF10006 BH7:BH10006 BJ7:BJ10006 BL7:BL10006 BN7:BN10006 BP7:BP10006 BR7:BR10006 BT7:BT10006 BV7:BV10006 BX7:BX10006 BZ7:BZ10006 CB7:CB10006 CD7:CD10006 CF7:CF10006 CH7:CH10006 CJ7:CJ10006 CL7:CL10006 CN7:CN10006 CP7:CP10006 CR7:CR10006 CT7:CT10006 CV7:CV10006 CX7:CX10006 CZ7:CZ10006 DB7:DB10006 DD7:DD10006 DF7:DF10006 DH7:DH10006 DJ7:DJ10006 DL7:DL10006 DN7:DN10006 DP7:DP10006 DR7:DR10006 DT7:DT10006 DV7:DV10006 DX7:DX10006 DZ7:DZ10006 EB7:EB10006 ED7:ED10006 EF7:EF10006 EH7:EH10006 EJ7:EJ10006 EL7:EL10006 EN7:EN10006 EP7:EP10006 ER7:ER10006 ET7:ET10006 EV7:EV10006 EX7:EX10006 EZ7:EZ10006 FB7:FB10006 FD7:FD10006 FF7:FF10006 FH7:FH10006 FJ7:FJ10006 FL7:FL10006 FN7:FN10006 FP7:FP10006 FR7:FR10006 FT7:FT10006 FV7:FV10006 FX7:FX10006 FZ7:FZ10006 GB7:GB10006 GD7:GD10006 GF7:GF10006 GH7:GH10006 GJ7:GJ10006 GL7:GL10006 GN7:GN10006 GP7:GP10006 GR7:GR10006 GT7:GT10006">
    <cfRule type="expression" priority="46" aboveAverage="0" equalAverage="0" bottom="0" percent="0" rank="0" text="" dxfId="2">
      <formula>AH$4=0</formula>
    </cfRule>
    <cfRule type="expression" priority="47" aboveAverage="0" equalAverage="0" bottom="0" percent="0" rank="0" text="" dxfId="1">
      <formula>AND(AH7&lt;&gt;"",AH$4&lt;&gt;0,AH7&gt;INDEX(Undirviðmið!$F$6:$F$205,AH$4))</formula>
    </cfRule>
  </conditionalFormatting>
  <conditionalFormatting sqref="AG7:AG10006">
    <cfRule type="expression" priority="48" aboveAverage="0" equalAverage="0" bottom="0" percent="0" rank="0" text="" dxfId="2">
      <formula>AF$4=0</formula>
    </cfRule>
  </conditionalFormatting>
  <conditionalFormatting sqref="AI7:AI10006 AK7:AK10006 AM7:AM10006 AO7:AO10006 AQ7:AQ10006 AS7:AS10006 AU7:AU10006 AW7:AW10006 AY7:AY10006 BA7:BA10006 BC7:BC10006 BE7:BE10006 BG7:BG10006 BI7:BI10006 BK7:BK10006 BM7:BM10006 BO7:BO10006 BQ7:BQ10006 BS7:BS10006 BU7:BU10006 BW7:BW10006 BY7:BY10006 CA7:CA10006 CC7:CC10006 CE7:CE10006 CG7:CG10006 CI7:CI10006 CK7:CK10006 CM7:CM10006 CO7:CO10006 CQ7:CQ10006 CS7:CS10006 CU7:CU10006 CW7:CW10006 CY7:CY10006 DA7:DA10006 DC7:DC10006 DE7:DE10006 DG7:DG10006 DI7:DI10006 DK7:DK10006 DM7:DM10006 DO7:DO10006 DQ7:DQ10006 DS7:DS10006 DU7:DU10006 DW7:DW10006 DY7:DY10006 EA7:EA10006 EC7:EC10006 EE7:EE10006 EG7:EG10006 EI7:EI10006 EK7:EK10006 EM7:EM10006 EO7:EO10006 EQ7:EQ10006 ES7:ES10006 EU7:EU10006 EW7:EW10006 EY7:EY10006 FA7:FA10006 FC7:FC10006 FE7:FE10006 FG7:FG10006 FI7:FI10006 FK7:FK10006 FM7:FM10006 FO7:FO10006 FQ7:FQ10006 FS7:FS10006 FU7:FU10006 FW7:FW10006 FY7:FY10006 GA7:GA10006 GC7:GC10006 GE7:GE10006 GG7:GG10006 GI7:GI10006 GK7:GK10006 GM7:GM10006 GO7:GO10006 GQ7:GQ10006 GS7:GS10006 GU7:GU10006">
    <cfRule type="expression" priority="49" aboveAverage="0" equalAverage="0" bottom="0" percent="0" rank="0" text="" dxfId="2">
      <formula>AH$4=0</formula>
    </cfRule>
  </conditionalFormatting>
  <dataValidations count="2">
    <dataValidation allowBlank="true" error="Þrep verður að vera heil tala milli 1 og fjölda þrepa fyrir viðkomandi undirviðmið." errorStyle="stop" errorTitle="Ógilt þrep" operator="between" showDropDown="false" showErrorMessage="true" showInputMessage="false" sqref="D7:D56 F7:F56 H7:H56 J7:J56 L7:L56 N7:N56 P7:P56 R7:R56 T7:T56 V7:V56 X7:X56 Z7:Z56 AB7:AB56 AD7:AD56 AF7:AF56" type="whole">
      <formula1>1</formula1>
      <formula2>8</formula2>
    </dataValidation>
    <dataValidation allowBlank="true" errorStyle="stop" operator="between" showDropDown="false" showErrorMessage="false" showInputMessage="false" sqref="AH7:AH56 AJ7:AJ56 AL7:AL56 AN7:AN56 AP7:AP56 AR7:AR56 AT7:AT56 AV7:AV56 AX7:AX56 AZ7:AZ56 BB7:BB56 BD7:BD56 BF7:BF56 BH7:BH56 BJ7:BJ56 BL7:BL56 BN7:BN56 BP7:BP56 BR7:BR56 BT7:BT56 BV7:BV56 BX7:BX56 BZ7:BZ56 CB7:CB56 CD7:CD56 CF7:CF56 CH7:CH56 CJ7:CJ56 CL7:CL56 CN7:CN56 CP7:CP56 CR7:CR56 CT7:CT56 CV7:CV56 CX7:CX56 CZ7:CZ56 DB7:DB56 DD7:DD56 DF7:DF56 DH7:DH56 DJ7:DJ56 DL7:DL56 DN7:DN56 DP7:DP56 DR7:DR56 DT7:DT56 DV7:DV56 DX7:DX56 DZ7:DZ56 EB7:EB56 ED7:ED56 EF7:EF56 EH7:EH56 EJ7:EJ56 EL7:EL56 EN7:EN56 EP7:EP56 ER7:ER56 ET7:ET56 EV7:EV56 EX7:EX56 EZ7:EZ56 FB7:FB56 FD7:FD56 FF7:FF56 FH7:FH56 FJ7:FJ56 FL7:FL56 FN7:FN56 FP7:FP56 FR7:FR56 FT7:FT56 FV7:FV56 FX7:FX56 FZ7:FZ56 GB7:GB56 GD7:GD56 GF7:GF56 GH7:GH56 GJ7:GJ56 GL7:GL56 GN7:GN56 GP7:GP56 GR7:GR56 GT7:GT56" type="whole">
      <formula1>1</formula1>
      <formula2>8</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4C93"/>
    <pageSetUpPr fitToPage="false"/>
  </sheetPr>
  <dimension ref="A2:N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20"/>
    <col collapsed="false" customWidth="true" hidden="false" outlineLevel="0" max="4" min="4" style="1" width="8"/>
    <col collapsed="false" customWidth="true" hidden="false" outlineLevel="0" max="5" min="5" style="1" width="12"/>
    <col collapsed="false" customWidth="true" hidden="false" outlineLevel="0" max="7" min="6" style="1" width="14"/>
    <col collapsed="false" customWidth="true" hidden="false" outlineLevel="0" max="8" min="8" style="1" width="12"/>
    <col collapsed="false" customWidth="true" hidden="false" outlineLevel="0" max="12" min="9" style="1" width="14"/>
    <col collapsed="false" customWidth="true" hidden="false" outlineLevel="0" max="14" min="13" style="1" width="18"/>
  </cols>
  <sheetData>
    <row r="2" customFormat="false" ht="19.5" hidden="false" customHeight="true" outlineLevel="0" collapsed="false">
      <c r="B2" s="10" t="s">
        <v>136</v>
      </c>
      <c r="C2" s="10"/>
      <c r="D2" s="10"/>
      <c r="E2" s="10"/>
      <c r="F2" s="10"/>
      <c r="G2" s="10"/>
      <c r="H2" s="10"/>
      <c r="I2" s="10"/>
      <c r="J2" s="10"/>
      <c r="K2" s="10"/>
      <c r="L2" s="10"/>
      <c r="M2" s="10"/>
      <c r="N2" s="10"/>
    </row>
    <row r="3" customFormat="false" ht="15" hidden="false" customHeight="true" outlineLevel="0" collapsed="false">
      <c r="B3" s="11" t="s">
        <v>137</v>
      </c>
      <c r="C3" s="11"/>
      <c r="D3" s="11"/>
      <c r="E3" s="11"/>
      <c r="F3" s="11"/>
      <c r="G3" s="11"/>
      <c r="H3" s="11"/>
      <c r="I3" s="11"/>
      <c r="J3" s="11"/>
      <c r="K3" s="11"/>
      <c r="L3" s="11"/>
      <c r="M3" s="11"/>
      <c r="N3" s="11"/>
    </row>
    <row r="4" customFormat="false" ht="15.75" hidden="false" customHeight="true" outlineLevel="0" collapsed="false">
      <c r="E4" s="45" t="s">
        <v>138</v>
      </c>
      <c r="F4" s="46" t="n">
        <f aca="false">SUMIF(Viðmið!$B$6:$B$10,"Starfsbundið",Viðmið!$E$6:$E$10)*KVARDI</f>
        <v>0</v>
      </c>
      <c r="G4" s="46" t="n">
        <f aca="false">SUMIF(Viðmið!$B$6:$B$10,"Einstaklingsbundið",Viðmið!$E$6:$E$10)*KVARDI</f>
        <v>0</v>
      </c>
      <c r="H4" s="46" t="n">
        <f aca="false">SUM(Viðmið!$E$6:$E$10)*KVARDI</f>
        <v>0</v>
      </c>
    </row>
    <row r="5" customFormat="false" ht="30" hidden="false" customHeight="true" outlineLevel="0" collapsed="false">
      <c r="A5" s="12" t="s">
        <v>96</v>
      </c>
      <c r="B5" s="12" t="s">
        <v>51</v>
      </c>
      <c r="C5" s="12" t="s">
        <v>112</v>
      </c>
      <c r="D5" s="12" t="s">
        <v>113</v>
      </c>
      <c r="E5" s="12" t="s">
        <v>42</v>
      </c>
      <c r="F5" s="12" t="s">
        <v>139</v>
      </c>
      <c r="G5" s="12" t="s">
        <v>140</v>
      </c>
      <c r="H5" s="12" t="s">
        <v>141</v>
      </c>
      <c r="I5" s="12" t="s">
        <v>142</v>
      </c>
      <c r="J5" s="12" t="s">
        <v>143</v>
      </c>
      <c r="K5" s="12" t="s">
        <v>44</v>
      </c>
      <c r="L5" s="12" t="s">
        <v>144</v>
      </c>
      <c r="M5" s="12" t="s">
        <v>145</v>
      </c>
      <c r="N5" s="12" t="s">
        <v>146</v>
      </c>
    </row>
    <row r="6" customFormat="false" ht="15" hidden="false" customHeight="true" outlineLevel="0" collapsed="false">
      <c r="A6" s="22" t="n">
        <v>1</v>
      </c>
      <c r="B6" s="24" t="str">
        <f aca="false">IF(INDEX(Starfsmenn!$B$6:$B$10005,$A6)="","",INDEX(Starfsmenn!$B$6:$B$10005,$A6))</f>
        <v/>
      </c>
      <c r="C6" s="24" t="str">
        <f aca="false">IF(INDEX(Starfsmenn!$C$6:$C$10005,$A6)="","",INDEX(Starfsmenn!$C$6:$C$10005,$A6))</f>
        <v/>
      </c>
      <c r="D6" s="47" t="str">
        <f aca="false">IF(INDEX(Starfsmenn!$D$6:$D$10005,$A6)="","",INDEX(Starfsmenn!$D$6:$D$10005,$A6))</f>
        <v/>
      </c>
      <c r="E6" s="48" t="str">
        <f aca="false">IF(INDEX(Starfsmenn!$E$6:$E$10005,$A6)="","",INDEX(Starfsmenn!$E$6:$E$10005,$A6))</f>
        <v/>
      </c>
      <c r="F6" s="25" t="str">
        <f aca="false">IFERROR(IF(INDEX(Starfsmenn!$C$6:$C$10005,$A6)="","",INDEX('Flokkun starfa'!$C$11:$C$110,MATCH(INDEX(Starfsmenn!$C$6:$C$10005,$A6),'Flokkun starfa'!$B$11:$B$110,0))),"")</f>
        <v/>
      </c>
      <c r="G6" s="33" t="n">
        <f aca="false">IFERROR(INDEX('Flokkun starfsmanna'!$GV$7:$GV$10006,$A6),0)</f>
        <v>0</v>
      </c>
      <c r="H6" s="44" t="n">
        <f aca="false">IFERROR(IF(AND(F6="",G6=""),"",IF(F6="",0,F6)+IF(G6="",0,G6)),"")</f>
        <v>0</v>
      </c>
      <c r="I6" s="49" t="str">
        <f aca="false">IF(INDEX(Starfsmenn!$I$6:$I$10005,$A6)="","",INDEX(Starfsmenn!$I$6:$I$10005,$A6))</f>
        <v/>
      </c>
      <c r="J6" s="49" t="str">
        <f aca="false">IF(INDEX(Starfsmenn!$P$6:$P$10005,$A6)="","",INDEX(Starfsmenn!$P$6:$P$10005,$A6))</f>
        <v/>
      </c>
      <c r="K6" s="49" t="str">
        <f aca="false">IF(INDEX(Starfsmenn!$Q$6:$Q$10005,$A6)="","",INDEX(Starfsmenn!$Q$6:$Q$10005,$A6))</f>
        <v/>
      </c>
      <c r="L6" s="50" t="str">
        <f aca="false">IFERROR(IF(AND(I6="",J6="",K6=""),"",IF(I6="",0,I6)+IF(J6="",0,J6)+IF(K6="",0,K6)),"")</f>
        <v/>
      </c>
      <c r="M6" s="49" t="str">
        <f aca="false">IF(INDEX(Starfsmenn!$R$6:$R$10005,$A6)="","",INDEX(Starfsmenn!$R$6:$R$10005,$A6))</f>
        <v/>
      </c>
      <c r="N6" s="50" t="str">
        <f aca="false">IF(INDEX(Starfsmenn!$S$6:$S$10005,$A6)="","",INDEX(Starfsmenn!$S$6:$S$10005,$A6))</f>
        <v/>
      </c>
    </row>
    <row r="7" customFormat="false" ht="15" hidden="false" customHeight="true" outlineLevel="0" collapsed="false">
      <c r="A7" s="22" t="n">
        <v>2</v>
      </c>
      <c r="B7" s="24" t="str">
        <f aca="false">IF(INDEX(Starfsmenn!$B$6:$B$10005,$A7)="","",INDEX(Starfsmenn!$B$6:$B$10005,$A7))</f>
        <v/>
      </c>
      <c r="C7" s="24" t="str">
        <f aca="false">IF(INDEX(Starfsmenn!$C$6:$C$10005,$A7)="","",INDEX(Starfsmenn!$C$6:$C$10005,$A7))</f>
        <v/>
      </c>
      <c r="D7" s="47" t="str">
        <f aca="false">IF(INDEX(Starfsmenn!$D$6:$D$10005,$A7)="","",INDEX(Starfsmenn!$D$6:$D$10005,$A7))</f>
        <v/>
      </c>
      <c r="E7" s="48" t="str">
        <f aca="false">IF(INDEX(Starfsmenn!$E$6:$E$10005,$A7)="","",INDEX(Starfsmenn!$E$6:$E$10005,$A7))</f>
        <v/>
      </c>
      <c r="F7" s="25" t="str">
        <f aca="false">IFERROR(IF(INDEX(Starfsmenn!$C$6:$C$10005,$A7)="","",INDEX('Flokkun starfa'!$C$11:$C$110,MATCH(INDEX(Starfsmenn!$C$6:$C$10005,$A7),'Flokkun starfa'!$B$11:$B$110,0))),"")</f>
        <v/>
      </c>
      <c r="G7" s="33" t="n">
        <f aca="false">IFERROR(INDEX('Flokkun starfsmanna'!$GV$7:$GV$10006,$A7),0)</f>
        <v>0</v>
      </c>
      <c r="H7" s="44" t="n">
        <f aca="false">IFERROR(IF(AND(F7="",G7=""),"",IF(F7="",0,F7)+IF(G7="",0,G7)),"")</f>
        <v>0</v>
      </c>
      <c r="I7" s="49" t="str">
        <f aca="false">IF(INDEX(Starfsmenn!$I$6:$I$10005,$A7)="","",INDEX(Starfsmenn!$I$6:$I$10005,$A7))</f>
        <v/>
      </c>
      <c r="J7" s="49" t="str">
        <f aca="false">IF(INDEX(Starfsmenn!$P$6:$P$10005,$A7)="","",INDEX(Starfsmenn!$P$6:$P$10005,$A7))</f>
        <v/>
      </c>
      <c r="K7" s="49" t="str">
        <f aca="false">IF(INDEX(Starfsmenn!$Q$6:$Q$10005,$A7)="","",INDEX(Starfsmenn!$Q$6:$Q$10005,$A7))</f>
        <v/>
      </c>
      <c r="L7" s="50" t="str">
        <f aca="false">IFERROR(IF(AND(I7="",J7="",K7=""),"",IF(I7="",0,I7)+IF(J7="",0,J7)+IF(K7="",0,K7)),"")</f>
        <v/>
      </c>
      <c r="M7" s="49" t="str">
        <f aca="false">IF(INDEX(Starfsmenn!$R$6:$R$10005,$A7)="","",INDEX(Starfsmenn!$R$6:$R$10005,$A7))</f>
        <v/>
      </c>
      <c r="N7" s="50" t="str">
        <f aca="false">IF(INDEX(Starfsmenn!$S$6:$S$10005,$A7)="","",INDEX(Starfsmenn!$S$6:$S$10005,$A7))</f>
        <v/>
      </c>
    </row>
    <row r="8" customFormat="false" ht="15" hidden="false" customHeight="true" outlineLevel="0" collapsed="false">
      <c r="A8" s="22" t="n">
        <v>3</v>
      </c>
      <c r="B8" s="24" t="str">
        <f aca="false">IF(INDEX(Starfsmenn!$B$6:$B$10005,$A8)="","",INDEX(Starfsmenn!$B$6:$B$10005,$A8))</f>
        <v/>
      </c>
      <c r="C8" s="24" t="str">
        <f aca="false">IF(INDEX(Starfsmenn!$C$6:$C$10005,$A8)="","",INDEX(Starfsmenn!$C$6:$C$10005,$A8))</f>
        <v/>
      </c>
      <c r="D8" s="47" t="str">
        <f aca="false">IF(INDEX(Starfsmenn!$D$6:$D$10005,$A8)="","",INDEX(Starfsmenn!$D$6:$D$10005,$A8))</f>
        <v/>
      </c>
      <c r="E8" s="48" t="str">
        <f aca="false">IF(INDEX(Starfsmenn!$E$6:$E$10005,$A8)="","",INDEX(Starfsmenn!$E$6:$E$10005,$A8))</f>
        <v/>
      </c>
      <c r="F8" s="25" t="str">
        <f aca="false">IFERROR(IF(INDEX(Starfsmenn!$C$6:$C$10005,$A8)="","",INDEX('Flokkun starfa'!$C$11:$C$110,MATCH(INDEX(Starfsmenn!$C$6:$C$10005,$A8),'Flokkun starfa'!$B$11:$B$110,0))),"")</f>
        <v/>
      </c>
      <c r="G8" s="33" t="n">
        <f aca="false">IFERROR(INDEX('Flokkun starfsmanna'!$GV$7:$GV$10006,$A8),0)</f>
        <v>0</v>
      </c>
      <c r="H8" s="44" t="n">
        <f aca="false">IFERROR(IF(AND(F8="",G8=""),"",IF(F8="",0,F8)+IF(G8="",0,G8)),"")</f>
        <v>0</v>
      </c>
      <c r="I8" s="49" t="str">
        <f aca="false">IF(INDEX(Starfsmenn!$I$6:$I$10005,$A8)="","",INDEX(Starfsmenn!$I$6:$I$10005,$A8))</f>
        <v/>
      </c>
      <c r="J8" s="49" t="str">
        <f aca="false">IF(INDEX(Starfsmenn!$P$6:$P$10005,$A8)="","",INDEX(Starfsmenn!$P$6:$P$10005,$A8))</f>
        <v/>
      </c>
      <c r="K8" s="49" t="str">
        <f aca="false">IF(INDEX(Starfsmenn!$Q$6:$Q$10005,$A8)="","",INDEX(Starfsmenn!$Q$6:$Q$10005,$A8))</f>
        <v/>
      </c>
      <c r="L8" s="50" t="str">
        <f aca="false">IFERROR(IF(AND(I8="",J8="",K8=""),"",IF(I8="",0,I8)+IF(J8="",0,J8)+IF(K8="",0,K8)),"")</f>
        <v/>
      </c>
      <c r="M8" s="49" t="str">
        <f aca="false">IF(INDEX(Starfsmenn!$R$6:$R$10005,$A8)="","",INDEX(Starfsmenn!$R$6:$R$10005,$A8))</f>
        <v/>
      </c>
      <c r="N8" s="50" t="str">
        <f aca="false">IF(INDEX(Starfsmenn!$S$6:$S$10005,$A8)="","",INDEX(Starfsmenn!$S$6:$S$10005,$A8))</f>
        <v/>
      </c>
    </row>
    <row r="9" customFormat="false" ht="15" hidden="false" customHeight="true" outlineLevel="0" collapsed="false">
      <c r="A9" s="22" t="n">
        <v>4</v>
      </c>
      <c r="B9" s="24" t="str">
        <f aca="false">IF(INDEX(Starfsmenn!$B$6:$B$10005,$A9)="","",INDEX(Starfsmenn!$B$6:$B$10005,$A9))</f>
        <v/>
      </c>
      <c r="C9" s="24" t="str">
        <f aca="false">IF(INDEX(Starfsmenn!$C$6:$C$10005,$A9)="","",INDEX(Starfsmenn!$C$6:$C$10005,$A9))</f>
        <v/>
      </c>
      <c r="D9" s="47" t="str">
        <f aca="false">IF(INDEX(Starfsmenn!$D$6:$D$10005,$A9)="","",INDEX(Starfsmenn!$D$6:$D$10005,$A9))</f>
        <v/>
      </c>
      <c r="E9" s="48" t="str">
        <f aca="false">IF(INDEX(Starfsmenn!$E$6:$E$10005,$A9)="","",INDEX(Starfsmenn!$E$6:$E$10005,$A9))</f>
        <v/>
      </c>
      <c r="F9" s="25" t="str">
        <f aca="false">IFERROR(IF(INDEX(Starfsmenn!$C$6:$C$10005,$A9)="","",INDEX('Flokkun starfa'!$C$11:$C$110,MATCH(INDEX(Starfsmenn!$C$6:$C$10005,$A9),'Flokkun starfa'!$B$11:$B$110,0))),"")</f>
        <v/>
      </c>
      <c r="G9" s="33" t="n">
        <f aca="false">IFERROR(INDEX('Flokkun starfsmanna'!$GV$7:$GV$10006,$A9),0)</f>
        <v>0</v>
      </c>
      <c r="H9" s="44" t="n">
        <f aca="false">IFERROR(IF(AND(F9="",G9=""),"",IF(F9="",0,F9)+IF(G9="",0,G9)),"")</f>
        <v>0</v>
      </c>
      <c r="I9" s="49" t="str">
        <f aca="false">IF(INDEX(Starfsmenn!$I$6:$I$10005,$A9)="","",INDEX(Starfsmenn!$I$6:$I$10005,$A9))</f>
        <v/>
      </c>
      <c r="J9" s="49" t="str">
        <f aca="false">IF(INDEX(Starfsmenn!$P$6:$P$10005,$A9)="","",INDEX(Starfsmenn!$P$6:$P$10005,$A9))</f>
        <v/>
      </c>
      <c r="K9" s="49" t="str">
        <f aca="false">IF(INDEX(Starfsmenn!$Q$6:$Q$10005,$A9)="","",INDEX(Starfsmenn!$Q$6:$Q$10005,$A9))</f>
        <v/>
      </c>
      <c r="L9" s="50" t="str">
        <f aca="false">IFERROR(IF(AND(I9="",J9="",K9=""),"",IF(I9="",0,I9)+IF(J9="",0,J9)+IF(K9="",0,K9)),"")</f>
        <v/>
      </c>
      <c r="M9" s="49" t="str">
        <f aca="false">IF(INDEX(Starfsmenn!$R$6:$R$10005,$A9)="","",INDEX(Starfsmenn!$R$6:$R$10005,$A9))</f>
        <v/>
      </c>
      <c r="N9" s="50" t="str">
        <f aca="false">IF(INDEX(Starfsmenn!$S$6:$S$10005,$A9)="","",INDEX(Starfsmenn!$S$6:$S$10005,$A9))</f>
        <v/>
      </c>
    </row>
    <row r="10" customFormat="false" ht="15" hidden="false" customHeight="true" outlineLevel="0" collapsed="false">
      <c r="A10" s="22" t="n">
        <v>5</v>
      </c>
      <c r="B10" s="24" t="str">
        <f aca="false">IF(INDEX(Starfsmenn!$B$6:$B$10005,$A10)="","",INDEX(Starfsmenn!$B$6:$B$10005,$A10))</f>
        <v/>
      </c>
      <c r="C10" s="24" t="str">
        <f aca="false">IF(INDEX(Starfsmenn!$C$6:$C$10005,$A10)="","",INDEX(Starfsmenn!$C$6:$C$10005,$A10))</f>
        <v/>
      </c>
      <c r="D10" s="47" t="str">
        <f aca="false">IF(INDEX(Starfsmenn!$D$6:$D$10005,$A10)="","",INDEX(Starfsmenn!$D$6:$D$10005,$A10))</f>
        <v/>
      </c>
      <c r="E10" s="48" t="str">
        <f aca="false">IF(INDEX(Starfsmenn!$E$6:$E$10005,$A10)="","",INDEX(Starfsmenn!$E$6:$E$10005,$A10))</f>
        <v/>
      </c>
      <c r="F10" s="25" t="str">
        <f aca="false">IFERROR(IF(INDEX(Starfsmenn!$C$6:$C$10005,$A10)="","",INDEX('Flokkun starfa'!$C$11:$C$110,MATCH(INDEX(Starfsmenn!$C$6:$C$10005,$A10),'Flokkun starfa'!$B$11:$B$110,0))),"")</f>
        <v/>
      </c>
      <c r="G10" s="33" t="n">
        <f aca="false">IFERROR(INDEX('Flokkun starfsmanna'!$GV$7:$GV$10006,$A10),0)</f>
        <v>0</v>
      </c>
      <c r="H10" s="44" t="n">
        <f aca="false">IFERROR(IF(AND(F10="",G10=""),"",IF(F10="",0,F10)+IF(G10="",0,G10)),"")</f>
        <v>0</v>
      </c>
      <c r="I10" s="49" t="str">
        <f aca="false">IF(INDEX(Starfsmenn!$I$6:$I$10005,$A10)="","",INDEX(Starfsmenn!$I$6:$I$10005,$A10))</f>
        <v/>
      </c>
      <c r="J10" s="49" t="str">
        <f aca="false">IF(INDEX(Starfsmenn!$P$6:$P$10005,$A10)="","",INDEX(Starfsmenn!$P$6:$P$10005,$A10))</f>
        <v/>
      </c>
      <c r="K10" s="49" t="str">
        <f aca="false">IF(INDEX(Starfsmenn!$Q$6:$Q$10005,$A10)="","",INDEX(Starfsmenn!$Q$6:$Q$10005,$A10))</f>
        <v/>
      </c>
      <c r="L10" s="50" t="str">
        <f aca="false">IFERROR(IF(AND(I10="",J10="",K10=""),"",IF(I10="",0,I10)+IF(J10="",0,J10)+IF(K10="",0,K10)),"")</f>
        <v/>
      </c>
      <c r="M10" s="49" t="str">
        <f aca="false">IF(INDEX(Starfsmenn!$R$6:$R$10005,$A10)="","",INDEX(Starfsmenn!$R$6:$R$10005,$A10))</f>
        <v/>
      </c>
      <c r="N10" s="50" t="str">
        <f aca="false">IF(INDEX(Starfsmenn!$S$6:$S$10005,$A10)="","",INDEX(Starfsmenn!$S$6:$S$10005,$A10))</f>
        <v/>
      </c>
    </row>
    <row r="11" customFormat="false" ht="15" hidden="false" customHeight="true" outlineLevel="0" collapsed="false">
      <c r="A11" s="22" t="n">
        <v>6</v>
      </c>
      <c r="B11" s="24" t="str">
        <f aca="false">IF(INDEX(Starfsmenn!$B$6:$B$10005,$A11)="","",INDEX(Starfsmenn!$B$6:$B$10005,$A11))</f>
        <v/>
      </c>
      <c r="C11" s="24" t="str">
        <f aca="false">IF(INDEX(Starfsmenn!$C$6:$C$10005,$A11)="","",INDEX(Starfsmenn!$C$6:$C$10005,$A11))</f>
        <v/>
      </c>
      <c r="D11" s="47" t="str">
        <f aca="false">IF(INDEX(Starfsmenn!$D$6:$D$10005,$A11)="","",INDEX(Starfsmenn!$D$6:$D$10005,$A11))</f>
        <v/>
      </c>
      <c r="E11" s="48" t="str">
        <f aca="false">IF(INDEX(Starfsmenn!$E$6:$E$10005,$A11)="","",INDEX(Starfsmenn!$E$6:$E$10005,$A11))</f>
        <v/>
      </c>
      <c r="F11" s="25" t="str">
        <f aca="false">IFERROR(IF(INDEX(Starfsmenn!$C$6:$C$10005,$A11)="","",INDEX('Flokkun starfa'!$C$11:$C$110,MATCH(INDEX(Starfsmenn!$C$6:$C$10005,$A11),'Flokkun starfa'!$B$11:$B$110,0))),"")</f>
        <v/>
      </c>
      <c r="G11" s="33" t="n">
        <f aca="false">IFERROR(INDEX('Flokkun starfsmanna'!$GV$7:$GV$10006,$A11),0)</f>
        <v>0</v>
      </c>
      <c r="H11" s="44" t="n">
        <f aca="false">IFERROR(IF(AND(F11="",G11=""),"",IF(F11="",0,F11)+IF(G11="",0,G11)),"")</f>
        <v>0</v>
      </c>
      <c r="I11" s="49" t="str">
        <f aca="false">IF(INDEX(Starfsmenn!$I$6:$I$10005,$A11)="","",INDEX(Starfsmenn!$I$6:$I$10005,$A11))</f>
        <v/>
      </c>
      <c r="J11" s="49" t="str">
        <f aca="false">IF(INDEX(Starfsmenn!$P$6:$P$10005,$A11)="","",INDEX(Starfsmenn!$P$6:$P$10005,$A11))</f>
        <v/>
      </c>
      <c r="K11" s="49" t="str">
        <f aca="false">IF(INDEX(Starfsmenn!$Q$6:$Q$10005,$A11)="","",INDEX(Starfsmenn!$Q$6:$Q$10005,$A11))</f>
        <v/>
      </c>
      <c r="L11" s="50" t="str">
        <f aca="false">IFERROR(IF(AND(I11="",J11="",K11=""),"",IF(I11="",0,I11)+IF(J11="",0,J11)+IF(K11="",0,K11)),"")</f>
        <v/>
      </c>
      <c r="M11" s="49" t="str">
        <f aca="false">IF(INDEX(Starfsmenn!$R$6:$R$10005,$A11)="","",INDEX(Starfsmenn!$R$6:$R$10005,$A11))</f>
        <v/>
      </c>
      <c r="N11" s="50" t="str">
        <f aca="false">IF(INDEX(Starfsmenn!$S$6:$S$10005,$A11)="","",INDEX(Starfsmenn!$S$6:$S$10005,$A11))</f>
        <v/>
      </c>
    </row>
    <row r="12" customFormat="false" ht="15" hidden="false" customHeight="true" outlineLevel="0" collapsed="false">
      <c r="A12" s="22" t="n">
        <v>7</v>
      </c>
      <c r="B12" s="24" t="str">
        <f aca="false">IF(INDEX(Starfsmenn!$B$6:$B$10005,$A12)="","",INDEX(Starfsmenn!$B$6:$B$10005,$A12))</f>
        <v/>
      </c>
      <c r="C12" s="24" t="str">
        <f aca="false">IF(INDEX(Starfsmenn!$C$6:$C$10005,$A12)="","",INDEX(Starfsmenn!$C$6:$C$10005,$A12))</f>
        <v/>
      </c>
      <c r="D12" s="47" t="str">
        <f aca="false">IF(INDEX(Starfsmenn!$D$6:$D$10005,$A12)="","",INDEX(Starfsmenn!$D$6:$D$10005,$A12))</f>
        <v/>
      </c>
      <c r="E12" s="48" t="str">
        <f aca="false">IF(INDEX(Starfsmenn!$E$6:$E$10005,$A12)="","",INDEX(Starfsmenn!$E$6:$E$10005,$A12))</f>
        <v/>
      </c>
      <c r="F12" s="25" t="str">
        <f aca="false">IFERROR(IF(INDEX(Starfsmenn!$C$6:$C$10005,$A12)="","",INDEX('Flokkun starfa'!$C$11:$C$110,MATCH(INDEX(Starfsmenn!$C$6:$C$10005,$A12),'Flokkun starfa'!$B$11:$B$110,0))),"")</f>
        <v/>
      </c>
      <c r="G12" s="33" t="n">
        <f aca="false">IFERROR(INDEX('Flokkun starfsmanna'!$GV$7:$GV$10006,$A12),0)</f>
        <v>0</v>
      </c>
      <c r="H12" s="44" t="n">
        <f aca="false">IFERROR(IF(AND(F12="",G12=""),"",IF(F12="",0,F12)+IF(G12="",0,G12)),"")</f>
        <v>0</v>
      </c>
      <c r="I12" s="49" t="str">
        <f aca="false">IF(INDEX(Starfsmenn!$I$6:$I$10005,$A12)="","",INDEX(Starfsmenn!$I$6:$I$10005,$A12))</f>
        <v/>
      </c>
      <c r="J12" s="49" t="str">
        <f aca="false">IF(INDEX(Starfsmenn!$P$6:$P$10005,$A12)="","",INDEX(Starfsmenn!$P$6:$P$10005,$A12))</f>
        <v/>
      </c>
      <c r="K12" s="49" t="str">
        <f aca="false">IF(INDEX(Starfsmenn!$Q$6:$Q$10005,$A12)="","",INDEX(Starfsmenn!$Q$6:$Q$10005,$A12))</f>
        <v/>
      </c>
      <c r="L12" s="50" t="str">
        <f aca="false">IFERROR(IF(AND(I12="",J12="",K12=""),"",IF(I12="",0,I12)+IF(J12="",0,J12)+IF(K12="",0,K12)),"")</f>
        <v/>
      </c>
      <c r="M12" s="49" t="str">
        <f aca="false">IF(INDEX(Starfsmenn!$R$6:$R$10005,$A12)="","",INDEX(Starfsmenn!$R$6:$R$10005,$A12))</f>
        <v/>
      </c>
      <c r="N12" s="50" t="str">
        <f aca="false">IF(INDEX(Starfsmenn!$S$6:$S$10005,$A12)="","",INDEX(Starfsmenn!$S$6:$S$10005,$A12))</f>
        <v/>
      </c>
    </row>
    <row r="13" customFormat="false" ht="15" hidden="false" customHeight="true" outlineLevel="0" collapsed="false">
      <c r="A13" s="22" t="n">
        <v>8</v>
      </c>
      <c r="B13" s="24" t="str">
        <f aca="false">IF(INDEX(Starfsmenn!$B$6:$B$10005,$A13)="","",INDEX(Starfsmenn!$B$6:$B$10005,$A13))</f>
        <v/>
      </c>
      <c r="C13" s="24" t="str">
        <f aca="false">IF(INDEX(Starfsmenn!$C$6:$C$10005,$A13)="","",INDEX(Starfsmenn!$C$6:$C$10005,$A13))</f>
        <v/>
      </c>
      <c r="D13" s="47" t="str">
        <f aca="false">IF(INDEX(Starfsmenn!$D$6:$D$10005,$A13)="","",INDEX(Starfsmenn!$D$6:$D$10005,$A13))</f>
        <v/>
      </c>
      <c r="E13" s="48" t="str">
        <f aca="false">IF(INDEX(Starfsmenn!$E$6:$E$10005,$A13)="","",INDEX(Starfsmenn!$E$6:$E$10005,$A13))</f>
        <v/>
      </c>
      <c r="F13" s="25" t="str">
        <f aca="false">IFERROR(IF(INDEX(Starfsmenn!$C$6:$C$10005,$A13)="","",INDEX('Flokkun starfa'!$C$11:$C$110,MATCH(INDEX(Starfsmenn!$C$6:$C$10005,$A13),'Flokkun starfa'!$B$11:$B$110,0))),"")</f>
        <v/>
      </c>
      <c r="G13" s="33" t="n">
        <f aca="false">IFERROR(INDEX('Flokkun starfsmanna'!$GV$7:$GV$10006,$A13),0)</f>
        <v>0</v>
      </c>
      <c r="H13" s="44" t="n">
        <f aca="false">IFERROR(IF(AND(F13="",G13=""),"",IF(F13="",0,F13)+IF(G13="",0,G13)),"")</f>
        <v>0</v>
      </c>
      <c r="I13" s="49" t="str">
        <f aca="false">IF(INDEX(Starfsmenn!$I$6:$I$10005,$A13)="","",INDEX(Starfsmenn!$I$6:$I$10005,$A13))</f>
        <v/>
      </c>
      <c r="J13" s="49" t="str">
        <f aca="false">IF(INDEX(Starfsmenn!$P$6:$P$10005,$A13)="","",INDEX(Starfsmenn!$P$6:$P$10005,$A13))</f>
        <v/>
      </c>
      <c r="K13" s="49" t="str">
        <f aca="false">IF(INDEX(Starfsmenn!$Q$6:$Q$10005,$A13)="","",INDEX(Starfsmenn!$Q$6:$Q$10005,$A13))</f>
        <v/>
      </c>
      <c r="L13" s="50" t="str">
        <f aca="false">IFERROR(IF(AND(I13="",J13="",K13=""),"",IF(I13="",0,I13)+IF(J13="",0,J13)+IF(K13="",0,K13)),"")</f>
        <v/>
      </c>
      <c r="M13" s="49" t="str">
        <f aca="false">IF(INDEX(Starfsmenn!$R$6:$R$10005,$A13)="","",INDEX(Starfsmenn!$R$6:$R$10005,$A13))</f>
        <v/>
      </c>
      <c r="N13" s="50" t="str">
        <f aca="false">IF(INDEX(Starfsmenn!$S$6:$S$10005,$A13)="","",INDEX(Starfsmenn!$S$6:$S$10005,$A13))</f>
        <v/>
      </c>
    </row>
    <row r="14" customFormat="false" ht="15" hidden="false" customHeight="true" outlineLevel="0" collapsed="false">
      <c r="A14" s="22" t="n">
        <v>9</v>
      </c>
      <c r="B14" s="24" t="str">
        <f aca="false">IF(INDEX(Starfsmenn!$B$6:$B$10005,$A14)="","",INDEX(Starfsmenn!$B$6:$B$10005,$A14))</f>
        <v/>
      </c>
      <c r="C14" s="24" t="str">
        <f aca="false">IF(INDEX(Starfsmenn!$C$6:$C$10005,$A14)="","",INDEX(Starfsmenn!$C$6:$C$10005,$A14))</f>
        <v/>
      </c>
      <c r="D14" s="47" t="str">
        <f aca="false">IF(INDEX(Starfsmenn!$D$6:$D$10005,$A14)="","",INDEX(Starfsmenn!$D$6:$D$10005,$A14))</f>
        <v/>
      </c>
      <c r="E14" s="48" t="str">
        <f aca="false">IF(INDEX(Starfsmenn!$E$6:$E$10005,$A14)="","",INDEX(Starfsmenn!$E$6:$E$10005,$A14))</f>
        <v/>
      </c>
      <c r="F14" s="25" t="str">
        <f aca="false">IFERROR(IF(INDEX(Starfsmenn!$C$6:$C$10005,$A14)="","",INDEX('Flokkun starfa'!$C$11:$C$110,MATCH(INDEX(Starfsmenn!$C$6:$C$10005,$A14),'Flokkun starfa'!$B$11:$B$110,0))),"")</f>
        <v/>
      </c>
      <c r="G14" s="33" t="n">
        <f aca="false">IFERROR(INDEX('Flokkun starfsmanna'!$GV$7:$GV$10006,$A14),0)</f>
        <v>0</v>
      </c>
      <c r="H14" s="44" t="n">
        <f aca="false">IFERROR(IF(AND(F14="",G14=""),"",IF(F14="",0,F14)+IF(G14="",0,G14)),"")</f>
        <v>0</v>
      </c>
      <c r="I14" s="49" t="str">
        <f aca="false">IF(INDEX(Starfsmenn!$I$6:$I$10005,$A14)="","",INDEX(Starfsmenn!$I$6:$I$10005,$A14))</f>
        <v/>
      </c>
      <c r="J14" s="49" t="str">
        <f aca="false">IF(INDEX(Starfsmenn!$P$6:$P$10005,$A14)="","",INDEX(Starfsmenn!$P$6:$P$10005,$A14))</f>
        <v/>
      </c>
      <c r="K14" s="49" t="str">
        <f aca="false">IF(INDEX(Starfsmenn!$Q$6:$Q$10005,$A14)="","",INDEX(Starfsmenn!$Q$6:$Q$10005,$A14))</f>
        <v/>
      </c>
      <c r="L14" s="50" t="str">
        <f aca="false">IFERROR(IF(AND(I14="",J14="",K14=""),"",IF(I14="",0,I14)+IF(J14="",0,J14)+IF(K14="",0,K14)),"")</f>
        <v/>
      </c>
      <c r="M14" s="49" t="str">
        <f aca="false">IF(INDEX(Starfsmenn!$R$6:$R$10005,$A14)="","",INDEX(Starfsmenn!$R$6:$R$10005,$A14))</f>
        <v/>
      </c>
      <c r="N14" s="50" t="str">
        <f aca="false">IF(INDEX(Starfsmenn!$S$6:$S$10005,$A14)="","",INDEX(Starfsmenn!$S$6:$S$10005,$A14))</f>
        <v/>
      </c>
    </row>
    <row r="15" customFormat="false" ht="15" hidden="false" customHeight="true" outlineLevel="0" collapsed="false">
      <c r="A15" s="22" t="n">
        <v>10</v>
      </c>
      <c r="B15" s="24" t="str">
        <f aca="false">IF(INDEX(Starfsmenn!$B$6:$B$10005,$A15)="","",INDEX(Starfsmenn!$B$6:$B$10005,$A15))</f>
        <v/>
      </c>
      <c r="C15" s="24" t="str">
        <f aca="false">IF(INDEX(Starfsmenn!$C$6:$C$10005,$A15)="","",INDEX(Starfsmenn!$C$6:$C$10005,$A15))</f>
        <v/>
      </c>
      <c r="D15" s="47" t="str">
        <f aca="false">IF(INDEX(Starfsmenn!$D$6:$D$10005,$A15)="","",INDEX(Starfsmenn!$D$6:$D$10005,$A15))</f>
        <v/>
      </c>
      <c r="E15" s="48" t="str">
        <f aca="false">IF(INDEX(Starfsmenn!$E$6:$E$10005,$A15)="","",INDEX(Starfsmenn!$E$6:$E$10005,$A15))</f>
        <v/>
      </c>
      <c r="F15" s="25" t="str">
        <f aca="false">IFERROR(IF(INDEX(Starfsmenn!$C$6:$C$10005,$A15)="","",INDEX('Flokkun starfa'!$C$11:$C$110,MATCH(INDEX(Starfsmenn!$C$6:$C$10005,$A15),'Flokkun starfa'!$B$11:$B$110,0))),"")</f>
        <v/>
      </c>
      <c r="G15" s="33" t="n">
        <f aca="false">IFERROR(INDEX('Flokkun starfsmanna'!$GV$7:$GV$10006,$A15),0)</f>
        <v>0</v>
      </c>
      <c r="H15" s="44" t="n">
        <f aca="false">IFERROR(IF(AND(F15="",G15=""),"",IF(F15="",0,F15)+IF(G15="",0,G15)),"")</f>
        <v>0</v>
      </c>
      <c r="I15" s="49" t="str">
        <f aca="false">IF(INDEX(Starfsmenn!$I$6:$I$10005,$A15)="","",INDEX(Starfsmenn!$I$6:$I$10005,$A15))</f>
        <v/>
      </c>
      <c r="J15" s="49" t="str">
        <f aca="false">IF(INDEX(Starfsmenn!$P$6:$P$10005,$A15)="","",INDEX(Starfsmenn!$P$6:$P$10005,$A15))</f>
        <v/>
      </c>
      <c r="K15" s="49" t="str">
        <f aca="false">IF(INDEX(Starfsmenn!$Q$6:$Q$10005,$A15)="","",INDEX(Starfsmenn!$Q$6:$Q$10005,$A15))</f>
        <v/>
      </c>
      <c r="L15" s="50" t="str">
        <f aca="false">IFERROR(IF(AND(I15="",J15="",K15=""),"",IF(I15="",0,I15)+IF(J15="",0,J15)+IF(K15="",0,K15)),"")</f>
        <v/>
      </c>
      <c r="M15" s="49" t="str">
        <f aca="false">IF(INDEX(Starfsmenn!$R$6:$R$10005,$A15)="","",INDEX(Starfsmenn!$R$6:$R$10005,$A15))</f>
        <v/>
      </c>
      <c r="N15" s="50" t="str">
        <f aca="false">IF(INDEX(Starfsmenn!$S$6:$S$10005,$A15)="","",INDEX(Starfsmenn!$S$6:$S$10005,$A15))</f>
        <v/>
      </c>
    </row>
    <row r="16" customFormat="false" ht="15" hidden="false" customHeight="true" outlineLevel="0" collapsed="false">
      <c r="A16" s="22" t="n">
        <v>11</v>
      </c>
      <c r="B16" s="24" t="str">
        <f aca="false">IF(INDEX(Starfsmenn!$B$6:$B$10005,$A16)="","",INDEX(Starfsmenn!$B$6:$B$10005,$A16))</f>
        <v/>
      </c>
      <c r="C16" s="24" t="str">
        <f aca="false">IF(INDEX(Starfsmenn!$C$6:$C$10005,$A16)="","",INDEX(Starfsmenn!$C$6:$C$10005,$A16))</f>
        <v/>
      </c>
      <c r="D16" s="47" t="str">
        <f aca="false">IF(INDEX(Starfsmenn!$D$6:$D$10005,$A16)="","",INDEX(Starfsmenn!$D$6:$D$10005,$A16))</f>
        <v/>
      </c>
      <c r="E16" s="48" t="str">
        <f aca="false">IF(INDEX(Starfsmenn!$E$6:$E$10005,$A16)="","",INDEX(Starfsmenn!$E$6:$E$10005,$A16))</f>
        <v/>
      </c>
      <c r="F16" s="25" t="str">
        <f aca="false">IFERROR(IF(INDEX(Starfsmenn!$C$6:$C$10005,$A16)="","",INDEX('Flokkun starfa'!$C$11:$C$110,MATCH(INDEX(Starfsmenn!$C$6:$C$10005,$A16),'Flokkun starfa'!$B$11:$B$110,0))),"")</f>
        <v/>
      </c>
      <c r="G16" s="33" t="n">
        <f aca="false">IFERROR(INDEX('Flokkun starfsmanna'!$GV$7:$GV$10006,$A16),0)</f>
        <v>0</v>
      </c>
      <c r="H16" s="44" t="n">
        <f aca="false">IFERROR(IF(AND(F16="",G16=""),"",IF(F16="",0,F16)+IF(G16="",0,G16)),"")</f>
        <v>0</v>
      </c>
      <c r="I16" s="49" t="str">
        <f aca="false">IF(INDEX(Starfsmenn!$I$6:$I$10005,$A16)="","",INDEX(Starfsmenn!$I$6:$I$10005,$A16))</f>
        <v/>
      </c>
      <c r="J16" s="49" t="str">
        <f aca="false">IF(INDEX(Starfsmenn!$P$6:$P$10005,$A16)="","",INDEX(Starfsmenn!$P$6:$P$10005,$A16))</f>
        <v/>
      </c>
      <c r="K16" s="49" t="str">
        <f aca="false">IF(INDEX(Starfsmenn!$Q$6:$Q$10005,$A16)="","",INDEX(Starfsmenn!$Q$6:$Q$10005,$A16))</f>
        <v/>
      </c>
      <c r="L16" s="50" t="str">
        <f aca="false">IFERROR(IF(AND(I16="",J16="",K16=""),"",IF(I16="",0,I16)+IF(J16="",0,J16)+IF(K16="",0,K16)),"")</f>
        <v/>
      </c>
      <c r="M16" s="49" t="str">
        <f aca="false">IF(INDEX(Starfsmenn!$R$6:$R$10005,$A16)="","",INDEX(Starfsmenn!$R$6:$R$10005,$A16))</f>
        <v/>
      </c>
      <c r="N16" s="50" t="str">
        <f aca="false">IF(INDEX(Starfsmenn!$S$6:$S$10005,$A16)="","",INDEX(Starfsmenn!$S$6:$S$10005,$A16))</f>
        <v/>
      </c>
    </row>
    <row r="17" customFormat="false" ht="15" hidden="false" customHeight="true" outlineLevel="0" collapsed="false">
      <c r="A17" s="22" t="n">
        <v>12</v>
      </c>
      <c r="B17" s="24" t="str">
        <f aca="false">IF(INDEX(Starfsmenn!$B$6:$B$10005,$A17)="","",INDEX(Starfsmenn!$B$6:$B$10005,$A17))</f>
        <v/>
      </c>
      <c r="C17" s="24" t="str">
        <f aca="false">IF(INDEX(Starfsmenn!$C$6:$C$10005,$A17)="","",INDEX(Starfsmenn!$C$6:$C$10005,$A17))</f>
        <v/>
      </c>
      <c r="D17" s="47" t="str">
        <f aca="false">IF(INDEX(Starfsmenn!$D$6:$D$10005,$A17)="","",INDEX(Starfsmenn!$D$6:$D$10005,$A17))</f>
        <v/>
      </c>
      <c r="E17" s="48" t="str">
        <f aca="false">IF(INDEX(Starfsmenn!$E$6:$E$10005,$A17)="","",INDEX(Starfsmenn!$E$6:$E$10005,$A17))</f>
        <v/>
      </c>
      <c r="F17" s="25" t="str">
        <f aca="false">IFERROR(IF(INDEX(Starfsmenn!$C$6:$C$10005,$A17)="","",INDEX('Flokkun starfa'!$C$11:$C$110,MATCH(INDEX(Starfsmenn!$C$6:$C$10005,$A17),'Flokkun starfa'!$B$11:$B$110,0))),"")</f>
        <v/>
      </c>
      <c r="G17" s="33" t="n">
        <f aca="false">IFERROR(INDEX('Flokkun starfsmanna'!$GV$7:$GV$10006,$A17),0)</f>
        <v>0</v>
      </c>
      <c r="H17" s="44" t="n">
        <f aca="false">IFERROR(IF(AND(F17="",G17=""),"",IF(F17="",0,F17)+IF(G17="",0,G17)),"")</f>
        <v>0</v>
      </c>
      <c r="I17" s="49" t="str">
        <f aca="false">IF(INDEX(Starfsmenn!$I$6:$I$10005,$A17)="","",INDEX(Starfsmenn!$I$6:$I$10005,$A17))</f>
        <v/>
      </c>
      <c r="J17" s="49" t="str">
        <f aca="false">IF(INDEX(Starfsmenn!$P$6:$P$10005,$A17)="","",INDEX(Starfsmenn!$P$6:$P$10005,$A17))</f>
        <v/>
      </c>
      <c r="K17" s="49" t="str">
        <f aca="false">IF(INDEX(Starfsmenn!$Q$6:$Q$10005,$A17)="","",INDEX(Starfsmenn!$Q$6:$Q$10005,$A17))</f>
        <v/>
      </c>
      <c r="L17" s="50" t="str">
        <f aca="false">IFERROR(IF(AND(I17="",J17="",K17=""),"",IF(I17="",0,I17)+IF(J17="",0,J17)+IF(K17="",0,K17)),"")</f>
        <v/>
      </c>
      <c r="M17" s="49" t="str">
        <f aca="false">IF(INDEX(Starfsmenn!$R$6:$R$10005,$A17)="","",INDEX(Starfsmenn!$R$6:$R$10005,$A17))</f>
        <v/>
      </c>
      <c r="N17" s="50" t="str">
        <f aca="false">IF(INDEX(Starfsmenn!$S$6:$S$10005,$A17)="","",INDEX(Starfsmenn!$S$6:$S$10005,$A17))</f>
        <v/>
      </c>
    </row>
    <row r="18" customFormat="false" ht="15" hidden="false" customHeight="true" outlineLevel="0" collapsed="false">
      <c r="A18" s="22" t="n">
        <v>13</v>
      </c>
      <c r="B18" s="24" t="str">
        <f aca="false">IF(INDEX(Starfsmenn!$B$6:$B$10005,$A18)="","",INDEX(Starfsmenn!$B$6:$B$10005,$A18))</f>
        <v/>
      </c>
      <c r="C18" s="24" t="str">
        <f aca="false">IF(INDEX(Starfsmenn!$C$6:$C$10005,$A18)="","",INDEX(Starfsmenn!$C$6:$C$10005,$A18))</f>
        <v/>
      </c>
      <c r="D18" s="47" t="str">
        <f aca="false">IF(INDEX(Starfsmenn!$D$6:$D$10005,$A18)="","",INDEX(Starfsmenn!$D$6:$D$10005,$A18))</f>
        <v/>
      </c>
      <c r="E18" s="48" t="str">
        <f aca="false">IF(INDEX(Starfsmenn!$E$6:$E$10005,$A18)="","",INDEX(Starfsmenn!$E$6:$E$10005,$A18))</f>
        <v/>
      </c>
      <c r="F18" s="25" t="str">
        <f aca="false">IFERROR(IF(INDEX(Starfsmenn!$C$6:$C$10005,$A18)="","",INDEX('Flokkun starfa'!$C$11:$C$110,MATCH(INDEX(Starfsmenn!$C$6:$C$10005,$A18),'Flokkun starfa'!$B$11:$B$110,0))),"")</f>
        <v/>
      </c>
      <c r="G18" s="33" t="n">
        <f aca="false">IFERROR(INDEX('Flokkun starfsmanna'!$GV$7:$GV$10006,$A18),0)</f>
        <v>0</v>
      </c>
      <c r="H18" s="44" t="n">
        <f aca="false">IFERROR(IF(AND(F18="",G18=""),"",IF(F18="",0,F18)+IF(G18="",0,G18)),"")</f>
        <v>0</v>
      </c>
      <c r="I18" s="49" t="str">
        <f aca="false">IF(INDEX(Starfsmenn!$I$6:$I$10005,$A18)="","",INDEX(Starfsmenn!$I$6:$I$10005,$A18))</f>
        <v/>
      </c>
      <c r="J18" s="49" t="str">
        <f aca="false">IF(INDEX(Starfsmenn!$P$6:$P$10005,$A18)="","",INDEX(Starfsmenn!$P$6:$P$10005,$A18))</f>
        <v/>
      </c>
      <c r="K18" s="49" t="str">
        <f aca="false">IF(INDEX(Starfsmenn!$Q$6:$Q$10005,$A18)="","",INDEX(Starfsmenn!$Q$6:$Q$10005,$A18))</f>
        <v/>
      </c>
      <c r="L18" s="50" t="str">
        <f aca="false">IFERROR(IF(AND(I18="",J18="",K18=""),"",IF(I18="",0,I18)+IF(J18="",0,J18)+IF(K18="",0,K18)),"")</f>
        <v/>
      </c>
      <c r="M18" s="49" t="str">
        <f aca="false">IF(INDEX(Starfsmenn!$R$6:$R$10005,$A18)="","",INDEX(Starfsmenn!$R$6:$R$10005,$A18))</f>
        <v/>
      </c>
      <c r="N18" s="50" t="str">
        <f aca="false">IF(INDEX(Starfsmenn!$S$6:$S$10005,$A18)="","",INDEX(Starfsmenn!$S$6:$S$10005,$A18))</f>
        <v/>
      </c>
    </row>
    <row r="19" customFormat="false" ht="15" hidden="false" customHeight="true" outlineLevel="0" collapsed="false">
      <c r="A19" s="22" t="n">
        <v>14</v>
      </c>
      <c r="B19" s="24" t="str">
        <f aca="false">IF(INDEX(Starfsmenn!$B$6:$B$10005,$A19)="","",INDEX(Starfsmenn!$B$6:$B$10005,$A19))</f>
        <v/>
      </c>
      <c r="C19" s="24" t="str">
        <f aca="false">IF(INDEX(Starfsmenn!$C$6:$C$10005,$A19)="","",INDEX(Starfsmenn!$C$6:$C$10005,$A19))</f>
        <v/>
      </c>
      <c r="D19" s="47" t="str">
        <f aca="false">IF(INDEX(Starfsmenn!$D$6:$D$10005,$A19)="","",INDEX(Starfsmenn!$D$6:$D$10005,$A19))</f>
        <v/>
      </c>
      <c r="E19" s="48" t="str">
        <f aca="false">IF(INDEX(Starfsmenn!$E$6:$E$10005,$A19)="","",INDEX(Starfsmenn!$E$6:$E$10005,$A19))</f>
        <v/>
      </c>
      <c r="F19" s="25" t="str">
        <f aca="false">IFERROR(IF(INDEX(Starfsmenn!$C$6:$C$10005,$A19)="","",INDEX('Flokkun starfa'!$C$11:$C$110,MATCH(INDEX(Starfsmenn!$C$6:$C$10005,$A19),'Flokkun starfa'!$B$11:$B$110,0))),"")</f>
        <v/>
      </c>
      <c r="G19" s="33" t="n">
        <f aca="false">IFERROR(INDEX('Flokkun starfsmanna'!$GV$7:$GV$10006,$A19),0)</f>
        <v>0</v>
      </c>
      <c r="H19" s="44" t="n">
        <f aca="false">IFERROR(IF(AND(F19="",G19=""),"",IF(F19="",0,F19)+IF(G19="",0,G19)),"")</f>
        <v>0</v>
      </c>
      <c r="I19" s="49" t="str">
        <f aca="false">IF(INDEX(Starfsmenn!$I$6:$I$10005,$A19)="","",INDEX(Starfsmenn!$I$6:$I$10005,$A19))</f>
        <v/>
      </c>
      <c r="J19" s="49" t="str">
        <f aca="false">IF(INDEX(Starfsmenn!$P$6:$P$10005,$A19)="","",INDEX(Starfsmenn!$P$6:$P$10005,$A19))</f>
        <v/>
      </c>
      <c r="K19" s="49" t="str">
        <f aca="false">IF(INDEX(Starfsmenn!$Q$6:$Q$10005,$A19)="","",INDEX(Starfsmenn!$Q$6:$Q$10005,$A19))</f>
        <v/>
      </c>
      <c r="L19" s="50" t="str">
        <f aca="false">IFERROR(IF(AND(I19="",J19="",K19=""),"",IF(I19="",0,I19)+IF(J19="",0,J19)+IF(K19="",0,K19)),"")</f>
        <v/>
      </c>
      <c r="M19" s="49" t="str">
        <f aca="false">IF(INDEX(Starfsmenn!$R$6:$R$10005,$A19)="","",INDEX(Starfsmenn!$R$6:$R$10005,$A19))</f>
        <v/>
      </c>
      <c r="N19" s="50" t="str">
        <f aca="false">IF(INDEX(Starfsmenn!$S$6:$S$10005,$A19)="","",INDEX(Starfsmenn!$S$6:$S$10005,$A19))</f>
        <v/>
      </c>
    </row>
    <row r="20" customFormat="false" ht="15" hidden="false" customHeight="true" outlineLevel="0" collapsed="false">
      <c r="A20" s="22" t="n">
        <v>15</v>
      </c>
      <c r="B20" s="24" t="str">
        <f aca="false">IF(INDEX(Starfsmenn!$B$6:$B$10005,$A20)="","",INDEX(Starfsmenn!$B$6:$B$10005,$A20))</f>
        <v/>
      </c>
      <c r="C20" s="24" t="str">
        <f aca="false">IF(INDEX(Starfsmenn!$C$6:$C$10005,$A20)="","",INDEX(Starfsmenn!$C$6:$C$10005,$A20))</f>
        <v/>
      </c>
      <c r="D20" s="47" t="str">
        <f aca="false">IF(INDEX(Starfsmenn!$D$6:$D$10005,$A20)="","",INDEX(Starfsmenn!$D$6:$D$10005,$A20))</f>
        <v/>
      </c>
      <c r="E20" s="48" t="str">
        <f aca="false">IF(INDEX(Starfsmenn!$E$6:$E$10005,$A20)="","",INDEX(Starfsmenn!$E$6:$E$10005,$A20))</f>
        <v/>
      </c>
      <c r="F20" s="25" t="str">
        <f aca="false">IFERROR(IF(INDEX(Starfsmenn!$C$6:$C$10005,$A20)="","",INDEX('Flokkun starfa'!$C$11:$C$110,MATCH(INDEX(Starfsmenn!$C$6:$C$10005,$A20),'Flokkun starfa'!$B$11:$B$110,0))),"")</f>
        <v/>
      </c>
      <c r="G20" s="33" t="n">
        <f aca="false">IFERROR(INDEX('Flokkun starfsmanna'!$GV$7:$GV$10006,$A20),0)</f>
        <v>0</v>
      </c>
      <c r="H20" s="44" t="n">
        <f aca="false">IFERROR(IF(AND(F20="",G20=""),"",IF(F20="",0,F20)+IF(G20="",0,G20)),"")</f>
        <v>0</v>
      </c>
      <c r="I20" s="49" t="str">
        <f aca="false">IF(INDEX(Starfsmenn!$I$6:$I$10005,$A20)="","",INDEX(Starfsmenn!$I$6:$I$10005,$A20))</f>
        <v/>
      </c>
      <c r="J20" s="49" t="str">
        <f aca="false">IF(INDEX(Starfsmenn!$P$6:$P$10005,$A20)="","",INDEX(Starfsmenn!$P$6:$P$10005,$A20))</f>
        <v/>
      </c>
      <c r="K20" s="49" t="str">
        <f aca="false">IF(INDEX(Starfsmenn!$Q$6:$Q$10005,$A20)="","",INDEX(Starfsmenn!$Q$6:$Q$10005,$A20))</f>
        <v/>
      </c>
      <c r="L20" s="50" t="str">
        <f aca="false">IFERROR(IF(AND(I20="",J20="",K20=""),"",IF(I20="",0,I20)+IF(J20="",0,J20)+IF(K20="",0,K20)),"")</f>
        <v/>
      </c>
      <c r="M20" s="49" t="str">
        <f aca="false">IF(INDEX(Starfsmenn!$R$6:$R$10005,$A20)="","",INDEX(Starfsmenn!$R$6:$R$10005,$A20))</f>
        <v/>
      </c>
      <c r="N20" s="50" t="str">
        <f aca="false">IF(INDEX(Starfsmenn!$S$6:$S$10005,$A20)="","",INDEX(Starfsmenn!$S$6:$S$10005,$A20))</f>
        <v/>
      </c>
    </row>
    <row r="21" customFormat="false" ht="15" hidden="false" customHeight="true" outlineLevel="0" collapsed="false">
      <c r="A21" s="22" t="n">
        <v>16</v>
      </c>
      <c r="B21" s="24" t="str">
        <f aca="false">IF(INDEX(Starfsmenn!$B$6:$B$10005,$A21)="","",INDEX(Starfsmenn!$B$6:$B$10005,$A21))</f>
        <v/>
      </c>
      <c r="C21" s="24" t="str">
        <f aca="false">IF(INDEX(Starfsmenn!$C$6:$C$10005,$A21)="","",INDEX(Starfsmenn!$C$6:$C$10005,$A21))</f>
        <v/>
      </c>
      <c r="D21" s="47" t="str">
        <f aca="false">IF(INDEX(Starfsmenn!$D$6:$D$10005,$A21)="","",INDEX(Starfsmenn!$D$6:$D$10005,$A21))</f>
        <v/>
      </c>
      <c r="E21" s="48" t="str">
        <f aca="false">IF(INDEX(Starfsmenn!$E$6:$E$10005,$A21)="","",INDEX(Starfsmenn!$E$6:$E$10005,$A21))</f>
        <v/>
      </c>
      <c r="F21" s="25" t="str">
        <f aca="false">IFERROR(IF(INDEX(Starfsmenn!$C$6:$C$10005,$A21)="","",INDEX('Flokkun starfa'!$C$11:$C$110,MATCH(INDEX(Starfsmenn!$C$6:$C$10005,$A21),'Flokkun starfa'!$B$11:$B$110,0))),"")</f>
        <v/>
      </c>
      <c r="G21" s="33" t="n">
        <f aca="false">IFERROR(INDEX('Flokkun starfsmanna'!$GV$7:$GV$10006,$A21),0)</f>
        <v>0</v>
      </c>
      <c r="H21" s="44" t="n">
        <f aca="false">IFERROR(IF(AND(F21="",G21=""),"",IF(F21="",0,F21)+IF(G21="",0,G21)),"")</f>
        <v>0</v>
      </c>
      <c r="I21" s="49" t="str">
        <f aca="false">IF(INDEX(Starfsmenn!$I$6:$I$10005,$A21)="","",INDEX(Starfsmenn!$I$6:$I$10005,$A21))</f>
        <v/>
      </c>
      <c r="J21" s="49" t="str">
        <f aca="false">IF(INDEX(Starfsmenn!$P$6:$P$10005,$A21)="","",INDEX(Starfsmenn!$P$6:$P$10005,$A21))</f>
        <v/>
      </c>
      <c r="K21" s="49" t="str">
        <f aca="false">IF(INDEX(Starfsmenn!$Q$6:$Q$10005,$A21)="","",INDEX(Starfsmenn!$Q$6:$Q$10005,$A21))</f>
        <v/>
      </c>
      <c r="L21" s="50" t="str">
        <f aca="false">IFERROR(IF(AND(I21="",J21="",K21=""),"",IF(I21="",0,I21)+IF(J21="",0,J21)+IF(K21="",0,K21)),"")</f>
        <v/>
      </c>
      <c r="M21" s="49" t="str">
        <f aca="false">IF(INDEX(Starfsmenn!$R$6:$R$10005,$A21)="","",INDEX(Starfsmenn!$R$6:$R$10005,$A21))</f>
        <v/>
      </c>
      <c r="N21" s="50" t="str">
        <f aca="false">IF(INDEX(Starfsmenn!$S$6:$S$10005,$A21)="","",INDEX(Starfsmenn!$S$6:$S$10005,$A21))</f>
        <v/>
      </c>
    </row>
    <row r="22" customFormat="false" ht="15" hidden="false" customHeight="true" outlineLevel="0" collapsed="false">
      <c r="A22" s="22" t="n">
        <v>17</v>
      </c>
      <c r="B22" s="24" t="str">
        <f aca="false">IF(INDEX(Starfsmenn!$B$6:$B$10005,$A22)="","",INDEX(Starfsmenn!$B$6:$B$10005,$A22))</f>
        <v/>
      </c>
      <c r="C22" s="24" t="str">
        <f aca="false">IF(INDEX(Starfsmenn!$C$6:$C$10005,$A22)="","",INDEX(Starfsmenn!$C$6:$C$10005,$A22))</f>
        <v/>
      </c>
      <c r="D22" s="47" t="str">
        <f aca="false">IF(INDEX(Starfsmenn!$D$6:$D$10005,$A22)="","",INDEX(Starfsmenn!$D$6:$D$10005,$A22))</f>
        <v/>
      </c>
      <c r="E22" s="48" t="str">
        <f aca="false">IF(INDEX(Starfsmenn!$E$6:$E$10005,$A22)="","",INDEX(Starfsmenn!$E$6:$E$10005,$A22))</f>
        <v/>
      </c>
      <c r="F22" s="25" t="str">
        <f aca="false">IFERROR(IF(INDEX(Starfsmenn!$C$6:$C$10005,$A22)="","",INDEX('Flokkun starfa'!$C$11:$C$110,MATCH(INDEX(Starfsmenn!$C$6:$C$10005,$A22),'Flokkun starfa'!$B$11:$B$110,0))),"")</f>
        <v/>
      </c>
      <c r="G22" s="33" t="n">
        <f aca="false">IFERROR(INDEX('Flokkun starfsmanna'!$GV$7:$GV$10006,$A22),0)</f>
        <v>0</v>
      </c>
      <c r="H22" s="44" t="n">
        <f aca="false">IFERROR(IF(AND(F22="",G22=""),"",IF(F22="",0,F22)+IF(G22="",0,G22)),"")</f>
        <v>0</v>
      </c>
      <c r="I22" s="49" t="str">
        <f aca="false">IF(INDEX(Starfsmenn!$I$6:$I$10005,$A22)="","",INDEX(Starfsmenn!$I$6:$I$10005,$A22))</f>
        <v/>
      </c>
      <c r="J22" s="49" t="str">
        <f aca="false">IF(INDEX(Starfsmenn!$P$6:$P$10005,$A22)="","",INDEX(Starfsmenn!$P$6:$P$10005,$A22))</f>
        <v/>
      </c>
      <c r="K22" s="49" t="str">
        <f aca="false">IF(INDEX(Starfsmenn!$Q$6:$Q$10005,$A22)="","",INDEX(Starfsmenn!$Q$6:$Q$10005,$A22))</f>
        <v/>
      </c>
      <c r="L22" s="50" t="str">
        <f aca="false">IFERROR(IF(AND(I22="",J22="",K22=""),"",IF(I22="",0,I22)+IF(J22="",0,J22)+IF(K22="",0,K22)),"")</f>
        <v/>
      </c>
      <c r="M22" s="49" t="str">
        <f aca="false">IF(INDEX(Starfsmenn!$R$6:$R$10005,$A22)="","",INDEX(Starfsmenn!$R$6:$R$10005,$A22))</f>
        <v/>
      </c>
      <c r="N22" s="50" t="str">
        <f aca="false">IF(INDEX(Starfsmenn!$S$6:$S$10005,$A22)="","",INDEX(Starfsmenn!$S$6:$S$10005,$A22))</f>
        <v/>
      </c>
    </row>
    <row r="23" customFormat="false" ht="15" hidden="false" customHeight="true" outlineLevel="0" collapsed="false">
      <c r="A23" s="22" t="n">
        <v>18</v>
      </c>
      <c r="B23" s="24" t="str">
        <f aca="false">IF(INDEX(Starfsmenn!$B$6:$B$10005,$A23)="","",INDEX(Starfsmenn!$B$6:$B$10005,$A23))</f>
        <v/>
      </c>
      <c r="C23" s="24" t="str">
        <f aca="false">IF(INDEX(Starfsmenn!$C$6:$C$10005,$A23)="","",INDEX(Starfsmenn!$C$6:$C$10005,$A23))</f>
        <v/>
      </c>
      <c r="D23" s="47" t="str">
        <f aca="false">IF(INDEX(Starfsmenn!$D$6:$D$10005,$A23)="","",INDEX(Starfsmenn!$D$6:$D$10005,$A23))</f>
        <v/>
      </c>
      <c r="E23" s="48" t="str">
        <f aca="false">IF(INDEX(Starfsmenn!$E$6:$E$10005,$A23)="","",INDEX(Starfsmenn!$E$6:$E$10005,$A23))</f>
        <v/>
      </c>
      <c r="F23" s="25" t="str">
        <f aca="false">IFERROR(IF(INDEX(Starfsmenn!$C$6:$C$10005,$A23)="","",INDEX('Flokkun starfa'!$C$11:$C$110,MATCH(INDEX(Starfsmenn!$C$6:$C$10005,$A23),'Flokkun starfa'!$B$11:$B$110,0))),"")</f>
        <v/>
      </c>
      <c r="G23" s="33" t="n">
        <f aca="false">IFERROR(INDEX('Flokkun starfsmanna'!$GV$7:$GV$10006,$A23),0)</f>
        <v>0</v>
      </c>
      <c r="H23" s="44" t="n">
        <f aca="false">IFERROR(IF(AND(F23="",G23=""),"",IF(F23="",0,F23)+IF(G23="",0,G23)),"")</f>
        <v>0</v>
      </c>
      <c r="I23" s="49" t="str">
        <f aca="false">IF(INDEX(Starfsmenn!$I$6:$I$10005,$A23)="","",INDEX(Starfsmenn!$I$6:$I$10005,$A23))</f>
        <v/>
      </c>
      <c r="J23" s="49" t="str">
        <f aca="false">IF(INDEX(Starfsmenn!$P$6:$P$10005,$A23)="","",INDEX(Starfsmenn!$P$6:$P$10005,$A23))</f>
        <v/>
      </c>
      <c r="K23" s="49" t="str">
        <f aca="false">IF(INDEX(Starfsmenn!$Q$6:$Q$10005,$A23)="","",INDEX(Starfsmenn!$Q$6:$Q$10005,$A23))</f>
        <v/>
      </c>
      <c r="L23" s="50" t="str">
        <f aca="false">IFERROR(IF(AND(I23="",J23="",K23=""),"",IF(I23="",0,I23)+IF(J23="",0,J23)+IF(K23="",0,K23)),"")</f>
        <v/>
      </c>
      <c r="M23" s="49" t="str">
        <f aca="false">IF(INDEX(Starfsmenn!$R$6:$R$10005,$A23)="","",INDEX(Starfsmenn!$R$6:$R$10005,$A23))</f>
        <v/>
      </c>
      <c r="N23" s="50" t="str">
        <f aca="false">IF(INDEX(Starfsmenn!$S$6:$S$10005,$A23)="","",INDEX(Starfsmenn!$S$6:$S$10005,$A23))</f>
        <v/>
      </c>
    </row>
    <row r="24" customFormat="false" ht="15" hidden="false" customHeight="true" outlineLevel="0" collapsed="false">
      <c r="A24" s="22" t="n">
        <v>19</v>
      </c>
      <c r="B24" s="24" t="str">
        <f aca="false">IF(INDEX(Starfsmenn!$B$6:$B$10005,$A24)="","",INDEX(Starfsmenn!$B$6:$B$10005,$A24))</f>
        <v/>
      </c>
      <c r="C24" s="24" t="str">
        <f aca="false">IF(INDEX(Starfsmenn!$C$6:$C$10005,$A24)="","",INDEX(Starfsmenn!$C$6:$C$10005,$A24))</f>
        <v/>
      </c>
      <c r="D24" s="47" t="str">
        <f aca="false">IF(INDEX(Starfsmenn!$D$6:$D$10005,$A24)="","",INDEX(Starfsmenn!$D$6:$D$10005,$A24))</f>
        <v/>
      </c>
      <c r="E24" s="48" t="str">
        <f aca="false">IF(INDEX(Starfsmenn!$E$6:$E$10005,$A24)="","",INDEX(Starfsmenn!$E$6:$E$10005,$A24))</f>
        <v/>
      </c>
      <c r="F24" s="25" t="str">
        <f aca="false">IFERROR(IF(INDEX(Starfsmenn!$C$6:$C$10005,$A24)="","",INDEX('Flokkun starfa'!$C$11:$C$110,MATCH(INDEX(Starfsmenn!$C$6:$C$10005,$A24),'Flokkun starfa'!$B$11:$B$110,0))),"")</f>
        <v/>
      </c>
      <c r="G24" s="33" t="n">
        <f aca="false">IFERROR(INDEX('Flokkun starfsmanna'!$GV$7:$GV$10006,$A24),0)</f>
        <v>0</v>
      </c>
      <c r="H24" s="44" t="n">
        <f aca="false">IFERROR(IF(AND(F24="",G24=""),"",IF(F24="",0,F24)+IF(G24="",0,G24)),"")</f>
        <v>0</v>
      </c>
      <c r="I24" s="49" t="str">
        <f aca="false">IF(INDEX(Starfsmenn!$I$6:$I$10005,$A24)="","",INDEX(Starfsmenn!$I$6:$I$10005,$A24))</f>
        <v/>
      </c>
      <c r="J24" s="49" t="str">
        <f aca="false">IF(INDEX(Starfsmenn!$P$6:$P$10005,$A24)="","",INDEX(Starfsmenn!$P$6:$P$10005,$A24))</f>
        <v/>
      </c>
      <c r="K24" s="49" t="str">
        <f aca="false">IF(INDEX(Starfsmenn!$Q$6:$Q$10005,$A24)="","",INDEX(Starfsmenn!$Q$6:$Q$10005,$A24))</f>
        <v/>
      </c>
      <c r="L24" s="50" t="str">
        <f aca="false">IFERROR(IF(AND(I24="",J24="",K24=""),"",IF(I24="",0,I24)+IF(J24="",0,J24)+IF(K24="",0,K24)),"")</f>
        <v/>
      </c>
      <c r="M24" s="49" t="str">
        <f aca="false">IF(INDEX(Starfsmenn!$R$6:$R$10005,$A24)="","",INDEX(Starfsmenn!$R$6:$R$10005,$A24))</f>
        <v/>
      </c>
      <c r="N24" s="50" t="str">
        <f aca="false">IF(INDEX(Starfsmenn!$S$6:$S$10005,$A24)="","",INDEX(Starfsmenn!$S$6:$S$10005,$A24))</f>
        <v/>
      </c>
    </row>
    <row r="25" customFormat="false" ht="15" hidden="false" customHeight="true" outlineLevel="0" collapsed="false">
      <c r="A25" s="22" t="n">
        <v>20</v>
      </c>
      <c r="B25" s="24" t="str">
        <f aca="false">IF(INDEX(Starfsmenn!$B$6:$B$10005,$A25)="","",INDEX(Starfsmenn!$B$6:$B$10005,$A25))</f>
        <v/>
      </c>
      <c r="C25" s="24" t="str">
        <f aca="false">IF(INDEX(Starfsmenn!$C$6:$C$10005,$A25)="","",INDEX(Starfsmenn!$C$6:$C$10005,$A25))</f>
        <v/>
      </c>
      <c r="D25" s="47" t="str">
        <f aca="false">IF(INDEX(Starfsmenn!$D$6:$D$10005,$A25)="","",INDEX(Starfsmenn!$D$6:$D$10005,$A25))</f>
        <v/>
      </c>
      <c r="E25" s="48" t="str">
        <f aca="false">IF(INDEX(Starfsmenn!$E$6:$E$10005,$A25)="","",INDEX(Starfsmenn!$E$6:$E$10005,$A25))</f>
        <v/>
      </c>
      <c r="F25" s="25" t="str">
        <f aca="false">IFERROR(IF(INDEX(Starfsmenn!$C$6:$C$10005,$A25)="","",INDEX('Flokkun starfa'!$C$11:$C$110,MATCH(INDEX(Starfsmenn!$C$6:$C$10005,$A25),'Flokkun starfa'!$B$11:$B$110,0))),"")</f>
        <v/>
      </c>
      <c r="G25" s="33" t="n">
        <f aca="false">IFERROR(INDEX('Flokkun starfsmanna'!$GV$7:$GV$10006,$A25),0)</f>
        <v>0</v>
      </c>
      <c r="H25" s="44" t="n">
        <f aca="false">IFERROR(IF(AND(F25="",G25=""),"",IF(F25="",0,F25)+IF(G25="",0,G25)),"")</f>
        <v>0</v>
      </c>
      <c r="I25" s="49" t="str">
        <f aca="false">IF(INDEX(Starfsmenn!$I$6:$I$10005,$A25)="","",INDEX(Starfsmenn!$I$6:$I$10005,$A25))</f>
        <v/>
      </c>
      <c r="J25" s="49" t="str">
        <f aca="false">IF(INDEX(Starfsmenn!$P$6:$P$10005,$A25)="","",INDEX(Starfsmenn!$P$6:$P$10005,$A25))</f>
        <v/>
      </c>
      <c r="K25" s="49" t="str">
        <f aca="false">IF(INDEX(Starfsmenn!$Q$6:$Q$10005,$A25)="","",INDEX(Starfsmenn!$Q$6:$Q$10005,$A25))</f>
        <v/>
      </c>
      <c r="L25" s="50" t="str">
        <f aca="false">IFERROR(IF(AND(I25="",J25="",K25=""),"",IF(I25="",0,I25)+IF(J25="",0,J25)+IF(K25="",0,K25)),"")</f>
        <v/>
      </c>
      <c r="M25" s="49" t="str">
        <f aca="false">IF(INDEX(Starfsmenn!$R$6:$R$10005,$A25)="","",INDEX(Starfsmenn!$R$6:$R$10005,$A25))</f>
        <v/>
      </c>
      <c r="N25" s="50" t="str">
        <f aca="false">IF(INDEX(Starfsmenn!$S$6:$S$10005,$A25)="","",INDEX(Starfsmenn!$S$6:$S$10005,$A25))</f>
        <v/>
      </c>
    </row>
    <row r="26" customFormat="false" ht="15" hidden="false" customHeight="true" outlineLevel="0" collapsed="false">
      <c r="A26" s="22" t="n">
        <v>21</v>
      </c>
      <c r="B26" s="24" t="str">
        <f aca="false">IF(INDEX(Starfsmenn!$B$6:$B$10005,$A26)="","",INDEX(Starfsmenn!$B$6:$B$10005,$A26))</f>
        <v/>
      </c>
      <c r="C26" s="24" t="str">
        <f aca="false">IF(INDEX(Starfsmenn!$C$6:$C$10005,$A26)="","",INDEX(Starfsmenn!$C$6:$C$10005,$A26))</f>
        <v/>
      </c>
      <c r="D26" s="47" t="str">
        <f aca="false">IF(INDEX(Starfsmenn!$D$6:$D$10005,$A26)="","",INDEX(Starfsmenn!$D$6:$D$10005,$A26))</f>
        <v/>
      </c>
      <c r="E26" s="48" t="str">
        <f aca="false">IF(INDEX(Starfsmenn!$E$6:$E$10005,$A26)="","",INDEX(Starfsmenn!$E$6:$E$10005,$A26))</f>
        <v/>
      </c>
      <c r="F26" s="25" t="str">
        <f aca="false">IFERROR(IF(INDEX(Starfsmenn!$C$6:$C$10005,$A26)="","",INDEX('Flokkun starfa'!$C$11:$C$110,MATCH(INDEX(Starfsmenn!$C$6:$C$10005,$A26),'Flokkun starfa'!$B$11:$B$110,0))),"")</f>
        <v/>
      </c>
      <c r="G26" s="33" t="n">
        <f aca="false">IFERROR(INDEX('Flokkun starfsmanna'!$GV$7:$GV$10006,$A26),0)</f>
        <v>0</v>
      </c>
      <c r="H26" s="44" t="n">
        <f aca="false">IFERROR(IF(AND(F26="",G26=""),"",IF(F26="",0,F26)+IF(G26="",0,G26)),"")</f>
        <v>0</v>
      </c>
      <c r="I26" s="49" t="str">
        <f aca="false">IF(INDEX(Starfsmenn!$I$6:$I$10005,$A26)="","",INDEX(Starfsmenn!$I$6:$I$10005,$A26))</f>
        <v/>
      </c>
      <c r="J26" s="49" t="str">
        <f aca="false">IF(INDEX(Starfsmenn!$P$6:$P$10005,$A26)="","",INDEX(Starfsmenn!$P$6:$P$10005,$A26))</f>
        <v/>
      </c>
      <c r="K26" s="49" t="str">
        <f aca="false">IF(INDEX(Starfsmenn!$Q$6:$Q$10005,$A26)="","",INDEX(Starfsmenn!$Q$6:$Q$10005,$A26))</f>
        <v/>
      </c>
      <c r="L26" s="50" t="str">
        <f aca="false">IFERROR(IF(AND(I26="",J26="",K26=""),"",IF(I26="",0,I26)+IF(J26="",0,J26)+IF(K26="",0,K26)),"")</f>
        <v/>
      </c>
      <c r="M26" s="49" t="str">
        <f aca="false">IF(INDEX(Starfsmenn!$R$6:$R$10005,$A26)="","",INDEX(Starfsmenn!$R$6:$R$10005,$A26))</f>
        <v/>
      </c>
      <c r="N26" s="50" t="str">
        <f aca="false">IF(INDEX(Starfsmenn!$S$6:$S$10005,$A26)="","",INDEX(Starfsmenn!$S$6:$S$10005,$A26))</f>
        <v/>
      </c>
    </row>
    <row r="27" customFormat="false" ht="15" hidden="false" customHeight="true" outlineLevel="0" collapsed="false">
      <c r="A27" s="22" t="n">
        <v>22</v>
      </c>
      <c r="B27" s="24" t="str">
        <f aca="false">IF(INDEX(Starfsmenn!$B$6:$B$10005,$A27)="","",INDEX(Starfsmenn!$B$6:$B$10005,$A27))</f>
        <v/>
      </c>
      <c r="C27" s="24" t="str">
        <f aca="false">IF(INDEX(Starfsmenn!$C$6:$C$10005,$A27)="","",INDEX(Starfsmenn!$C$6:$C$10005,$A27))</f>
        <v/>
      </c>
      <c r="D27" s="47" t="str">
        <f aca="false">IF(INDEX(Starfsmenn!$D$6:$D$10005,$A27)="","",INDEX(Starfsmenn!$D$6:$D$10005,$A27))</f>
        <v/>
      </c>
      <c r="E27" s="48" t="str">
        <f aca="false">IF(INDEX(Starfsmenn!$E$6:$E$10005,$A27)="","",INDEX(Starfsmenn!$E$6:$E$10005,$A27))</f>
        <v/>
      </c>
      <c r="F27" s="25" t="str">
        <f aca="false">IFERROR(IF(INDEX(Starfsmenn!$C$6:$C$10005,$A27)="","",INDEX('Flokkun starfa'!$C$11:$C$110,MATCH(INDEX(Starfsmenn!$C$6:$C$10005,$A27),'Flokkun starfa'!$B$11:$B$110,0))),"")</f>
        <v/>
      </c>
      <c r="G27" s="33" t="n">
        <f aca="false">IFERROR(INDEX('Flokkun starfsmanna'!$GV$7:$GV$10006,$A27),0)</f>
        <v>0</v>
      </c>
      <c r="H27" s="44" t="n">
        <f aca="false">IFERROR(IF(AND(F27="",G27=""),"",IF(F27="",0,F27)+IF(G27="",0,G27)),"")</f>
        <v>0</v>
      </c>
      <c r="I27" s="49" t="str">
        <f aca="false">IF(INDEX(Starfsmenn!$I$6:$I$10005,$A27)="","",INDEX(Starfsmenn!$I$6:$I$10005,$A27))</f>
        <v/>
      </c>
      <c r="J27" s="49" t="str">
        <f aca="false">IF(INDEX(Starfsmenn!$P$6:$P$10005,$A27)="","",INDEX(Starfsmenn!$P$6:$P$10005,$A27))</f>
        <v/>
      </c>
      <c r="K27" s="49" t="str">
        <f aca="false">IF(INDEX(Starfsmenn!$Q$6:$Q$10005,$A27)="","",INDEX(Starfsmenn!$Q$6:$Q$10005,$A27))</f>
        <v/>
      </c>
      <c r="L27" s="50" t="str">
        <f aca="false">IFERROR(IF(AND(I27="",J27="",K27=""),"",IF(I27="",0,I27)+IF(J27="",0,J27)+IF(K27="",0,K27)),"")</f>
        <v/>
      </c>
      <c r="M27" s="49" t="str">
        <f aca="false">IF(INDEX(Starfsmenn!$R$6:$R$10005,$A27)="","",INDEX(Starfsmenn!$R$6:$R$10005,$A27))</f>
        <v/>
      </c>
      <c r="N27" s="50" t="str">
        <f aca="false">IF(INDEX(Starfsmenn!$S$6:$S$10005,$A27)="","",INDEX(Starfsmenn!$S$6:$S$10005,$A27))</f>
        <v/>
      </c>
    </row>
    <row r="28" customFormat="false" ht="15" hidden="false" customHeight="true" outlineLevel="0" collapsed="false">
      <c r="A28" s="22" t="n">
        <v>23</v>
      </c>
      <c r="B28" s="24" t="str">
        <f aca="false">IF(INDEX(Starfsmenn!$B$6:$B$10005,$A28)="","",INDEX(Starfsmenn!$B$6:$B$10005,$A28))</f>
        <v/>
      </c>
      <c r="C28" s="24" t="str">
        <f aca="false">IF(INDEX(Starfsmenn!$C$6:$C$10005,$A28)="","",INDEX(Starfsmenn!$C$6:$C$10005,$A28))</f>
        <v/>
      </c>
      <c r="D28" s="47" t="str">
        <f aca="false">IF(INDEX(Starfsmenn!$D$6:$D$10005,$A28)="","",INDEX(Starfsmenn!$D$6:$D$10005,$A28))</f>
        <v/>
      </c>
      <c r="E28" s="48" t="str">
        <f aca="false">IF(INDEX(Starfsmenn!$E$6:$E$10005,$A28)="","",INDEX(Starfsmenn!$E$6:$E$10005,$A28))</f>
        <v/>
      </c>
      <c r="F28" s="25" t="str">
        <f aca="false">IFERROR(IF(INDEX(Starfsmenn!$C$6:$C$10005,$A28)="","",INDEX('Flokkun starfa'!$C$11:$C$110,MATCH(INDEX(Starfsmenn!$C$6:$C$10005,$A28),'Flokkun starfa'!$B$11:$B$110,0))),"")</f>
        <v/>
      </c>
      <c r="G28" s="33" t="n">
        <f aca="false">IFERROR(INDEX('Flokkun starfsmanna'!$GV$7:$GV$10006,$A28),0)</f>
        <v>0</v>
      </c>
      <c r="H28" s="44" t="n">
        <f aca="false">IFERROR(IF(AND(F28="",G28=""),"",IF(F28="",0,F28)+IF(G28="",0,G28)),"")</f>
        <v>0</v>
      </c>
      <c r="I28" s="49" t="str">
        <f aca="false">IF(INDEX(Starfsmenn!$I$6:$I$10005,$A28)="","",INDEX(Starfsmenn!$I$6:$I$10005,$A28))</f>
        <v/>
      </c>
      <c r="J28" s="49" t="str">
        <f aca="false">IF(INDEX(Starfsmenn!$P$6:$P$10005,$A28)="","",INDEX(Starfsmenn!$P$6:$P$10005,$A28))</f>
        <v/>
      </c>
      <c r="K28" s="49" t="str">
        <f aca="false">IF(INDEX(Starfsmenn!$Q$6:$Q$10005,$A28)="","",INDEX(Starfsmenn!$Q$6:$Q$10005,$A28))</f>
        <v/>
      </c>
      <c r="L28" s="50" t="str">
        <f aca="false">IFERROR(IF(AND(I28="",J28="",K28=""),"",IF(I28="",0,I28)+IF(J28="",0,J28)+IF(K28="",0,K28)),"")</f>
        <v/>
      </c>
      <c r="M28" s="49" t="str">
        <f aca="false">IF(INDEX(Starfsmenn!$R$6:$R$10005,$A28)="","",INDEX(Starfsmenn!$R$6:$R$10005,$A28))</f>
        <v/>
      </c>
      <c r="N28" s="50" t="str">
        <f aca="false">IF(INDEX(Starfsmenn!$S$6:$S$10005,$A28)="","",INDEX(Starfsmenn!$S$6:$S$10005,$A28))</f>
        <v/>
      </c>
    </row>
    <row r="29" customFormat="false" ht="15" hidden="false" customHeight="true" outlineLevel="0" collapsed="false">
      <c r="A29" s="22" t="n">
        <v>24</v>
      </c>
      <c r="B29" s="24" t="str">
        <f aca="false">IF(INDEX(Starfsmenn!$B$6:$B$10005,$A29)="","",INDEX(Starfsmenn!$B$6:$B$10005,$A29))</f>
        <v/>
      </c>
      <c r="C29" s="24" t="str">
        <f aca="false">IF(INDEX(Starfsmenn!$C$6:$C$10005,$A29)="","",INDEX(Starfsmenn!$C$6:$C$10005,$A29))</f>
        <v/>
      </c>
      <c r="D29" s="47" t="str">
        <f aca="false">IF(INDEX(Starfsmenn!$D$6:$D$10005,$A29)="","",INDEX(Starfsmenn!$D$6:$D$10005,$A29))</f>
        <v/>
      </c>
      <c r="E29" s="48" t="str">
        <f aca="false">IF(INDEX(Starfsmenn!$E$6:$E$10005,$A29)="","",INDEX(Starfsmenn!$E$6:$E$10005,$A29))</f>
        <v/>
      </c>
      <c r="F29" s="25" t="str">
        <f aca="false">IFERROR(IF(INDEX(Starfsmenn!$C$6:$C$10005,$A29)="","",INDEX('Flokkun starfa'!$C$11:$C$110,MATCH(INDEX(Starfsmenn!$C$6:$C$10005,$A29),'Flokkun starfa'!$B$11:$B$110,0))),"")</f>
        <v/>
      </c>
      <c r="G29" s="33" t="n">
        <f aca="false">IFERROR(INDEX('Flokkun starfsmanna'!$GV$7:$GV$10006,$A29),0)</f>
        <v>0</v>
      </c>
      <c r="H29" s="44" t="n">
        <f aca="false">IFERROR(IF(AND(F29="",G29=""),"",IF(F29="",0,F29)+IF(G29="",0,G29)),"")</f>
        <v>0</v>
      </c>
      <c r="I29" s="49" t="str">
        <f aca="false">IF(INDEX(Starfsmenn!$I$6:$I$10005,$A29)="","",INDEX(Starfsmenn!$I$6:$I$10005,$A29))</f>
        <v/>
      </c>
      <c r="J29" s="49" t="str">
        <f aca="false">IF(INDEX(Starfsmenn!$P$6:$P$10005,$A29)="","",INDEX(Starfsmenn!$P$6:$P$10005,$A29))</f>
        <v/>
      </c>
      <c r="K29" s="49" t="str">
        <f aca="false">IF(INDEX(Starfsmenn!$Q$6:$Q$10005,$A29)="","",INDEX(Starfsmenn!$Q$6:$Q$10005,$A29))</f>
        <v/>
      </c>
      <c r="L29" s="50" t="str">
        <f aca="false">IFERROR(IF(AND(I29="",J29="",K29=""),"",IF(I29="",0,I29)+IF(J29="",0,J29)+IF(K29="",0,K29)),"")</f>
        <v/>
      </c>
      <c r="M29" s="49" t="str">
        <f aca="false">IF(INDEX(Starfsmenn!$R$6:$R$10005,$A29)="","",INDEX(Starfsmenn!$R$6:$R$10005,$A29))</f>
        <v/>
      </c>
      <c r="N29" s="50" t="str">
        <f aca="false">IF(INDEX(Starfsmenn!$S$6:$S$10005,$A29)="","",INDEX(Starfsmenn!$S$6:$S$10005,$A29))</f>
        <v/>
      </c>
    </row>
    <row r="30" customFormat="false" ht="15" hidden="false" customHeight="true" outlineLevel="0" collapsed="false">
      <c r="A30" s="22" t="n">
        <v>25</v>
      </c>
      <c r="B30" s="24" t="str">
        <f aca="false">IF(INDEX(Starfsmenn!$B$6:$B$10005,$A30)="","",INDEX(Starfsmenn!$B$6:$B$10005,$A30))</f>
        <v/>
      </c>
      <c r="C30" s="24" t="str">
        <f aca="false">IF(INDEX(Starfsmenn!$C$6:$C$10005,$A30)="","",INDEX(Starfsmenn!$C$6:$C$10005,$A30))</f>
        <v/>
      </c>
      <c r="D30" s="47" t="str">
        <f aca="false">IF(INDEX(Starfsmenn!$D$6:$D$10005,$A30)="","",INDEX(Starfsmenn!$D$6:$D$10005,$A30))</f>
        <v/>
      </c>
      <c r="E30" s="48" t="str">
        <f aca="false">IF(INDEX(Starfsmenn!$E$6:$E$10005,$A30)="","",INDEX(Starfsmenn!$E$6:$E$10005,$A30))</f>
        <v/>
      </c>
      <c r="F30" s="25" t="str">
        <f aca="false">IFERROR(IF(INDEX(Starfsmenn!$C$6:$C$10005,$A30)="","",INDEX('Flokkun starfa'!$C$11:$C$110,MATCH(INDEX(Starfsmenn!$C$6:$C$10005,$A30),'Flokkun starfa'!$B$11:$B$110,0))),"")</f>
        <v/>
      </c>
      <c r="G30" s="33" t="n">
        <f aca="false">IFERROR(INDEX('Flokkun starfsmanna'!$GV$7:$GV$10006,$A30),0)</f>
        <v>0</v>
      </c>
      <c r="H30" s="44" t="n">
        <f aca="false">IFERROR(IF(AND(F30="",G30=""),"",IF(F30="",0,F30)+IF(G30="",0,G30)),"")</f>
        <v>0</v>
      </c>
      <c r="I30" s="49" t="str">
        <f aca="false">IF(INDEX(Starfsmenn!$I$6:$I$10005,$A30)="","",INDEX(Starfsmenn!$I$6:$I$10005,$A30))</f>
        <v/>
      </c>
      <c r="J30" s="49" t="str">
        <f aca="false">IF(INDEX(Starfsmenn!$P$6:$P$10005,$A30)="","",INDEX(Starfsmenn!$P$6:$P$10005,$A30))</f>
        <v/>
      </c>
      <c r="K30" s="49" t="str">
        <f aca="false">IF(INDEX(Starfsmenn!$Q$6:$Q$10005,$A30)="","",INDEX(Starfsmenn!$Q$6:$Q$10005,$A30))</f>
        <v/>
      </c>
      <c r="L30" s="50" t="str">
        <f aca="false">IFERROR(IF(AND(I30="",J30="",K30=""),"",IF(I30="",0,I30)+IF(J30="",0,J30)+IF(K30="",0,K30)),"")</f>
        <v/>
      </c>
      <c r="M30" s="49" t="str">
        <f aca="false">IF(INDEX(Starfsmenn!$R$6:$R$10005,$A30)="","",INDEX(Starfsmenn!$R$6:$R$10005,$A30))</f>
        <v/>
      </c>
      <c r="N30" s="50" t="str">
        <f aca="false">IF(INDEX(Starfsmenn!$S$6:$S$10005,$A30)="","",INDEX(Starfsmenn!$S$6:$S$10005,$A30))</f>
        <v/>
      </c>
    </row>
    <row r="31" customFormat="false" ht="15" hidden="false" customHeight="true" outlineLevel="0" collapsed="false">
      <c r="A31" s="22" t="n">
        <v>26</v>
      </c>
      <c r="B31" s="24" t="str">
        <f aca="false">IF(INDEX(Starfsmenn!$B$6:$B$10005,$A31)="","",INDEX(Starfsmenn!$B$6:$B$10005,$A31))</f>
        <v/>
      </c>
      <c r="C31" s="24" t="str">
        <f aca="false">IF(INDEX(Starfsmenn!$C$6:$C$10005,$A31)="","",INDEX(Starfsmenn!$C$6:$C$10005,$A31))</f>
        <v/>
      </c>
      <c r="D31" s="47" t="str">
        <f aca="false">IF(INDEX(Starfsmenn!$D$6:$D$10005,$A31)="","",INDEX(Starfsmenn!$D$6:$D$10005,$A31))</f>
        <v/>
      </c>
      <c r="E31" s="48" t="str">
        <f aca="false">IF(INDEX(Starfsmenn!$E$6:$E$10005,$A31)="","",INDEX(Starfsmenn!$E$6:$E$10005,$A31))</f>
        <v/>
      </c>
      <c r="F31" s="25" t="str">
        <f aca="false">IFERROR(IF(INDEX(Starfsmenn!$C$6:$C$10005,$A31)="","",INDEX('Flokkun starfa'!$C$11:$C$110,MATCH(INDEX(Starfsmenn!$C$6:$C$10005,$A31),'Flokkun starfa'!$B$11:$B$110,0))),"")</f>
        <v/>
      </c>
      <c r="G31" s="33" t="n">
        <f aca="false">IFERROR(INDEX('Flokkun starfsmanna'!$GV$7:$GV$10006,$A31),0)</f>
        <v>0</v>
      </c>
      <c r="H31" s="44" t="n">
        <f aca="false">IFERROR(IF(AND(F31="",G31=""),"",IF(F31="",0,F31)+IF(G31="",0,G31)),"")</f>
        <v>0</v>
      </c>
      <c r="I31" s="49" t="str">
        <f aca="false">IF(INDEX(Starfsmenn!$I$6:$I$10005,$A31)="","",INDEX(Starfsmenn!$I$6:$I$10005,$A31))</f>
        <v/>
      </c>
      <c r="J31" s="49" t="str">
        <f aca="false">IF(INDEX(Starfsmenn!$P$6:$P$10005,$A31)="","",INDEX(Starfsmenn!$P$6:$P$10005,$A31))</f>
        <v/>
      </c>
      <c r="K31" s="49" t="str">
        <f aca="false">IF(INDEX(Starfsmenn!$Q$6:$Q$10005,$A31)="","",INDEX(Starfsmenn!$Q$6:$Q$10005,$A31))</f>
        <v/>
      </c>
      <c r="L31" s="50" t="str">
        <f aca="false">IFERROR(IF(AND(I31="",J31="",K31=""),"",IF(I31="",0,I31)+IF(J31="",0,J31)+IF(K31="",0,K31)),"")</f>
        <v/>
      </c>
      <c r="M31" s="49" t="str">
        <f aca="false">IF(INDEX(Starfsmenn!$R$6:$R$10005,$A31)="","",INDEX(Starfsmenn!$R$6:$R$10005,$A31))</f>
        <v/>
      </c>
      <c r="N31" s="50" t="str">
        <f aca="false">IF(INDEX(Starfsmenn!$S$6:$S$10005,$A31)="","",INDEX(Starfsmenn!$S$6:$S$10005,$A31))</f>
        <v/>
      </c>
    </row>
    <row r="32" customFormat="false" ht="15" hidden="false" customHeight="true" outlineLevel="0" collapsed="false">
      <c r="A32" s="22" t="n">
        <v>27</v>
      </c>
      <c r="B32" s="24" t="str">
        <f aca="false">IF(INDEX(Starfsmenn!$B$6:$B$10005,$A32)="","",INDEX(Starfsmenn!$B$6:$B$10005,$A32))</f>
        <v/>
      </c>
      <c r="C32" s="24" t="str">
        <f aca="false">IF(INDEX(Starfsmenn!$C$6:$C$10005,$A32)="","",INDEX(Starfsmenn!$C$6:$C$10005,$A32))</f>
        <v/>
      </c>
      <c r="D32" s="47" t="str">
        <f aca="false">IF(INDEX(Starfsmenn!$D$6:$D$10005,$A32)="","",INDEX(Starfsmenn!$D$6:$D$10005,$A32))</f>
        <v/>
      </c>
      <c r="E32" s="48" t="str">
        <f aca="false">IF(INDEX(Starfsmenn!$E$6:$E$10005,$A32)="","",INDEX(Starfsmenn!$E$6:$E$10005,$A32))</f>
        <v/>
      </c>
      <c r="F32" s="25" t="str">
        <f aca="false">IFERROR(IF(INDEX(Starfsmenn!$C$6:$C$10005,$A32)="","",INDEX('Flokkun starfa'!$C$11:$C$110,MATCH(INDEX(Starfsmenn!$C$6:$C$10005,$A32),'Flokkun starfa'!$B$11:$B$110,0))),"")</f>
        <v/>
      </c>
      <c r="G32" s="33" t="n">
        <f aca="false">IFERROR(INDEX('Flokkun starfsmanna'!$GV$7:$GV$10006,$A32),0)</f>
        <v>0</v>
      </c>
      <c r="H32" s="44" t="n">
        <f aca="false">IFERROR(IF(AND(F32="",G32=""),"",IF(F32="",0,F32)+IF(G32="",0,G32)),"")</f>
        <v>0</v>
      </c>
      <c r="I32" s="49" t="str">
        <f aca="false">IF(INDEX(Starfsmenn!$I$6:$I$10005,$A32)="","",INDEX(Starfsmenn!$I$6:$I$10005,$A32))</f>
        <v/>
      </c>
      <c r="J32" s="49" t="str">
        <f aca="false">IF(INDEX(Starfsmenn!$P$6:$P$10005,$A32)="","",INDEX(Starfsmenn!$P$6:$P$10005,$A32))</f>
        <v/>
      </c>
      <c r="K32" s="49" t="str">
        <f aca="false">IF(INDEX(Starfsmenn!$Q$6:$Q$10005,$A32)="","",INDEX(Starfsmenn!$Q$6:$Q$10005,$A32))</f>
        <v/>
      </c>
      <c r="L32" s="50" t="str">
        <f aca="false">IFERROR(IF(AND(I32="",J32="",K32=""),"",IF(I32="",0,I32)+IF(J32="",0,J32)+IF(K32="",0,K32)),"")</f>
        <v/>
      </c>
      <c r="M32" s="49" t="str">
        <f aca="false">IF(INDEX(Starfsmenn!$R$6:$R$10005,$A32)="","",INDEX(Starfsmenn!$R$6:$R$10005,$A32))</f>
        <v/>
      </c>
      <c r="N32" s="50" t="str">
        <f aca="false">IF(INDEX(Starfsmenn!$S$6:$S$10005,$A32)="","",INDEX(Starfsmenn!$S$6:$S$10005,$A32))</f>
        <v/>
      </c>
    </row>
    <row r="33" customFormat="false" ht="15" hidden="false" customHeight="true" outlineLevel="0" collapsed="false">
      <c r="A33" s="22" t="n">
        <v>28</v>
      </c>
      <c r="B33" s="24" t="str">
        <f aca="false">IF(INDEX(Starfsmenn!$B$6:$B$10005,$A33)="","",INDEX(Starfsmenn!$B$6:$B$10005,$A33))</f>
        <v/>
      </c>
      <c r="C33" s="24" t="str">
        <f aca="false">IF(INDEX(Starfsmenn!$C$6:$C$10005,$A33)="","",INDEX(Starfsmenn!$C$6:$C$10005,$A33))</f>
        <v/>
      </c>
      <c r="D33" s="47" t="str">
        <f aca="false">IF(INDEX(Starfsmenn!$D$6:$D$10005,$A33)="","",INDEX(Starfsmenn!$D$6:$D$10005,$A33))</f>
        <v/>
      </c>
      <c r="E33" s="48" t="str">
        <f aca="false">IF(INDEX(Starfsmenn!$E$6:$E$10005,$A33)="","",INDEX(Starfsmenn!$E$6:$E$10005,$A33))</f>
        <v/>
      </c>
      <c r="F33" s="25" t="str">
        <f aca="false">IFERROR(IF(INDEX(Starfsmenn!$C$6:$C$10005,$A33)="","",INDEX('Flokkun starfa'!$C$11:$C$110,MATCH(INDEX(Starfsmenn!$C$6:$C$10005,$A33),'Flokkun starfa'!$B$11:$B$110,0))),"")</f>
        <v/>
      </c>
      <c r="G33" s="33" t="n">
        <f aca="false">IFERROR(INDEX('Flokkun starfsmanna'!$GV$7:$GV$10006,$A33),0)</f>
        <v>0</v>
      </c>
      <c r="H33" s="44" t="n">
        <f aca="false">IFERROR(IF(AND(F33="",G33=""),"",IF(F33="",0,F33)+IF(G33="",0,G33)),"")</f>
        <v>0</v>
      </c>
      <c r="I33" s="49" t="str">
        <f aca="false">IF(INDEX(Starfsmenn!$I$6:$I$10005,$A33)="","",INDEX(Starfsmenn!$I$6:$I$10005,$A33))</f>
        <v/>
      </c>
      <c r="J33" s="49" t="str">
        <f aca="false">IF(INDEX(Starfsmenn!$P$6:$P$10005,$A33)="","",INDEX(Starfsmenn!$P$6:$P$10005,$A33))</f>
        <v/>
      </c>
      <c r="K33" s="49" t="str">
        <f aca="false">IF(INDEX(Starfsmenn!$Q$6:$Q$10005,$A33)="","",INDEX(Starfsmenn!$Q$6:$Q$10005,$A33))</f>
        <v/>
      </c>
      <c r="L33" s="50" t="str">
        <f aca="false">IFERROR(IF(AND(I33="",J33="",K33=""),"",IF(I33="",0,I33)+IF(J33="",0,J33)+IF(K33="",0,K33)),"")</f>
        <v/>
      </c>
      <c r="M33" s="49" t="str">
        <f aca="false">IF(INDEX(Starfsmenn!$R$6:$R$10005,$A33)="","",INDEX(Starfsmenn!$R$6:$R$10005,$A33))</f>
        <v/>
      </c>
      <c r="N33" s="50" t="str">
        <f aca="false">IF(INDEX(Starfsmenn!$S$6:$S$10005,$A33)="","",INDEX(Starfsmenn!$S$6:$S$10005,$A33))</f>
        <v/>
      </c>
    </row>
    <row r="34" customFormat="false" ht="15" hidden="false" customHeight="true" outlineLevel="0" collapsed="false">
      <c r="A34" s="22" t="n">
        <v>29</v>
      </c>
      <c r="B34" s="24" t="str">
        <f aca="false">IF(INDEX(Starfsmenn!$B$6:$B$10005,$A34)="","",INDEX(Starfsmenn!$B$6:$B$10005,$A34))</f>
        <v/>
      </c>
      <c r="C34" s="24" t="str">
        <f aca="false">IF(INDEX(Starfsmenn!$C$6:$C$10005,$A34)="","",INDEX(Starfsmenn!$C$6:$C$10005,$A34))</f>
        <v/>
      </c>
      <c r="D34" s="47" t="str">
        <f aca="false">IF(INDEX(Starfsmenn!$D$6:$D$10005,$A34)="","",INDEX(Starfsmenn!$D$6:$D$10005,$A34))</f>
        <v/>
      </c>
      <c r="E34" s="48" t="str">
        <f aca="false">IF(INDEX(Starfsmenn!$E$6:$E$10005,$A34)="","",INDEX(Starfsmenn!$E$6:$E$10005,$A34))</f>
        <v/>
      </c>
      <c r="F34" s="25" t="str">
        <f aca="false">IFERROR(IF(INDEX(Starfsmenn!$C$6:$C$10005,$A34)="","",INDEX('Flokkun starfa'!$C$11:$C$110,MATCH(INDEX(Starfsmenn!$C$6:$C$10005,$A34),'Flokkun starfa'!$B$11:$B$110,0))),"")</f>
        <v/>
      </c>
      <c r="G34" s="33" t="n">
        <f aca="false">IFERROR(INDEX('Flokkun starfsmanna'!$GV$7:$GV$10006,$A34),0)</f>
        <v>0</v>
      </c>
      <c r="H34" s="44" t="n">
        <f aca="false">IFERROR(IF(AND(F34="",G34=""),"",IF(F34="",0,F34)+IF(G34="",0,G34)),"")</f>
        <v>0</v>
      </c>
      <c r="I34" s="49" t="str">
        <f aca="false">IF(INDEX(Starfsmenn!$I$6:$I$10005,$A34)="","",INDEX(Starfsmenn!$I$6:$I$10005,$A34))</f>
        <v/>
      </c>
      <c r="J34" s="49" t="str">
        <f aca="false">IF(INDEX(Starfsmenn!$P$6:$P$10005,$A34)="","",INDEX(Starfsmenn!$P$6:$P$10005,$A34))</f>
        <v/>
      </c>
      <c r="K34" s="49" t="str">
        <f aca="false">IF(INDEX(Starfsmenn!$Q$6:$Q$10005,$A34)="","",INDEX(Starfsmenn!$Q$6:$Q$10005,$A34))</f>
        <v/>
      </c>
      <c r="L34" s="50" t="str">
        <f aca="false">IFERROR(IF(AND(I34="",J34="",K34=""),"",IF(I34="",0,I34)+IF(J34="",0,J34)+IF(K34="",0,K34)),"")</f>
        <v/>
      </c>
      <c r="M34" s="49" t="str">
        <f aca="false">IF(INDEX(Starfsmenn!$R$6:$R$10005,$A34)="","",INDEX(Starfsmenn!$R$6:$R$10005,$A34))</f>
        <v/>
      </c>
      <c r="N34" s="50" t="str">
        <f aca="false">IF(INDEX(Starfsmenn!$S$6:$S$10005,$A34)="","",INDEX(Starfsmenn!$S$6:$S$10005,$A34))</f>
        <v/>
      </c>
    </row>
    <row r="35" customFormat="false" ht="15" hidden="false" customHeight="true" outlineLevel="0" collapsed="false">
      <c r="A35" s="22" t="n">
        <v>30</v>
      </c>
      <c r="B35" s="24" t="str">
        <f aca="false">IF(INDEX(Starfsmenn!$B$6:$B$10005,$A35)="","",INDEX(Starfsmenn!$B$6:$B$10005,$A35))</f>
        <v/>
      </c>
      <c r="C35" s="24" t="str">
        <f aca="false">IF(INDEX(Starfsmenn!$C$6:$C$10005,$A35)="","",INDEX(Starfsmenn!$C$6:$C$10005,$A35))</f>
        <v/>
      </c>
      <c r="D35" s="47" t="str">
        <f aca="false">IF(INDEX(Starfsmenn!$D$6:$D$10005,$A35)="","",INDEX(Starfsmenn!$D$6:$D$10005,$A35))</f>
        <v/>
      </c>
      <c r="E35" s="48" t="str">
        <f aca="false">IF(INDEX(Starfsmenn!$E$6:$E$10005,$A35)="","",INDEX(Starfsmenn!$E$6:$E$10005,$A35))</f>
        <v/>
      </c>
      <c r="F35" s="25" t="str">
        <f aca="false">IFERROR(IF(INDEX(Starfsmenn!$C$6:$C$10005,$A35)="","",INDEX('Flokkun starfa'!$C$11:$C$110,MATCH(INDEX(Starfsmenn!$C$6:$C$10005,$A35),'Flokkun starfa'!$B$11:$B$110,0))),"")</f>
        <v/>
      </c>
      <c r="G35" s="33" t="n">
        <f aca="false">IFERROR(INDEX('Flokkun starfsmanna'!$GV$7:$GV$10006,$A35),0)</f>
        <v>0</v>
      </c>
      <c r="H35" s="44" t="n">
        <f aca="false">IFERROR(IF(AND(F35="",G35=""),"",IF(F35="",0,F35)+IF(G35="",0,G35)),"")</f>
        <v>0</v>
      </c>
      <c r="I35" s="49" t="str">
        <f aca="false">IF(INDEX(Starfsmenn!$I$6:$I$10005,$A35)="","",INDEX(Starfsmenn!$I$6:$I$10005,$A35))</f>
        <v/>
      </c>
      <c r="J35" s="49" t="str">
        <f aca="false">IF(INDEX(Starfsmenn!$P$6:$P$10005,$A35)="","",INDEX(Starfsmenn!$P$6:$P$10005,$A35))</f>
        <v/>
      </c>
      <c r="K35" s="49" t="str">
        <f aca="false">IF(INDEX(Starfsmenn!$Q$6:$Q$10005,$A35)="","",INDEX(Starfsmenn!$Q$6:$Q$10005,$A35))</f>
        <v/>
      </c>
      <c r="L35" s="50" t="str">
        <f aca="false">IFERROR(IF(AND(I35="",J35="",K35=""),"",IF(I35="",0,I35)+IF(J35="",0,J35)+IF(K35="",0,K35)),"")</f>
        <v/>
      </c>
      <c r="M35" s="49" t="str">
        <f aca="false">IF(INDEX(Starfsmenn!$R$6:$R$10005,$A35)="","",INDEX(Starfsmenn!$R$6:$R$10005,$A35))</f>
        <v/>
      </c>
      <c r="N35" s="50" t="str">
        <f aca="false">IF(INDEX(Starfsmenn!$S$6:$S$10005,$A35)="","",INDEX(Starfsmenn!$S$6:$S$10005,$A35))</f>
        <v/>
      </c>
    </row>
    <row r="36" customFormat="false" ht="15" hidden="false" customHeight="true" outlineLevel="0" collapsed="false">
      <c r="A36" s="22" t="n">
        <v>31</v>
      </c>
      <c r="B36" s="24" t="str">
        <f aca="false">IF(INDEX(Starfsmenn!$B$6:$B$10005,$A36)="","",INDEX(Starfsmenn!$B$6:$B$10005,$A36))</f>
        <v/>
      </c>
      <c r="C36" s="24" t="str">
        <f aca="false">IF(INDEX(Starfsmenn!$C$6:$C$10005,$A36)="","",INDEX(Starfsmenn!$C$6:$C$10005,$A36))</f>
        <v/>
      </c>
      <c r="D36" s="47" t="str">
        <f aca="false">IF(INDEX(Starfsmenn!$D$6:$D$10005,$A36)="","",INDEX(Starfsmenn!$D$6:$D$10005,$A36))</f>
        <v/>
      </c>
      <c r="E36" s="48" t="str">
        <f aca="false">IF(INDEX(Starfsmenn!$E$6:$E$10005,$A36)="","",INDEX(Starfsmenn!$E$6:$E$10005,$A36))</f>
        <v/>
      </c>
      <c r="F36" s="25" t="str">
        <f aca="false">IFERROR(IF(INDEX(Starfsmenn!$C$6:$C$10005,$A36)="","",INDEX('Flokkun starfa'!$C$11:$C$110,MATCH(INDEX(Starfsmenn!$C$6:$C$10005,$A36),'Flokkun starfa'!$B$11:$B$110,0))),"")</f>
        <v/>
      </c>
      <c r="G36" s="33" t="n">
        <f aca="false">IFERROR(INDEX('Flokkun starfsmanna'!$GV$7:$GV$10006,$A36),0)</f>
        <v>0</v>
      </c>
      <c r="H36" s="44" t="n">
        <f aca="false">IFERROR(IF(AND(F36="",G36=""),"",IF(F36="",0,F36)+IF(G36="",0,G36)),"")</f>
        <v>0</v>
      </c>
      <c r="I36" s="49" t="str">
        <f aca="false">IF(INDEX(Starfsmenn!$I$6:$I$10005,$A36)="","",INDEX(Starfsmenn!$I$6:$I$10005,$A36))</f>
        <v/>
      </c>
      <c r="J36" s="49" t="str">
        <f aca="false">IF(INDEX(Starfsmenn!$P$6:$P$10005,$A36)="","",INDEX(Starfsmenn!$P$6:$P$10005,$A36))</f>
        <v/>
      </c>
      <c r="K36" s="49" t="str">
        <f aca="false">IF(INDEX(Starfsmenn!$Q$6:$Q$10005,$A36)="","",INDEX(Starfsmenn!$Q$6:$Q$10005,$A36))</f>
        <v/>
      </c>
      <c r="L36" s="50" t="str">
        <f aca="false">IFERROR(IF(AND(I36="",J36="",K36=""),"",IF(I36="",0,I36)+IF(J36="",0,J36)+IF(K36="",0,K36)),"")</f>
        <v/>
      </c>
      <c r="M36" s="49" t="str">
        <f aca="false">IF(INDEX(Starfsmenn!$R$6:$R$10005,$A36)="","",INDEX(Starfsmenn!$R$6:$R$10005,$A36))</f>
        <v/>
      </c>
      <c r="N36" s="50" t="str">
        <f aca="false">IF(INDEX(Starfsmenn!$S$6:$S$10005,$A36)="","",INDEX(Starfsmenn!$S$6:$S$10005,$A36))</f>
        <v/>
      </c>
    </row>
    <row r="37" customFormat="false" ht="15" hidden="false" customHeight="true" outlineLevel="0" collapsed="false">
      <c r="A37" s="22" t="n">
        <v>32</v>
      </c>
      <c r="B37" s="24" t="str">
        <f aca="false">IF(INDEX(Starfsmenn!$B$6:$B$10005,$A37)="","",INDEX(Starfsmenn!$B$6:$B$10005,$A37))</f>
        <v/>
      </c>
      <c r="C37" s="24" t="str">
        <f aca="false">IF(INDEX(Starfsmenn!$C$6:$C$10005,$A37)="","",INDEX(Starfsmenn!$C$6:$C$10005,$A37))</f>
        <v/>
      </c>
      <c r="D37" s="47" t="str">
        <f aca="false">IF(INDEX(Starfsmenn!$D$6:$D$10005,$A37)="","",INDEX(Starfsmenn!$D$6:$D$10005,$A37))</f>
        <v/>
      </c>
      <c r="E37" s="48" t="str">
        <f aca="false">IF(INDEX(Starfsmenn!$E$6:$E$10005,$A37)="","",INDEX(Starfsmenn!$E$6:$E$10005,$A37))</f>
        <v/>
      </c>
      <c r="F37" s="25" t="str">
        <f aca="false">IFERROR(IF(INDEX(Starfsmenn!$C$6:$C$10005,$A37)="","",INDEX('Flokkun starfa'!$C$11:$C$110,MATCH(INDEX(Starfsmenn!$C$6:$C$10005,$A37),'Flokkun starfa'!$B$11:$B$110,0))),"")</f>
        <v/>
      </c>
      <c r="G37" s="33" t="n">
        <f aca="false">IFERROR(INDEX('Flokkun starfsmanna'!$GV$7:$GV$10006,$A37),0)</f>
        <v>0</v>
      </c>
      <c r="H37" s="44" t="n">
        <f aca="false">IFERROR(IF(AND(F37="",G37=""),"",IF(F37="",0,F37)+IF(G37="",0,G37)),"")</f>
        <v>0</v>
      </c>
      <c r="I37" s="49" t="str">
        <f aca="false">IF(INDEX(Starfsmenn!$I$6:$I$10005,$A37)="","",INDEX(Starfsmenn!$I$6:$I$10005,$A37))</f>
        <v/>
      </c>
      <c r="J37" s="49" t="str">
        <f aca="false">IF(INDEX(Starfsmenn!$P$6:$P$10005,$A37)="","",INDEX(Starfsmenn!$P$6:$P$10005,$A37))</f>
        <v/>
      </c>
      <c r="K37" s="49" t="str">
        <f aca="false">IF(INDEX(Starfsmenn!$Q$6:$Q$10005,$A37)="","",INDEX(Starfsmenn!$Q$6:$Q$10005,$A37))</f>
        <v/>
      </c>
      <c r="L37" s="50" t="str">
        <f aca="false">IFERROR(IF(AND(I37="",J37="",K37=""),"",IF(I37="",0,I37)+IF(J37="",0,J37)+IF(K37="",0,K37)),"")</f>
        <v/>
      </c>
      <c r="M37" s="49" t="str">
        <f aca="false">IF(INDEX(Starfsmenn!$R$6:$R$10005,$A37)="","",INDEX(Starfsmenn!$R$6:$R$10005,$A37))</f>
        <v/>
      </c>
      <c r="N37" s="50" t="str">
        <f aca="false">IF(INDEX(Starfsmenn!$S$6:$S$10005,$A37)="","",INDEX(Starfsmenn!$S$6:$S$10005,$A37))</f>
        <v/>
      </c>
    </row>
    <row r="38" customFormat="false" ht="15" hidden="false" customHeight="true" outlineLevel="0" collapsed="false">
      <c r="A38" s="22" t="n">
        <v>33</v>
      </c>
      <c r="B38" s="24" t="str">
        <f aca="false">IF(INDEX(Starfsmenn!$B$6:$B$10005,$A38)="","",INDEX(Starfsmenn!$B$6:$B$10005,$A38))</f>
        <v/>
      </c>
      <c r="C38" s="24" t="str">
        <f aca="false">IF(INDEX(Starfsmenn!$C$6:$C$10005,$A38)="","",INDEX(Starfsmenn!$C$6:$C$10005,$A38))</f>
        <v/>
      </c>
      <c r="D38" s="47" t="str">
        <f aca="false">IF(INDEX(Starfsmenn!$D$6:$D$10005,$A38)="","",INDEX(Starfsmenn!$D$6:$D$10005,$A38))</f>
        <v/>
      </c>
      <c r="E38" s="48" t="str">
        <f aca="false">IF(INDEX(Starfsmenn!$E$6:$E$10005,$A38)="","",INDEX(Starfsmenn!$E$6:$E$10005,$A38))</f>
        <v/>
      </c>
      <c r="F38" s="25" t="str">
        <f aca="false">IFERROR(IF(INDEX(Starfsmenn!$C$6:$C$10005,$A38)="","",INDEX('Flokkun starfa'!$C$11:$C$110,MATCH(INDEX(Starfsmenn!$C$6:$C$10005,$A38),'Flokkun starfa'!$B$11:$B$110,0))),"")</f>
        <v/>
      </c>
      <c r="G38" s="33" t="n">
        <f aca="false">IFERROR(INDEX('Flokkun starfsmanna'!$GV$7:$GV$10006,$A38),0)</f>
        <v>0</v>
      </c>
      <c r="H38" s="44" t="n">
        <f aca="false">IFERROR(IF(AND(F38="",G38=""),"",IF(F38="",0,F38)+IF(G38="",0,G38)),"")</f>
        <v>0</v>
      </c>
      <c r="I38" s="49" t="str">
        <f aca="false">IF(INDEX(Starfsmenn!$I$6:$I$10005,$A38)="","",INDEX(Starfsmenn!$I$6:$I$10005,$A38))</f>
        <v/>
      </c>
      <c r="J38" s="49" t="str">
        <f aca="false">IF(INDEX(Starfsmenn!$P$6:$P$10005,$A38)="","",INDEX(Starfsmenn!$P$6:$P$10005,$A38))</f>
        <v/>
      </c>
      <c r="K38" s="49" t="str">
        <f aca="false">IF(INDEX(Starfsmenn!$Q$6:$Q$10005,$A38)="","",INDEX(Starfsmenn!$Q$6:$Q$10005,$A38))</f>
        <v/>
      </c>
      <c r="L38" s="50" t="str">
        <f aca="false">IFERROR(IF(AND(I38="",J38="",K38=""),"",IF(I38="",0,I38)+IF(J38="",0,J38)+IF(K38="",0,K38)),"")</f>
        <v/>
      </c>
      <c r="M38" s="49" t="str">
        <f aca="false">IF(INDEX(Starfsmenn!$R$6:$R$10005,$A38)="","",INDEX(Starfsmenn!$R$6:$R$10005,$A38))</f>
        <v/>
      </c>
      <c r="N38" s="50" t="str">
        <f aca="false">IF(INDEX(Starfsmenn!$S$6:$S$10005,$A38)="","",INDEX(Starfsmenn!$S$6:$S$10005,$A38))</f>
        <v/>
      </c>
    </row>
    <row r="39" customFormat="false" ht="15" hidden="false" customHeight="true" outlineLevel="0" collapsed="false">
      <c r="A39" s="22" t="n">
        <v>34</v>
      </c>
      <c r="B39" s="24" t="str">
        <f aca="false">IF(INDEX(Starfsmenn!$B$6:$B$10005,$A39)="","",INDEX(Starfsmenn!$B$6:$B$10005,$A39))</f>
        <v/>
      </c>
      <c r="C39" s="24" t="str">
        <f aca="false">IF(INDEX(Starfsmenn!$C$6:$C$10005,$A39)="","",INDEX(Starfsmenn!$C$6:$C$10005,$A39))</f>
        <v/>
      </c>
      <c r="D39" s="47" t="str">
        <f aca="false">IF(INDEX(Starfsmenn!$D$6:$D$10005,$A39)="","",INDEX(Starfsmenn!$D$6:$D$10005,$A39))</f>
        <v/>
      </c>
      <c r="E39" s="48" t="str">
        <f aca="false">IF(INDEX(Starfsmenn!$E$6:$E$10005,$A39)="","",INDEX(Starfsmenn!$E$6:$E$10005,$A39))</f>
        <v/>
      </c>
      <c r="F39" s="25" t="str">
        <f aca="false">IFERROR(IF(INDEX(Starfsmenn!$C$6:$C$10005,$A39)="","",INDEX('Flokkun starfa'!$C$11:$C$110,MATCH(INDEX(Starfsmenn!$C$6:$C$10005,$A39),'Flokkun starfa'!$B$11:$B$110,0))),"")</f>
        <v/>
      </c>
      <c r="G39" s="33" t="n">
        <f aca="false">IFERROR(INDEX('Flokkun starfsmanna'!$GV$7:$GV$10006,$A39),0)</f>
        <v>0</v>
      </c>
      <c r="H39" s="44" t="n">
        <f aca="false">IFERROR(IF(AND(F39="",G39=""),"",IF(F39="",0,F39)+IF(G39="",0,G39)),"")</f>
        <v>0</v>
      </c>
      <c r="I39" s="49" t="str">
        <f aca="false">IF(INDEX(Starfsmenn!$I$6:$I$10005,$A39)="","",INDEX(Starfsmenn!$I$6:$I$10005,$A39))</f>
        <v/>
      </c>
      <c r="J39" s="49" t="str">
        <f aca="false">IF(INDEX(Starfsmenn!$P$6:$P$10005,$A39)="","",INDEX(Starfsmenn!$P$6:$P$10005,$A39))</f>
        <v/>
      </c>
      <c r="K39" s="49" t="str">
        <f aca="false">IF(INDEX(Starfsmenn!$Q$6:$Q$10005,$A39)="","",INDEX(Starfsmenn!$Q$6:$Q$10005,$A39))</f>
        <v/>
      </c>
      <c r="L39" s="50" t="str">
        <f aca="false">IFERROR(IF(AND(I39="",J39="",K39=""),"",IF(I39="",0,I39)+IF(J39="",0,J39)+IF(K39="",0,K39)),"")</f>
        <v/>
      </c>
      <c r="M39" s="49" t="str">
        <f aca="false">IF(INDEX(Starfsmenn!$R$6:$R$10005,$A39)="","",INDEX(Starfsmenn!$R$6:$R$10005,$A39))</f>
        <v/>
      </c>
      <c r="N39" s="50" t="str">
        <f aca="false">IF(INDEX(Starfsmenn!$S$6:$S$10005,$A39)="","",INDEX(Starfsmenn!$S$6:$S$10005,$A39))</f>
        <v/>
      </c>
    </row>
    <row r="40" customFormat="false" ht="15" hidden="false" customHeight="true" outlineLevel="0" collapsed="false">
      <c r="A40" s="22" t="n">
        <v>35</v>
      </c>
      <c r="B40" s="24" t="str">
        <f aca="false">IF(INDEX(Starfsmenn!$B$6:$B$10005,$A40)="","",INDEX(Starfsmenn!$B$6:$B$10005,$A40))</f>
        <v/>
      </c>
      <c r="C40" s="24" t="str">
        <f aca="false">IF(INDEX(Starfsmenn!$C$6:$C$10005,$A40)="","",INDEX(Starfsmenn!$C$6:$C$10005,$A40))</f>
        <v/>
      </c>
      <c r="D40" s="47" t="str">
        <f aca="false">IF(INDEX(Starfsmenn!$D$6:$D$10005,$A40)="","",INDEX(Starfsmenn!$D$6:$D$10005,$A40))</f>
        <v/>
      </c>
      <c r="E40" s="48" t="str">
        <f aca="false">IF(INDEX(Starfsmenn!$E$6:$E$10005,$A40)="","",INDEX(Starfsmenn!$E$6:$E$10005,$A40))</f>
        <v/>
      </c>
      <c r="F40" s="25" t="str">
        <f aca="false">IFERROR(IF(INDEX(Starfsmenn!$C$6:$C$10005,$A40)="","",INDEX('Flokkun starfa'!$C$11:$C$110,MATCH(INDEX(Starfsmenn!$C$6:$C$10005,$A40),'Flokkun starfa'!$B$11:$B$110,0))),"")</f>
        <v/>
      </c>
      <c r="G40" s="33" t="n">
        <f aca="false">IFERROR(INDEX('Flokkun starfsmanna'!$GV$7:$GV$10006,$A40),0)</f>
        <v>0</v>
      </c>
      <c r="H40" s="44" t="n">
        <f aca="false">IFERROR(IF(AND(F40="",G40=""),"",IF(F40="",0,F40)+IF(G40="",0,G40)),"")</f>
        <v>0</v>
      </c>
      <c r="I40" s="49" t="str">
        <f aca="false">IF(INDEX(Starfsmenn!$I$6:$I$10005,$A40)="","",INDEX(Starfsmenn!$I$6:$I$10005,$A40))</f>
        <v/>
      </c>
      <c r="J40" s="49" t="str">
        <f aca="false">IF(INDEX(Starfsmenn!$P$6:$P$10005,$A40)="","",INDEX(Starfsmenn!$P$6:$P$10005,$A40))</f>
        <v/>
      </c>
      <c r="K40" s="49" t="str">
        <f aca="false">IF(INDEX(Starfsmenn!$Q$6:$Q$10005,$A40)="","",INDEX(Starfsmenn!$Q$6:$Q$10005,$A40))</f>
        <v/>
      </c>
      <c r="L40" s="50" t="str">
        <f aca="false">IFERROR(IF(AND(I40="",J40="",K40=""),"",IF(I40="",0,I40)+IF(J40="",0,J40)+IF(K40="",0,K40)),"")</f>
        <v/>
      </c>
      <c r="M40" s="49" t="str">
        <f aca="false">IF(INDEX(Starfsmenn!$R$6:$R$10005,$A40)="","",INDEX(Starfsmenn!$R$6:$R$10005,$A40))</f>
        <v/>
      </c>
      <c r="N40" s="50" t="str">
        <f aca="false">IF(INDEX(Starfsmenn!$S$6:$S$10005,$A40)="","",INDEX(Starfsmenn!$S$6:$S$10005,$A40))</f>
        <v/>
      </c>
    </row>
    <row r="41" customFormat="false" ht="15" hidden="false" customHeight="true" outlineLevel="0" collapsed="false">
      <c r="A41" s="22" t="n">
        <v>36</v>
      </c>
      <c r="B41" s="24" t="str">
        <f aca="false">IF(INDEX(Starfsmenn!$B$6:$B$10005,$A41)="","",INDEX(Starfsmenn!$B$6:$B$10005,$A41))</f>
        <v/>
      </c>
      <c r="C41" s="24" t="str">
        <f aca="false">IF(INDEX(Starfsmenn!$C$6:$C$10005,$A41)="","",INDEX(Starfsmenn!$C$6:$C$10005,$A41))</f>
        <v/>
      </c>
      <c r="D41" s="47" t="str">
        <f aca="false">IF(INDEX(Starfsmenn!$D$6:$D$10005,$A41)="","",INDEX(Starfsmenn!$D$6:$D$10005,$A41))</f>
        <v/>
      </c>
      <c r="E41" s="48" t="str">
        <f aca="false">IF(INDEX(Starfsmenn!$E$6:$E$10005,$A41)="","",INDEX(Starfsmenn!$E$6:$E$10005,$A41))</f>
        <v/>
      </c>
      <c r="F41" s="25" t="str">
        <f aca="false">IFERROR(IF(INDEX(Starfsmenn!$C$6:$C$10005,$A41)="","",INDEX('Flokkun starfa'!$C$11:$C$110,MATCH(INDEX(Starfsmenn!$C$6:$C$10005,$A41),'Flokkun starfa'!$B$11:$B$110,0))),"")</f>
        <v/>
      </c>
      <c r="G41" s="33" t="n">
        <f aca="false">IFERROR(INDEX('Flokkun starfsmanna'!$GV$7:$GV$10006,$A41),0)</f>
        <v>0</v>
      </c>
      <c r="H41" s="44" t="n">
        <f aca="false">IFERROR(IF(AND(F41="",G41=""),"",IF(F41="",0,F41)+IF(G41="",0,G41)),"")</f>
        <v>0</v>
      </c>
      <c r="I41" s="49" t="str">
        <f aca="false">IF(INDEX(Starfsmenn!$I$6:$I$10005,$A41)="","",INDEX(Starfsmenn!$I$6:$I$10005,$A41))</f>
        <v/>
      </c>
      <c r="J41" s="49" t="str">
        <f aca="false">IF(INDEX(Starfsmenn!$P$6:$P$10005,$A41)="","",INDEX(Starfsmenn!$P$6:$P$10005,$A41))</f>
        <v/>
      </c>
      <c r="K41" s="49" t="str">
        <f aca="false">IF(INDEX(Starfsmenn!$Q$6:$Q$10005,$A41)="","",INDEX(Starfsmenn!$Q$6:$Q$10005,$A41))</f>
        <v/>
      </c>
      <c r="L41" s="50" t="str">
        <f aca="false">IFERROR(IF(AND(I41="",J41="",K41=""),"",IF(I41="",0,I41)+IF(J41="",0,J41)+IF(K41="",0,K41)),"")</f>
        <v/>
      </c>
      <c r="M41" s="49" t="str">
        <f aca="false">IF(INDEX(Starfsmenn!$R$6:$R$10005,$A41)="","",INDEX(Starfsmenn!$R$6:$R$10005,$A41))</f>
        <v/>
      </c>
      <c r="N41" s="50" t="str">
        <f aca="false">IF(INDEX(Starfsmenn!$S$6:$S$10005,$A41)="","",INDEX(Starfsmenn!$S$6:$S$10005,$A41))</f>
        <v/>
      </c>
    </row>
    <row r="42" customFormat="false" ht="15" hidden="false" customHeight="true" outlineLevel="0" collapsed="false">
      <c r="A42" s="22" t="n">
        <v>37</v>
      </c>
      <c r="B42" s="24" t="str">
        <f aca="false">IF(INDEX(Starfsmenn!$B$6:$B$10005,$A42)="","",INDEX(Starfsmenn!$B$6:$B$10005,$A42))</f>
        <v/>
      </c>
      <c r="C42" s="24" t="str">
        <f aca="false">IF(INDEX(Starfsmenn!$C$6:$C$10005,$A42)="","",INDEX(Starfsmenn!$C$6:$C$10005,$A42))</f>
        <v/>
      </c>
      <c r="D42" s="47" t="str">
        <f aca="false">IF(INDEX(Starfsmenn!$D$6:$D$10005,$A42)="","",INDEX(Starfsmenn!$D$6:$D$10005,$A42))</f>
        <v/>
      </c>
      <c r="E42" s="48" t="str">
        <f aca="false">IF(INDEX(Starfsmenn!$E$6:$E$10005,$A42)="","",INDEX(Starfsmenn!$E$6:$E$10005,$A42))</f>
        <v/>
      </c>
      <c r="F42" s="25" t="str">
        <f aca="false">IFERROR(IF(INDEX(Starfsmenn!$C$6:$C$10005,$A42)="","",INDEX('Flokkun starfa'!$C$11:$C$110,MATCH(INDEX(Starfsmenn!$C$6:$C$10005,$A42),'Flokkun starfa'!$B$11:$B$110,0))),"")</f>
        <v/>
      </c>
      <c r="G42" s="33" t="n">
        <f aca="false">IFERROR(INDEX('Flokkun starfsmanna'!$GV$7:$GV$10006,$A42),0)</f>
        <v>0</v>
      </c>
      <c r="H42" s="44" t="n">
        <f aca="false">IFERROR(IF(AND(F42="",G42=""),"",IF(F42="",0,F42)+IF(G42="",0,G42)),"")</f>
        <v>0</v>
      </c>
      <c r="I42" s="49" t="str">
        <f aca="false">IF(INDEX(Starfsmenn!$I$6:$I$10005,$A42)="","",INDEX(Starfsmenn!$I$6:$I$10005,$A42))</f>
        <v/>
      </c>
      <c r="J42" s="49" t="str">
        <f aca="false">IF(INDEX(Starfsmenn!$P$6:$P$10005,$A42)="","",INDEX(Starfsmenn!$P$6:$P$10005,$A42))</f>
        <v/>
      </c>
      <c r="K42" s="49" t="str">
        <f aca="false">IF(INDEX(Starfsmenn!$Q$6:$Q$10005,$A42)="","",INDEX(Starfsmenn!$Q$6:$Q$10005,$A42))</f>
        <v/>
      </c>
      <c r="L42" s="50" t="str">
        <f aca="false">IFERROR(IF(AND(I42="",J42="",K42=""),"",IF(I42="",0,I42)+IF(J42="",0,J42)+IF(K42="",0,K42)),"")</f>
        <v/>
      </c>
      <c r="M42" s="49" t="str">
        <f aca="false">IF(INDEX(Starfsmenn!$R$6:$R$10005,$A42)="","",INDEX(Starfsmenn!$R$6:$R$10005,$A42))</f>
        <v/>
      </c>
      <c r="N42" s="50" t="str">
        <f aca="false">IF(INDEX(Starfsmenn!$S$6:$S$10005,$A42)="","",INDEX(Starfsmenn!$S$6:$S$10005,$A42))</f>
        <v/>
      </c>
    </row>
    <row r="43" customFormat="false" ht="15" hidden="false" customHeight="true" outlineLevel="0" collapsed="false">
      <c r="A43" s="22" t="n">
        <v>38</v>
      </c>
      <c r="B43" s="24" t="str">
        <f aca="false">IF(INDEX(Starfsmenn!$B$6:$B$10005,$A43)="","",INDEX(Starfsmenn!$B$6:$B$10005,$A43))</f>
        <v/>
      </c>
      <c r="C43" s="24" t="str">
        <f aca="false">IF(INDEX(Starfsmenn!$C$6:$C$10005,$A43)="","",INDEX(Starfsmenn!$C$6:$C$10005,$A43))</f>
        <v/>
      </c>
      <c r="D43" s="47" t="str">
        <f aca="false">IF(INDEX(Starfsmenn!$D$6:$D$10005,$A43)="","",INDEX(Starfsmenn!$D$6:$D$10005,$A43))</f>
        <v/>
      </c>
      <c r="E43" s="48" t="str">
        <f aca="false">IF(INDEX(Starfsmenn!$E$6:$E$10005,$A43)="","",INDEX(Starfsmenn!$E$6:$E$10005,$A43))</f>
        <v/>
      </c>
      <c r="F43" s="25" t="str">
        <f aca="false">IFERROR(IF(INDEX(Starfsmenn!$C$6:$C$10005,$A43)="","",INDEX('Flokkun starfa'!$C$11:$C$110,MATCH(INDEX(Starfsmenn!$C$6:$C$10005,$A43),'Flokkun starfa'!$B$11:$B$110,0))),"")</f>
        <v/>
      </c>
      <c r="G43" s="33" t="n">
        <f aca="false">IFERROR(INDEX('Flokkun starfsmanna'!$GV$7:$GV$10006,$A43),0)</f>
        <v>0</v>
      </c>
      <c r="H43" s="44" t="n">
        <f aca="false">IFERROR(IF(AND(F43="",G43=""),"",IF(F43="",0,F43)+IF(G43="",0,G43)),"")</f>
        <v>0</v>
      </c>
      <c r="I43" s="49" t="str">
        <f aca="false">IF(INDEX(Starfsmenn!$I$6:$I$10005,$A43)="","",INDEX(Starfsmenn!$I$6:$I$10005,$A43))</f>
        <v/>
      </c>
      <c r="J43" s="49" t="str">
        <f aca="false">IF(INDEX(Starfsmenn!$P$6:$P$10005,$A43)="","",INDEX(Starfsmenn!$P$6:$P$10005,$A43))</f>
        <v/>
      </c>
      <c r="K43" s="49" t="str">
        <f aca="false">IF(INDEX(Starfsmenn!$Q$6:$Q$10005,$A43)="","",INDEX(Starfsmenn!$Q$6:$Q$10005,$A43))</f>
        <v/>
      </c>
      <c r="L43" s="50" t="str">
        <f aca="false">IFERROR(IF(AND(I43="",J43="",K43=""),"",IF(I43="",0,I43)+IF(J43="",0,J43)+IF(K43="",0,K43)),"")</f>
        <v/>
      </c>
      <c r="M43" s="49" t="str">
        <f aca="false">IF(INDEX(Starfsmenn!$R$6:$R$10005,$A43)="","",INDEX(Starfsmenn!$R$6:$R$10005,$A43))</f>
        <v/>
      </c>
      <c r="N43" s="50" t="str">
        <f aca="false">IF(INDEX(Starfsmenn!$S$6:$S$10005,$A43)="","",INDEX(Starfsmenn!$S$6:$S$10005,$A43))</f>
        <v/>
      </c>
    </row>
    <row r="44" customFormat="false" ht="15" hidden="false" customHeight="true" outlineLevel="0" collapsed="false">
      <c r="A44" s="22" t="n">
        <v>39</v>
      </c>
      <c r="B44" s="24" t="str">
        <f aca="false">IF(INDEX(Starfsmenn!$B$6:$B$10005,$A44)="","",INDEX(Starfsmenn!$B$6:$B$10005,$A44))</f>
        <v/>
      </c>
      <c r="C44" s="24" t="str">
        <f aca="false">IF(INDEX(Starfsmenn!$C$6:$C$10005,$A44)="","",INDEX(Starfsmenn!$C$6:$C$10005,$A44))</f>
        <v/>
      </c>
      <c r="D44" s="47" t="str">
        <f aca="false">IF(INDEX(Starfsmenn!$D$6:$D$10005,$A44)="","",INDEX(Starfsmenn!$D$6:$D$10005,$A44))</f>
        <v/>
      </c>
      <c r="E44" s="48" t="str">
        <f aca="false">IF(INDEX(Starfsmenn!$E$6:$E$10005,$A44)="","",INDEX(Starfsmenn!$E$6:$E$10005,$A44))</f>
        <v/>
      </c>
      <c r="F44" s="25" t="str">
        <f aca="false">IFERROR(IF(INDEX(Starfsmenn!$C$6:$C$10005,$A44)="","",INDEX('Flokkun starfa'!$C$11:$C$110,MATCH(INDEX(Starfsmenn!$C$6:$C$10005,$A44),'Flokkun starfa'!$B$11:$B$110,0))),"")</f>
        <v/>
      </c>
      <c r="G44" s="33" t="n">
        <f aca="false">IFERROR(INDEX('Flokkun starfsmanna'!$GV$7:$GV$10006,$A44),0)</f>
        <v>0</v>
      </c>
      <c r="H44" s="44" t="n">
        <f aca="false">IFERROR(IF(AND(F44="",G44=""),"",IF(F44="",0,F44)+IF(G44="",0,G44)),"")</f>
        <v>0</v>
      </c>
      <c r="I44" s="49" t="str">
        <f aca="false">IF(INDEX(Starfsmenn!$I$6:$I$10005,$A44)="","",INDEX(Starfsmenn!$I$6:$I$10005,$A44))</f>
        <v/>
      </c>
      <c r="J44" s="49" t="str">
        <f aca="false">IF(INDEX(Starfsmenn!$P$6:$P$10005,$A44)="","",INDEX(Starfsmenn!$P$6:$P$10005,$A44))</f>
        <v/>
      </c>
      <c r="K44" s="49" t="str">
        <f aca="false">IF(INDEX(Starfsmenn!$Q$6:$Q$10005,$A44)="","",INDEX(Starfsmenn!$Q$6:$Q$10005,$A44))</f>
        <v/>
      </c>
      <c r="L44" s="50" t="str">
        <f aca="false">IFERROR(IF(AND(I44="",J44="",K44=""),"",IF(I44="",0,I44)+IF(J44="",0,J44)+IF(K44="",0,K44)),"")</f>
        <v/>
      </c>
      <c r="M44" s="49" t="str">
        <f aca="false">IF(INDEX(Starfsmenn!$R$6:$R$10005,$A44)="","",INDEX(Starfsmenn!$R$6:$R$10005,$A44))</f>
        <v/>
      </c>
      <c r="N44" s="50" t="str">
        <f aca="false">IF(INDEX(Starfsmenn!$S$6:$S$10005,$A44)="","",INDEX(Starfsmenn!$S$6:$S$10005,$A44))</f>
        <v/>
      </c>
    </row>
    <row r="45" customFormat="false" ht="15" hidden="false" customHeight="true" outlineLevel="0" collapsed="false">
      <c r="A45" s="22" t="n">
        <v>40</v>
      </c>
      <c r="B45" s="24" t="str">
        <f aca="false">IF(INDEX(Starfsmenn!$B$6:$B$10005,$A45)="","",INDEX(Starfsmenn!$B$6:$B$10005,$A45))</f>
        <v/>
      </c>
      <c r="C45" s="24" t="str">
        <f aca="false">IF(INDEX(Starfsmenn!$C$6:$C$10005,$A45)="","",INDEX(Starfsmenn!$C$6:$C$10005,$A45))</f>
        <v/>
      </c>
      <c r="D45" s="47" t="str">
        <f aca="false">IF(INDEX(Starfsmenn!$D$6:$D$10005,$A45)="","",INDEX(Starfsmenn!$D$6:$D$10005,$A45))</f>
        <v/>
      </c>
      <c r="E45" s="48" t="str">
        <f aca="false">IF(INDEX(Starfsmenn!$E$6:$E$10005,$A45)="","",INDEX(Starfsmenn!$E$6:$E$10005,$A45))</f>
        <v/>
      </c>
      <c r="F45" s="25" t="str">
        <f aca="false">IFERROR(IF(INDEX(Starfsmenn!$C$6:$C$10005,$A45)="","",INDEX('Flokkun starfa'!$C$11:$C$110,MATCH(INDEX(Starfsmenn!$C$6:$C$10005,$A45),'Flokkun starfa'!$B$11:$B$110,0))),"")</f>
        <v/>
      </c>
      <c r="G45" s="33" t="n">
        <f aca="false">IFERROR(INDEX('Flokkun starfsmanna'!$GV$7:$GV$10006,$A45),0)</f>
        <v>0</v>
      </c>
      <c r="H45" s="44" t="n">
        <f aca="false">IFERROR(IF(AND(F45="",G45=""),"",IF(F45="",0,F45)+IF(G45="",0,G45)),"")</f>
        <v>0</v>
      </c>
      <c r="I45" s="49" t="str">
        <f aca="false">IF(INDEX(Starfsmenn!$I$6:$I$10005,$A45)="","",INDEX(Starfsmenn!$I$6:$I$10005,$A45))</f>
        <v/>
      </c>
      <c r="J45" s="49" t="str">
        <f aca="false">IF(INDEX(Starfsmenn!$P$6:$P$10005,$A45)="","",INDEX(Starfsmenn!$P$6:$P$10005,$A45))</f>
        <v/>
      </c>
      <c r="K45" s="49" t="str">
        <f aca="false">IF(INDEX(Starfsmenn!$Q$6:$Q$10005,$A45)="","",INDEX(Starfsmenn!$Q$6:$Q$10005,$A45))</f>
        <v/>
      </c>
      <c r="L45" s="50" t="str">
        <f aca="false">IFERROR(IF(AND(I45="",J45="",K45=""),"",IF(I45="",0,I45)+IF(J45="",0,J45)+IF(K45="",0,K45)),"")</f>
        <v/>
      </c>
      <c r="M45" s="49" t="str">
        <f aca="false">IF(INDEX(Starfsmenn!$R$6:$R$10005,$A45)="","",INDEX(Starfsmenn!$R$6:$R$10005,$A45))</f>
        <v/>
      </c>
      <c r="N45" s="50" t="str">
        <f aca="false">IF(INDEX(Starfsmenn!$S$6:$S$10005,$A45)="","",INDEX(Starfsmenn!$S$6:$S$10005,$A45))</f>
        <v/>
      </c>
    </row>
    <row r="46" customFormat="false" ht="15" hidden="false" customHeight="true" outlineLevel="0" collapsed="false">
      <c r="A46" s="22" t="n">
        <v>41</v>
      </c>
      <c r="B46" s="24" t="str">
        <f aca="false">IF(INDEX(Starfsmenn!$B$6:$B$10005,$A46)="","",INDEX(Starfsmenn!$B$6:$B$10005,$A46))</f>
        <v/>
      </c>
      <c r="C46" s="24" t="str">
        <f aca="false">IF(INDEX(Starfsmenn!$C$6:$C$10005,$A46)="","",INDEX(Starfsmenn!$C$6:$C$10005,$A46))</f>
        <v/>
      </c>
      <c r="D46" s="47" t="str">
        <f aca="false">IF(INDEX(Starfsmenn!$D$6:$D$10005,$A46)="","",INDEX(Starfsmenn!$D$6:$D$10005,$A46))</f>
        <v/>
      </c>
      <c r="E46" s="48" t="str">
        <f aca="false">IF(INDEX(Starfsmenn!$E$6:$E$10005,$A46)="","",INDEX(Starfsmenn!$E$6:$E$10005,$A46))</f>
        <v/>
      </c>
      <c r="F46" s="25" t="str">
        <f aca="false">IFERROR(IF(INDEX(Starfsmenn!$C$6:$C$10005,$A46)="","",INDEX('Flokkun starfa'!$C$11:$C$110,MATCH(INDEX(Starfsmenn!$C$6:$C$10005,$A46),'Flokkun starfa'!$B$11:$B$110,0))),"")</f>
        <v/>
      </c>
      <c r="G46" s="33" t="n">
        <f aca="false">IFERROR(INDEX('Flokkun starfsmanna'!$GV$7:$GV$10006,$A46),0)</f>
        <v>0</v>
      </c>
      <c r="H46" s="44" t="n">
        <f aca="false">IFERROR(IF(AND(F46="",G46=""),"",IF(F46="",0,F46)+IF(G46="",0,G46)),"")</f>
        <v>0</v>
      </c>
      <c r="I46" s="49" t="str">
        <f aca="false">IF(INDEX(Starfsmenn!$I$6:$I$10005,$A46)="","",INDEX(Starfsmenn!$I$6:$I$10005,$A46))</f>
        <v/>
      </c>
      <c r="J46" s="49" t="str">
        <f aca="false">IF(INDEX(Starfsmenn!$P$6:$P$10005,$A46)="","",INDEX(Starfsmenn!$P$6:$P$10005,$A46))</f>
        <v/>
      </c>
      <c r="K46" s="49" t="str">
        <f aca="false">IF(INDEX(Starfsmenn!$Q$6:$Q$10005,$A46)="","",INDEX(Starfsmenn!$Q$6:$Q$10005,$A46))</f>
        <v/>
      </c>
      <c r="L46" s="50" t="str">
        <f aca="false">IFERROR(IF(AND(I46="",J46="",K46=""),"",IF(I46="",0,I46)+IF(J46="",0,J46)+IF(K46="",0,K46)),"")</f>
        <v/>
      </c>
      <c r="M46" s="49" t="str">
        <f aca="false">IF(INDEX(Starfsmenn!$R$6:$R$10005,$A46)="","",INDEX(Starfsmenn!$R$6:$R$10005,$A46))</f>
        <v/>
      </c>
      <c r="N46" s="50" t="str">
        <f aca="false">IF(INDEX(Starfsmenn!$S$6:$S$10005,$A46)="","",INDEX(Starfsmenn!$S$6:$S$10005,$A46))</f>
        <v/>
      </c>
    </row>
    <row r="47" customFormat="false" ht="15" hidden="false" customHeight="true" outlineLevel="0" collapsed="false">
      <c r="A47" s="22" t="n">
        <v>42</v>
      </c>
      <c r="B47" s="24" t="str">
        <f aca="false">IF(INDEX(Starfsmenn!$B$6:$B$10005,$A47)="","",INDEX(Starfsmenn!$B$6:$B$10005,$A47))</f>
        <v/>
      </c>
      <c r="C47" s="24" t="str">
        <f aca="false">IF(INDEX(Starfsmenn!$C$6:$C$10005,$A47)="","",INDEX(Starfsmenn!$C$6:$C$10005,$A47))</f>
        <v/>
      </c>
      <c r="D47" s="47" t="str">
        <f aca="false">IF(INDEX(Starfsmenn!$D$6:$D$10005,$A47)="","",INDEX(Starfsmenn!$D$6:$D$10005,$A47))</f>
        <v/>
      </c>
      <c r="E47" s="48" t="str">
        <f aca="false">IF(INDEX(Starfsmenn!$E$6:$E$10005,$A47)="","",INDEX(Starfsmenn!$E$6:$E$10005,$A47))</f>
        <v/>
      </c>
      <c r="F47" s="25" t="str">
        <f aca="false">IFERROR(IF(INDEX(Starfsmenn!$C$6:$C$10005,$A47)="","",INDEX('Flokkun starfa'!$C$11:$C$110,MATCH(INDEX(Starfsmenn!$C$6:$C$10005,$A47),'Flokkun starfa'!$B$11:$B$110,0))),"")</f>
        <v/>
      </c>
      <c r="G47" s="33" t="n">
        <f aca="false">IFERROR(INDEX('Flokkun starfsmanna'!$GV$7:$GV$10006,$A47),0)</f>
        <v>0</v>
      </c>
      <c r="H47" s="44" t="n">
        <f aca="false">IFERROR(IF(AND(F47="",G47=""),"",IF(F47="",0,F47)+IF(G47="",0,G47)),"")</f>
        <v>0</v>
      </c>
      <c r="I47" s="49" t="str">
        <f aca="false">IF(INDEX(Starfsmenn!$I$6:$I$10005,$A47)="","",INDEX(Starfsmenn!$I$6:$I$10005,$A47))</f>
        <v/>
      </c>
      <c r="J47" s="49" t="str">
        <f aca="false">IF(INDEX(Starfsmenn!$P$6:$P$10005,$A47)="","",INDEX(Starfsmenn!$P$6:$P$10005,$A47))</f>
        <v/>
      </c>
      <c r="K47" s="49" t="str">
        <f aca="false">IF(INDEX(Starfsmenn!$Q$6:$Q$10005,$A47)="","",INDEX(Starfsmenn!$Q$6:$Q$10005,$A47))</f>
        <v/>
      </c>
      <c r="L47" s="50" t="str">
        <f aca="false">IFERROR(IF(AND(I47="",J47="",K47=""),"",IF(I47="",0,I47)+IF(J47="",0,J47)+IF(K47="",0,K47)),"")</f>
        <v/>
      </c>
      <c r="M47" s="49" t="str">
        <f aca="false">IF(INDEX(Starfsmenn!$R$6:$R$10005,$A47)="","",INDEX(Starfsmenn!$R$6:$R$10005,$A47))</f>
        <v/>
      </c>
      <c r="N47" s="50" t="str">
        <f aca="false">IF(INDEX(Starfsmenn!$S$6:$S$10005,$A47)="","",INDEX(Starfsmenn!$S$6:$S$10005,$A47))</f>
        <v/>
      </c>
    </row>
    <row r="48" customFormat="false" ht="15" hidden="false" customHeight="true" outlineLevel="0" collapsed="false">
      <c r="A48" s="22" t="n">
        <v>43</v>
      </c>
      <c r="B48" s="24" t="str">
        <f aca="false">IF(INDEX(Starfsmenn!$B$6:$B$10005,$A48)="","",INDEX(Starfsmenn!$B$6:$B$10005,$A48))</f>
        <v/>
      </c>
      <c r="C48" s="24" t="str">
        <f aca="false">IF(INDEX(Starfsmenn!$C$6:$C$10005,$A48)="","",INDEX(Starfsmenn!$C$6:$C$10005,$A48))</f>
        <v/>
      </c>
      <c r="D48" s="47" t="str">
        <f aca="false">IF(INDEX(Starfsmenn!$D$6:$D$10005,$A48)="","",INDEX(Starfsmenn!$D$6:$D$10005,$A48))</f>
        <v/>
      </c>
      <c r="E48" s="48" t="str">
        <f aca="false">IF(INDEX(Starfsmenn!$E$6:$E$10005,$A48)="","",INDEX(Starfsmenn!$E$6:$E$10005,$A48))</f>
        <v/>
      </c>
      <c r="F48" s="25" t="str">
        <f aca="false">IFERROR(IF(INDEX(Starfsmenn!$C$6:$C$10005,$A48)="","",INDEX('Flokkun starfa'!$C$11:$C$110,MATCH(INDEX(Starfsmenn!$C$6:$C$10005,$A48),'Flokkun starfa'!$B$11:$B$110,0))),"")</f>
        <v/>
      </c>
      <c r="G48" s="33" t="n">
        <f aca="false">IFERROR(INDEX('Flokkun starfsmanna'!$GV$7:$GV$10006,$A48),0)</f>
        <v>0</v>
      </c>
      <c r="H48" s="44" t="n">
        <f aca="false">IFERROR(IF(AND(F48="",G48=""),"",IF(F48="",0,F48)+IF(G48="",0,G48)),"")</f>
        <v>0</v>
      </c>
      <c r="I48" s="49" t="str">
        <f aca="false">IF(INDEX(Starfsmenn!$I$6:$I$10005,$A48)="","",INDEX(Starfsmenn!$I$6:$I$10005,$A48))</f>
        <v/>
      </c>
      <c r="J48" s="49" t="str">
        <f aca="false">IF(INDEX(Starfsmenn!$P$6:$P$10005,$A48)="","",INDEX(Starfsmenn!$P$6:$P$10005,$A48))</f>
        <v/>
      </c>
      <c r="K48" s="49" t="str">
        <f aca="false">IF(INDEX(Starfsmenn!$Q$6:$Q$10005,$A48)="","",INDEX(Starfsmenn!$Q$6:$Q$10005,$A48))</f>
        <v/>
      </c>
      <c r="L48" s="50" t="str">
        <f aca="false">IFERROR(IF(AND(I48="",J48="",K48=""),"",IF(I48="",0,I48)+IF(J48="",0,J48)+IF(K48="",0,K48)),"")</f>
        <v/>
      </c>
      <c r="M48" s="49" t="str">
        <f aca="false">IF(INDEX(Starfsmenn!$R$6:$R$10005,$A48)="","",INDEX(Starfsmenn!$R$6:$R$10005,$A48))</f>
        <v/>
      </c>
      <c r="N48" s="50" t="str">
        <f aca="false">IF(INDEX(Starfsmenn!$S$6:$S$10005,$A48)="","",INDEX(Starfsmenn!$S$6:$S$10005,$A48))</f>
        <v/>
      </c>
    </row>
    <row r="49" customFormat="false" ht="15" hidden="false" customHeight="true" outlineLevel="0" collapsed="false">
      <c r="A49" s="22" t="n">
        <v>44</v>
      </c>
      <c r="B49" s="24" t="str">
        <f aca="false">IF(INDEX(Starfsmenn!$B$6:$B$10005,$A49)="","",INDEX(Starfsmenn!$B$6:$B$10005,$A49))</f>
        <v/>
      </c>
      <c r="C49" s="24" t="str">
        <f aca="false">IF(INDEX(Starfsmenn!$C$6:$C$10005,$A49)="","",INDEX(Starfsmenn!$C$6:$C$10005,$A49))</f>
        <v/>
      </c>
      <c r="D49" s="47" t="str">
        <f aca="false">IF(INDEX(Starfsmenn!$D$6:$D$10005,$A49)="","",INDEX(Starfsmenn!$D$6:$D$10005,$A49))</f>
        <v/>
      </c>
      <c r="E49" s="48" t="str">
        <f aca="false">IF(INDEX(Starfsmenn!$E$6:$E$10005,$A49)="","",INDEX(Starfsmenn!$E$6:$E$10005,$A49))</f>
        <v/>
      </c>
      <c r="F49" s="25" t="str">
        <f aca="false">IFERROR(IF(INDEX(Starfsmenn!$C$6:$C$10005,$A49)="","",INDEX('Flokkun starfa'!$C$11:$C$110,MATCH(INDEX(Starfsmenn!$C$6:$C$10005,$A49),'Flokkun starfa'!$B$11:$B$110,0))),"")</f>
        <v/>
      </c>
      <c r="G49" s="33" t="n">
        <f aca="false">IFERROR(INDEX('Flokkun starfsmanna'!$GV$7:$GV$10006,$A49),0)</f>
        <v>0</v>
      </c>
      <c r="H49" s="44" t="n">
        <f aca="false">IFERROR(IF(AND(F49="",G49=""),"",IF(F49="",0,F49)+IF(G49="",0,G49)),"")</f>
        <v>0</v>
      </c>
      <c r="I49" s="49" t="str">
        <f aca="false">IF(INDEX(Starfsmenn!$I$6:$I$10005,$A49)="","",INDEX(Starfsmenn!$I$6:$I$10005,$A49))</f>
        <v/>
      </c>
      <c r="J49" s="49" t="str">
        <f aca="false">IF(INDEX(Starfsmenn!$P$6:$P$10005,$A49)="","",INDEX(Starfsmenn!$P$6:$P$10005,$A49))</f>
        <v/>
      </c>
      <c r="K49" s="49" t="str">
        <f aca="false">IF(INDEX(Starfsmenn!$Q$6:$Q$10005,$A49)="","",INDEX(Starfsmenn!$Q$6:$Q$10005,$A49))</f>
        <v/>
      </c>
      <c r="L49" s="50" t="str">
        <f aca="false">IFERROR(IF(AND(I49="",J49="",K49=""),"",IF(I49="",0,I49)+IF(J49="",0,J49)+IF(K49="",0,K49)),"")</f>
        <v/>
      </c>
      <c r="M49" s="49" t="str">
        <f aca="false">IF(INDEX(Starfsmenn!$R$6:$R$10005,$A49)="","",INDEX(Starfsmenn!$R$6:$R$10005,$A49))</f>
        <v/>
      </c>
      <c r="N49" s="50" t="str">
        <f aca="false">IF(INDEX(Starfsmenn!$S$6:$S$10005,$A49)="","",INDEX(Starfsmenn!$S$6:$S$10005,$A49))</f>
        <v/>
      </c>
    </row>
    <row r="50" customFormat="false" ht="15" hidden="false" customHeight="true" outlineLevel="0" collapsed="false">
      <c r="A50" s="22" t="n">
        <v>45</v>
      </c>
      <c r="B50" s="24" t="str">
        <f aca="false">IF(INDEX(Starfsmenn!$B$6:$B$10005,$A50)="","",INDEX(Starfsmenn!$B$6:$B$10005,$A50))</f>
        <v/>
      </c>
      <c r="C50" s="24" t="str">
        <f aca="false">IF(INDEX(Starfsmenn!$C$6:$C$10005,$A50)="","",INDEX(Starfsmenn!$C$6:$C$10005,$A50))</f>
        <v/>
      </c>
      <c r="D50" s="47" t="str">
        <f aca="false">IF(INDEX(Starfsmenn!$D$6:$D$10005,$A50)="","",INDEX(Starfsmenn!$D$6:$D$10005,$A50))</f>
        <v/>
      </c>
      <c r="E50" s="48" t="str">
        <f aca="false">IF(INDEX(Starfsmenn!$E$6:$E$10005,$A50)="","",INDEX(Starfsmenn!$E$6:$E$10005,$A50))</f>
        <v/>
      </c>
      <c r="F50" s="25" t="str">
        <f aca="false">IFERROR(IF(INDEX(Starfsmenn!$C$6:$C$10005,$A50)="","",INDEX('Flokkun starfa'!$C$11:$C$110,MATCH(INDEX(Starfsmenn!$C$6:$C$10005,$A50),'Flokkun starfa'!$B$11:$B$110,0))),"")</f>
        <v/>
      </c>
      <c r="G50" s="33" t="n">
        <f aca="false">IFERROR(INDEX('Flokkun starfsmanna'!$GV$7:$GV$10006,$A50),0)</f>
        <v>0</v>
      </c>
      <c r="H50" s="44" t="n">
        <f aca="false">IFERROR(IF(AND(F50="",G50=""),"",IF(F50="",0,F50)+IF(G50="",0,G50)),"")</f>
        <v>0</v>
      </c>
      <c r="I50" s="49" t="str">
        <f aca="false">IF(INDEX(Starfsmenn!$I$6:$I$10005,$A50)="","",INDEX(Starfsmenn!$I$6:$I$10005,$A50))</f>
        <v/>
      </c>
      <c r="J50" s="49" t="str">
        <f aca="false">IF(INDEX(Starfsmenn!$P$6:$P$10005,$A50)="","",INDEX(Starfsmenn!$P$6:$P$10005,$A50))</f>
        <v/>
      </c>
      <c r="K50" s="49" t="str">
        <f aca="false">IF(INDEX(Starfsmenn!$Q$6:$Q$10005,$A50)="","",INDEX(Starfsmenn!$Q$6:$Q$10005,$A50))</f>
        <v/>
      </c>
      <c r="L50" s="50" t="str">
        <f aca="false">IFERROR(IF(AND(I50="",J50="",K50=""),"",IF(I50="",0,I50)+IF(J50="",0,J50)+IF(K50="",0,K50)),"")</f>
        <v/>
      </c>
      <c r="M50" s="49" t="str">
        <f aca="false">IF(INDEX(Starfsmenn!$R$6:$R$10005,$A50)="","",INDEX(Starfsmenn!$R$6:$R$10005,$A50))</f>
        <v/>
      </c>
      <c r="N50" s="50" t="str">
        <f aca="false">IF(INDEX(Starfsmenn!$S$6:$S$10005,$A50)="","",INDEX(Starfsmenn!$S$6:$S$10005,$A50))</f>
        <v/>
      </c>
    </row>
    <row r="51" customFormat="false" ht="15" hidden="false" customHeight="true" outlineLevel="0" collapsed="false">
      <c r="A51" s="22" t="n">
        <v>46</v>
      </c>
      <c r="B51" s="24" t="str">
        <f aca="false">IF(INDEX(Starfsmenn!$B$6:$B$10005,$A51)="","",INDEX(Starfsmenn!$B$6:$B$10005,$A51))</f>
        <v/>
      </c>
      <c r="C51" s="24" t="str">
        <f aca="false">IF(INDEX(Starfsmenn!$C$6:$C$10005,$A51)="","",INDEX(Starfsmenn!$C$6:$C$10005,$A51))</f>
        <v/>
      </c>
      <c r="D51" s="47" t="str">
        <f aca="false">IF(INDEX(Starfsmenn!$D$6:$D$10005,$A51)="","",INDEX(Starfsmenn!$D$6:$D$10005,$A51))</f>
        <v/>
      </c>
      <c r="E51" s="48" t="str">
        <f aca="false">IF(INDEX(Starfsmenn!$E$6:$E$10005,$A51)="","",INDEX(Starfsmenn!$E$6:$E$10005,$A51))</f>
        <v/>
      </c>
      <c r="F51" s="25" t="str">
        <f aca="false">IFERROR(IF(INDEX(Starfsmenn!$C$6:$C$10005,$A51)="","",INDEX('Flokkun starfa'!$C$11:$C$110,MATCH(INDEX(Starfsmenn!$C$6:$C$10005,$A51),'Flokkun starfa'!$B$11:$B$110,0))),"")</f>
        <v/>
      </c>
      <c r="G51" s="33" t="n">
        <f aca="false">IFERROR(INDEX('Flokkun starfsmanna'!$GV$7:$GV$10006,$A51),0)</f>
        <v>0</v>
      </c>
      <c r="H51" s="44" t="n">
        <f aca="false">IFERROR(IF(AND(F51="",G51=""),"",IF(F51="",0,F51)+IF(G51="",0,G51)),"")</f>
        <v>0</v>
      </c>
      <c r="I51" s="49" t="str">
        <f aca="false">IF(INDEX(Starfsmenn!$I$6:$I$10005,$A51)="","",INDEX(Starfsmenn!$I$6:$I$10005,$A51))</f>
        <v/>
      </c>
      <c r="J51" s="49" t="str">
        <f aca="false">IF(INDEX(Starfsmenn!$P$6:$P$10005,$A51)="","",INDEX(Starfsmenn!$P$6:$P$10005,$A51))</f>
        <v/>
      </c>
      <c r="K51" s="49" t="str">
        <f aca="false">IF(INDEX(Starfsmenn!$Q$6:$Q$10005,$A51)="","",INDEX(Starfsmenn!$Q$6:$Q$10005,$A51))</f>
        <v/>
      </c>
      <c r="L51" s="50" t="str">
        <f aca="false">IFERROR(IF(AND(I51="",J51="",K51=""),"",IF(I51="",0,I51)+IF(J51="",0,J51)+IF(K51="",0,K51)),"")</f>
        <v/>
      </c>
      <c r="M51" s="49" t="str">
        <f aca="false">IF(INDEX(Starfsmenn!$R$6:$R$10005,$A51)="","",INDEX(Starfsmenn!$R$6:$R$10005,$A51))</f>
        <v/>
      </c>
      <c r="N51" s="50" t="str">
        <f aca="false">IF(INDEX(Starfsmenn!$S$6:$S$10005,$A51)="","",INDEX(Starfsmenn!$S$6:$S$10005,$A51))</f>
        <v/>
      </c>
    </row>
    <row r="52" customFormat="false" ht="15" hidden="false" customHeight="true" outlineLevel="0" collapsed="false">
      <c r="A52" s="22" t="n">
        <v>47</v>
      </c>
      <c r="B52" s="24" t="str">
        <f aca="false">IF(INDEX(Starfsmenn!$B$6:$B$10005,$A52)="","",INDEX(Starfsmenn!$B$6:$B$10005,$A52))</f>
        <v/>
      </c>
      <c r="C52" s="24" t="str">
        <f aca="false">IF(INDEX(Starfsmenn!$C$6:$C$10005,$A52)="","",INDEX(Starfsmenn!$C$6:$C$10005,$A52))</f>
        <v/>
      </c>
      <c r="D52" s="47" t="str">
        <f aca="false">IF(INDEX(Starfsmenn!$D$6:$D$10005,$A52)="","",INDEX(Starfsmenn!$D$6:$D$10005,$A52))</f>
        <v/>
      </c>
      <c r="E52" s="48" t="str">
        <f aca="false">IF(INDEX(Starfsmenn!$E$6:$E$10005,$A52)="","",INDEX(Starfsmenn!$E$6:$E$10005,$A52))</f>
        <v/>
      </c>
      <c r="F52" s="25" t="str">
        <f aca="false">IFERROR(IF(INDEX(Starfsmenn!$C$6:$C$10005,$A52)="","",INDEX('Flokkun starfa'!$C$11:$C$110,MATCH(INDEX(Starfsmenn!$C$6:$C$10005,$A52),'Flokkun starfa'!$B$11:$B$110,0))),"")</f>
        <v/>
      </c>
      <c r="G52" s="33" t="n">
        <f aca="false">IFERROR(INDEX('Flokkun starfsmanna'!$GV$7:$GV$10006,$A52),0)</f>
        <v>0</v>
      </c>
      <c r="H52" s="44" t="n">
        <f aca="false">IFERROR(IF(AND(F52="",G52=""),"",IF(F52="",0,F52)+IF(G52="",0,G52)),"")</f>
        <v>0</v>
      </c>
      <c r="I52" s="49" t="str">
        <f aca="false">IF(INDEX(Starfsmenn!$I$6:$I$10005,$A52)="","",INDEX(Starfsmenn!$I$6:$I$10005,$A52))</f>
        <v/>
      </c>
      <c r="J52" s="49" t="str">
        <f aca="false">IF(INDEX(Starfsmenn!$P$6:$P$10005,$A52)="","",INDEX(Starfsmenn!$P$6:$P$10005,$A52))</f>
        <v/>
      </c>
      <c r="K52" s="49" t="str">
        <f aca="false">IF(INDEX(Starfsmenn!$Q$6:$Q$10005,$A52)="","",INDEX(Starfsmenn!$Q$6:$Q$10005,$A52))</f>
        <v/>
      </c>
      <c r="L52" s="50" t="str">
        <f aca="false">IFERROR(IF(AND(I52="",J52="",K52=""),"",IF(I52="",0,I52)+IF(J52="",0,J52)+IF(K52="",0,K52)),"")</f>
        <v/>
      </c>
      <c r="M52" s="49" t="str">
        <f aca="false">IF(INDEX(Starfsmenn!$R$6:$R$10005,$A52)="","",INDEX(Starfsmenn!$R$6:$R$10005,$A52))</f>
        <v/>
      </c>
      <c r="N52" s="50" t="str">
        <f aca="false">IF(INDEX(Starfsmenn!$S$6:$S$10005,$A52)="","",INDEX(Starfsmenn!$S$6:$S$10005,$A52))</f>
        <v/>
      </c>
    </row>
    <row r="53" customFormat="false" ht="15" hidden="false" customHeight="true" outlineLevel="0" collapsed="false">
      <c r="A53" s="22" t="n">
        <v>48</v>
      </c>
      <c r="B53" s="24" t="str">
        <f aca="false">IF(INDEX(Starfsmenn!$B$6:$B$10005,$A53)="","",INDEX(Starfsmenn!$B$6:$B$10005,$A53))</f>
        <v/>
      </c>
      <c r="C53" s="24" t="str">
        <f aca="false">IF(INDEX(Starfsmenn!$C$6:$C$10005,$A53)="","",INDEX(Starfsmenn!$C$6:$C$10005,$A53))</f>
        <v/>
      </c>
      <c r="D53" s="47" t="str">
        <f aca="false">IF(INDEX(Starfsmenn!$D$6:$D$10005,$A53)="","",INDEX(Starfsmenn!$D$6:$D$10005,$A53))</f>
        <v/>
      </c>
      <c r="E53" s="48" t="str">
        <f aca="false">IF(INDEX(Starfsmenn!$E$6:$E$10005,$A53)="","",INDEX(Starfsmenn!$E$6:$E$10005,$A53))</f>
        <v/>
      </c>
      <c r="F53" s="25" t="str">
        <f aca="false">IFERROR(IF(INDEX(Starfsmenn!$C$6:$C$10005,$A53)="","",INDEX('Flokkun starfa'!$C$11:$C$110,MATCH(INDEX(Starfsmenn!$C$6:$C$10005,$A53),'Flokkun starfa'!$B$11:$B$110,0))),"")</f>
        <v/>
      </c>
      <c r="G53" s="33" t="n">
        <f aca="false">IFERROR(INDEX('Flokkun starfsmanna'!$GV$7:$GV$10006,$A53),0)</f>
        <v>0</v>
      </c>
      <c r="H53" s="44" t="n">
        <f aca="false">IFERROR(IF(AND(F53="",G53=""),"",IF(F53="",0,F53)+IF(G53="",0,G53)),"")</f>
        <v>0</v>
      </c>
      <c r="I53" s="49" t="str">
        <f aca="false">IF(INDEX(Starfsmenn!$I$6:$I$10005,$A53)="","",INDEX(Starfsmenn!$I$6:$I$10005,$A53))</f>
        <v/>
      </c>
      <c r="J53" s="49" t="str">
        <f aca="false">IF(INDEX(Starfsmenn!$P$6:$P$10005,$A53)="","",INDEX(Starfsmenn!$P$6:$P$10005,$A53))</f>
        <v/>
      </c>
      <c r="K53" s="49" t="str">
        <f aca="false">IF(INDEX(Starfsmenn!$Q$6:$Q$10005,$A53)="","",INDEX(Starfsmenn!$Q$6:$Q$10005,$A53))</f>
        <v/>
      </c>
      <c r="L53" s="50" t="str">
        <f aca="false">IFERROR(IF(AND(I53="",J53="",K53=""),"",IF(I53="",0,I53)+IF(J53="",0,J53)+IF(K53="",0,K53)),"")</f>
        <v/>
      </c>
      <c r="M53" s="49" t="str">
        <f aca="false">IF(INDEX(Starfsmenn!$R$6:$R$10005,$A53)="","",INDEX(Starfsmenn!$R$6:$R$10005,$A53))</f>
        <v/>
      </c>
      <c r="N53" s="50" t="str">
        <f aca="false">IF(INDEX(Starfsmenn!$S$6:$S$10005,$A53)="","",INDEX(Starfsmenn!$S$6:$S$10005,$A53))</f>
        <v/>
      </c>
    </row>
    <row r="54" customFormat="false" ht="15" hidden="false" customHeight="true" outlineLevel="0" collapsed="false">
      <c r="A54" s="22" t="n">
        <v>49</v>
      </c>
      <c r="B54" s="24" t="str">
        <f aca="false">IF(INDEX(Starfsmenn!$B$6:$B$10005,$A54)="","",INDEX(Starfsmenn!$B$6:$B$10005,$A54))</f>
        <v/>
      </c>
      <c r="C54" s="24" t="str">
        <f aca="false">IF(INDEX(Starfsmenn!$C$6:$C$10005,$A54)="","",INDEX(Starfsmenn!$C$6:$C$10005,$A54))</f>
        <v/>
      </c>
      <c r="D54" s="47" t="str">
        <f aca="false">IF(INDEX(Starfsmenn!$D$6:$D$10005,$A54)="","",INDEX(Starfsmenn!$D$6:$D$10005,$A54))</f>
        <v/>
      </c>
      <c r="E54" s="48" t="str">
        <f aca="false">IF(INDEX(Starfsmenn!$E$6:$E$10005,$A54)="","",INDEX(Starfsmenn!$E$6:$E$10005,$A54))</f>
        <v/>
      </c>
      <c r="F54" s="25" t="str">
        <f aca="false">IFERROR(IF(INDEX(Starfsmenn!$C$6:$C$10005,$A54)="","",INDEX('Flokkun starfa'!$C$11:$C$110,MATCH(INDEX(Starfsmenn!$C$6:$C$10005,$A54),'Flokkun starfa'!$B$11:$B$110,0))),"")</f>
        <v/>
      </c>
      <c r="G54" s="33" t="n">
        <f aca="false">IFERROR(INDEX('Flokkun starfsmanna'!$GV$7:$GV$10006,$A54),0)</f>
        <v>0</v>
      </c>
      <c r="H54" s="44" t="n">
        <f aca="false">IFERROR(IF(AND(F54="",G54=""),"",IF(F54="",0,F54)+IF(G54="",0,G54)),"")</f>
        <v>0</v>
      </c>
      <c r="I54" s="49" t="str">
        <f aca="false">IF(INDEX(Starfsmenn!$I$6:$I$10005,$A54)="","",INDEX(Starfsmenn!$I$6:$I$10005,$A54))</f>
        <v/>
      </c>
      <c r="J54" s="49" t="str">
        <f aca="false">IF(INDEX(Starfsmenn!$P$6:$P$10005,$A54)="","",INDEX(Starfsmenn!$P$6:$P$10005,$A54))</f>
        <v/>
      </c>
      <c r="K54" s="49" t="str">
        <f aca="false">IF(INDEX(Starfsmenn!$Q$6:$Q$10005,$A54)="","",INDEX(Starfsmenn!$Q$6:$Q$10005,$A54))</f>
        <v/>
      </c>
      <c r="L54" s="50" t="str">
        <f aca="false">IFERROR(IF(AND(I54="",J54="",K54=""),"",IF(I54="",0,I54)+IF(J54="",0,J54)+IF(K54="",0,K54)),"")</f>
        <v/>
      </c>
      <c r="M54" s="49" t="str">
        <f aca="false">IF(INDEX(Starfsmenn!$R$6:$R$10005,$A54)="","",INDEX(Starfsmenn!$R$6:$R$10005,$A54))</f>
        <v/>
      </c>
      <c r="N54" s="50" t="str">
        <f aca="false">IF(INDEX(Starfsmenn!$S$6:$S$10005,$A54)="","",INDEX(Starfsmenn!$S$6:$S$10005,$A54))</f>
        <v/>
      </c>
    </row>
    <row r="55" customFormat="false" ht="15" hidden="false" customHeight="true" outlineLevel="0" collapsed="false">
      <c r="A55" s="22" t="n">
        <v>50</v>
      </c>
      <c r="B55" s="24" t="str">
        <f aca="false">IF(INDEX(Starfsmenn!$B$6:$B$10005,$A55)="","",INDEX(Starfsmenn!$B$6:$B$10005,$A55))</f>
        <v/>
      </c>
      <c r="C55" s="24" t="str">
        <f aca="false">IF(INDEX(Starfsmenn!$C$6:$C$10005,$A55)="","",INDEX(Starfsmenn!$C$6:$C$10005,$A55))</f>
        <v/>
      </c>
      <c r="D55" s="47" t="str">
        <f aca="false">IF(INDEX(Starfsmenn!$D$6:$D$10005,$A55)="","",INDEX(Starfsmenn!$D$6:$D$10005,$A55))</f>
        <v/>
      </c>
      <c r="E55" s="48" t="str">
        <f aca="false">IF(INDEX(Starfsmenn!$E$6:$E$10005,$A55)="","",INDEX(Starfsmenn!$E$6:$E$10005,$A55))</f>
        <v/>
      </c>
      <c r="F55" s="25" t="str">
        <f aca="false">IFERROR(IF(INDEX(Starfsmenn!$C$6:$C$10005,$A55)="","",INDEX('Flokkun starfa'!$C$11:$C$110,MATCH(INDEX(Starfsmenn!$C$6:$C$10005,$A55),'Flokkun starfa'!$B$11:$B$110,0))),"")</f>
        <v/>
      </c>
      <c r="G55" s="33" t="n">
        <f aca="false">IFERROR(INDEX('Flokkun starfsmanna'!$GV$7:$GV$10006,$A55),0)</f>
        <v>0</v>
      </c>
      <c r="H55" s="44" t="n">
        <f aca="false">IFERROR(IF(AND(F55="",G55=""),"",IF(F55="",0,F55)+IF(G55="",0,G55)),"")</f>
        <v>0</v>
      </c>
      <c r="I55" s="49" t="str">
        <f aca="false">IF(INDEX(Starfsmenn!$I$6:$I$10005,$A55)="","",INDEX(Starfsmenn!$I$6:$I$10005,$A55))</f>
        <v/>
      </c>
      <c r="J55" s="49" t="str">
        <f aca="false">IF(INDEX(Starfsmenn!$P$6:$P$10005,$A55)="","",INDEX(Starfsmenn!$P$6:$P$10005,$A55))</f>
        <v/>
      </c>
      <c r="K55" s="49" t="str">
        <f aca="false">IF(INDEX(Starfsmenn!$Q$6:$Q$10005,$A55)="","",INDEX(Starfsmenn!$Q$6:$Q$10005,$A55))</f>
        <v/>
      </c>
      <c r="L55" s="50" t="str">
        <f aca="false">IFERROR(IF(AND(I55="",J55="",K55=""),"",IF(I55="",0,I55)+IF(J55="",0,J55)+IF(K55="",0,K55)),"")</f>
        <v/>
      </c>
      <c r="M55" s="49" t="str">
        <f aca="false">IF(INDEX(Starfsmenn!$R$6:$R$10005,$A55)="","",INDEX(Starfsmenn!$R$6:$R$10005,$A55))</f>
        <v/>
      </c>
      <c r="N55" s="50" t="str">
        <f aca="false">IF(INDEX(Starfsmenn!$S$6:$S$10005,$A55)="","",INDEX(Starfsmenn!$S$6:$S$10005,$A55))</f>
        <v/>
      </c>
    </row>
    <row r="58" customFormat="false" ht="15.75" hidden="false" customHeight="true" outlineLevel="0" collapsed="false">
      <c r="B58" s="9" t="s">
        <v>147</v>
      </c>
    </row>
    <row r="59" customFormat="false" ht="15" hidden="false" customHeight="true" outlineLevel="0" collapsed="false">
      <c r="B59" s="51" t="s">
        <v>148</v>
      </c>
      <c r="C59" s="51"/>
      <c r="D59" s="51"/>
      <c r="E59" s="52" t="n">
        <f aca="false">IFERROR(AVERAGEIF(H6:H10005,"&gt;0"),0)</f>
        <v>0</v>
      </c>
    </row>
    <row r="60" customFormat="false" ht="15" hidden="false" customHeight="true" outlineLevel="0" collapsed="false">
      <c r="B60" s="51" t="s">
        <v>149</v>
      </c>
      <c r="C60" s="51"/>
      <c r="D60" s="51"/>
      <c r="E60" s="52" t="n">
        <f aca="false">IFERROR(AVERAGEIFS(H6:H10005,D6:D10005,"Kona",H6:H10005,"&gt;0"),0)</f>
        <v>0</v>
      </c>
    </row>
    <row r="61" customFormat="false" ht="15" hidden="false" customHeight="true" outlineLevel="0" collapsed="false">
      <c r="B61" s="51" t="s">
        <v>150</v>
      </c>
      <c r="C61" s="51"/>
      <c r="D61" s="51"/>
      <c r="E61" s="52" t="n">
        <f aca="false">IFERROR(AVERAGEIFS(H6:H10005,D6:D10005,"Karl",H6:H10005,"&gt;0"),0)</f>
        <v>0</v>
      </c>
    </row>
    <row r="62" customFormat="false" ht="15" hidden="false" customHeight="true" outlineLevel="0" collapsed="false">
      <c r="B62" s="51" t="s">
        <v>151</v>
      </c>
      <c r="C62" s="51"/>
      <c r="D62" s="51"/>
      <c r="E62" s="53" t="n">
        <f aca="false">IFERROR(AVERAGEIF(L6:L10005,"&gt;0"),0)</f>
        <v>0</v>
      </c>
    </row>
    <row r="63" customFormat="false" ht="15" hidden="false" customHeight="true" outlineLevel="0" collapsed="false">
      <c r="B63" s="51" t="s">
        <v>152</v>
      </c>
      <c r="C63" s="51"/>
      <c r="D63" s="51"/>
      <c r="E63" s="53" t="n">
        <f aca="false">IFERROR(AVERAGEIFS(L6:L10005,D6:D10005,"Kona",L6:L10005,"&gt;0"),0)</f>
        <v>0</v>
      </c>
    </row>
    <row r="64" customFormat="false" ht="15" hidden="false" customHeight="true" outlineLevel="0" collapsed="false">
      <c r="B64" s="51" t="s">
        <v>153</v>
      </c>
      <c r="C64" s="51"/>
      <c r="D64" s="51"/>
      <c r="E64" s="53" t="n">
        <f aca="false">IFERROR(AVERAGEIFS(L6:L10005,D6:D10005,"Karl",L6:L10005,"&gt;0"),0)</f>
        <v>0</v>
      </c>
    </row>
    <row r="65" customFormat="false" ht="15" hidden="false" customHeight="true" outlineLevel="0" collapsed="false">
      <c r="B65" s="51" t="s">
        <v>154</v>
      </c>
      <c r="C65" s="51"/>
      <c r="D65" s="51"/>
      <c r="E65" s="54" t="n">
        <f aca="false">SUMPRODUCT(--(Starfsmenn!$B$6:$B$10005&lt;&gt;""))</f>
        <v>0</v>
      </c>
    </row>
  </sheetData>
  <mergeCells count="9">
    <mergeCell ref="B2:N2"/>
    <mergeCell ref="B3:N3"/>
    <mergeCell ref="B59:D59"/>
    <mergeCell ref="B60:D60"/>
    <mergeCell ref="B61:D61"/>
    <mergeCell ref="B62:D62"/>
    <mergeCell ref="B63:D63"/>
    <mergeCell ref="B64:D64"/>
    <mergeCell ref="B65:D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8"/>
    <pageSetUpPr fitToPage="false"/>
  </sheetPr>
  <dimension ref="B2:M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8"/>
    <col collapsed="false" customWidth="true" hidden="false" outlineLevel="0" max="3" min="3" style="1" width="22"/>
    <col collapsed="false" customWidth="true" hidden="false" outlineLevel="0" max="4" min="4" style="1" width="60"/>
    <col collapsed="false" customWidth="true" hidden="false" outlineLevel="0" max="5" min="5" style="1" width="12"/>
    <col collapsed="false" customWidth="true" hidden="false" outlineLevel="0" max="13" min="6" style="1" width="38"/>
  </cols>
  <sheetData>
    <row r="2" customFormat="false" ht="19.5" hidden="false" customHeight="true" outlineLevel="0" collapsed="false">
      <c r="B2" s="10" t="s">
        <v>155</v>
      </c>
      <c r="C2" s="10"/>
      <c r="D2" s="10"/>
      <c r="E2" s="10"/>
    </row>
    <row r="3" customFormat="false" ht="15" hidden="false" customHeight="true" outlineLevel="0" collapsed="false">
      <c r="B3" s="11" t="s">
        <v>156</v>
      </c>
      <c r="C3" s="11"/>
      <c r="D3" s="11"/>
      <c r="E3" s="11"/>
      <c r="F3" s="11"/>
      <c r="G3" s="11"/>
      <c r="H3" s="11"/>
      <c r="I3" s="11"/>
      <c r="J3" s="11"/>
      <c r="K3" s="11"/>
      <c r="L3" s="11"/>
      <c r="M3" s="11"/>
    </row>
    <row r="4" customFormat="false" ht="21.75" hidden="false" customHeight="true" outlineLevel="0" collapsed="false">
      <c r="E4" s="55" t="s">
        <v>157</v>
      </c>
      <c r="F4" s="56" t="s">
        <v>158</v>
      </c>
      <c r="G4" s="56" t="s">
        <v>159</v>
      </c>
      <c r="H4" s="56" t="s">
        <v>160</v>
      </c>
      <c r="I4" s="56" t="s">
        <v>161</v>
      </c>
      <c r="J4" s="56" t="s">
        <v>162</v>
      </c>
    </row>
    <row r="5" customFormat="false" ht="15" hidden="false" customHeight="true" outlineLevel="0" collapsed="false">
      <c r="B5" s="57" t="s">
        <v>97</v>
      </c>
      <c r="C5" s="57" t="s">
        <v>5</v>
      </c>
      <c r="D5" s="57" t="s">
        <v>98</v>
      </c>
      <c r="E5" s="57" t="s">
        <v>99</v>
      </c>
      <c r="F5" s="57" t="s">
        <v>103</v>
      </c>
      <c r="G5" s="57" t="s">
        <v>104</v>
      </c>
      <c r="H5" s="57" t="s">
        <v>105</v>
      </c>
      <c r="I5" s="57" t="s">
        <v>106</v>
      </c>
      <c r="J5" s="57" t="s">
        <v>107</v>
      </c>
      <c r="K5" s="57" t="s">
        <v>108</v>
      </c>
      <c r="L5" s="57" t="s">
        <v>109</v>
      </c>
      <c r="M5" s="57" t="s">
        <v>110</v>
      </c>
    </row>
    <row r="6" customFormat="false" ht="15" hidden="false" customHeight="true" outlineLevel="0" collapsed="false">
      <c r="B6" s="1" t="s">
        <v>89</v>
      </c>
      <c r="C6" s="1" t="s">
        <v>163</v>
      </c>
      <c r="D6" s="1" t="s">
        <v>164</v>
      </c>
      <c r="E6" s="1" t="n">
        <v>5</v>
      </c>
      <c r="F6" s="1" t="s">
        <v>165</v>
      </c>
      <c r="G6" s="1" t="s">
        <v>166</v>
      </c>
      <c r="H6" s="1" t="s">
        <v>167</v>
      </c>
      <c r="I6" s="1" t="s">
        <v>168</v>
      </c>
      <c r="J6" s="1" t="s">
        <v>169</v>
      </c>
    </row>
    <row r="7" customFormat="false" ht="15" hidden="false" customHeight="true" outlineLevel="0" collapsed="false">
      <c r="B7" s="1" t="s">
        <v>89</v>
      </c>
      <c r="C7" s="1" t="s">
        <v>170</v>
      </c>
      <c r="D7" s="1" t="s">
        <v>171</v>
      </c>
      <c r="E7" s="1" t="n">
        <v>5</v>
      </c>
      <c r="F7" s="1" t="s">
        <v>172</v>
      </c>
      <c r="G7" s="1" t="s">
        <v>173</v>
      </c>
      <c r="H7" s="1" t="s">
        <v>174</v>
      </c>
      <c r="I7" s="1" t="s">
        <v>175</v>
      </c>
      <c r="J7" s="1" t="s">
        <v>176</v>
      </c>
    </row>
    <row r="8" customFormat="false" ht="15" hidden="false" customHeight="true" outlineLevel="0" collapsed="false">
      <c r="B8" s="1" t="s">
        <v>89</v>
      </c>
      <c r="C8" s="1" t="s">
        <v>177</v>
      </c>
      <c r="D8" s="1" t="s">
        <v>178</v>
      </c>
      <c r="E8" s="1" t="n">
        <v>5</v>
      </c>
      <c r="F8" s="1" t="s">
        <v>179</v>
      </c>
      <c r="G8" s="1" t="s">
        <v>180</v>
      </c>
      <c r="H8" s="1" t="s">
        <v>181</v>
      </c>
      <c r="I8" s="1" t="s">
        <v>182</v>
      </c>
      <c r="J8" s="1" t="s">
        <v>183</v>
      </c>
    </row>
    <row r="9" customFormat="false" ht="15" hidden="false" customHeight="true" outlineLevel="0" collapsed="false">
      <c r="B9" s="1" t="s">
        <v>89</v>
      </c>
      <c r="C9" s="1" t="s">
        <v>184</v>
      </c>
      <c r="D9" s="1" t="s">
        <v>185</v>
      </c>
      <c r="E9" s="1" t="n">
        <v>5</v>
      </c>
      <c r="F9" s="1" t="s">
        <v>186</v>
      </c>
      <c r="G9" s="1" t="s">
        <v>187</v>
      </c>
      <c r="H9" s="1" t="s">
        <v>188</v>
      </c>
      <c r="I9" s="1" t="s">
        <v>189</v>
      </c>
      <c r="J9" s="1" t="s">
        <v>190</v>
      </c>
    </row>
    <row r="10" customFormat="false" ht="15" hidden="false" customHeight="true" outlineLevel="0" collapsed="false">
      <c r="B10" s="1" t="s">
        <v>89</v>
      </c>
      <c r="C10" s="1" t="s">
        <v>191</v>
      </c>
      <c r="D10" s="1" t="s">
        <v>192</v>
      </c>
      <c r="E10" s="1" t="n">
        <v>4</v>
      </c>
      <c r="F10" s="1" t="s">
        <v>193</v>
      </c>
      <c r="G10" s="1" t="s">
        <v>194</v>
      </c>
      <c r="H10" s="1" t="s">
        <v>195</v>
      </c>
      <c r="I10" s="1" t="s">
        <v>196</v>
      </c>
    </row>
    <row r="11" customFormat="false" ht="15" hidden="false" customHeight="true" outlineLevel="0" collapsed="false">
      <c r="B11" s="1" t="s">
        <v>89</v>
      </c>
      <c r="C11" s="1" t="s">
        <v>197</v>
      </c>
      <c r="D11" s="1" t="s">
        <v>198</v>
      </c>
      <c r="E11" s="1" t="n">
        <v>5</v>
      </c>
      <c r="F11" s="1" t="s">
        <v>199</v>
      </c>
      <c r="G11" s="1" t="s">
        <v>200</v>
      </c>
      <c r="H11" s="1" t="s">
        <v>201</v>
      </c>
      <c r="I11" s="1" t="s">
        <v>202</v>
      </c>
      <c r="J11" s="1" t="s">
        <v>203</v>
      </c>
    </row>
    <row r="12" customFormat="false" ht="15" hidden="false" customHeight="true" outlineLevel="0" collapsed="false">
      <c r="B12" s="1" t="s">
        <v>89</v>
      </c>
      <c r="C12" s="1" t="s">
        <v>204</v>
      </c>
      <c r="D12" s="1" t="s">
        <v>205</v>
      </c>
      <c r="E12" s="1" t="n">
        <v>5</v>
      </c>
      <c r="F12" s="1" t="s">
        <v>206</v>
      </c>
      <c r="G12" s="1" t="s">
        <v>207</v>
      </c>
      <c r="H12" s="1" t="s">
        <v>208</v>
      </c>
      <c r="I12" s="1" t="s">
        <v>209</v>
      </c>
      <c r="J12" s="1" t="s">
        <v>210</v>
      </c>
    </row>
    <row r="13" customFormat="false" ht="15" hidden="false" customHeight="true" outlineLevel="0" collapsed="false">
      <c r="B13" s="1" t="s">
        <v>89</v>
      </c>
      <c r="C13" s="1" t="s">
        <v>211</v>
      </c>
      <c r="D13" s="1" t="s">
        <v>212</v>
      </c>
      <c r="E13" s="1" t="n">
        <v>3</v>
      </c>
      <c r="F13" s="1" t="s">
        <v>213</v>
      </c>
      <c r="G13" s="1" t="s">
        <v>214</v>
      </c>
      <c r="H13" s="1" t="s">
        <v>215</v>
      </c>
    </row>
    <row r="14" customFormat="false" ht="15" hidden="false" customHeight="true" outlineLevel="0" collapsed="false">
      <c r="B14" s="1" t="s">
        <v>89</v>
      </c>
      <c r="C14" s="1" t="s">
        <v>216</v>
      </c>
      <c r="D14" s="1" t="s">
        <v>217</v>
      </c>
      <c r="E14" s="1" t="n">
        <v>5</v>
      </c>
      <c r="F14" s="1" t="s">
        <v>218</v>
      </c>
      <c r="G14" s="1" t="s">
        <v>219</v>
      </c>
      <c r="H14" s="1" t="s">
        <v>220</v>
      </c>
      <c r="I14" s="1" t="s">
        <v>221</v>
      </c>
      <c r="J14" s="1" t="s">
        <v>222</v>
      </c>
    </row>
    <row r="15" customFormat="false" ht="15" hidden="false" customHeight="true" outlineLevel="0" collapsed="false">
      <c r="B15" s="1" t="s">
        <v>89</v>
      </c>
      <c r="C15" s="1" t="s">
        <v>223</v>
      </c>
      <c r="D15" s="1" t="s">
        <v>224</v>
      </c>
      <c r="E15" s="1" t="n">
        <v>5</v>
      </c>
      <c r="F15" s="1" t="s">
        <v>225</v>
      </c>
      <c r="G15" s="1" t="s">
        <v>226</v>
      </c>
      <c r="H15" s="1" t="s">
        <v>227</v>
      </c>
      <c r="I15" s="1" t="s">
        <v>228</v>
      </c>
      <c r="J15" s="1" t="s">
        <v>229</v>
      </c>
    </row>
    <row r="16" customFormat="false" ht="15" hidden="false" customHeight="true" outlineLevel="0" collapsed="false">
      <c r="B16" s="1" t="s">
        <v>89</v>
      </c>
      <c r="C16" s="1" t="s">
        <v>230</v>
      </c>
      <c r="D16" s="1" t="s">
        <v>231</v>
      </c>
      <c r="E16" s="1" t="n">
        <v>5</v>
      </c>
      <c r="F16" s="1" t="s">
        <v>232</v>
      </c>
      <c r="G16" s="1" t="s">
        <v>233</v>
      </c>
      <c r="H16" s="1" t="s">
        <v>234</v>
      </c>
      <c r="I16" s="1" t="s">
        <v>235</v>
      </c>
      <c r="J16" s="1" t="s">
        <v>236</v>
      </c>
    </row>
    <row r="17" customFormat="false" ht="15" hidden="false" customHeight="true" outlineLevel="0" collapsed="false">
      <c r="B17" s="1" t="s">
        <v>89</v>
      </c>
      <c r="C17" s="1" t="s">
        <v>237</v>
      </c>
      <c r="D17" s="1" t="s">
        <v>238</v>
      </c>
      <c r="E17" s="1" t="n">
        <v>5</v>
      </c>
      <c r="F17" s="1" t="s">
        <v>239</v>
      </c>
      <c r="G17" s="1" t="s">
        <v>240</v>
      </c>
      <c r="H17" s="1" t="s">
        <v>241</v>
      </c>
      <c r="I17" s="1" t="s">
        <v>242</v>
      </c>
      <c r="J17" s="1" t="s">
        <v>243</v>
      </c>
    </row>
    <row r="18" customFormat="false" ht="15" hidden="false" customHeight="true" outlineLevel="0" collapsed="false">
      <c r="B18" s="1" t="s">
        <v>89</v>
      </c>
      <c r="C18" s="1" t="s">
        <v>244</v>
      </c>
      <c r="D18" s="1" t="s">
        <v>245</v>
      </c>
      <c r="E18" s="1" t="n">
        <v>5</v>
      </c>
      <c r="F18" s="1" t="s">
        <v>246</v>
      </c>
      <c r="G18" s="1" t="s">
        <v>247</v>
      </c>
      <c r="H18" s="1" t="s">
        <v>248</v>
      </c>
      <c r="I18" s="1" t="s">
        <v>249</v>
      </c>
      <c r="J18" s="1" t="s">
        <v>250</v>
      </c>
    </row>
    <row r="19" customFormat="false" ht="15" hidden="false" customHeight="true" outlineLevel="0" collapsed="false">
      <c r="B19" s="1" t="s">
        <v>89</v>
      </c>
      <c r="C19" s="1" t="s">
        <v>251</v>
      </c>
      <c r="D19" s="1" t="s">
        <v>252</v>
      </c>
      <c r="E19" s="1" t="n">
        <v>5</v>
      </c>
      <c r="F19" s="1" t="s">
        <v>253</v>
      </c>
      <c r="G19" s="1" t="s">
        <v>254</v>
      </c>
      <c r="H19" s="1" t="s">
        <v>255</v>
      </c>
      <c r="I19" s="1" t="s">
        <v>256</v>
      </c>
      <c r="J19" s="1" t="s">
        <v>257</v>
      </c>
    </row>
    <row r="20" customFormat="false" ht="15" hidden="false" customHeight="true" outlineLevel="0" collapsed="false">
      <c r="B20" s="1" t="s">
        <v>89</v>
      </c>
      <c r="C20" s="1" t="s">
        <v>258</v>
      </c>
      <c r="D20" s="1" t="s">
        <v>259</v>
      </c>
      <c r="E20" s="1" t="n">
        <v>5</v>
      </c>
      <c r="F20" s="1" t="s">
        <v>260</v>
      </c>
      <c r="G20" s="1" t="s">
        <v>261</v>
      </c>
      <c r="H20" s="1" t="s">
        <v>262</v>
      </c>
      <c r="I20" s="1" t="s">
        <v>263</v>
      </c>
      <c r="J20" s="1" t="s">
        <v>264</v>
      </c>
    </row>
    <row r="21" customFormat="false" ht="15" hidden="false" customHeight="true" outlineLevel="0" collapsed="false">
      <c r="B21" s="1" t="s">
        <v>89</v>
      </c>
      <c r="C21" s="1" t="s">
        <v>265</v>
      </c>
      <c r="D21" s="1" t="s">
        <v>266</v>
      </c>
      <c r="E21" s="1" t="n">
        <v>4</v>
      </c>
      <c r="F21" s="1" t="s">
        <v>267</v>
      </c>
      <c r="G21" s="1" t="s">
        <v>268</v>
      </c>
      <c r="H21" s="1" t="s">
        <v>269</v>
      </c>
      <c r="I21" s="1" t="s">
        <v>270</v>
      </c>
    </row>
    <row r="22" customFormat="false" ht="15" hidden="false" customHeight="true" outlineLevel="0" collapsed="false">
      <c r="B22" s="1" t="s">
        <v>89</v>
      </c>
      <c r="C22" s="1" t="s">
        <v>271</v>
      </c>
      <c r="D22" s="1" t="s">
        <v>272</v>
      </c>
      <c r="E22" s="1" t="n">
        <v>5</v>
      </c>
      <c r="F22" s="1" t="s">
        <v>273</v>
      </c>
      <c r="G22" s="1" t="s">
        <v>274</v>
      </c>
      <c r="H22" s="1" t="s">
        <v>275</v>
      </c>
      <c r="I22" s="1" t="s">
        <v>276</v>
      </c>
      <c r="J22" s="1" t="s">
        <v>277</v>
      </c>
    </row>
    <row r="23" customFormat="false" ht="15" hidden="false" customHeight="true" outlineLevel="0" collapsed="false">
      <c r="B23" s="1" t="s">
        <v>82</v>
      </c>
      <c r="C23" s="1" t="s">
        <v>278</v>
      </c>
      <c r="D23" s="1" t="s">
        <v>279</v>
      </c>
      <c r="E23" s="1" t="n">
        <v>5</v>
      </c>
      <c r="F23" s="1" t="s">
        <v>280</v>
      </c>
      <c r="G23" s="1" t="s">
        <v>281</v>
      </c>
      <c r="H23" s="1" t="s">
        <v>282</v>
      </c>
      <c r="I23" s="1" t="s">
        <v>283</v>
      </c>
      <c r="J23" s="1" t="s">
        <v>284</v>
      </c>
    </row>
    <row r="24" customFormat="false" ht="15" hidden="false" customHeight="true" outlineLevel="0" collapsed="false">
      <c r="B24" s="1" t="s">
        <v>82</v>
      </c>
      <c r="C24" s="1" t="s">
        <v>285</v>
      </c>
      <c r="D24" s="1" t="s">
        <v>286</v>
      </c>
      <c r="E24" s="1" t="n">
        <v>5</v>
      </c>
      <c r="F24" s="1" t="s">
        <v>287</v>
      </c>
      <c r="G24" s="1" t="s">
        <v>288</v>
      </c>
      <c r="H24" s="1" t="s">
        <v>289</v>
      </c>
      <c r="I24" s="1" t="s">
        <v>290</v>
      </c>
      <c r="J24" s="1" t="s">
        <v>291</v>
      </c>
    </row>
    <row r="25" customFormat="false" ht="15" hidden="false" customHeight="true" outlineLevel="0" collapsed="false">
      <c r="B25" s="1" t="s">
        <v>82</v>
      </c>
      <c r="C25" s="1" t="s">
        <v>292</v>
      </c>
      <c r="D25" s="1" t="s">
        <v>293</v>
      </c>
      <c r="E25" s="1" t="n">
        <v>5</v>
      </c>
      <c r="F25" s="1" t="s">
        <v>294</v>
      </c>
      <c r="G25" s="1" t="s">
        <v>295</v>
      </c>
      <c r="H25" s="1" t="s">
        <v>296</v>
      </c>
      <c r="I25" s="1" t="s">
        <v>297</v>
      </c>
      <c r="J25" s="1" t="s">
        <v>298</v>
      </c>
    </row>
    <row r="26" customFormat="false" ht="15" hidden="false" customHeight="true" outlineLevel="0" collapsed="false">
      <c r="B26" s="1" t="s">
        <v>82</v>
      </c>
      <c r="C26" s="1" t="s">
        <v>299</v>
      </c>
      <c r="D26" s="1" t="s">
        <v>300</v>
      </c>
      <c r="E26" s="1" t="n">
        <v>4</v>
      </c>
      <c r="F26" s="1" t="s">
        <v>301</v>
      </c>
      <c r="G26" s="1" t="s">
        <v>302</v>
      </c>
      <c r="H26" s="1" t="s">
        <v>303</v>
      </c>
      <c r="I26" s="1" t="s">
        <v>304</v>
      </c>
    </row>
    <row r="27" customFormat="false" ht="15" hidden="false" customHeight="true" outlineLevel="0" collapsed="false">
      <c r="B27" s="1" t="s">
        <v>82</v>
      </c>
      <c r="C27" s="1" t="s">
        <v>305</v>
      </c>
      <c r="D27" s="1" t="s">
        <v>306</v>
      </c>
      <c r="E27" s="1" t="n">
        <v>5</v>
      </c>
      <c r="F27" s="1" t="s">
        <v>307</v>
      </c>
      <c r="G27" s="1" t="s">
        <v>308</v>
      </c>
      <c r="H27" s="1" t="s">
        <v>309</v>
      </c>
      <c r="I27" s="1" t="s">
        <v>310</v>
      </c>
      <c r="J27" s="1" t="s">
        <v>311</v>
      </c>
    </row>
    <row r="28" customFormat="false" ht="15" hidden="false" customHeight="true" outlineLevel="0" collapsed="false">
      <c r="B28" s="1" t="s">
        <v>82</v>
      </c>
      <c r="C28" s="1" t="s">
        <v>312</v>
      </c>
      <c r="D28" s="1" t="s">
        <v>313</v>
      </c>
      <c r="E28" s="1" t="n">
        <v>5</v>
      </c>
      <c r="F28" s="1" t="s">
        <v>314</v>
      </c>
      <c r="G28" s="1" t="s">
        <v>315</v>
      </c>
      <c r="H28" s="1" t="s">
        <v>316</v>
      </c>
      <c r="I28" s="1" t="s">
        <v>317</v>
      </c>
      <c r="J28" s="1" t="s">
        <v>318</v>
      </c>
    </row>
    <row r="29" customFormat="false" ht="15" hidden="false" customHeight="true" outlineLevel="0" collapsed="false">
      <c r="B29" s="1" t="s">
        <v>82</v>
      </c>
      <c r="C29" s="1" t="s">
        <v>319</v>
      </c>
      <c r="D29" s="1" t="s">
        <v>320</v>
      </c>
      <c r="E29" s="1" t="n">
        <v>5</v>
      </c>
      <c r="F29" s="1" t="s">
        <v>321</v>
      </c>
      <c r="G29" s="1" t="s">
        <v>322</v>
      </c>
      <c r="H29" s="1" t="s">
        <v>323</v>
      </c>
      <c r="I29" s="1" t="s">
        <v>324</v>
      </c>
      <c r="J29" s="1" t="s">
        <v>325</v>
      </c>
    </row>
    <row r="30" customFormat="false" ht="15" hidden="false" customHeight="true" outlineLevel="0" collapsed="false">
      <c r="B30" s="1" t="s">
        <v>82</v>
      </c>
      <c r="C30" s="1" t="s">
        <v>326</v>
      </c>
      <c r="D30" s="1" t="s">
        <v>327</v>
      </c>
      <c r="E30" s="1" t="n">
        <v>5</v>
      </c>
      <c r="F30" s="1" t="s">
        <v>328</v>
      </c>
      <c r="G30" s="1" t="s">
        <v>329</v>
      </c>
      <c r="H30" s="1" t="s">
        <v>330</v>
      </c>
      <c r="I30" s="1" t="s">
        <v>331</v>
      </c>
      <c r="J30" s="1" t="s">
        <v>332</v>
      </c>
    </row>
    <row r="31" customFormat="false" ht="15" hidden="false" customHeight="true" outlineLevel="0" collapsed="false">
      <c r="B31" s="1" t="s">
        <v>82</v>
      </c>
      <c r="C31" s="1" t="s">
        <v>333</v>
      </c>
      <c r="D31" s="1" t="s">
        <v>334</v>
      </c>
      <c r="E31" s="1" t="n">
        <v>5</v>
      </c>
      <c r="F31" s="1" t="s">
        <v>335</v>
      </c>
      <c r="G31" s="1" t="s">
        <v>336</v>
      </c>
      <c r="H31" s="1" t="s">
        <v>337</v>
      </c>
      <c r="I31" s="1" t="s">
        <v>338</v>
      </c>
      <c r="J31" s="1" t="s">
        <v>339</v>
      </c>
    </row>
    <row r="32" customFormat="false" ht="15" hidden="false" customHeight="true" outlineLevel="0" collapsed="false">
      <c r="B32" s="1" t="s">
        <v>82</v>
      </c>
      <c r="C32" s="1" t="s">
        <v>340</v>
      </c>
      <c r="D32" s="1" t="s">
        <v>341</v>
      </c>
      <c r="E32" s="1" t="n">
        <v>5</v>
      </c>
      <c r="F32" s="1" t="s">
        <v>342</v>
      </c>
      <c r="G32" s="1" t="s">
        <v>343</v>
      </c>
      <c r="H32" s="1" t="s">
        <v>344</v>
      </c>
      <c r="I32" s="1" t="s">
        <v>345</v>
      </c>
      <c r="J32" s="1" t="s">
        <v>346</v>
      </c>
    </row>
    <row r="33" customFormat="false" ht="15" hidden="false" customHeight="true" outlineLevel="0" collapsed="false">
      <c r="B33" s="1" t="s">
        <v>85</v>
      </c>
      <c r="C33" s="1" t="s">
        <v>347</v>
      </c>
      <c r="D33" s="1" t="s">
        <v>348</v>
      </c>
      <c r="E33" s="1" t="n">
        <v>5</v>
      </c>
      <c r="F33" s="1" t="s">
        <v>349</v>
      </c>
      <c r="G33" s="1" t="s">
        <v>350</v>
      </c>
      <c r="H33" s="1" t="s">
        <v>351</v>
      </c>
      <c r="I33" s="1" t="s">
        <v>352</v>
      </c>
      <c r="J33" s="1" t="s">
        <v>353</v>
      </c>
    </row>
    <row r="34" customFormat="false" ht="15" hidden="false" customHeight="true" outlineLevel="0" collapsed="false">
      <c r="B34" s="1" t="s">
        <v>85</v>
      </c>
      <c r="C34" s="1" t="s">
        <v>354</v>
      </c>
      <c r="D34" s="1" t="s">
        <v>355</v>
      </c>
      <c r="E34" s="1" t="n">
        <v>3</v>
      </c>
      <c r="F34" s="1" t="s">
        <v>356</v>
      </c>
      <c r="G34" s="1" t="s">
        <v>357</v>
      </c>
      <c r="H34" s="1" t="s">
        <v>358</v>
      </c>
    </row>
    <row r="35" customFormat="false" ht="15" hidden="false" customHeight="true" outlineLevel="0" collapsed="false">
      <c r="B35" s="1" t="s">
        <v>85</v>
      </c>
      <c r="C35" s="1" t="s">
        <v>359</v>
      </c>
      <c r="D35" s="1" t="s">
        <v>360</v>
      </c>
      <c r="E35" s="1" t="n">
        <v>3</v>
      </c>
      <c r="F35" s="1" t="s">
        <v>361</v>
      </c>
      <c r="G35" s="1" t="s">
        <v>362</v>
      </c>
      <c r="H35" s="1" t="s">
        <v>363</v>
      </c>
    </row>
    <row r="36" customFormat="false" ht="15" hidden="false" customHeight="true" outlineLevel="0" collapsed="false">
      <c r="B36" s="1" t="s">
        <v>87</v>
      </c>
      <c r="C36" s="1" t="s">
        <v>364</v>
      </c>
      <c r="D36" s="1" t="s">
        <v>365</v>
      </c>
      <c r="E36" s="1" t="n">
        <v>2</v>
      </c>
      <c r="F36" s="1" t="s">
        <v>366</v>
      </c>
      <c r="G36" s="1" t="s">
        <v>367</v>
      </c>
    </row>
    <row r="37" customFormat="false" ht="15" hidden="false" customHeight="true" outlineLevel="0" collapsed="false">
      <c r="B37" s="1" t="s">
        <v>87</v>
      </c>
      <c r="C37" s="1" t="s">
        <v>368</v>
      </c>
      <c r="D37" s="1" t="s">
        <v>369</v>
      </c>
      <c r="E37" s="1" t="n">
        <v>5</v>
      </c>
      <c r="F37" s="1" t="s">
        <v>370</v>
      </c>
      <c r="G37" s="1" t="s">
        <v>371</v>
      </c>
      <c r="H37" s="1" t="s">
        <v>372</v>
      </c>
      <c r="I37" s="1" t="s">
        <v>373</v>
      </c>
      <c r="J37" s="1" t="s">
        <v>374</v>
      </c>
    </row>
    <row r="38" customFormat="false" ht="15" hidden="false" customHeight="true" outlineLevel="0" collapsed="false">
      <c r="B38" s="1" t="s">
        <v>87</v>
      </c>
      <c r="C38" s="1" t="s">
        <v>78</v>
      </c>
      <c r="D38" s="1" t="s">
        <v>375</v>
      </c>
      <c r="E38" s="1" t="n">
        <v>5</v>
      </c>
      <c r="F38" s="1" t="s">
        <v>376</v>
      </c>
      <c r="G38" s="1" t="s">
        <v>377</v>
      </c>
      <c r="H38" s="1" t="s">
        <v>378</v>
      </c>
      <c r="I38" s="1" t="s">
        <v>379</v>
      </c>
      <c r="J38" s="1" t="s">
        <v>380</v>
      </c>
    </row>
    <row r="39" customFormat="false" ht="15" hidden="false" customHeight="true" outlineLevel="0" collapsed="false">
      <c r="B39" s="1" t="s">
        <v>87</v>
      </c>
      <c r="C39" s="1" t="s">
        <v>381</v>
      </c>
      <c r="D39" s="1" t="s">
        <v>382</v>
      </c>
      <c r="E39" s="1" t="n">
        <v>5</v>
      </c>
      <c r="F39" s="1" t="s">
        <v>383</v>
      </c>
      <c r="G39" s="1" t="s">
        <v>384</v>
      </c>
      <c r="H39" s="1" t="s">
        <v>385</v>
      </c>
      <c r="I39" s="1" t="s">
        <v>386</v>
      </c>
      <c r="J39" s="1" t="s">
        <v>387</v>
      </c>
    </row>
    <row r="40" customFormat="false" ht="15" hidden="false" customHeight="true" outlineLevel="0" collapsed="false">
      <c r="B40" s="1" t="s">
        <v>87</v>
      </c>
      <c r="C40" s="1" t="s">
        <v>388</v>
      </c>
      <c r="D40" s="1" t="s">
        <v>389</v>
      </c>
      <c r="E40" s="1" t="n">
        <v>3</v>
      </c>
      <c r="F40" s="1" t="s">
        <v>390</v>
      </c>
      <c r="G40" s="1" t="s">
        <v>391</v>
      </c>
      <c r="H40" s="1" t="s">
        <v>392</v>
      </c>
    </row>
    <row r="41" customFormat="false" ht="15" hidden="false" customHeight="true" outlineLevel="0" collapsed="false">
      <c r="B41" s="1" t="s">
        <v>87</v>
      </c>
      <c r="C41" s="1" t="s">
        <v>393</v>
      </c>
      <c r="D41" s="1" t="s">
        <v>394</v>
      </c>
      <c r="E41" s="1" t="n">
        <v>5</v>
      </c>
      <c r="F41" s="1" t="s">
        <v>395</v>
      </c>
      <c r="G41" s="1" t="s">
        <v>396</v>
      </c>
      <c r="H41" s="1" t="s">
        <v>397</v>
      </c>
      <c r="I41" s="1" t="s">
        <v>398</v>
      </c>
      <c r="J41" s="1" t="s">
        <v>399</v>
      </c>
    </row>
    <row r="42" customFormat="false" ht="15" hidden="false" customHeight="false" outlineLevel="0" collapsed="false">
      <c r="B42" s="58" t="s">
        <v>400</v>
      </c>
      <c r="C42" s="1" t="s">
        <v>400</v>
      </c>
      <c r="D42" s="1" t="s">
        <v>401</v>
      </c>
      <c r="E42" s="1" t="n">
        <v>5</v>
      </c>
      <c r="F42" s="1" t="s">
        <v>402</v>
      </c>
      <c r="G42" s="1" t="s">
        <v>403</v>
      </c>
      <c r="H42" s="1" t="s">
        <v>404</v>
      </c>
      <c r="I42" s="1" t="s">
        <v>405</v>
      </c>
      <c r="J42" s="1" t="s">
        <v>406</v>
      </c>
    </row>
    <row r="43" customFormat="false" ht="15" hidden="false" customHeight="false" outlineLevel="0" collapsed="false">
      <c r="B43" s="58" t="s">
        <v>407</v>
      </c>
      <c r="C43" s="1" t="s">
        <v>408</v>
      </c>
      <c r="D43" s="1" t="s">
        <v>409</v>
      </c>
      <c r="E43" s="1" t="n">
        <v>5</v>
      </c>
      <c r="F43" s="1" t="s">
        <v>410</v>
      </c>
      <c r="G43" s="1" t="s">
        <v>411</v>
      </c>
      <c r="H43" s="1" t="s">
        <v>412</v>
      </c>
      <c r="I43" s="1" t="s">
        <v>413</v>
      </c>
      <c r="J43" s="1" t="s">
        <v>414</v>
      </c>
    </row>
    <row r="44" customFormat="false" ht="15" hidden="false" customHeight="false" outlineLevel="0" collapsed="false">
      <c r="B44" s="58" t="s">
        <v>407</v>
      </c>
      <c r="C44" s="1" t="s">
        <v>415</v>
      </c>
      <c r="D44" s="1" t="s">
        <v>416</v>
      </c>
      <c r="E44" s="1" t="n">
        <v>5</v>
      </c>
      <c r="F44" s="1" t="s">
        <v>417</v>
      </c>
      <c r="G44" s="1" t="s">
        <v>418</v>
      </c>
      <c r="H44" s="1" t="s">
        <v>419</v>
      </c>
      <c r="I44" s="1" t="s">
        <v>420</v>
      </c>
      <c r="J44" s="1" t="s">
        <v>421</v>
      </c>
    </row>
    <row r="45" customFormat="false" ht="15" hidden="false" customHeight="false" outlineLevel="0" collapsed="false">
      <c r="B45" s="58" t="s">
        <v>407</v>
      </c>
      <c r="C45" s="1" t="s">
        <v>115</v>
      </c>
      <c r="D45" s="1" t="s">
        <v>422</v>
      </c>
      <c r="E45" s="1" t="n">
        <v>3</v>
      </c>
      <c r="F45" s="1" t="s">
        <v>423</v>
      </c>
      <c r="G45" s="1" t="s">
        <v>424</v>
      </c>
      <c r="H45" s="1" t="s">
        <v>425</v>
      </c>
    </row>
    <row r="46" customFormat="false" ht="15" hidden="false" customHeight="false" outlineLevel="0" collapsed="false">
      <c r="B46" s="58" t="s">
        <v>407</v>
      </c>
      <c r="C46" s="1" t="s">
        <v>184</v>
      </c>
      <c r="D46" s="1" t="s">
        <v>426</v>
      </c>
      <c r="F46" s="1" t="s">
        <v>427</v>
      </c>
    </row>
    <row r="47" customFormat="false" ht="15" hidden="false" customHeight="false" outlineLevel="0" collapsed="false">
      <c r="B47" s="58" t="s">
        <v>407</v>
      </c>
      <c r="C47" s="1" t="s">
        <v>191</v>
      </c>
      <c r="D47" s="1" t="s">
        <v>428</v>
      </c>
      <c r="F47" s="1" t="s">
        <v>429</v>
      </c>
    </row>
    <row r="48" customFormat="false" ht="15" hidden="false" customHeight="false" outlineLevel="0" collapsed="false">
      <c r="B48" s="58" t="s">
        <v>407</v>
      </c>
      <c r="C48" s="1" t="s">
        <v>197</v>
      </c>
      <c r="D48" s="1" t="s">
        <v>430</v>
      </c>
      <c r="F48" s="1" t="s">
        <v>429</v>
      </c>
    </row>
    <row r="49" customFormat="false" ht="15" hidden="false" customHeight="false" outlineLevel="0" collapsed="false">
      <c r="B49" s="58" t="s">
        <v>407</v>
      </c>
      <c r="C49" s="1" t="s">
        <v>204</v>
      </c>
      <c r="D49" s="1" t="s">
        <v>431</v>
      </c>
      <c r="F49" s="1" t="s">
        <v>432</v>
      </c>
    </row>
    <row r="50" customFormat="false" ht="15" hidden="false" customHeight="false" outlineLevel="0" collapsed="false">
      <c r="B50" s="58" t="s">
        <v>407</v>
      </c>
      <c r="C50" s="1" t="s">
        <v>211</v>
      </c>
      <c r="D50" s="1" t="s">
        <v>433</v>
      </c>
      <c r="F50" s="1" t="s">
        <v>434</v>
      </c>
    </row>
    <row r="51" customFormat="false" ht="15" hidden="false" customHeight="true" outlineLevel="0" collapsed="false">
      <c r="B51" s="59" t="s">
        <v>407</v>
      </c>
      <c r="C51" s="1" t="s">
        <v>216</v>
      </c>
      <c r="D51" s="1" t="s">
        <v>435</v>
      </c>
      <c r="F51" s="1" t="s">
        <v>436</v>
      </c>
    </row>
    <row r="52" customFormat="false" ht="15" hidden="false" customHeight="true" outlineLevel="0" collapsed="false">
      <c r="B52" s="59" t="s">
        <v>407</v>
      </c>
      <c r="C52" s="1" t="s">
        <v>223</v>
      </c>
      <c r="D52" s="1" t="s">
        <v>437</v>
      </c>
      <c r="F52" s="1" t="s">
        <v>438</v>
      </c>
    </row>
    <row r="53" customFormat="false" ht="15" hidden="false" customHeight="true" outlineLevel="0" collapsed="false">
      <c r="B53" s="59" t="s">
        <v>407</v>
      </c>
      <c r="C53" s="1" t="s">
        <v>230</v>
      </c>
      <c r="D53" s="1" t="s">
        <v>439</v>
      </c>
      <c r="F53" s="1" t="s">
        <v>440</v>
      </c>
    </row>
    <row r="54" customFormat="false" ht="15" hidden="false" customHeight="true" outlineLevel="0" collapsed="false">
      <c r="B54" s="59" t="s">
        <v>407</v>
      </c>
      <c r="C54" s="1" t="s">
        <v>251</v>
      </c>
      <c r="D54" s="1" t="s">
        <v>441</v>
      </c>
      <c r="F54" s="1" t="s">
        <v>442</v>
      </c>
    </row>
    <row r="55" customFormat="false" ht="15" hidden="false" customHeight="true" outlineLevel="0" collapsed="false">
      <c r="B55" s="59" t="s">
        <v>407</v>
      </c>
      <c r="C55" s="1" t="s">
        <v>258</v>
      </c>
      <c r="D55" s="1" t="s">
        <v>443</v>
      </c>
      <c r="F55" s="1" t="s">
        <v>444</v>
      </c>
    </row>
    <row r="56" customFormat="false" ht="15" hidden="false" customHeight="true" outlineLevel="0" collapsed="false">
      <c r="B56" s="59" t="s">
        <v>407</v>
      </c>
      <c r="C56" s="1" t="s">
        <v>265</v>
      </c>
      <c r="D56" s="1" t="s">
        <v>445</v>
      </c>
      <c r="F56" s="1" t="s">
        <v>446</v>
      </c>
    </row>
    <row r="57" customFormat="false" ht="15" hidden="false" customHeight="true" outlineLevel="0" collapsed="false">
      <c r="B57" s="59" t="s">
        <v>407</v>
      </c>
      <c r="C57" s="1" t="s">
        <v>305</v>
      </c>
      <c r="D57" s="1" t="s">
        <v>447</v>
      </c>
      <c r="F57" s="1" t="s">
        <v>448</v>
      </c>
    </row>
    <row r="58" customFormat="false" ht="15" hidden="false" customHeight="true" outlineLevel="0" collapsed="false">
      <c r="B58" s="59" t="s">
        <v>407</v>
      </c>
      <c r="C58" s="1" t="s">
        <v>319</v>
      </c>
      <c r="D58" s="1" t="s">
        <v>449</v>
      </c>
      <c r="F58" s="1" t="s">
        <v>450</v>
      </c>
    </row>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sheetData>
  <mergeCells count="2">
    <mergeCell ref="B2:E2"/>
    <mergeCell ref="B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2026-04-22T21:25:05Z</dcterms:created>
  <dc:creator>openpyxl</dc:creator>
  <dc:description/>
  <dc:language>en-US</dc:language>
  <cp:lastModifiedBy/>
  <dcterms:modified xsi:type="dcterms:W3CDTF">2026-07-09T14:43:45Z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